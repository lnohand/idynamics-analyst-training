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enti\Downloads\training\excel\"/>
    </mc:Choice>
  </mc:AlternateContent>
  <xr:revisionPtr revIDLastSave="0" documentId="8_{FFC88D2B-C2CA-4435-B516-B6821DBE3867}" xr6:coauthVersionLast="47" xr6:coauthVersionMax="47" xr10:uidLastSave="{00000000-0000-0000-0000-000000000000}"/>
  <bookViews>
    <workbookView xWindow="-110" yWindow="-110" windowWidth="38620" windowHeight="21100" activeTab="3" xr2:uid="{00000000-000D-0000-FFFF-FFFF00000000}"/>
  </bookViews>
  <sheets>
    <sheet name="Historical Baseline" sheetId="1" r:id="rId1"/>
    <sheet name="Forecast Assumptions" sheetId="2" r:id="rId2"/>
    <sheet name="2026 Forecast" sheetId="3" r:id="rId3"/>
    <sheet name="Jan 2026 A vs F " sheetId="9" r:id="rId4"/>
    <sheet name="Engine" sheetId="8" r:id="rId5"/>
    <sheet name="Waterfall" sheetId="4" r:id="rId6"/>
    <sheet name="Retention" sheetId="5" r:id="rId7"/>
    <sheet name="Unit Economics" sheetId="6" r:id="rId8"/>
    <sheet name="Ref"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 l="1" a="1"/>
  <c r="F16" i="9" s="1"/>
  <c r="B18" i="9"/>
  <c r="B19" i="9"/>
  <c r="B17" i="9"/>
  <c r="B26" i="1"/>
  <c r="B27" i="1"/>
  <c r="C17" i="9"/>
  <c r="C18" i="9"/>
  <c r="C19" i="9"/>
  <c r="C20" i="9"/>
  <c r="B20" i="3"/>
  <c r="B7" i="9"/>
  <c r="B8" i="9"/>
  <c r="B13" i="9" s="1"/>
  <c r="C6" i="9"/>
  <c r="C5" i="9"/>
  <c r="C3" i="9"/>
  <c r="B21" i="6" a="1"/>
  <c r="B21" i="6"/>
  <c r="E33" i="6"/>
  <c r="E32" i="6"/>
  <c r="E31" i="6"/>
  <c r="E30" i="6"/>
  <c r="E29" i="6"/>
  <c r="E28" i="6"/>
  <c r="B6" i="6"/>
  <c r="D52" i="6" a="1"/>
  <c r="D52" i="6" s="1"/>
  <c r="C52" i="6" a="1"/>
  <c r="C52" i="6" s="1"/>
  <c r="D51" i="6" a="1"/>
  <c r="D51" i="6" s="1"/>
  <c r="C51" i="6" a="1"/>
  <c r="C51" i="6" s="1"/>
  <c r="D50" i="6" a="1"/>
  <c r="D50" i="6" s="1"/>
  <c r="C50" i="6" a="1"/>
  <c r="C50" i="6" s="1"/>
  <c r="D49" i="6" a="1"/>
  <c r="D49" i="6" s="1"/>
  <c r="C49" i="6" a="1"/>
  <c r="C49" i="6" s="1"/>
  <c r="D48" i="6" a="1"/>
  <c r="D48" i="6" s="1"/>
  <c r="C48" i="6" a="1"/>
  <c r="C48" i="6" s="1"/>
  <c r="D47" i="6" a="1"/>
  <c r="D47" i="6" s="1"/>
  <c r="C47" i="6" a="1"/>
  <c r="C47" i="6" s="1"/>
  <c r="D46" i="6" a="1"/>
  <c r="D46" i="6" s="1"/>
  <c r="C46" i="6" a="1"/>
  <c r="C46" i="6" s="1"/>
  <c r="D45" i="6" a="1"/>
  <c r="D45" i="6" s="1"/>
  <c r="C45" i="6" a="1"/>
  <c r="C45" i="6" s="1"/>
  <c r="D44" i="6" a="1"/>
  <c r="D44" i="6" s="1"/>
  <c r="C44" i="6" a="1"/>
  <c r="C44" i="6" s="1"/>
  <c r="D43" i="6" a="1"/>
  <c r="D43" i="6" s="1"/>
  <c r="C43" i="6" a="1"/>
  <c r="C43" i="6" s="1"/>
  <c r="D42" i="6" a="1"/>
  <c r="D42" i="6" s="1"/>
  <c r="C42" i="6" a="1"/>
  <c r="C42" i="6" s="1"/>
  <c r="B37" i="6"/>
  <c r="B38" i="6" s="1"/>
  <c r="D33" i="6"/>
  <c r="C33" i="6"/>
  <c r="B33" i="6"/>
  <c r="D32" i="6"/>
  <c r="C32" i="6"/>
  <c r="B32" i="6"/>
  <c r="D31" i="6"/>
  <c r="C31" i="6"/>
  <c r="B31" i="6"/>
  <c r="D30" i="6"/>
  <c r="C30" i="6"/>
  <c r="B30" i="6"/>
  <c r="D29" i="6"/>
  <c r="C29" i="6"/>
  <c r="B29" i="6"/>
  <c r="D28" i="6"/>
  <c r="C28" i="6"/>
  <c r="B28" i="6"/>
  <c r="B5" i="6"/>
  <c r="B4" i="6"/>
  <c r="B31" i="4"/>
  <c r="AA20" i="5"/>
  <c r="Z20" i="5"/>
  <c r="Y20" i="5"/>
  <c r="X20" i="5"/>
  <c r="W20" i="5"/>
  <c r="V20" i="5"/>
  <c r="U20" i="5"/>
  <c r="T20" i="5"/>
  <c r="S20" i="5"/>
  <c r="R20" i="5"/>
  <c r="Q20" i="5"/>
  <c r="P20" i="5"/>
  <c r="O20" i="5"/>
  <c r="N20" i="5"/>
  <c r="M20" i="5"/>
  <c r="L20" i="5"/>
  <c r="K20" i="5"/>
  <c r="J20" i="5"/>
  <c r="I20" i="5"/>
  <c r="H20" i="5"/>
  <c r="G20" i="5"/>
  <c r="F20" i="5"/>
  <c r="E20" i="5"/>
  <c r="D20" i="5"/>
  <c r="C20" i="5"/>
  <c r="B20" i="5"/>
  <c r="AA19" i="5"/>
  <c r="Z19" i="5"/>
  <c r="Y19" i="5"/>
  <c r="X19" i="5"/>
  <c r="W19" i="5"/>
  <c r="V19" i="5"/>
  <c r="U19" i="5"/>
  <c r="T19" i="5"/>
  <c r="S19" i="5"/>
  <c r="R19" i="5"/>
  <c r="Q19" i="5"/>
  <c r="P19" i="5"/>
  <c r="O19" i="5"/>
  <c r="N19" i="5"/>
  <c r="M19" i="5"/>
  <c r="L19" i="5"/>
  <c r="K19" i="5"/>
  <c r="J19" i="5"/>
  <c r="I19" i="5"/>
  <c r="H19" i="5"/>
  <c r="G19" i="5"/>
  <c r="F19" i="5"/>
  <c r="E19" i="5"/>
  <c r="D19" i="5"/>
  <c r="C19" i="5"/>
  <c r="AA17" i="5"/>
  <c r="Z17" i="5"/>
  <c r="Y17" i="5"/>
  <c r="X17" i="5"/>
  <c r="W17" i="5"/>
  <c r="V17" i="5"/>
  <c r="U17" i="5"/>
  <c r="T17" i="5"/>
  <c r="S17" i="5"/>
  <c r="R17" i="5"/>
  <c r="Q17" i="5"/>
  <c r="P17" i="5"/>
  <c r="O17" i="5"/>
  <c r="N17" i="5"/>
  <c r="M17" i="5"/>
  <c r="L17" i="5"/>
  <c r="K17" i="5"/>
  <c r="J17" i="5"/>
  <c r="I17" i="5"/>
  <c r="H17" i="5"/>
  <c r="G17" i="5"/>
  <c r="F17" i="5"/>
  <c r="E17" i="5"/>
  <c r="D17" i="5"/>
  <c r="C17" i="5"/>
  <c r="B17" i="5"/>
  <c r="AA16" i="5"/>
  <c r="Z16" i="5"/>
  <c r="Y16" i="5"/>
  <c r="X16" i="5"/>
  <c r="W16" i="5"/>
  <c r="V16" i="5"/>
  <c r="U16" i="5"/>
  <c r="T16" i="5"/>
  <c r="S16" i="5"/>
  <c r="R16" i="5"/>
  <c r="Q16" i="5"/>
  <c r="P16" i="5"/>
  <c r="O16" i="5"/>
  <c r="N16" i="5"/>
  <c r="M16" i="5"/>
  <c r="L16" i="5"/>
  <c r="K16" i="5"/>
  <c r="J16" i="5"/>
  <c r="I16" i="5"/>
  <c r="H16" i="5"/>
  <c r="G16" i="5"/>
  <c r="F16" i="5"/>
  <c r="E16" i="5"/>
  <c r="D16" i="5"/>
  <c r="C16" i="5"/>
  <c r="AA12" i="5"/>
  <c r="Z12" i="5"/>
  <c r="Y12" i="5"/>
  <c r="X12" i="5"/>
  <c r="W12" i="5"/>
  <c r="V12" i="5"/>
  <c r="U12" i="5"/>
  <c r="T12" i="5"/>
  <c r="S12" i="5"/>
  <c r="R12" i="5"/>
  <c r="Q12" i="5"/>
  <c r="P12" i="5"/>
  <c r="O12" i="5"/>
  <c r="N12" i="5"/>
  <c r="M12" i="5"/>
  <c r="L12" i="5"/>
  <c r="K12" i="5"/>
  <c r="J12" i="5"/>
  <c r="I12" i="5"/>
  <c r="H12" i="5"/>
  <c r="G12" i="5"/>
  <c r="F12" i="5"/>
  <c r="E12" i="5"/>
  <c r="D12" i="5"/>
  <c r="C12" i="5"/>
  <c r="B12" i="5"/>
  <c r="AA11" i="5"/>
  <c r="Z11" i="5"/>
  <c r="Y11" i="5"/>
  <c r="X11" i="5"/>
  <c r="W11" i="5"/>
  <c r="V11" i="5"/>
  <c r="U11" i="5"/>
  <c r="T11" i="5"/>
  <c r="S11" i="5"/>
  <c r="R11" i="5"/>
  <c r="Q11" i="5"/>
  <c r="P11" i="5"/>
  <c r="O11" i="5"/>
  <c r="N11" i="5"/>
  <c r="M11" i="5"/>
  <c r="L11" i="5"/>
  <c r="K11" i="5"/>
  <c r="J11" i="5"/>
  <c r="I11" i="5"/>
  <c r="H11" i="5"/>
  <c r="G11" i="5"/>
  <c r="F11" i="5"/>
  <c r="E11" i="5"/>
  <c r="D11" i="5"/>
  <c r="C11" i="5"/>
  <c r="B11" i="5"/>
  <c r="AA7" i="5"/>
  <c r="Z7" i="5"/>
  <c r="Y7" i="5"/>
  <c r="X7" i="5"/>
  <c r="W7" i="5"/>
  <c r="V7" i="5"/>
  <c r="U7" i="5"/>
  <c r="T7" i="5"/>
  <c r="S7" i="5"/>
  <c r="R7" i="5"/>
  <c r="Q7" i="5"/>
  <c r="P7" i="5"/>
  <c r="O7" i="5"/>
  <c r="N7" i="5"/>
  <c r="M7" i="5"/>
  <c r="L7" i="5"/>
  <c r="K7" i="5"/>
  <c r="J7" i="5"/>
  <c r="I7" i="5"/>
  <c r="H7" i="5"/>
  <c r="G7" i="5"/>
  <c r="F7" i="5"/>
  <c r="E7" i="5"/>
  <c r="D7" i="5"/>
  <c r="C7" i="5"/>
  <c r="B7" i="5"/>
  <c r="AA6" i="5"/>
  <c r="Z6" i="5"/>
  <c r="Y6" i="5"/>
  <c r="X6" i="5"/>
  <c r="W6" i="5"/>
  <c r="V6" i="5"/>
  <c r="U6" i="5"/>
  <c r="T6" i="5"/>
  <c r="S6" i="5"/>
  <c r="R6" i="5"/>
  <c r="Q6" i="5"/>
  <c r="P6" i="5"/>
  <c r="O6" i="5"/>
  <c r="N6" i="5"/>
  <c r="M6" i="5"/>
  <c r="L6" i="5"/>
  <c r="K6" i="5"/>
  <c r="J6" i="5"/>
  <c r="I6" i="5"/>
  <c r="H6" i="5"/>
  <c r="G6" i="5"/>
  <c r="F6" i="5"/>
  <c r="E6" i="5"/>
  <c r="D6" i="5"/>
  <c r="C6" i="5"/>
  <c r="B6" i="5"/>
  <c r="AA5" i="5"/>
  <c r="Z5" i="5"/>
  <c r="Y5" i="5"/>
  <c r="X5" i="5"/>
  <c r="W5" i="5"/>
  <c r="V5" i="5"/>
  <c r="U5" i="5"/>
  <c r="T5" i="5"/>
  <c r="S5" i="5"/>
  <c r="R5" i="5"/>
  <c r="Q5" i="5"/>
  <c r="P5" i="5"/>
  <c r="O5" i="5"/>
  <c r="N5" i="5"/>
  <c r="M5" i="5"/>
  <c r="L5" i="5"/>
  <c r="K5" i="5"/>
  <c r="J5" i="5"/>
  <c r="I5" i="5"/>
  <c r="H5" i="5"/>
  <c r="G5" i="5"/>
  <c r="F5" i="5"/>
  <c r="E5" i="5"/>
  <c r="D5" i="5"/>
  <c r="C5" i="5"/>
  <c r="B5" i="5"/>
  <c r="AA4" i="5"/>
  <c r="AA24" i="5" s="1"/>
  <c r="Z4" i="5"/>
  <c r="Y4" i="5"/>
  <c r="X4" i="5"/>
  <c r="W4" i="5"/>
  <c r="V4" i="5"/>
  <c r="U4" i="5"/>
  <c r="T4" i="5"/>
  <c r="S4" i="5"/>
  <c r="R4" i="5"/>
  <c r="R24" i="5" s="1"/>
  <c r="Q4" i="5"/>
  <c r="P4" i="5"/>
  <c r="P24" i="5" s="1"/>
  <c r="O4" i="5"/>
  <c r="N4" i="5"/>
  <c r="N24" i="5" s="1"/>
  <c r="M4" i="5"/>
  <c r="M24" i="5" s="1"/>
  <c r="L4" i="5"/>
  <c r="K4" i="5"/>
  <c r="J4" i="5"/>
  <c r="I4" i="5"/>
  <c r="H4" i="5"/>
  <c r="G4" i="5"/>
  <c r="F4" i="5"/>
  <c r="F24" i="5" s="1"/>
  <c r="E4" i="5"/>
  <c r="E24" i="5" s="1"/>
  <c r="D4" i="5"/>
  <c r="C4" i="5"/>
  <c r="B4" i="5"/>
  <c r="F28" i="4"/>
  <c r="E28" i="4"/>
  <c r="D28" i="4"/>
  <c r="C28" i="4"/>
  <c r="F27" i="4"/>
  <c r="E27" i="4"/>
  <c r="D27" i="4"/>
  <c r="C27" i="4"/>
  <c r="F26" i="4"/>
  <c r="E26" i="4"/>
  <c r="D26" i="4"/>
  <c r="C26" i="4"/>
  <c r="F25" i="4"/>
  <c r="E25" i="4"/>
  <c r="D25" i="4"/>
  <c r="C25" i="4"/>
  <c r="F24" i="4"/>
  <c r="E24" i="4"/>
  <c r="D24" i="4"/>
  <c r="C24" i="4"/>
  <c r="F23" i="4"/>
  <c r="E23" i="4"/>
  <c r="D23" i="4"/>
  <c r="C23" i="4"/>
  <c r="F22" i="4"/>
  <c r="E22" i="4"/>
  <c r="D22" i="4"/>
  <c r="C22" i="4"/>
  <c r="F21" i="4"/>
  <c r="E21" i="4"/>
  <c r="D21" i="4"/>
  <c r="C21" i="4"/>
  <c r="F20" i="4"/>
  <c r="E20" i="4"/>
  <c r="D20" i="4"/>
  <c r="C20" i="4"/>
  <c r="F19" i="4"/>
  <c r="E19" i="4"/>
  <c r="D19" i="4"/>
  <c r="C19" i="4"/>
  <c r="F18" i="4"/>
  <c r="E18" i="4"/>
  <c r="D18" i="4"/>
  <c r="C18" i="4"/>
  <c r="F17" i="4"/>
  <c r="E17" i="4"/>
  <c r="D17" i="4"/>
  <c r="C17" i="4"/>
  <c r="F16" i="4"/>
  <c r="E16" i="4"/>
  <c r="D16" i="4"/>
  <c r="C16" i="4"/>
  <c r="F15" i="4"/>
  <c r="E15" i="4"/>
  <c r="D15" i="4"/>
  <c r="F9" i="1" s="1"/>
  <c r="C15" i="4"/>
  <c r="F14" i="4"/>
  <c r="E14" i="4"/>
  <c r="D14" i="4"/>
  <c r="C14" i="4"/>
  <c r="F13" i="4"/>
  <c r="E13" i="4"/>
  <c r="D13" i="4"/>
  <c r="C13" i="4"/>
  <c r="F12" i="4"/>
  <c r="E12" i="4"/>
  <c r="D12" i="4"/>
  <c r="C12" i="4"/>
  <c r="F11" i="4"/>
  <c r="E11" i="4"/>
  <c r="D11" i="4"/>
  <c r="C11" i="4"/>
  <c r="F10" i="4"/>
  <c r="E10" i="4"/>
  <c r="D10" i="4"/>
  <c r="C10" i="4"/>
  <c r="F9" i="4"/>
  <c r="E9" i="4"/>
  <c r="D9" i="4"/>
  <c r="C9" i="4"/>
  <c r="F8" i="4"/>
  <c r="E8" i="4"/>
  <c r="C10" i="1" s="1"/>
  <c r="D8" i="4"/>
  <c r="C8" i="4"/>
  <c r="F7" i="4"/>
  <c r="E7" i="4"/>
  <c r="D7" i="4"/>
  <c r="C7" i="4"/>
  <c r="F6" i="4"/>
  <c r="E6" i="4"/>
  <c r="D6" i="4"/>
  <c r="C6" i="4"/>
  <c r="F5" i="4"/>
  <c r="E5" i="4"/>
  <c r="D5" i="4"/>
  <c r="C5" i="4"/>
  <c r="F4" i="4"/>
  <c r="E4" i="4"/>
  <c r="D4" i="4"/>
  <c r="C4" i="4"/>
  <c r="F3" i="4"/>
  <c r="E3" i="4"/>
  <c r="D3" i="4"/>
  <c r="C3" i="4"/>
  <c r="U98" i="8"/>
  <c r="T98" i="8"/>
  <c r="V98" i="8" s="1"/>
  <c r="S98" i="8" a="1"/>
  <c r="S98" i="8" s="1"/>
  <c r="R98" i="8" a="1"/>
  <c r="R98" i="8" s="1"/>
  <c r="U97" i="8"/>
  <c r="T97" i="8"/>
  <c r="V97" i="8" s="1"/>
  <c r="S97" i="8" a="1"/>
  <c r="S97" i="8" s="1"/>
  <c r="R97" i="8" a="1"/>
  <c r="R97" i="8" s="1"/>
  <c r="U96" i="8"/>
  <c r="T96" i="8"/>
  <c r="V96" i="8" s="1"/>
  <c r="S96" i="8" a="1"/>
  <c r="S96" i="8" s="1"/>
  <c r="R96" i="8" a="1"/>
  <c r="R96" i="8" s="1"/>
  <c r="U95" i="8"/>
  <c r="T95" i="8"/>
  <c r="V95" i="8" s="1"/>
  <c r="S95" i="8" a="1"/>
  <c r="S95" i="8" s="1"/>
  <c r="R95" i="8" a="1"/>
  <c r="R95" i="8" s="1"/>
  <c r="U94" i="8"/>
  <c r="T94" i="8"/>
  <c r="V94" i="8" s="1"/>
  <c r="S94" i="8" a="1"/>
  <c r="S94" i="8" s="1"/>
  <c r="R94" i="8" a="1"/>
  <c r="R94" i="8" s="1"/>
  <c r="U93" i="8"/>
  <c r="T93" i="8"/>
  <c r="V93" i="8" s="1"/>
  <c r="S93" i="8" a="1"/>
  <c r="S93" i="8" s="1"/>
  <c r="R93" i="8" a="1"/>
  <c r="R93" i="8" s="1"/>
  <c r="U92" i="8"/>
  <c r="T92" i="8"/>
  <c r="V92" i="8" s="1"/>
  <c r="S92" i="8" a="1"/>
  <c r="S92" i="8" s="1"/>
  <c r="R92" i="8" a="1"/>
  <c r="R92" i="8" s="1"/>
  <c r="U91" i="8"/>
  <c r="T91" i="8"/>
  <c r="V91" i="8" s="1"/>
  <c r="S91" i="8" a="1"/>
  <c r="S91" i="8" s="1"/>
  <c r="R91" i="8" a="1"/>
  <c r="R91" i="8" s="1"/>
  <c r="U90" i="8"/>
  <c r="T90" i="8"/>
  <c r="V90" i="8" s="1"/>
  <c r="S90" i="8" a="1"/>
  <c r="S90" i="8" s="1"/>
  <c r="R90" i="8" a="1"/>
  <c r="R90" i="8" s="1"/>
  <c r="U89" i="8"/>
  <c r="T89" i="8"/>
  <c r="V89" i="8" s="1"/>
  <c r="S89" i="8" a="1"/>
  <c r="S89" i="8" s="1"/>
  <c r="R89" i="8" a="1"/>
  <c r="R89" i="8" s="1"/>
  <c r="U88" i="8"/>
  <c r="T88" i="8"/>
  <c r="V88" i="8" s="1"/>
  <c r="S88" i="8" a="1"/>
  <c r="S88" i="8" s="1"/>
  <c r="R88" i="8" a="1"/>
  <c r="R88" i="8" s="1"/>
  <c r="U87" i="8"/>
  <c r="T87" i="8"/>
  <c r="V87" i="8" s="1"/>
  <c r="S87" i="8" a="1"/>
  <c r="S87" i="8" s="1"/>
  <c r="R87" i="8" a="1"/>
  <c r="R87" i="8" s="1"/>
  <c r="U86" i="8"/>
  <c r="T86" i="8"/>
  <c r="V86" i="8" s="1"/>
  <c r="S86" i="8" a="1"/>
  <c r="S86" i="8" s="1"/>
  <c r="R86" i="8" a="1"/>
  <c r="R86" i="8" s="1"/>
  <c r="U85" i="8"/>
  <c r="T85" i="8"/>
  <c r="V85" i="8" s="1"/>
  <c r="S85" i="8" a="1"/>
  <c r="S85" i="8" s="1"/>
  <c r="R85" i="8" a="1"/>
  <c r="R85" i="8" s="1"/>
  <c r="U84" i="8"/>
  <c r="T84" i="8"/>
  <c r="V84" i="8" s="1"/>
  <c r="S84" i="8" a="1"/>
  <c r="S84" i="8" s="1"/>
  <c r="R84" i="8" a="1"/>
  <c r="R84" i="8" s="1"/>
  <c r="U83" i="8"/>
  <c r="T83" i="8"/>
  <c r="V83" i="8" s="1"/>
  <c r="S83" i="8" a="1"/>
  <c r="S83" i="8" s="1"/>
  <c r="R83" i="8" a="1"/>
  <c r="R83" i="8" s="1"/>
  <c r="U82" i="8"/>
  <c r="T82" i="8"/>
  <c r="V82" i="8" s="1"/>
  <c r="S82" i="8" a="1"/>
  <c r="S82" i="8" s="1"/>
  <c r="R82" i="8" a="1"/>
  <c r="R82" i="8" s="1"/>
  <c r="U81" i="8"/>
  <c r="T81" i="8"/>
  <c r="V81" i="8" s="1"/>
  <c r="S81" i="8" a="1"/>
  <c r="S81" i="8" s="1"/>
  <c r="R81" i="8" a="1"/>
  <c r="R81" i="8" s="1"/>
  <c r="U80" i="8"/>
  <c r="T80" i="8"/>
  <c r="V80" i="8" s="1"/>
  <c r="S80" i="8" a="1"/>
  <c r="S80" i="8" s="1"/>
  <c r="R80" i="8" a="1"/>
  <c r="R80" i="8" s="1"/>
  <c r="U79" i="8"/>
  <c r="T79" i="8"/>
  <c r="V79" i="8" s="1"/>
  <c r="S79" i="8" a="1"/>
  <c r="S79" i="8" s="1"/>
  <c r="R79" i="8" a="1"/>
  <c r="R79" i="8" s="1"/>
  <c r="U78" i="8"/>
  <c r="T78" i="8"/>
  <c r="V78" i="8" s="1"/>
  <c r="S78" i="8" a="1"/>
  <c r="S78" i="8" s="1"/>
  <c r="R78" i="8" a="1"/>
  <c r="R78" i="8" s="1"/>
  <c r="U77" i="8"/>
  <c r="T77" i="8"/>
  <c r="V77" i="8" s="1"/>
  <c r="S77" i="8" a="1"/>
  <c r="S77" i="8" s="1"/>
  <c r="R77" i="8" a="1"/>
  <c r="R77" i="8" s="1"/>
  <c r="U76" i="8"/>
  <c r="T76" i="8"/>
  <c r="V76" i="8" s="1"/>
  <c r="S76" i="8" a="1"/>
  <c r="S76" i="8" s="1"/>
  <c r="R76" i="8" a="1"/>
  <c r="R76" i="8" s="1"/>
  <c r="U75" i="8"/>
  <c r="T75" i="8"/>
  <c r="V75" i="8" s="1"/>
  <c r="S75" i="8" a="1"/>
  <c r="S75" i="8" s="1"/>
  <c r="R75" i="8" a="1"/>
  <c r="R75" i="8" s="1"/>
  <c r="U74" i="8"/>
  <c r="T74" i="8"/>
  <c r="V74" i="8" s="1"/>
  <c r="S74" i="8" a="1"/>
  <c r="S74" i="8" s="1"/>
  <c r="R74" i="8" a="1"/>
  <c r="R74" i="8" s="1"/>
  <c r="U73" i="8"/>
  <c r="T73" i="8"/>
  <c r="V73" i="8" s="1"/>
  <c r="S73" i="8" a="1"/>
  <c r="S73" i="8" s="1"/>
  <c r="R73" i="8" a="1"/>
  <c r="R73" i="8" s="1"/>
  <c r="U72" i="8"/>
  <c r="T72" i="8"/>
  <c r="V72" i="8" s="1"/>
  <c r="S72" i="8" a="1"/>
  <c r="S72" i="8" s="1"/>
  <c r="R72" i="8" a="1"/>
  <c r="R72" i="8" s="1"/>
  <c r="U71" i="8"/>
  <c r="T71" i="8"/>
  <c r="V71" i="8" s="1"/>
  <c r="S71" i="8" a="1"/>
  <c r="S71" i="8" s="1"/>
  <c r="R71" i="8" a="1"/>
  <c r="R71" i="8" s="1"/>
  <c r="U70" i="8"/>
  <c r="T70" i="8"/>
  <c r="V70" i="8" s="1"/>
  <c r="S70" i="8" a="1"/>
  <c r="S70" i="8" s="1"/>
  <c r="R70" i="8" a="1"/>
  <c r="R70" i="8" s="1"/>
  <c r="U69" i="8"/>
  <c r="T69" i="8"/>
  <c r="V69" i="8" s="1"/>
  <c r="S69" i="8" a="1"/>
  <c r="S69" i="8" s="1"/>
  <c r="R69" i="8" a="1"/>
  <c r="R69" i="8" s="1"/>
  <c r="U68" i="8"/>
  <c r="T68" i="8"/>
  <c r="V68" i="8" s="1"/>
  <c r="S68" i="8" a="1"/>
  <c r="S68" i="8" s="1"/>
  <c r="R68" i="8" a="1"/>
  <c r="R68" i="8" s="1"/>
  <c r="U67" i="8"/>
  <c r="T67" i="8"/>
  <c r="V67" i="8" s="1"/>
  <c r="S67" i="8" a="1"/>
  <c r="S67" i="8" s="1"/>
  <c r="R67" i="8" a="1"/>
  <c r="R67" i="8" s="1"/>
  <c r="U66" i="8"/>
  <c r="T66" i="8"/>
  <c r="V66" i="8" s="1"/>
  <c r="S66" i="8" a="1"/>
  <c r="S66" i="8" s="1"/>
  <c r="R66" i="8" a="1"/>
  <c r="R66" i="8" s="1"/>
  <c r="U65" i="8"/>
  <c r="T65" i="8"/>
  <c r="V65" i="8" s="1"/>
  <c r="S65" i="8" a="1"/>
  <c r="S65" i="8" s="1"/>
  <c r="R65" i="8" a="1"/>
  <c r="R65" i="8" s="1"/>
  <c r="U64" i="8"/>
  <c r="T64" i="8"/>
  <c r="V64" i="8" s="1"/>
  <c r="S64" i="8" a="1"/>
  <c r="S64" i="8" s="1"/>
  <c r="R64" i="8" a="1"/>
  <c r="R64" i="8" s="1"/>
  <c r="U63" i="8"/>
  <c r="T63" i="8"/>
  <c r="V63" i="8" s="1"/>
  <c r="S63" i="8" a="1"/>
  <c r="S63" i="8" s="1"/>
  <c r="R63" i="8" a="1"/>
  <c r="R63" i="8" s="1"/>
  <c r="U62" i="8"/>
  <c r="T62" i="8"/>
  <c r="V62" i="8" s="1"/>
  <c r="S62" i="8" a="1"/>
  <c r="S62" i="8" s="1"/>
  <c r="R62" i="8" a="1"/>
  <c r="R62" i="8" s="1"/>
  <c r="U61" i="8"/>
  <c r="T61" i="8"/>
  <c r="V61" i="8" s="1"/>
  <c r="S61" i="8" a="1"/>
  <c r="S61" i="8" s="1"/>
  <c r="R61" i="8" a="1"/>
  <c r="R61" i="8" s="1"/>
  <c r="U60" i="8"/>
  <c r="T60" i="8"/>
  <c r="V60" i="8" s="1"/>
  <c r="S60" i="8" a="1"/>
  <c r="S60" i="8" s="1"/>
  <c r="R60" i="8" a="1"/>
  <c r="R60" i="8" s="1"/>
  <c r="U59" i="8"/>
  <c r="T59" i="8"/>
  <c r="V59" i="8" s="1"/>
  <c r="S59" i="8" a="1"/>
  <c r="S59" i="8" s="1"/>
  <c r="R59" i="8" a="1"/>
  <c r="R59" i="8" s="1"/>
  <c r="U58" i="8"/>
  <c r="T58" i="8"/>
  <c r="V58" i="8" s="1"/>
  <c r="S58" i="8" a="1"/>
  <c r="S58" i="8" s="1"/>
  <c r="R58" i="8" a="1"/>
  <c r="R58" i="8" s="1"/>
  <c r="U57" i="8"/>
  <c r="T57" i="8"/>
  <c r="V57" i="8" s="1"/>
  <c r="S57" i="8" a="1"/>
  <c r="S57" i="8" s="1"/>
  <c r="R57" i="8" a="1"/>
  <c r="R57" i="8" s="1"/>
  <c r="U56" i="8"/>
  <c r="T56" i="8"/>
  <c r="V56" i="8" s="1"/>
  <c r="S56" i="8" a="1"/>
  <c r="S56" i="8" s="1"/>
  <c r="R56" i="8" a="1"/>
  <c r="R56" i="8" s="1"/>
  <c r="U55" i="8"/>
  <c r="T55" i="8"/>
  <c r="V55" i="8" s="1"/>
  <c r="S55" i="8" a="1"/>
  <c r="S55" i="8" s="1"/>
  <c r="R55" i="8" a="1"/>
  <c r="R55" i="8" s="1"/>
  <c r="U54" i="8"/>
  <c r="T54" i="8"/>
  <c r="V54" i="8" s="1"/>
  <c r="S54" i="8" a="1"/>
  <c r="S54" i="8" s="1"/>
  <c r="R54" i="8" a="1"/>
  <c r="R54" i="8" s="1"/>
  <c r="U53" i="8"/>
  <c r="T53" i="8"/>
  <c r="V53" i="8" s="1"/>
  <c r="S53" i="8" a="1"/>
  <c r="S53" i="8" s="1"/>
  <c r="R53" i="8" a="1"/>
  <c r="R53" i="8" s="1"/>
  <c r="U52" i="8"/>
  <c r="T52" i="8"/>
  <c r="V52" i="8" s="1"/>
  <c r="S52" i="8" a="1"/>
  <c r="S52" i="8" s="1"/>
  <c r="R52" i="8" a="1"/>
  <c r="R52" i="8" s="1"/>
  <c r="U51" i="8"/>
  <c r="T51" i="8"/>
  <c r="V51" i="8" s="1"/>
  <c r="S51" i="8" a="1"/>
  <c r="S51" i="8" s="1"/>
  <c r="R51" i="8" a="1"/>
  <c r="R51" i="8" s="1"/>
  <c r="U50" i="8"/>
  <c r="T50" i="8"/>
  <c r="V50" i="8" s="1"/>
  <c r="S50" i="8" a="1"/>
  <c r="S50" i="8" s="1"/>
  <c r="R50" i="8" a="1"/>
  <c r="R50" i="8" s="1"/>
  <c r="U49" i="8"/>
  <c r="T49" i="8"/>
  <c r="V49" i="8" s="1"/>
  <c r="S49" i="8" a="1"/>
  <c r="S49" i="8" s="1"/>
  <c r="R49" i="8" a="1"/>
  <c r="R49" i="8" s="1"/>
  <c r="U48" i="8"/>
  <c r="T48" i="8"/>
  <c r="V48" i="8" s="1"/>
  <c r="S48" i="8" a="1"/>
  <c r="S48" i="8" s="1"/>
  <c r="R48" i="8" a="1"/>
  <c r="R48" i="8" s="1"/>
  <c r="U47" i="8"/>
  <c r="T47" i="8"/>
  <c r="V47" i="8" s="1"/>
  <c r="S47" i="8" a="1"/>
  <c r="S47" i="8" s="1"/>
  <c r="R47" i="8" a="1"/>
  <c r="R47" i="8" s="1"/>
  <c r="U46" i="8"/>
  <c r="T46" i="8"/>
  <c r="V46" i="8" s="1"/>
  <c r="S46" i="8" a="1"/>
  <c r="S46" i="8" s="1"/>
  <c r="R46" i="8" a="1"/>
  <c r="R46" i="8" s="1"/>
  <c r="U45" i="8"/>
  <c r="T45" i="8"/>
  <c r="V45" i="8" s="1"/>
  <c r="S45" i="8" a="1"/>
  <c r="S45" i="8" s="1"/>
  <c r="R45" i="8" a="1"/>
  <c r="R45" i="8" s="1"/>
  <c r="U44" i="8"/>
  <c r="T44" i="8"/>
  <c r="V44" i="8" s="1"/>
  <c r="S44" i="8" a="1"/>
  <c r="S44" i="8" s="1"/>
  <c r="R44" i="8" a="1"/>
  <c r="R44" i="8" s="1"/>
  <c r="U43" i="8"/>
  <c r="T43" i="8"/>
  <c r="V43" i="8" s="1"/>
  <c r="S43" i="8" a="1"/>
  <c r="S43" i="8" s="1"/>
  <c r="R43" i="8" a="1"/>
  <c r="R43" i="8" s="1"/>
  <c r="U42" i="8"/>
  <c r="T42" i="8"/>
  <c r="V42" i="8" s="1"/>
  <c r="S42" i="8" a="1"/>
  <c r="S42" i="8" s="1"/>
  <c r="R42" i="8" a="1"/>
  <c r="R42" i="8" s="1"/>
  <c r="U41" i="8"/>
  <c r="T41" i="8"/>
  <c r="V41" i="8" s="1"/>
  <c r="S41" i="8" a="1"/>
  <c r="S41" i="8" s="1"/>
  <c r="R41" i="8" a="1"/>
  <c r="R41" i="8" s="1"/>
  <c r="U40" i="8"/>
  <c r="T40" i="8"/>
  <c r="V40" i="8" s="1"/>
  <c r="S40" i="8" a="1"/>
  <c r="S40" i="8" s="1"/>
  <c r="R40" i="8" a="1"/>
  <c r="R40" i="8" s="1"/>
  <c r="U39" i="8"/>
  <c r="T39" i="8"/>
  <c r="V39" i="8" s="1"/>
  <c r="S39" i="8" a="1"/>
  <c r="S39" i="8" s="1"/>
  <c r="R39" i="8" a="1"/>
  <c r="R39" i="8" s="1"/>
  <c r="U38" i="8"/>
  <c r="T38" i="8"/>
  <c r="V38" i="8" s="1"/>
  <c r="S38" i="8" a="1"/>
  <c r="S38" i="8" s="1"/>
  <c r="R38" i="8" a="1"/>
  <c r="R38" i="8" s="1"/>
  <c r="U37" i="8"/>
  <c r="T37" i="8"/>
  <c r="V37" i="8" s="1"/>
  <c r="S37" i="8" a="1"/>
  <c r="S37" i="8" s="1"/>
  <c r="R37" i="8" a="1"/>
  <c r="R37" i="8" s="1"/>
  <c r="U36" i="8"/>
  <c r="T36" i="8"/>
  <c r="V36" i="8" s="1"/>
  <c r="S36" i="8" a="1"/>
  <c r="S36" i="8" s="1"/>
  <c r="R36" i="8" a="1"/>
  <c r="R36" i="8" s="1"/>
  <c r="U35" i="8"/>
  <c r="T35" i="8"/>
  <c r="V35" i="8" s="1"/>
  <c r="S35" i="8" a="1"/>
  <c r="S35" i="8" s="1"/>
  <c r="R35" i="8" a="1"/>
  <c r="R35" i="8" s="1"/>
  <c r="U34" i="8"/>
  <c r="T34" i="8"/>
  <c r="V34" i="8" s="1"/>
  <c r="S34" i="8" a="1"/>
  <c r="S34" i="8" s="1"/>
  <c r="R34" i="8" a="1"/>
  <c r="R34" i="8" s="1"/>
  <c r="U33" i="8"/>
  <c r="T33" i="8"/>
  <c r="V33" i="8" s="1"/>
  <c r="S33" i="8" a="1"/>
  <c r="S33" i="8" s="1"/>
  <c r="R33" i="8" a="1"/>
  <c r="R33" i="8" s="1"/>
  <c r="U32" i="8"/>
  <c r="T32" i="8"/>
  <c r="V32" i="8" s="1"/>
  <c r="S32" i="8" a="1"/>
  <c r="S32" i="8" s="1"/>
  <c r="R32" i="8" a="1"/>
  <c r="R32" i="8" s="1"/>
  <c r="U31" i="8"/>
  <c r="T31" i="8"/>
  <c r="V31" i="8" s="1"/>
  <c r="S31" i="8"/>
  <c r="S31" i="8" a="1"/>
  <c r="R31" i="8" a="1"/>
  <c r="R31" i="8" s="1"/>
  <c r="U30" i="8"/>
  <c r="T30" i="8"/>
  <c r="V30" i="8" s="1"/>
  <c r="S30" i="8" a="1"/>
  <c r="S30" i="8" s="1"/>
  <c r="R30" i="8" a="1"/>
  <c r="R30" i="8" s="1"/>
  <c r="U29" i="8"/>
  <c r="T29" i="8"/>
  <c r="V29" i="8" s="1"/>
  <c r="S29" i="8" a="1"/>
  <c r="S29" i="8" s="1"/>
  <c r="R29" i="8" a="1"/>
  <c r="R29" i="8" s="1"/>
  <c r="U28" i="8"/>
  <c r="T28" i="8"/>
  <c r="V28" i="8" s="1"/>
  <c r="S28" i="8" a="1"/>
  <c r="S28" i="8" s="1"/>
  <c r="R28" i="8" a="1"/>
  <c r="R28" i="8" s="1"/>
  <c r="U27" i="8"/>
  <c r="T27" i="8"/>
  <c r="V27" i="8" s="1"/>
  <c r="S27" i="8" a="1"/>
  <c r="S27" i="8" s="1"/>
  <c r="R27" i="8" a="1"/>
  <c r="R27" i="8" s="1"/>
  <c r="U26" i="8"/>
  <c r="T26" i="8"/>
  <c r="V26" i="8" s="1"/>
  <c r="S26" i="8" a="1"/>
  <c r="S26" i="8" s="1"/>
  <c r="R26" i="8" a="1"/>
  <c r="R26" i="8" s="1"/>
  <c r="U25" i="8"/>
  <c r="T25" i="8"/>
  <c r="V25" i="8" s="1"/>
  <c r="S25" i="8" a="1"/>
  <c r="S25" i="8" s="1"/>
  <c r="R25" i="8" a="1"/>
  <c r="R25" i="8" s="1"/>
  <c r="U24" i="8"/>
  <c r="T24" i="8"/>
  <c r="V24" i="8" s="1"/>
  <c r="S24" i="8" a="1"/>
  <c r="S24" i="8" s="1"/>
  <c r="R24" i="8" a="1"/>
  <c r="R24" i="8" s="1"/>
  <c r="U23" i="8"/>
  <c r="T23" i="8"/>
  <c r="V23" i="8" s="1"/>
  <c r="S23" i="8" a="1"/>
  <c r="S23" i="8" s="1"/>
  <c r="R23" i="8" a="1"/>
  <c r="R23" i="8" s="1"/>
  <c r="U22" i="8"/>
  <c r="T22" i="8"/>
  <c r="V22" i="8" s="1"/>
  <c r="S22" i="8" a="1"/>
  <c r="S22" i="8" s="1"/>
  <c r="R22" i="8" a="1"/>
  <c r="R22" i="8" s="1"/>
  <c r="U21" i="8"/>
  <c r="T21" i="8"/>
  <c r="V21" i="8" s="1"/>
  <c r="S21" i="8" a="1"/>
  <c r="S21" i="8" s="1"/>
  <c r="R21" i="8" a="1"/>
  <c r="R21" i="8" s="1"/>
  <c r="U20" i="8"/>
  <c r="T20" i="8"/>
  <c r="V20" i="8" s="1"/>
  <c r="S20" i="8" a="1"/>
  <c r="S20" i="8" s="1"/>
  <c r="R20" i="8" a="1"/>
  <c r="R20" i="8" s="1"/>
  <c r="U19" i="8"/>
  <c r="T19" i="8"/>
  <c r="V19" i="8" s="1"/>
  <c r="S19" i="8" a="1"/>
  <c r="S19" i="8" s="1"/>
  <c r="R19" i="8" a="1"/>
  <c r="R19" i="8" s="1"/>
  <c r="U18" i="8"/>
  <c r="T18" i="8"/>
  <c r="V18" i="8" s="1"/>
  <c r="S18" i="8" a="1"/>
  <c r="S18" i="8" s="1"/>
  <c r="R18" i="8" a="1"/>
  <c r="R18" i="8" s="1"/>
  <c r="U17" i="8"/>
  <c r="T17" i="8"/>
  <c r="V17" i="8" s="1"/>
  <c r="S17" i="8" a="1"/>
  <c r="S17" i="8" s="1"/>
  <c r="R17" i="8" a="1"/>
  <c r="R17" i="8" s="1"/>
  <c r="U16" i="8"/>
  <c r="T16" i="8"/>
  <c r="V16" i="8" s="1"/>
  <c r="S16" i="8" a="1"/>
  <c r="S16" i="8" s="1"/>
  <c r="R16" i="8" a="1"/>
  <c r="R16" i="8" s="1"/>
  <c r="U15" i="8"/>
  <c r="T15" i="8"/>
  <c r="V15" i="8" s="1"/>
  <c r="S15" i="8" a="1"/>
  <c r="S15" i="8" s="1"/>
  <c r="R15" i="8" a="1"/>
  <c r="R15" i="8" s="1"/>
  <c r="U14" i="8"/>
  <c r="T14" i="8"/>
  <c r="V14" i="8" s="1"/>
  <c r="S14" i="8" a="1"/>
  <c r="S14" i="8" s="1"/>
  <c r="R14" i="8" a="1"/>
  <c r="R14" i="8" s="1"/>
  <c r="U13" i="8"/>
  <c r="T13" i="8"/>
  <c r="V13" i="8" s="1"/>
  <c r="S13" i="8" a="1"/>
  <c r="S13" i="8" s="1"/>
  <c r="R13" i="8" a="1"/>
  <c r="R13" i="8" s="1"/>
  <c r="U12" i="8"/>
  <c r="T12" i="8"/>
  <c r="V12" i="8" s="1"/>
  <c r="S12" i="8" a="1"/>
  <c r="S12" i="8" s="1"/>
  <c r="R12" i="8" a="1"/>
  <c r="R12" i="8" s="1"/>
  <c r="U11" i="8"/>
  <c r="T11" i="8"/>
  <c r="V11" i="8" s="1"/>
  <c r="S11" i="8" a="1"/>
  <c r="S11" i="8" s="1"/>
  <c r="R11" i="8" a="1"/>
  <c r="R11" i="8" s="1"/>
  <c r="U10" i="8"/>
  <c r="T10" i="8"/>
  <c r="V10" i="8" s="1"/>
  <c r="S10" i="8" a="1"/>
  <c r="S10" i="8" s="1"/>
  <c r="R10" i="8" a="1"/>
  <c r="R10" i="8" s="1"/>
  <c r="U9" i="8"/>
  <c r="T9" i="8"/>
  <c r="V9" i="8" s="1"/>
  <c r="S9" i="8" a="1"/>
  <c r="S9" i="8" s="1"/>
  <c r="R9" i="8" a="1"/>
  <c r="R9" i="8" s="1"/>
  <c r="U8" i="8"/>
  <c r="T8" i="8"/>
  <c r="V8" i="8" s="1"/>
  <c r="S8" i="8" a="1"/>
  <c r="S8" i="8" s="1"/>
  <c r="R8" i="8" a="1"/>
  <c r="R8" i="8" s="1"/>
  <c r="U7" i="8"/>
  <c r="T7" i="8"/>
  <c r="V7" i="8" s="1"/>
  <c r="S7" i="8" a="1"/>
  <c r="S7" i="8" s="1"/>
  <c r="R7" i="8" a="1"/>
  <c r="R7" i="8" s="1"/>
  <c r="U6" i="8"/>
  <c r="T6" i="8"/>
  <c r="V6" i="8" s="1"/>
  <c r="S6" i="8" a="1"/>
  <c r="S6" i="8" s="1"/>
  <c r="R6" i="8" a="1"/>
  <c r="R6" i="8" s="1"/>
  <c r="U5" i="8"/>
  <c r="T5" i="8"/>
  <c r="V5" i="8" s="1"/>
  <c r="S5" i="8" a="1"/>
  <c r="S5" i="8" s="1"/>
  <c r="R5" i="8" a="1"/>
  <c r="R5" i="8" s="1"/>
  <c r="U4" i="8"/>
  <c r="T4" i="8"/>
  <c r="V4" i="8" s="1"/>
  <c r="S4" i="8" a="1"/>
  <c r="S4" i="8" s="1"/>
  <c r="R4" i="8" a="1"/>
  <c r="R4" i="8" s="1"/>
  <c r="U3" i="8"/>
  <c r="T3" i="8"/>
  <c r="V3" i="8" s="1"/>
  <c r="S3" i="8" a="1"/>
  <c r="S3" i="8" s="1"/>
  <c r="R3" i="8" a="1"/>
  <c r="R3" i="8" s="1"/>
  <c r="U2" i="8"/>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7" i="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AA26" i="5"/>
  <c r="Z26" i="5"/>
  <c r="Y26" i="5"/>
  <c r="X26" i="5"/>
  <c r="T26" i="5"/>
  <c r="S26" i="5"/>
  <c r="AA25" i="5"/>
  <c r="S25" i="5"/>
  <c r="Z24" i="5"/>
  <c r="Y24" i="5"/>
  <c r="X24" i="5"/>
  <c r="W24" i="5"/>
  <c r="V24" i="5"/>
  <c r="U24" i="5"/>
  <c r="T24" i="5"/>
  <c r="S24" i="5"/>
  <c r="Q24" i="5"/>
  <c r="O24" i="5"/>
  <c r="L24" i="5"/>
  <c r="K24" i="5"/>
  <c r="J24" i="5"/>
  <c r="I24" i="5"/>
  <c r="H24" i="5"/>
  <c r="G24" i="5"/>
  <c r="D24" i="5"/>
  <c r="C24" i="5"/>
  <c r="B24" i="5"/>
  <c r="B3" i="4"/>
  <c r="E18" i="9" l="1"/>
  <c r="D18" i="9"/>
  <c r="F18" i="9" s="1" a="1"/>
  <c r="F18" i="9" s="1"/>
  <c r="E19" i="9"/>
  <c r="D19" i="9"/>
  <c r="F19" i="9" s="1" a="1"/>
  <c r="F19" i="9" s="1"/>
  <c r="D17" i="9"/>
  <c r="F17" i="9" s="1" a="1"/>
  <c r="F17" i="9" s="1"/>
  <c r="E17" i="9"/>
  <c r="B20" i="9"/>
  <c r="B14" i="9"/>
  <c r="B9" i="9"/>
  <c r="E6" i="9"/>
  <c r="D6" i="9"/>
  <c r="F6" i="9" s="1" a="1"/>
  <c r="F6" i="9" s="1"/>
  <c r="E5" i="9"/>
  <c r="D5" i="9"/>
  <c r="F5" i="9" s="1" a="1"/>
  <c r="F5" i="9" s="1"/>
  <c r="E4" i="9"/>
  <c r="D4" i="9"/>
  <c r="F4" i="9" s="1" a="1"/>
  <c r="F4" i="9" s="1"/>
  <c r="E3" i="9"/>
  <c r="D3" i="9"/>
  <c r="F3" i="9" s="1" a="1"/>
  <c r="F3" i="9" s="1"/>
  <c r="C7" i="9"/>
  <c r="U25" i="5"/>
  <c r="V25" i="5"/>
  <c r="T25" i="5"/>
  <c r="I11" i="1"/>
  <c r="G26" i="4"/>
  <c r="I10" i="1"/>
  <c r="I9" i="1"/>
  <c r="H9" i="1"/>
  <c r="G23" i="4"/>
  <c r="H11" i="1"/>
  <c r="G11" i="1"/>
  <c r="G10" i="1"/>
  <c r="G9" i="1"/>
  <c r="F11" i="1"/>
  <c r="F10" i="1"/>
  <c r="E10" i="1"/>
  <c r="G13" i="4"/>
  <c r="E9" i="1"/>
  <c r="D9" i="1"/>
  <c r="G8" i="4"/>
  <c r="C9" i="1"/>
  <c r="B9" i="1"/>
  <c r="B11" i="1"/>
  <c r="B10" i="1"/>
  <c r="G4" i="4"/>
  <c r="G10" i="4"/>
  <c r="D10" i="1"/>
  <c r="H10" i="1"/>
  <c r="G20" i="4"/>
  <c r="B38" i="1"/>
  <c r="B37" i="1"/>
  <c r="E11" i="1"/>
  <c r="C11" i="1"/>
  <c r="F8" i="1"/>
  <c r="G11" i="4"/>
  <c r="D11" i="1"/>
  <c r="G22" i="4"/>
  <c r="G5" i="4"/>
  <c r="Y25" i="5"/>
  <c r="W26" i="5"/>
  <c r="Z25" i="5"/>
  <c r="X25" i="5"/>
  <c r="W25" i="5"/>
  <c r="G19" i="4"/>
  <c r="G17" i="4"/>
  <c r="F33" i="6"/>
  <c r="G14" i="4"/>
  <c r="G7" i="4"/>
  <c r="V26" i="5"/>
  <c r="U26" i="5"/>
  <c r="G25" i="4"/>
  <c r="F32" i="6"/>
  <c r="F31" i="6"/>
  <c r="F30" i="6"/>
  <c r="G27" i="4"/>
  <c r="R26" i="5"/>
  <c r="AA30" i="5"/>
  <c r="Q26" i="5"/>
  <c r="Z30" i="5"/>
  <c r="P26" i="5"/>
  <c r="Y30" i="5"/>
  <c r="O26" i="5"/>
  <c r="X30" i="5"/>
  <c r="W30" i="5"/>
  <c r="N26" i="5"/>
  <c r="V30" i="5"/>
  <c r="M26" i="5"/>
  <c r="L26" i="5"/>
  <c r="U30" i="5"/>
  <c r="T30" i="5"/>
  <c r="K26" i="5"/>
  <c r="J26" i="5"/>
  <c r="S30" i="5"/>
  <c r="I26" i="5"/>
  <c r="R30" i="5"/>
  <c r="Q30" i="5"/>
  <c r="H26" i="5"/>
  <c r="G26" i="5"/>
  <c r="P30" i="5"/>
  <c r="F26" i="5"/>
  <c r="O30" i="5"/>
  <c r="E26" i="5"/>
  <c r="N30" i="5"/>
  <c r="F30" i="5"/>
  <c r="H30" i="5"/>
  <c r="L30" i="5"/>
  <c r="M30" i="5"/>
  <c r="B26" i="5"/>
  <c r="D30" i="5"/>
  <c r="C30" i="5"/>
  <c r="D26" i="5"/>
  <c r="C26" i="5"/>
  <c r="J30" i="5"/>
  <c r="K30" i="5"/>
  <c r="I30" i="5"/>
  <c r="G30" i="5"/>
  <c r="E30" i="5"/>
  <c r="B30" i="5"/>
  <c r="AA29" i="5"/>
  <c r="R25" i="5"/>
  <c r="Z29" i="5"/>
  <c r="Q25" i="5"/>
  <c r="P25" i="5"/>
  <c r="Y29" i="5"/>
  <c r="X29" i="5"/>
  <c r="O25" i="5"/>
  <c r="N25" i="5"/>
  <c r="W29" i="5"/>
  <c r="M25" i="5"/>
  <c r="V29" i="5"/>
  <c r="U29" i="5"/>
  <c r="L25" i="5"/>
  <c r="T29" i="5"/>
  <c r="K25" i="5"/>
  <c r="S29" i="5"/>
  <c r="J25" i="5"/>
  <c r="I25" i="5"/>
  <c r="R29" i="5"/>
  <c r="Q29" i="5"/>
  <c r="H25" i="5"/>
  <c r="G25" i="5"/>
  <c r="P29" i="5"/>
  <c r="O29" i="5"/>
  <c r="F25" i="5"/>
  <c r="N29" i="5"/>
  <c r="E25" i="5"/>
  <c r="D29" i="5"/>
  <c r="D25" i="5"/>
  <c r="F29" i="5"/>
  <c r="E29" i="5"/>
  <c r="C29" i="5"/>
  <c r="J29" i="5"/>
  <c r="H29" i="5"/>
  <c r="I29" i="5"/>
  <c r="B29" i="5"/>
  <c r="B25" i="5"/>
  <c r="G29" i="5"/>
  <c r="M29" i="5"/>
  <c r="L29" i="5"/>
  <c r="K29" i="5"/>
  <c r="C25" i="5"/>
  <c r="G24" i="4"/>
  <c r="I8" i="1"/>
  <c r="G21" i="4"/>
  <c r="H8" i="1"/>
  <c r="G18" i="4"/>
  <c r="G8" i="1"/>
  <c r="G12" i="4"/>
  <c r="E8" i="1"/>
  <c r="G9" i="4"/>
  <c r="D8" i="1"/>
  <c r="G6" i="4"/>
  <c r="C8" i="1"/>
  <c r="G3" i="4"/>
  <c r="H3" i="4" s="1"/>
  <c r="B4" i="4" s="1"/>
  <c r="B8" i="1"/>
  <c r="F29" i="6"/>
  <c r="F28" i="6"/>
  <c r="G28" i="4"/>
  <c r="G16" i="4"/>
  <c r="G15" i="4"/>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D20" i="9" l="1"/>
  <c r="F20" i="9" s="1" a="1"/>
  <c r="F20" i="9" s="1"/>
  <c r="E20" i="9"/>
  <c r="B15" i="9"/>
  <c r="C8" i="9"/>
  <c r="C13" i="9" s="1"/>
  <c r="E7" i="9"/>
  <c r="D7" i="9"/>
  <c r="F7" i="9" s="1" a="1"/>
  <c r="F7" i="9" s="1"/>
  <c r="H4" i="4"/>
  <c r="B5" i="4" s="1"/>
  <c r="H5" i="4" s="1"/>
  <c r="B24" i="6"/>
  <c r="B23" i="6"/>
  <c r="B58" i="6"/>
  <c r="B59" i="6"/>
  <c r="B57" i="6"/>
  <c r="B96" i="6"/>
  <c r="B95" i="6"/>
  <c r="AA21" i="5"/>
  <c r="R21" i="5"/>
  <c r="L21" i="5"/>
  <c r="H21" i="5"/>
  <c r="D13" i="9" l="1"/>
  <c r="F13" i="9" s="1" a="1"/>
  <c r="F13" i="9" s="1"/>
  <c r="E13" i="9"/>
  <c r="C14" i="9"/>
  <c r="C15" i="9" s="1"/>
  <c r="B21" i="9"/>
  <c r="D8" i="9"/>
  <c r="F8" i="9" s="1" a="1"/>
  <c r="F8" i="9" s="1"/>
  <c r="E8" i="9"/>
  <c r="C9" i="9"/>
  <c r="Y21" i="5"/>
  <c r="X21" i="5"/>
  <c r="H18" i="1"/>
  <c r="U21" i="5"/>
  <c r="W27" i="5" s="1"/>
  <c r="G18" i="1"/>
  <c r="H17" i="1"/>
  <c r="O21" i="5"/>
  <c r="N21" i="5"/>
  <c r="K21" i="5"/>
  <c r="C18" i="1"/>
  <c r="E21" i="5"/>
  <c r="B18" i="1"/>
  <c r="B6" i="4"/>
  <c r="H6" i="4" s="1"/>
  <c r="B7" i="4" s="1"/>
  <c r="H7" i="4" s="1"/>
  <c r="B8" i="4" s="1"/>
  <c r="H8" i="4" s="1"/>
  <c r="B13" i="1"/>
  <c r="I18" i="1"/>
  <c r="E18" i="1"/>
  <c r="F18" i="1"/>
  <c r="D18" i="1"/>
  <c r="I21" i="5"/>
  <c r="F21" i="5"/>
  <c r="Z21" i="5"/>
  <c r="I20" i="1"/>
  <c r="B8" i="2" s="1"/>
  <c r="W21" i="5"/>
  <c r="H20" i="1"/>
  <c r="V21" i="5"/>
  <c r="T21" i="5"/>
  <c r="G20" i="1"/>
  <c r="G17" i="1"/>
  <c r="Q21" i="5"/>
  <c r="F20" i="1"/>
  <c r="F17" i="1"/>
  <c r="M21" i="5"/>
  <c r="E20" i="1"/>
  <c r="E17" i="1"/>
  <c r="J21" i="5"/>
  <c r="L27" i="5" s="1"/>
  <c r="D20" i="1"/>
  <c r="D17" i="1"/>
  <c r="G21" i="5"/>
  <c r="C20" i="1"/>
  <c r="C17" i="1"/>
  <c r="D21" i="5"/>
  <c r="B20" i="1"/>
  <c r="B17" i="1"/>
  <c r="B93" i="6"/>
  <c r="B94" i="6"/>
  <c r="B19" i="1"/>
  <c r="C18" i="5"/>
  <c r="S21" i="5"/>
  <c r="P21" i="5"/>
  <c r="C21" i="5"/>
  <c r="C21" i="9" l="1"/>
  <c r="E21" i="9" s="1"/>
  <c r="C16" i="9"/>
  <c r="E16" i="9" s="1"/>
  <c r="E14" i="9"/>
  <c r="D14" i="9"/>
  <c r="F14" i="9" s="1" a="1"/>
  <c r="F14" i="9" s="1"/>
  <c r="D15" i="9"/>
  <c r="F15" i="9" s="1" a="1"/>
  <c r="F15" i="9" s="1"/>
  <c r="E15" i="9"/>
  <c r="B22" i="9"/>
  <c r="E9" i="9"/>
  <c r="D9" i="9"/>
  <c r="F9" i="9" s="1" a="1"/>
  <c r="F9" i="9" s="1"/>
  <c r="X27" i="5"/>
  <c r="Y27" i="5"/>
  <c r="V27" i="5"/>
  <c r="C13" i="1"/>
  <c r="B9" i="4"/>
  <c r="H9" i="4" s="1"/>
  <c r="B10" i="4" s="1"/>
  <c r="H10" i="4" s="1"/>
  <c r="B11" i="4" s="1"/>
  <c r="H11" i="4" s="1"/>
  <c r="B24" i="1"/>
  <c r="B12" i="1"/>
  <c r="C7" i="1"/>
  <c r="O27" i="5"/>
  <c r="N27" i="5"/>
  <c r="M27" i="5"/>
  <c r="F27" i="5"/>
  <c r="K27" i="5"/>
  <c r="J27" i="5"/>
  <c r="I27" i="5"/>
  <c r="H27" i="5"/>
  <c r="G27" i="5"/>
  <c r="O31" i="5"/>
  <c r="AA27" i="5"/>
  <c r="Z27" i="5"/>
  <c r="B25" i="1"/>
  <c r="H39" i="1"/>
  <c r="H40" i="1"/>
  <c r="G39" i="1"/>
  <c r="G40" i="1"/>
  <c r="F40" i="1"/>
  <c r="F39" i="1"/>
  <c r="E39" i="1"/>
  <c r="E40" i="1"/>
  <c r="D39" i="1"/>
  <c r="D40" i="1"/>
  <c r="C39" i="1"/>
  <c r="C40" i="1"/>
  <c r="B39" i="1"/>
  <c r="B40" i="1"/>
  <c r="D18" i="5"/>
  <c r="S27" i="5"/>
  <c r="T27" i="5"/>
  <c r="U27" i="5"/>
  <c r="R27" i="5"/>
  <c r="AA31" i="5"/>
  <c r="N31" i="5"/>
  <c r="E27" i="5"/>
  <c r="J31" i="5"/>
  <c r="E31" i="5"/>
  <c r="G31" i="5"/>
  <c r="K31" i="5"/>
  <c r="M31" i="5"/>
  <c r="D31" i="5"/>
  <c r="H31" i="5"/>
  <c r="C31" i="5"/>
  <c r="F31" i="5"/>
  <c r="I31" i="5"/>
  <c r="L31" i="5"/>
  <c r="D27" i="5"/>
  <c r="C27" i="5"/>
  <c r="U31" i="5"/>
  <c r="T31" i="5"/>
  <c r="R31" i="5"/>
  <c r="Q31" i="5"/>
  <c r="P31" i="5"/>
  <c r="Z31" i="5"/>
  <c r="Q27" i="5"/>
  <c r="Y31" i="5"/>
  <c r="P27" i="5"/>
  <c r="X31" i="5"/>
  <c r="W31" i="5"/>
  <c r="V31" i="5"/>
  <c r="S31" i="5"/>
  <c r="C22" i="9" l="1"/>
  <c r="D21" i="9"/>
  <c r="F21" i="9" s="1" a="1"/>
  <c r="F21" i="9" s="1"/>
  <c r="E22" i="9"/>
  <c r="D22" i="9"/>
  <c r="F22" i="9" s="1" a="1"/>
  <c r="F22" i="9" s="1"/>
  <c r="C24" i="1"/>
  <c r="C25" i="1" s="1"/>
  <c r="C26" i="1" s="1"/>
  <c r="C12" i="1"/>
  <c r="D7" i="1"/>
  <c r="D13" i="1"/>
  <c r="B12" i="4"/>
  <c r="H12" i="4" s="1"/>
  <c r="B13" i="4" s="1"/>
  <c r="H13" i="4" s="1"/>
  <c r="B14" i="4" s="1"/>
  <c r="H14" i="4" s="1"/>
  <c r="C37" i="1"/>
  <c r="C38" i="1"/>
  <c r="B32" i="1"/>
  <c r="B33" i="1" s="1"/>
  <c r="E18" i="5"/>
  <c r="D37" i="1" l="1"/>
  <c r="D38" i="1"/>
  <c r="D12" i="1"/>
  <c r="D24" i="1"/>
  <c r="D25" i="1" s="1"/>
  <c r="D26" i="1" s="1"/>
  <c r="E7" i="1"/>
  <c r="E13" i="1"/>
  <c r="B15" i="4"/>
  <c r="H15" i="4" s="1"/>
  <c r="B16" i="4" s="1"/>
  <c r="H16" i="4" s="1"/>
  <c r="B17" i="4" s="1"/>
  <c r="H17" i="4" s="1"/>
  <c r="C32" i="1"/>
  <c r="C33" i="1" s="1"/>
  <c r="C27" i="1"/>
  <c r="C19" i="1"/>
  <c r="F18" i="5"/>
  <c r="E37" i="1" l="1"/>
  <c r="E38" i="1"/>
  <c r="F7" i="1"/>
  <c r="E12" i="1"/>
  <c r="E24" i="1"/>
  <c r="E25" i="1" s="1"/>
  <c r="E26" i="1" s="1"/>
  <c r="F13" i="1"/>
  <c r="B18" i="4"/>
  <c r="H18" i="4" s="1"/>
  <c r="B19" i="4" s="1"/>
  <c r="H19" i="4" s="1"/>
  <c r="B20" i="4" s="1"/>
  <c r="H20" i="4" s="1"/>
  <c r="D32" i="1"/>
  <c r="D33" i="1" s="1"/>
  <c r="D27" i="1"/>
  <c r="G18" i="5"/>
  <c r="F37" i="1" l="1"/>
  <c r="F38" i="1"/>
  <c r="F12" i="1"/>
  <c r="F24" i="1"/>
  <c r="F25" i="1" s="1"/>
  <c r="F26" i="1" s="1"/>
  <c r="G7" i="1"/>
  <c r="B21" i="4"/>
  <c r="H21" i="4" s="1"/>
  <c r="B22" i="4" s="1"/>
  <c r="H22" i="4" s="1"/>
  <c r="B23" i="4" s="1"/>
  <c r="H23" i="4" s="1"/>
  <c r="G13" i="1"/>
  <c r="E32" i="1"/>
  <c r="E33" i="1" s="1"/>
  <c r="E27" i="1"/>
  <c r="H18" i="5"/>
  <c r="H13" i="1" l="1"/>
  <c r="B24" i="4"/>
  <c r="H24" i="4" s="1"/>
  <c r="B25" i="4" s="1"/>
  <c r="H25" i="4" s="1"/>
  <c r="B26" i="4" s="1"/>
  <c r="H26" i="4" s="1"/>
  <c r="B27" i="4" s="1"/>
  <c r="H27" i="4" s="1"/>
  <c r="B28" i="4" s="1"/>
  <c r="H28" i="4" s="1"/>
  <c r="B30" i="4" s="1"/>
  <c r="B32" i="4" s="1"/>
  <c r="G37" i="1"/>
  <c r="G38" i="1"/>
  <c r="H7" i="1"/>
  <c r="G24" i="1"/>
  <c r="G25" i="1" s="1"/>
  <c r="G26" i="1" s="1"/>
  <c r="G12" i="1"/>
  <c r="F32" i="1"/>
  <c r="F33" i="1" s="1"/>
  <c r="F27" i="1"/>
  <c r="D19" i="1"/>
  <c r="I18" i="5"/>
  <c r="H37" i="1" l="1"/>
  <c r="H38" i="1"/>
  <c r="I7" i="1"/>
  <c r="I38" i="1" s="1"/>
  <c r="H24" i="1"/>
  <c r="H25" i="1" s="1"/>
  <c r="H26" i="1" s="1"/>
  <c r="H12" i="1"/>
  <c r="G32" i="1"/>
  <c r="G33" i="1" s="1"/>
  <c r="G27" i="1"/>
  <c r="I24" i="1"/>
  <c r="B44" i="1"/>
  <c r="J18" i="5"/>
  <c r="I12" i="1" l="1"/>
  <c r="I37" i="1"/>
  <c r="B46" i="1"/>
  <c r="B6" i="2"/>
  <c r="B7" i="3" s="1"/>
  <c r="H32" i="1"/>
  <c r="H33" i="1" s="1"/>
  <c r="H27" i="1"/>
  <c r="I25" i="1"/>
  <c r="I26" i="1" s="1"/>
  <c r="K18" i="5"/>
  <c r="G7" i="3" l="1"/>
  <c r="B10" i="3"/>
  <c r="B9" i="3"/>
  <c r="I32" i="1"/>
  <c r="I33" i="1" s="1"/>
  <c r="I27" i="1"/>
  <c r="E19" i="1"/>
  <c r="L18" i="5"/>
  <c r="B11" i="3" l="1"/>
  <c r="B12" i="3" s="1"/>
  <c r="M18" i="5"/>
  <c r="C45" i="3" l="1"/>
  <c r="D45" i="3" s="1"/>
  <c r="C7" i="3"/>
  <c r="B13" i="3"/>
  <c r="N18" i="5"/>
  <c r="C10" i="3" l="1"/>
  <c r="C9" i="3"/>
  <c r="B21" i="3"/>
  <c r="B22" i="3" s="1"/>
  <c r="O18" i="5"/>
  <c r="C11" i="3" l="1"/>
  <c r="C12" i="3" s="1"/>
  <c r="B30" i="3"/>
  <c r="B23" i="3"/>
  <c r="F19" i="1"/>
  <c r="P18" i="5"/>
  <c r="C46" i="3" l="1"/>
  <c r="D46" i="3" s="1"/>
  <c r="C20" i="3"/>
  <c r="C13" i="3"/>
  <c r="D7" i="3"/>
  <c r="B31" i="3"/>
  <c r="Q18" i="5"/>
  <c r="C21" i="3" l="1"/>
  <c r="D9" i="3"/>
  <c r="D10" i="3"/>
  <c r="R18" i="5"/>
  <c r="C22" i="3" l="1"/>
  <c r="D11" i="3"/>
  <c r="D12" i="3" s="1"/>
  <c r="G19" i="1"/>
  <c r="S18" i="5"/>
  <c r="C30" i="3" l="1"/>
  <c r="C23" i="3"/>
  <c r="D20" i="3"/>
  <c r="C47" i="3"/>
  <c r="D47" i="3" s="1"/>
  <c r="E7" i="3"/>
  <c r="D13" i="3"/>
  <c r="T18" i="5"/>
  <c r="C31" i="3" l="1"/>
  <c r="D21" i="3"/>
  <c r="E9" i="3"/>
  <c r="E10" i="3"/>
  <c r="G10" i="3" s="1"/>
  <c r="U18" i="5"/>
  <c r="D22" i="3" l="1"/>
  <c r="G9" i="3"/>
  <c r="G11" i="3" s="1"/>
  <c r="E11" i="3"/>
  <c r="E12" i="3" s="1"/>
  <c r="H19" i="1"/>
  <c r="V18" i="5"/>
  <c r="D30" i="3" l="1"/>
  <c r="D23" i="3"/>
  <c r="B40" i="3"/>
  <c r="C54" i="3" s="1"/>
  <c r="D54" i="3" s="1"/>
  <c r="B34" i="3"/>
  <c r="B35" i="3" s="1"/>
  <c r="C48" i="3"/>
  <c r="D48" i="3" s="1"/>
  <c r="E13" i="3"/>
  <c r="G12" i="3"/>
  <c r="G13" i="3" s="1"/>
  <c r="B37" i="3"/>
  <c r="E20" i="3"/>
  <c r="W18" i="5"/>
  <c r="D31" i="3" l="1"/>
  <c r="G20" i="3"/>
  <c r="E21" i="3"/>
  <c r="X18" i="5"/>
  <c r="B36" i="3" l="1"/>
  <c r="C49" i="3"/>
  <c r="D49" i="3" s="1"/>
  <c r="G21" i="3"/>
  <c r="E22" i="3"/>
  <c r="I19" i="1"/>
  <c r="B7" i="2" s="1"/>
  <c r="Y18" i="5"/>
  <c r="E23" i="3" l="1"/>
  <c r="E30" i="3"/>
  <c r="G22" i="3"/>
  <c r="G23" i="3" s="1"/>
  <c r="AA18" i="5"/>
  <c r="Z18" i="5"/>
  <c r="G30" i="3" l="1"/>
  <c r="E31" i="3"/>
  <c r="G31" i="3" l="1"/>
  <c r="C51" i="3" s="1"/>
  <c r="D51" i="3" s="1"/>
  <c r="C50" i="3"/>
  <c r="D5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<sst xmlns="http://schemas.openxmlformats.org/spreadsheetml/2006/main" count="1372" uniqueCount="613">
  <si>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</si>
  <si>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</si>
  <si>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</si>
  <si>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</si>
  <si>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</si>
  <si>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</si>
  <si>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</si>
  <si>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</si>
  <si>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</si>
  <si>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</si>
  <si>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</si>
  <si>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</si>
  <si>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</si>
  <si>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</si>
  <si>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</si>
  <si>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</si>
  <si>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</si>
  <si>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</si>
  <si>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</si>
  <si>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</si>
  <si>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</si>
  <si>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</si>
  <si>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</si>
  <si>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</si>
  <si>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</si>
  <si>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</si>
  <si>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</si>
  <si>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</si>
  <si>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</si>
  <si>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</si>
  <si>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</si>
  <si>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</si>
  <si>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</si>
  <si>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</si>
  <si>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</si>
  <si>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</si>
  <si>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</si>
  <si>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</si>
  <si>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</si>
  <si>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</si>
  <si>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</si>
  <si>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</si>
  <si>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</si>
  <si>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</si>
  <si>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</si>
  <si>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</si>
  <si>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</si>
  <si>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</si>
  <si>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</si>
  <si>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</si>
  <si>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</si>
  <si>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</si>
  <si>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</si>
  <si>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</si>
  <si>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</si>
  <si>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</si>
  <si>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</si>
  <si>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</si>
  <si>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</si>
  <si>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</si>
  <si>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</si>
  <si>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</si>
  <si>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</si>
  <si>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</si>
  <si>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</si>
  <si>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</si>
  <si>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</si>
  <si>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</si>
  <si>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</si>
  <si>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</si>
  <si>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</si>
  <si>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</si>
  <si>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</si>
  <si>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</si>
  <si>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</si>
  <si>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</si>
  <si>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</si>
  <si>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</si>
  <si>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</si>
  <si>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</si>
  <si>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</si>
  <si>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</si>
  <si>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</si>
  <si>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</si>
  <si>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</si>
  <si>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</si>
  <si>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</si>
  <si>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</si>
  <si>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</si>
  <si>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</si>
  <si>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</si>
  <si>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</si>
  <si>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</si>
  <si>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</si>
  <si>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</si>
  <si>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</si>
  <si>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</si>
  <si>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</si>
  <si>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</si>
  <si>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</si>
  <si>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</si>
  <si>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</si>
  <si>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</si>
  <si>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</si>
  <si>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</si>
  <si>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</si>
  <si>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</si>
  <si>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</si>
  <si>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</si>
  <si>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</si>
  <si>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</si>
  <si>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</si>
  <si>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</si>
  <si>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</si>
  <si>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</si>
  <si>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</si>
  <si>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</si>
  <si>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</si>
  <si>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</si>
  <si>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</si>
  <si>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</si>
  <si>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</si>
  <si>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</si>
  <si>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</si>
  <si>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</si>
  <si>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</si>
  <si>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</si>
  <si>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</si>
  <si>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</si>
  <si>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</si>
  <si>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</si>
  <si>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</si>
  <si>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</si>
  <si>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</si>
  <si>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</si>
  <si>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</si>
  <si>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</si>
  <si>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</si>
  <si>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</si>
  <si>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</si>
  <si>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</si>
  <si>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</si>
  <si>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</si>
  <si>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</si>
  <si>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</si>
  <si>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</si>
  <si>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</si>
  <si>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</si>
  <si>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</si>
  <si>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</si>
  <si>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</si>
  <si>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</si>
  <si>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</si>
  <si>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</si>
  <si>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</si>
  <si>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</si>
  <si>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</si>
  <si>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</si>
  <si>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</si>
  <si>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</si>
  <si>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</si>
  <si>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</si>
  <si>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</si>
  <si>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</si>
  <si>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</si>
  <si>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</si>
  <si>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</si>
  <si>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</si>
  <si>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</si>
  <si>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</si>
  <si>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</si>
  <si>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</si>
  <si>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</si>
  <si>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</si>
  <si>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</si>
  <si>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</si>
  <si>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</si>
  <si>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</si>
  <si>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</si>
  <si>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</si>
  <si>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</si>
  <si>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</si>
  <si>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</si>
  <si>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</si>
  <si>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</si>
  <si>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</si>
  <si>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</si>
  <si>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</si>
  <si>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</si>
  <si>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</si>
  <si>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</si>
  <si>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</si>
  <si>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</si>
  <si>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</si>
  <si>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</si>
  <si>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</si>
  <si>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</si>
  <si>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</si>
  <si>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</si>
  <si>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</si>
  <si>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</si>
  <si>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</si>
  <si>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</si>
  <si>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</si>
  <si>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</si>
  <si>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</si>
  <si>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</si>
  <si>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</si>
  <si>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</si>
  <si>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</si>
  <si>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</si>
  <si>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</si>
  <si>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</si>
  <si>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</si>
  <si>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</si>
  <si>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</si>
  <si>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</si>
  <si>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</si>
  <si>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</si>
  <si>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</si>
  <si>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</si>
  <si>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</si>
  <si>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</si>
  <si>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</si>
  <si>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</si>
  <si>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</si>
  <si>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</si>
  <si>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</si>
  <si>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</si>
  <si>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</si>
  <si>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</si>
  <si>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</si>
  <si>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</si>
  <si>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</si>
  <si>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</si>
  <si>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</si>
  <si>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</si>
  <si>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</si>
  <si>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</si>
  <si>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</si>
  <si>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</si>
  <si>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</si>
  <si>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</si>
  <si>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</si>
  <si>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</si>
  <si>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</si>
  <si>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</si>
  <si>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</si>
  <si>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</si>
  <si>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</si>
  <si>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</si>
  <si>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</si>
  <si>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</si>
  <si>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</si>
  <si>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</si>
  <si>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</si>
  <si>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</si>
  <si>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</si>
  <si>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</si>
  <si>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</si>
  <si>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</si>
  <si>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</si>
  <si>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</si>
  <si>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</si>
  <si>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</si>
  <si>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</si>
  <si>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</si>
  <si>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</si>
  <si>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</si>
  <si>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</si>
  <si>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</si>
  <si>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</si>
  <si>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</si>
  <si>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</si>
  <si>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</si>
  <si>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</si>
  <si>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</si>
  <si>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</si>
  <si>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</si>
  <si>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</si>
  <si>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</si>
  <si>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</si>
  <si>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</si>
  <si>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</si>
  <si>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</si>
  <si>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</si>
  <si>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</si>
  <si>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</si>
  <si>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</si>
  <si>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</si>
  <si>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</si>
  <si>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</si>
  <si>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</si>
  <si>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</si>
  <si>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</si>
  <si>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</si>
  <si>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</si>
  <si>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</si>
  <si>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</si>
  <si>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</si>
  <si>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</si>
  <si>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</si>
  <si>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</si>
  <si>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</si>
  <si>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</si>
  <si>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</si>
  <si>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</si>
  <si>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</si>
  <si>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</si>
  <si>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</si>
  <si>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</si>
  <si>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</si>
  <si>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</si>
  <si>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</si>
  <si>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</si>
  <si>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</si>
  <si>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</si>
  <si>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</si>
  <si>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</si>
  <si>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</si>
  <si>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</si>
  <si>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</si>
  <si>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</si>
  <si>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</si>
  <si>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</si>
  <si>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</si>
  <si>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</si>
  <si>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</si>
  <si>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</si>
  <si>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</si>
  <si>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</si>
  <si>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</si>
  <si>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</si>
  <si>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</si>
  <si>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</si>
  <si>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</si>
  <si>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</si>
  <si>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</si>
  <si>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</si>
  <si>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</si>
  <si>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</si>
  <si>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</si>
  <si>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</si>
  <si>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</si>
  <si>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</si>
  <si>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</si>
  <si>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</si>
  <si>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</si>
  <si>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</si>
  <si>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</si>
  <si>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</si>
  <si>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</si>
  <si>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</si>
  <si>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</si>
  <si>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</si>
  <si>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</si>
  <si>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</si>
  <si>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</si>
  <si>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</si>
  <si>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</si>
  <si>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</si>
  <si>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</si>
  <si>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</si>
  <si>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</si>
  <si>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</si>
  <si>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</si>
  <si>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</si>
  <si>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</si>
  <si>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</si>
  <si>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</si>
  <si>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</si>
  <si>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</si>
  <si>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</si>
  <si>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</si>
  <si>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</si>
  <si>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</si>
  <si>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</si>
  <si>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</si>
  <si>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</si>
  <si>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</si>
  <si>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</si>
  <si>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</si>
  <si>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</si>
  <si>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</si>
  <si>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</si>
  <si>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</si>
  <si>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</si>
  <si>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</si>
  <si>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</si>
  <si>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</si>
  <si>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</si>
  <si>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</si>
  <si>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</si>
  <si>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</si>
  <si>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</si>
  <si>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</si>
  <si>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</si>
  <si>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</si>
  <si>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</si>
  <si>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</si>
  <si>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</si>
  <si>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</si>
  <si>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</si>
  <si>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</si>
  <si>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</si>
  <si>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</si>
  <si>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</si>
  <si>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</si>
  <si>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</si>
  <si>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</si>
  <si>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</si>
  <si>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</si>
  <si>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</si>
  <si>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</si>
  <si>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</si>
  <si>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</si>
  <si>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</si>
  <si>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</si>
  <si>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</si>
  <si>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</si>
  <si>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</si>
  <si>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</si>
  <si>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</si>
  <si>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</si>
  <si>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</si>
  <si>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</si>
  <si>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</si>
  <si>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</si>
  <si>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</si>
  <si>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</si>
  <si>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</si>
  <si>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</si>
  <si>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</si>
  <si>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</si>
  <si>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</si>
  <si>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</si>
  <si>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</si>
  <si>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</si>
  <si>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</si>
  <si>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</si>
  <si>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</si>
  <si>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</si>
  <si>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</si>
  <si>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</si>
  <si>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</si>
  <si>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</si>
  <si>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</si>
  <si>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</si>
  <si>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</si>
  <si>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</si>
  <si>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</si>
  <si>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</si>
  <si>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</si>
  <si>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</si>
  <si>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</si>
  <si>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</si>
  <si>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</si>
  <si>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</si>
  <si>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</si>
  <si>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</si>
  <si>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</si>
  <si>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</si>
  <si>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</si>
  <si>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</si>
  <si>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</si>
  <si>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</si>
  <si>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</si>
  <si>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</si>
  <si>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</si>
  <si>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</si>
  <si>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</si>
  <si>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</si>
  <si>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</si>
  <si>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</si>
  <si>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</si>
  <si>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</si>
  <si>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</si>
  <si>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</si>
  <si>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</si>
  <si>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</si>
  <si>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</si>
  <si>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</si>
  <si>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</si>
  <si>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</si>
  <si>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</si>
  <si>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</si>
  <si>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</si>
  <si>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</si>
  <si>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</si>
  <si>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</si>
  <si>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</si>
  <si>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</si>
  <si>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</si>
  <si>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</si>
  <si>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</si>
  <si>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</si>
  <si>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</si>
  <si>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</si>
  <si>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</si>
  <si>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</si>
  <si>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</si>
  <si>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</si>
  <si>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</si>
  <si>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</si>
  <si>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</si>
  <si>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</si>
  <si>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</si>
  <si>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</si>
  <si>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</si>
  <si>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</si>
  <si>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</si>
  <si>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</si>
  <si>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</si>
  <si>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</si>
  <si>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</si>
  <si>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</si>
  <si>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</si>
  <si>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</si>
  <si>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</si>
  <si>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</si>
  <si>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</si>
  <si>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</si>
  <si>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</si>
  <si>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</si>
  <si>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</si>
  <si>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</si>
  <si>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</si>
  <si>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</si>
  <si>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</si>
  <si>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</si>
  <si>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</si>
  <si>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</si>
  <si>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</si>
  <si>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</si>
  <si>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</si>
  <si>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</si>
  <si>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</si>
  <si>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</si>
  <si>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</si>
  <si>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</si>
  <si>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</si>
  <si>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</si>
  <si>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</si>
  <si>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</si>
  <si>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</si>
  <si>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</si>
  <si>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</si>
  <si>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</si>
  <si>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</si>
  <si>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</si>
  <si>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</si>
  <si>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</si>
  <si>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</si>
  <si>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</si>
  <si>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</si>
  <si>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</si>
  <si>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</si>
  <si>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</si>
  <si>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</si>
  <si>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</si>
  <si>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</si>
  <si>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</si>
  <si>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</si>
  <si>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</si>
  <si>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</si>
  <si>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</si>
  <si>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</si>
  <si>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</si>
  <si>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</si>
  <si>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</si>
  <si>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</si>
  <si>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</si>
  <si>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</si>
  <si>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</si>
  <si>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</si>
  <si>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</si>
  <si>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</si>
  <si>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</si>
  <si>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</si>
  <si>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</si>
  <si>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</si>
  <si>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</si>
  <si>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</si>
  <si>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</si>
  <si>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</si>
  <si>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</si>
  <si>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</si>
  <si>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</si>
  <si>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</si>
  <si>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</si>
  <si>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</si>
  <si>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</si>
  <si>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</si>
  <si>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</si>
  <si>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</si>
  <si>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</si>
  <si>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</si>
  <si>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</si>
  <si>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</si>
  <si>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</si>
  <si>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</si>
  <si>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P&amp;L</t>
  </si>
  <si>
    <t>F/U</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</si>
  <si>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</si>
  <si>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</si>
  <si>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</si>
  <si>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Offsetting this was the lack of churned MRR this month which resulted in a favorable variance of $954.</t>
  </si>
  <si>
    <t>There was no expansion recorded this month versus the expected $715.35.</t>
  </si>
  <si>
    <t>Operating Expenses were in line with expectation.</t>
  </si>
  <si>
    <t>EBITDA of $27,345.65 was 5% lower than the expected $28,781.74. This was driven by the shortfall in Gross Profit due to the Closing MRR being less than anticipated.</t>
  </si>
  <si>
    <t>Currently, Q1 is approximately $6000 less than planned, which could be fixed with a strong performance in February.</t>
  </si>
  <si>
    <t>Summary:</t>
  </si>
  <si>
    <t>The customers revenue was $1,710 which is 43% less than the planned rate of $3000 per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</si>
</sst>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s>
  <fonts count="34"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b/>
      <sz val="10"/>
      <name val="Arial"/>
      <family val="2"/>
    </font>
    <font>
      <b/>
      <sz val="11"/>
      <name val="Calibri"/>
      <family val="2"/>
      <scheme val="minor"/>
    </font>
  </fonts>
  <fills count="11">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s>
  <borders count="2">
    <border>
      <left/>
      <right/>
      <top/>
      <bottom/>
      <diagonal/>
    </border>
    <border>
      <left/>
      <right/>
      <top style="thin">
        <color rgb="FF000000"/>
      </top>
      <bottom style="double">
        <color rgb="FF000000"/>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17">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0" fontId="32" fillId="0" borderId="0" xfId="0" applyFont="1"/>
    <xf numFmtId="9" fontId="0" fillId="0" borderId="0" xfId="2" applyFont="1"/>
    <xf numFmtId="175" fontId="13" fillId="0" borderId="0" xfId="0" applyNumberFormat="1" applyFont="1"/>
    <xf numFmtId="175" fontId="13" fillId="0" borderId="0" xfId="2" applyNumberFormat="1" applyFont="1"/>
    <xf numFmtId="9" fontId="0" fillId="0" borderId="0" xfId="0" applyNumberFormat="1"/>
    <xf numFmtId="0" fontId="29" fillId="10" borderId="0" xfId="0" applyFont="1" applyFill="1"/>
    <xf numFmtId="0" fontId="17" fillId="0" borderId="0" xfId="0" applyFont="1" applyAlignment="1">
      <alignment vertical="top" wrapText="1"/>
    </xf>
    <xf numFmtId="0" fontId="0" fillId="0" borderId="0" xfId="0"/>
    <xf numFmtId="0" fontId="26" fillId="8" borderId="0" xfId="0" applyFont="1" applyFill="1"/>
    <xf numFmtId="0" fontId="0" fillId="0" borderId="0" xfId="0" applyAlignment="1">
      <alignment horizontal="center"/>
    </xf>
    <xf numFmtId="9" fontId="5" fillId="0" borderId="1" xfId="2" applyFont="1" applyBorder="1" applyAlignment="1">
      <alignment horizontal="center"/>
    </xf>
    <xf numFmtId="9" fontId="0" fillId="0" borderId="0" xfId="2" applyNumberFormat="1" applyFont="1"/>
    <xf numFmtId="0" fontId="33" fillId="0" borderId="0" xfId="0" applyFont="1"/>
  </cellXfs>
  <cellStyles count="3">
    <cellStyle name="Currency" xfId="1" builtinId="4"/>
    <cellStyle name="Normal" xfId="0" builtinId="0"/>
    <cellStyle name="Percent" xfId="2" builtinId="5"/>
  </cellStyles>
  <dxfs count="17">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
      <numFmt numFmtId="172" formatCode="0.0"/>
      <alignment horizontal="right" vertical="bottom" textRotation="0" wrapText="0" indent="0" justifyLastLine="0" shrinkToFit="0" readingOrder="0"/>
    </dxf>
    <dxf>
      <numFmt numFmtId="19" formatCode="yyyy/mm/dd"/>
    </dxf>
    <dxf>
      <numFmt numFmtId="22" formatCode="m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98" totalsRowShown="0">
  <autoFilter ref="A1:S98"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16"/>
    <tableColumn id="7" xr3:uid="{6DBCDEDE-28AB-45B0-93DD-BA33B3BFB675}" name="event_date" dataDxfId="15"/>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14">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3" dataDxfId="12">
  <autoFilter ref="A66:J80" xr:uid="{B4D1F123-2972-489C-8FEC-9C6D26BDA440}"/>
  <tableColumns count="10">
    <tableColumn id="1" xr3:uid="{428B9524-495F-4624-8292-AC7281BC37CF}" name="Month" dataDxfId="11"/>
    <tableColumn id="2" xr3:uid="{A39BE488-44BB-4D32-8BC9-2CAD0287B7FB}" name="Sales Comp" dataDxfId="10"/>
    <tableColumn id="3" xr3:uid="{5A5033F7-6D0F-4017-B24D-2EF30AF0C04A}" name="Marketing Comp" dataDxfId="9"/>
    <tableColumn id="4" xr3:uid="{221D6297-6EAF-44F9-9192-FCE924DEAE38}" name="Paid Ads" dataDxfId="8"/>
    <tableColumn id="5" xr3:uid="{DDDAF5EF-D699-4B54-AE9C-1DE1AE53E1FA}" name="Content &amp; SEO" dataDxfId="7"/>
    <tableColumn id="6" xr3:uid="{C06DAFB6-3F41-4AB7-AC72-F2CD13738214}" name="Partner Commissions" dataDxfId="6"/>
    <tableColumn id="7" xr3:uid="{B2373C96-3DA9-4205-B260-ECD2E8248D4F}" name="Tools &amp; Software" dataDxfId="5"/>
    <tableColumn id="8" xr3:uid="{4C8B3A2D-C15B-426C-8B89-E7B5EA3AC7A8}" name="Events" dataDxfId="4"/>
    <tableColumn id="9" xr3:uid="{591DAA16-7C9D-4A8A-8098-00ABCE2C68AB}" name="Total S&amp;M" dataDxfId="3"/>
    <tableColumn id="10" xr3:uid="{27267743-1105-471C-A056-7EE8466EDA53}" name="New Customers"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1"/>
    <tableColumn id="4" xr3:uid="{9C412AFC-8F05-4E39-B8E1-9E65F1E3A073}" name="gross_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7"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C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C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109" t="s">
        <v>311</v>
      </c>
      <c r="C47" s="109"/>
      <c r="D47" s="109"/>
      <c r="E47" s="109"/>
      <c r="F47" s="109"/>
      <c r="G47" s="109"/>
      <c r="H47" s="109"/>
      <c r="I47" s="109"/>
    </row>
    <row r="49" spans="1:8" x14ac:dyDescent="0.35">
      <c r="A49" s="15" t="s">
        <v>71</v>
      </c>
      <c r="B49" s="109" t="s">
        <v>312</v>
      </c>
      <c r="C49" s="109"/>
      <c r="D49" s="109"/>
      <c r="E49" s="109"/>
      <c r="F49" s="109"/>
      <c r="G49" s="109"/>
      <c r="H49" s="109"/>
    </row>
  </sheetData>
  <mergeCells count="2">
    <mergeCell ref="B47:I47"/>
    <mergeCell ref="B49:H4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workbookViewId="0">
      <selection activeCell="I17" sqref="I17"/>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workbookViewId="0">
      <pane ySplit="6" topLeftCell="A7" activePane="bottomLeft" state="frozen"/>
      <selection pane="bottomLeft" activeCell="B8" sqref="B8"/>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33"/>
  <sheetViews>
    <sheetView tabSelected="1" workbookViewId="0">
      <selection activeCell="H24" sqref="H24"/>
    </sheetView>
  </sheetViews>
  <sheetFormatPr defaultRowHeight="14.5" x14ac:dyDescent="0.35"/>
  <cols>
    <col min="1" max="1" width="21.36328125" customWidth="1"/>
    <col min="2" max="2" width="16.1796875" customWidth="1"/>
    <col min="3" max="3" width="25.7265625" customWidth="1"/>
    <col min="4" max="4" width="11.453125" customWidth="1"/>
    <col min="5" max="5" width="11.26953125" customWidth="1"/>
    <col min="6" max="6" width="12.6328125" bestFit="1" customWidth="1"/>
  </cols>
  <sheetData>
    <row r="1" spans="1:8" x14ac:dyDescent="0.35">
      <c r="A1" s="42" t="s">
        <v>600</v>
      </c>
    </row>
    <row r="2" spans="1:8" x14ac:dyDescent="0.35">
      <c r="A2" s="5" t="s">
        <v>4</v>
      </c>
      <c r="B2" s="5" t="s">
        <v>599</v>
      </c>
      <c r="C2" s="99" t="s">
        <v>596</v>
      </c>
      <c r="D2" s="99" t="s">
        <v>597</v>
      </c>
      <c r="E2" s="99" t="s">
        <v>598</v>
      </c>
      <c r="F2" s="103" t="s">
        <v>602</v>
      </c>
    </row>
    <row r="3" spans="1:8" x14ac:dyDescent="0.35">
      <c r="A3" s="7" t="s">
        <v>14</v>
      </c>
      <c r="B3" s="25">
        <v>143069.5</v>
      </c>
      <c r="C3" s="25">
        <f>'2026 Forecast'!B7</f>
        <v>143069.5</v>
      </c>
      <c r="D3" s="25">
        <f>B3-C3</f>
        <v>0</v>
      </c>
      <c r="E3" s="101">
        <f>B3/C3-1</f>
        <v>0</v>
      </c>
      <c r="F3" s="113" t="str" cm="1">
        <f t="array" ref="F3">_xlfn.IFS(D3&lt;0, "U", D3&gt;0, "F", D3=0, "-")</f>
        <v>-</v>
      </c>
    </row>
    <row r="4" spans="1:8" x14ac:dyDescent="0.35">
      <c r="A4" s="7" t="s">
        <v>16</v>
      </c>
      <c r="B4" s="25">
        <v>1710</v>
      </c>
      <c r="C4" s="25">
        <v>4000</v>
      </c>
      <c r="D4" s="25">
        <f t="shared" ref="D4:D9" si="0">B4-C4</f>
        <v>-2290</v>
      </c>
      <c r="E4" s="101">
        <f t="shared" ref="E4:E6" si="1">B4/C4-1</f>
        <v>-0.57250000000000001</v>
      </c>
      <c r="F4" s="113" t="str" cm="1">
        <f t="array" ref="F4">_xlfn.IFS(D4&lt;0, "U", D4&gt;0, "F", D4=0, "-")</f>
        <v>U</v>
      </c>
    </row>
    <row r="5" spans="1:8" x14ac:dyDescent="0.35">
      <c r="A5" s="7" t="s">
        <v>18</v>
      </c>
      <c r="B5" s="25">
        <v>0</v>
      </c>
      <c r="C5" s="25">
        <f>'2026 Forecast'!B9/3</f>
        <v>715.34749999999997</v>
      </c>
      <c r="D5" s="25">
        <f t="shared" si="0"/>
        <v>-715.34749999999997</v>
      </c>
      <c r="E5" s="101">
        <f t="shared" si="1"/>
        <v>-1</v>
      </c>
      <c r="F5" s="113" t="str" cm="1">
        <f t="array" ref="F5">_xlfn.IFS(D5&lt;0, "U", D5&gt;0, "F", D5=0, "-")</f>
        <v>U</v>
      </c>
    </row>
    <row r="6" spans="1:8" x14ac:dyDescent="0.35">
      <c r="A6" s="7" t="s">
        <v>22</v>
      </c>
      <c r="B6" s="25">
        <v>0</v>
      </c>
      <c r="C6" s="25">
        <f>'2026 Forecast'!B10/3</f>
        <v>953.79666666666662</v>
      </c>
      <c r="D6" s="25">
        <f t="shared" si="0"/>
        <v>-953.79666666666662</v>
      </c>
      <c r="E6" s="101">
        <f t="shared" si="1"/>
        <v>-1</v>
      </c>
      <c r="F6" s="113" t="str" cm="1">
        <f t="array" ref="F6">_xlfn.IFS(D6&gt;0, "U", D6&lt;0, "F", D6=0, "-")</f>
        <v>F</v>
      </c>
    </row>
    <row r="7" spans="1:8" ht="15" thickBot="1" x14ac:dyDescent="0.4">
      <c r="A7" s="9" t="s">
        <v>24</v>
      </c>
      <c r="B7" s="26">
        <f>B4+B5-B6</f>
        <v>1710</v>
      </c>
      <c r="C7" s="26">
        <f>C4+C5-C6</f>
        <v>3761.5508333333332</v>
      </c>
      <c r="D7" s="26">
        <f t="shared" si="0"/>
        <v>-2051.5508333333332</v>
      </c>
      <c r="E7" s="102">
        <f>B7/C7-1</f>
        <v>-0.54540026819611853</v>
      </c>
      <c r="F7" s="114" t="str" cm="1">
        <f t="array" ref="F7">_xlfn.IFS(D7&lt;0, "U", D7&gt;0, "F", D7=0, "-")</f>
        <v>U</v>
      </c>
    </row>
    <row r="8" spans="1:8" ht="15.5" thickTop="1" thickBot="1" x14ac:dyDescent="0.4">
      <c r="A8" s="9" t="s">
        <v>26</v>
      </c>
      <c r="B8" s="26">
        <f>B3+B4+B5-B6</f>
        <v>144779.5</v>
      </c>
      <c r="C8" s="26">
        <f>C3+C7</f>
        <v>146831.05083333334</v>
      </c>
      <c r="D8" s="26">
        <f t="shared" si="0"/>
        <v>-2051.5508333333419</v>
      </c>
      <c r="E8" s="102">
        <f>B8/C8-1</f>
        <v>-1.3972186548348309E-2</v>
      </c>
      <c r="F8" s="114" t="str" cm="1">
        <f t="array" ref="F8">_xlfn.IFS(D8&lt;0, "U", D8&gt;0, "F", D8=0, "-")</f>
        <v>U</v>
      </c>
    </row>
    <row r="9" spans="1:8" ht="15.5" thickTop="1" thickBot="1" x14ac:dyDescent="0.4">
      <c r="A9" s="9" t="s">
        <v>112</v>
      </c>
      <c r="B9" s="26">
        <f>B8*12</f>
        <v>1737354</v>
      </c>
      <c r="C9" s="22">
        <f>C8*12</f>
        <v>1761972.61</v>
      </c>
      <c r="D9" s="22">
        <f t="shared" si="0"/>
        <v>-24618.610000000102</v>
      </c>
      <c r="E9" s="102">
        <f>B9/C9-1</f>
        <v>-1.3972186548348309E-2</v>
      </c>
      <c r="F9" s="114" t="str" cm="1">
        <f t="array" ref="F9">_xlfn.IFS(D9&lt;0, "U", D9&gt;0, "F", D9=0, "-")</f>
        <v>U</v>
      </c>
    </row>
    <row r="10" spans="1:8" ht="15" thickTop="1" x14ac:dyDescent="0.35"/>
    <row r="11" spans="1:8" x14ac:dyDescent="0.35">
      <c r="A11" s="104" t="s">
        <v>601</v>
      </c>
    </row>
    <row r="12" spans="1:8" x14ac:dyDescent="0.35">
      <c r="A12" s="5" t="s">
        <v>4</v>
      </c>
      <c r="B12" s="5" t="s">
        <v>599</v>
      </c>
      <c r="C12" s="99" t="s">
        <v>596</v>
      </c>
      <c r="D12" s="99" t="s">
        <v>597</v>
      </c>
      <c r="E12" s="99" t="s">
        <v>598</v>
      </c>
      <c r="F12" s="103" t="s">
        <v>602</v>
      </c>
    </row>
    <row r="13" spans="1:8" x14ac:dyDescent="0.35">
      <c r="A13" s="7" t="s">
        <v>38</v>
      </c>
      <c r="B13" s="100">
        <f>B8</f>
        <v>144779.5</v>
      </c>
      <c r="C13" s="100">
        <f>C8</f>
        <v>146831.05083333334</v>
      </c>
      <c r="D13" s="100">
        <f>B13-C13</f>
        <v>-2051.5508333333419</v>
      </c>
      <c r="E13" s="115">
        <f>B13/C13-1</f>
        <v>-1.3972186548348309E-2</v>
      </c>
      <c r="F13" s="113" t="str" cm="1">
        <f t="array" ref="F13">_xlfn.IFS(D13&lt;0, "U", D13&gt;0, "F", D13=0, "-")</f>
        <v>U</v>
      </c>
      <c r="H13" s="2"/>
    </row>
    <row r="14" spans="1:8" x14ac:dyDescent="0.35">
      <c r="A14" s="7" t="s">
        <v>119</v>
      </c>
      <c r="B14" s="100">
        <f>B13*(1-B16)</f>
        <v>43433.850000000006</v>
      </c>
      <c r="C14" s="100">
        <f>C13*0.3</f>
        <v>44049.31525</v>
      </c>
      <c r="D14" s="100">
        <f t="shared" ref="D14:D21" si="2">B14-C14</f>
        <v>-615.46524999999383</v>
      </c>
      <c r="E14" s="105">
        <f t="shared" ref="E14:E22" si="3">B14/C14-1</f>
        <v>-1.3972186548348087E-2</v>
      </c>
      <c r="F14" s="113" t="str" cm="1">
        <f t="array" ref="F14">_xlfn.IFS(D14&gt;0, "U", D14&lt;0, "F", D14=0, "-")</f>
        <v>F</v>
      </c>
      <c r="H14" s="2" t="s">
        <v>120</v>
      </c>
    </row>
    <row r="15" spans="1:8" ht="15" thickBot="1" x14ac:dyDescent="0.4">
      <c r="A15" s="9" t="s">
        <v>42</v>
      </c>
      <c r="B15" s="106">
        <f>B13-B14</f>
        <v>101345.65</v>
      </c>
      <c r="C15" s="106">
        <f>C13-C14</f>
        <v>102781.73558333334</v>
      </c>
      <c r="D15" s="100">
        <f t="shared" si="2"/>
        <v>-1436.085583333348</v>
      </c>
      <c r="E15" s="105">
        <f t="shared" si="3"/>
        <v>-1.3972186548348309E-2</v>
      </c>
      <c r="F15" s="113" t="str" cm="1">
        <f t="array" ref="F15">_xlfn.IFS(D15&lt;0, "U", D15&gt;0, "F", D15=0, "-")</f>
        <v>U</v>
      </c>
      <c r="H15" s="2" t="s">
        <v>121</v>
      </c>
    </row>
    <row r="16" spans="1:8" ht="15" thickTop="1" x14ac:dyDescent="0.35">
      <c r="A16" s="7" t="s">
        <v>44</v>
      </c>
      <c r="B16" s="108">
        <v>0.7</v>
      </c>
      <c r="C16" s="105">
        <f>C15/C13</f>
        <v>0.70000000000000007</v>
      </c>
      <c r="D16" s="100"/>
      <c r="E16" s="105">
        <f t="shared" si="3"/>
        <v>0</v>
      </c>
      <c r="F16" s="113" t="str" cm="1">
        <f t="array" ref="F16">_xlfn.IFS(D16&lt;0, "U", D16&gt;0, "F", D16=0, "-")</f>
        <v>-</v>
      </c>
      <c r="H16" s="2" t="s">
        <v>122</v>
      </c>
    </row>
    <row r="17" spans="1:8" x14ac:dyDescent="0.35">
      <c r="A17" s="7" t="s">
        <v>94</v>
      </c>
      <c r="B17" s="100">
        <f>'Forecast Assumptions'!B26/3</f>
        <v>30000</v>
      </c>
      <c r="C17" s="100">
        <f>'2026 Forecast'!B25/3</f>
        <v>30000</v>
      </c>
      <c r="D17" s="100">
        <f t="shared" si="2"/>
        <v>0</v>
      </c>
      <c r="E17" s="105">
        <f t="shared" si="3"/>
        <v>0</v>
      </c>
      <c r="F17" s="113" t="str" cm="1">
        <f t="array" ref="F17">_xlfn.IFS(D17&lt;0, "U", D17&gt;0, "F", D17=0, "-")</f>
        <v>-</v>
      </c>
      <c r="H17" s="2" t="s">
        <v>123</v>
      </c>
    </row>
    <row r="18" spans="1:8" x14ac:dyDescent="0.35">
      <c r="A18" s="7" t="s">
        <v>95</v>
      </c>
      <c r="B18" s="100">
        <f>'Forecast Assumptions'!B27/3</f>
        <v>25000</v>
      </c>
      <c r="C18" s="100">
        <f>'2026 Forecast'!B26/3</f>
        <v>25000</v>
      </c>
      <c r="D18" s="100">
        <f t="shared" si="2"/>
        <v>0</v>
      </c>
      <c r="E18" s="105">
        <f t="shared" si="3"/>
        <v>0</v>
      </c>
      <c r="F18" s="113" t="str" cm="1">
        <f t="array" ref="F18">_xlfn.IFS(D18&lt;0, "U", D18&gt;0, "F", D18=0, "-")</f>
        <v>-</v>
      </c>
      <c r="H18" s="2" t="s">
        <v>123</v>
      </c>
    </row>
    <row r="19" spans="1:8" x14ac:dyDescent="0.35">
      <c r="A19" s="7" t="s">
        <v>96</v>
      </c>
      <c r="B19" s="100">
        <f>'Forecast Assumptions'!B28/3</f>
        <v>19000</v>
      </c>
      <c r="C19" s="100">
        <f>'2026 Forecast'!B27/3</f>
        <v>19000</v>
      </c>
      <c r="D19" s="100">
        <f t="shared" si="2"/>
        <v>0</v>
      </c>
      <c r="E19" s="105">
        <f t="shared" si="3"/>
        <v>0</v>
      </c>
      <c r="F19" s="113" t="str" cm="1">
        <f t="array" ref="F19">_xlfn.IFS(D19&lt;0, "U", D19&gt;0, "F", D19=0, "-")</f>
        <v>-</v>
      </c>
      <c r="H19" s="2" t="s">
        <v>123</v>
      </c>
    </row>
    <row r="20" spans="1:8" ht="15" thickBot="1" x14ac:dyDescent="0.4">
      <c r="A20" s="9" t="s">
        <v>51</v>
      </c>
      <c r="B20" s="106">
        <f>SUM(B17:B19)</f>
        <v>74000</v>
      </c>
      <c r="C20" s="106">
        <f>'2026 Forecast'!B28/3</f>
        <v>74000</v>
      </c>
      <c r="D20" s="100">
        <f t="shared" si="2"/>
        <v>0</v>
      </c>
      <c r="E20" s="105">
        <f t="shared" si="3"/>
        <v>0</v>
      </c>
      <c r="F20" s="113" t="str" cm="1">
        <f t="array" ref="F20">_xlfn.IFS(D20&lt;0, "U", D20&gt;0, "F", D20=0, "-")</f>
        <v>-</v>
      </c>
      <c r="H20" s="2" t="s">
        <v>52</v>
      </c>
    </row>
    <row r="21" spans="1:8" ht="15.5" thickTop="1" thickBot="1" x14ac:dyDescent="0.4">
      <c r="A21" s="9" t="s">
        <v>53</v>
      </c>
      <c r="B21" s="107">
        <f>B15-B20</f>
        <v>27345.649999999994</v>
      </c>
      <c r="C21" s="107">
        <f>C15-C20</f>
        <v>28781.735583333342</v>
      </c>
      <c r="D21" s="100">
        <f t="shared" si="2"/>
        <v>-1436.085583333348</v>
      </c>
      <c r="E21" s="105">
        <f t="shared" si="3"/>
        <v>-4.9895725682538195E-2</v>
      </c>
      <c r="F21" s="113" t="str" cm="1">
        <f t="array" ref="F21">_xlfn.IFS(D21&lt;0, "U", D21&gt;0, "F", D21=0, "-")</f>
        <v>U</v>
      </c>
      <c r="H21" s="2" t="s">
        <v>124</v>
      </c>
    </row>
    <row r="22" spans="1:8" ht="15" thickTop="1" x14ac:dyDescent="0.35">
      <c r="A22" s="7" t="s">
        <v>55</v>
      </c>
      <c r="B22" s="105">
        <f>B21/B13</f>
        <v>0.18887791434560827</v>
      </c>
      <c r="C22" s="105">
        <f>C21/C13</f>
        <v>0.19601940747535235</v>
      </c>
      <c r="D22" s="105">
        <f>B22-C22</f>
        <v>-7.1414931297440754E-3</v>
      </c>
      <c r="E22" s="105">
        <f t="shared" si="3"/>
        <v>-3.643258196585486E-2</v>
      </c>
      <c r="F22" s="113" t="str" cm="1">
        <f t="array" ref="F22">_xlfn.IFS(D22&lt;0, "U", D22&gt;0, "F", D22=0, "-")</f>
        <v>U</v>
      </c>
      <c r="H22" s="2" t="s">
        <v>125</v>
      </c>
    </row>
    <row r="24" spans="1:8" x14ac:dyDescent="0.35">
      <c r="A24" s="116" t="s">
        <v>611</v>
      </c>
    </row>
    <row r="25" spans="1:8" x14ac:dyDescent="0.35">
      <c r="A25" t="s">
        <v>603</v>
      </c>
    </row>
    <row r="26" spans="1:8" x14ac:dyDescent="0.35">
      <c r="A26" t="s">
        <v>604</v>
      </c>
    </row>
    <row r="27" spans="1:8" x14ac:dyDescent="0.35">
      <c r="A27" t="s">
        <v>605</v>
      </c>
    </row>
    <row r="28" spans="1:8" x14ac:dyDescent="0.35">
      <c r="A28" t="s">
        <v>612</v>
      </c>
    </row>
    <row r="29" spans="1:8" x14ac:dyDescent="0.35">
      <c r="A29" t="s">
        <v>607</v>
      </c>
    </row>
    <row r="30" spans="1:8" x14ac:dyDescent="0.35">
      <c r="A30" t="s">
        <v>606</v>
      </c>
    </row>
    <row r="31" spans="1:8" x14ac:dyDescent="0.35">
      <c r="A31" t="s">
        <v>609</v>
      </c>
    </row>
    <row r="32" spans="1:8" x14ac:dyDescent="0.35">
      <c r="A32" t="s">
        <v>608</v>
      </c>
    </row>
    <row r="33" spans="1:1" x14ac:dyDescent="0.35">
      <c r="A33" t="s">
        <v>610</v>
      </c>
    </row>
  </sheetData>
  <pageMargins left="0.7" right="0.7" top="0.75" bottom="0.75" header="0.3" footer="0.3"/>
  <pageSetup orientation="portrait" r:id="rId1"/>
  <ignoredErrors>
    <ignoredError sqref="F6 F1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98"/>
  <sheetViews>
    <sheetView workbookViewId="0">
      <selection activeCell="T23" sqref="T23"/>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5"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5" t="s">
        <v>330</v>
      </c>
      <c r="T1" s="42" t="s">
        <v>331</v>
      </c>
      <c r="U1" s="42" t="s">
        <v>332</v>
      </c>
      <c r="V1" s="42" t="s">
        <v>333</v>
      </c>
    </row>
    <row r="2" spans="1:22" x14ac:dyDescent="0.35">
      <c r="A2" t="s">
        <v>334</v>
      </c>
      <c r="B2" t="s">
        <v>226</v>
      </c>
      <c r="C2" t="s">
        <v>335</v>
      </c>
      <c r="D2" t="s">
        <v>227</v>
      </c>
      <c r="E2" t="s">
        <v>336</v>
      </c>
      <c r="F2" s="96">
        <v>45292</v>
      </c>
      <c r="G2" s="97">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98"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IF(H2&lt;&gt;"cancelled",0,IF(COUNTIFS($C$2:$C$98,$C2,$H$2:$H$98,"created",$F$2:$F$98,"&lt;="&amp;F2)-COUNTIFS($C$2:$C$98,$C2,$H$2:$H$98,"cancelled",$F$2:$F$98,"&lt;="&amp;F2)=0,1,0))</f>
        <v>0</v>
      </c>
      <c r="V2">
        <f>IF(AND(H2="created",T2=0,COUNTIFS($C$2:$C$98,$C2,$H$2:$H$98,"cancelled",$F$2:$F$98,"&lt;"&amp;F2)&gt;0,COUNTIFS($C$2:$C$98,$C2,$H$2:$H$98,"created",$F$2:$F$98,"&lt;"&amp;F2)-COUNTIFS($C$2:$C$98,$C2,$H$2:$H$98,"cancelled",$F$2:$F$98,"&lt;"&amp;F2)=0),1,0)</f>
        <v>0</v>
      </c>
    </row>
    <row r="3" spans="1:22" x14ac:dyDescent="0.35">
      <c r="A3" t="s">
        <v>339</v>
      </c>
      <c r="B3" t="s">
        <v>340</v>
      </c>
      <c r="C3" t="s">
        <v>341</v>
      </c>
      <c r="D3" t="s">
        <v>342</v>
      </c>
      <c r="E3" t="s">
        <v>343</v>
      </c>
      <c r="F3" s="96">
        <v>45292</v>
      </c>
      <c r="G3" s="97">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98"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ref="U3:U66" si="0">IF(H3&lt;&gt;"cancelled",0,IF(COUNTIFS($C$2:$C$98,$C3,$H$2:$H$98,"created",$F$2:$F$98,"&lt;="&amp;F3)-COUNTIFS($C$2:$C$98,$C3,$H$2:$H$98,"cancelled",$F$2:$F$98,"&lt;="&amp;F3)=0,1,0))</f>
        <v>0</v>
      </c>
      <c r="V3">
        <f t="shared" ref="V3:V66" si="1">IF(AND(H3="created",T3=0,COUNTIFS($C$2:$C$98,$C3,$H$2:$H$98,"cancelled",$F$2:$F$98,"&lt;"&amp;F3)&gt;0,COUNTIFS($C$2:$C$98,$C3,$H$2:$H$98,"created",$F$2:$F$98,"&lt;"&amp;F3)-COUNTIFS($C$2:$C$98,$C3,$H$2:$H$98,"cancelled",$F$2:$F$98,"&lt;"&amp;F3)=0),1,0)</f>
        <v>0</v>
      </c>
    </row>
    <row r="4" spans="1:22" x14ac:dyDescent="0.35">
      <c r="A4" t="s">
        <v>345</v>
      </c>
      <c r="B4" t="s">
        <v>346</v>
      </c>
      <c r="C4" t="s">
        <v>347</v>
      </c>
      <c r="D4" t="s">
        <v>348</v>
      </c>
      <c r="E4" t="s">
        <v>336</v>
      </c>
      <c r="F4" s="96">
        <v>45323</v>
      </c>
      <c r="G4" s="97">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98"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349</v>
      </c>
      <c r="B5" t="s">
        <v>350</v>
      </c>
      <c r="C5" t="s">
        <v>351</v>
      </c>
      <c r="D5" t="s">
        <v>243</v>
      </c>
      <c r="E5" t="s">
        <v>343</v>
      </c>
      <c r="F5" s="96">
        <v>45323</v>
      </c>
      <c r="G5" s="97">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98"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352</v>
      </c>
      <c r="B6" t="s">
        <v>242</v>
      </c>
      <c r="C6" t="s">
        <v>351</v>
      </c>
      <c r="D6" t="s">
        <v>243</v>
      </c>
      <c r="E6" t="s">
        <v>343</v>
      </c>
      <c r="F6" s="96">
        <v>45323</v>
      </c>
      <c r="G6" s="97">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98"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353</v>
      </c>
      <c r="B7" t="s">
        <v>228</v>
      </c>
      <c r="C7" t="s">
        <v>354</v>
      </c>
      <c r="D7" t="s">
        <v>229</v>
      </c>
      <c r="E7" t="s">
        <v>336</v>
      </c>
      <c r="F7" s="96">
        <v>45352</v>
      </c>
      <c r="G7" s="97">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98"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355</v>
      </c>
      <c r="B8" t="s">
        <v>356</v>
      </c>
      <c r="C8" t="s">
        <v>357</v>
      </c>
      <c r="D8" t="s">
        <v>358</v>
      </c>
      <c r="E8" t="s">
        <v>343</v>
      </c>
      <c r="F8" s="96">
        <v>45352</v>
      </c>
      <c r="G8" s="97">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98"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359</v>
      </c>
      <c r="B9" t="s">
        <v>360</v>
      </c>
      <c r="C9" t="s">
        <v>361</v>
      </c>
      <c r="D9" t="s">
        <v>247</v>
      </c>
      <c r="E9" t="s">
        <v>336</v>
      </c>
      <c r="F9" s="96">
        <v>45383</v>
      </c>
      <c r="G9" s="97">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98"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362</v>
      </c>
      <c r="B10" t="s">
        <v>246</v>
      </c>
      <c r="C10" t="s">
        <v>361</v>
      </c>
      <c r="D10" t="s">
        <v>247</v>
      </c>
      <c r="E10" t="s">
        <v>336</v>
      </c>
      <c r="F10" s="96">
        <v>45383</v>
      </c>
      <c r="G10" s="97">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98"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363</v>
      </c>
      <c r="B11" t="s">
        <v>230</v>
      </c>
      <c r="C11" t="s">
        <v>364</v>
      </c>
      <c r="D11" t="s">
        <v>231</v>
      </c>
      <c r="E11" t="s">
        <v>336</v>
      </c>
      <c r="F11" s="96">
        <v>45383</v>
      </c>
      <c r="G11" s="97">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98"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365</v>
      </c>
      <c r="B12" t="s">
        <v>366</v>
      </c>
      <c r="C12" t="s">
        <v>367</v>
      </c>
      <c r="D12" t="s">
        <v>368</v>
      </c>
      <c r="E12" t="s">
        <v>343</v>
      </c>
      <c r="F12" s="96">
        <v>45383</v>
      </c>
      <c r="G12" s="97">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98"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369</v>
      </c>
      <c r="B13" t="s">
        <v>370</v>
      </c>
      <c r="C13" t="s">
        <v>371</v>
      </c>
      <c r="D13" t="s">
        <v>372</v>
      </c>
      <c r="E13" t="s">
        <v>336</v>
      </c>
      <c r="F13" s="96">
        <v>45413</v>
      </c>
      <c r="G13" s="97">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98"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373</v>
      </c>
      <c r="B14" t="s">
        <v>374</v>
      </c>
      <c r="C14" t="s">
        <v>375</v>
      </c>
      <c r="D14" t="s">
        <v>376</v>
      </c>
      <c r="E14" t="s">
        <v>377</v>
      </c>
      <c r="F14" s="96">
        <v>45413</v>
      </c>
      <c r="G14" s="97">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98"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378</v>
      </c>
      <c r="B15" t="s">
        <v>379</v>
      </c>
      <c r="C15" t="s">
        <v>380</v>
      </c>
      <c r="D15" t="s">
        <v>237</v>
      </c>
      <c r="E15" t="s">
        <v>336</v>
      </c>
      <c r="F15" s="96">
        <v>45444</v>
      </c>
      <c r="G15" s="97">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98"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381</v>
      </c>
      <c r="B16" t="s">
        <v>236</v>
      </c>
      <c r="C16" t="s">
        <v>380</v>
      </c>
      <c r="D16" t="s">
        <v>237</v>
      </c>
      <c r="E16" t="s">
        <v>336</v>
      </c>
      <c r="F16" s="96">
        <v>45444</v>
      </c>
      <c r="G16" s="97">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98"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382</v>
      </c>
      <c r="B17" t="s">
        <v>232</v>
      </c>
      <c r="C17" t="s">
        <v>383</v>
      </c>
      <c r="D17" t="s">
        <v>233</v>
      </c>
      <c r="E17" t="s">
        <v>343</v>
      </c>
      <c r="F17" s="96">
        <v>45444</v>
      </c>
      <c r="G17" s="97">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98"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384</v>
      </c>
      <c r="B18" t="s">
        <v>385</v>
      </c>
      <c r="C18" t="s">
        <v>386</v>
      </c>
      <c r="D18" t="s">
        <v>387</v>
      </c>
      <c r="E18" t="s">
        <v>336</v>
      </c>
      <c r="F18" s="96">
        <v>45474</v>
      </c>
      <c r="G18" s="97">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98"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388</v>
      </c>
      <c r="B19" t="s">
        <v>389</v>
      </c>
      <c r="C19" t="s">
        <v>335</v>
      </c>
      <c r="D19" t="s">
        <v>227</v>
      </c>
      <c r="E19" t="s">
        <v>336</v>
      </c>
      <c r="F19" s="96">
        <v>45474</v>
      </c>
      <c r="G19" s="97">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98"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390</v>
      </c>
      <c r="B20" t="s">
        <v>244</v>
      </c>
      <c r="C20" t="s">
        <v>391</v>
      </c>
      <c r="D20" t="s">
        <v>245</v>
      </c>
      <c r="E20" t="s">
        <v>343</v>
      </c>
      <c r="F20" s="96">
        <v>45474</v>
      </c>
      <c r="G20" s="97">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98"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392</v>
      </c>
      <c r="B21" t="s">
        <v>393</v>
      </c>
      <c r="C21" t="s">
        <v>391</v>
      </c>
      <c r="D21" t="s">
        <v>245</v>
      </c>
      <c r="E21" t="s">
        <v>343</v>
      </c>
      <c r="F21" s="96">
        <v>45474</v>
      </c>
      <c r="G21" s="97">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98"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394</v>
      </c>
      <c r="B22" t="s">
        <v>395</v>
      </c>
      <c r="C22" t="s">
        <v>396</v>
      </c>
      <c r="D22" t="s">
        <v>397</v>
      </c>
      <c r="E22" t="s">
        <v>336</v>
      </c>
      <c r="F22" s="96">
        <v>45505</v>
      </c>
      <c r="G22" s="97">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98"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398</v>
      </c>
      <c r="B23" t="s">
        <v>399</v>
      </c>
      <c r="C23" t="s">
        <v>400</v>
      </c>
      <c r="D23" t="s">
        <v>401</v>
      </c>
      <c r="E23" t="s">
        <v>336</v>
      </c>
      <c r="F23" s="96">
        <v>45505</v>
      </c>
      <c r="G23" s="97">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98"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402</v>
      </c>
      <c r="B24" t="s">
        <v>226</v>
      </c>
      <c r="C24" t="s">
        <v>335</v>
      </c>
      <c r="D24" t="s">
        <v>227</v>
      </c>
      <c r="E24" t="s">
        <v>336</v>
      </c>
      <c r="F24" s="96">
        <v>45505</v>
      </c>
      <c r="G24" s="97">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98"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408</v>
      </c>
      <c r="B25" t="s">
        <v>409</v>
      </c>
      <c r="C25" t="s">
        <v>410</v>
      </c>
      <c r="D25" t="s">
        <v>411</v>
      </c>
      <c r="E25" t="s">
        <v>343</v>
      </c>
      <c r="F25" s="96">
        <v>45536</v>
      </c>
      <c r="G25" s="97">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98"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412</v>
      </c>
      <c r="B26" t="s">
        <v>413</v>
      </c>
      <c r="C26" t="s">
        <v>347</v>
      </c>
      <c r="D26" t="s">
        <v>348</v>
      </c>
      <c r="E26" t="s">
        <v>336</v>
      </c>
      <c r="F26" s="96">
        <v>45536</v>
      </c>
      <c r="G26" s="97">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98"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414</v>
      </c>
      <c r="B27" t="s">
        <v>415</v>
      </c>
      <c r="C27" t="s">
        <v>416</v>
      </c>
      <c r="D27" t="s">
        <v>241</v>
      </c>
      <c r="E27" t="s">
        <v>377</v>
      </c>
      <c r="F27" s="96">
        <v>45536</v>
      </c>
      <c r="G27" s="97">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98"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417</v>
      </c>
      <c r="B28" t="s">
        <v>240</v>
      </c>
      <c r="C28" t="s">
        <v>416</v>
      </c>
      <c r="D28" t="s">
        <v>241</v>
      </c>
      <c r="E28" t="s">
        <v>377</v>
      </c>
      <c r="F28" s="96">
        <v>45536</v>
      </c>
      <c r="G28" s="97">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98"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418</v>
      </c>
      <c r="B29" t="s">
        <v>419</v>
      </c>
      <c r="C29" t="s">
        <v>420</v>
      </c>
      <c r="D29" t="s">
        <v>421</v>
      </c>
      <c r="E29" t="s">
        <v>336</v>
      </c>
      <c r="F29" s="96">
        <v>45536</v>
      </c>
      <c r="G29" s="97">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98"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422</v>
      </c>
      <c r="B30" t="s">
        <v>423</v>
      </c>
      <c r="C30" t="s">
        <v>357</v>
      </c>
      <c r="D30" t="s">
        <v>358</v>
      </c>
      <c r="E30" t="s">
        <v>343</v>
      </c>
      <c r="F30" s="96">
        <v>45566</v>
      </c>
      <c r="G30" s="97">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98"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424</v>
      </c>
      <c r="B31" t="s">
        <v>234</v>
      </c>
      <c r="C31" t="s">
        <v>425</v>
      </c>
      <c r="D31" t="s">
        <v>235</v>
      </c>
      <c r="E31" t="s">
        <v>343</v>
      </c>
      <c r="F31" s="96">
        <v>45566</v>
      </c>
      <c r="G31" s="97">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98"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426</v>
      </c>
      <c r="B32" t="s">
        <v>427</v>
      </c>
      <c r="C32" t="s">
        <v>428</v>
      </c>
      <c r="D32" t="s">
        <v>429</v>
      </c>
      <c r="E32" t="s">
        <v>336</v>
      </c>
      <c r="F32" s="96">
        <v>45566</v>
      </c>
      <c r="G32" s="97">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98"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430</v>
      </c>
      <c r="B33" t="s">
        <v>431</v>
      </c>
      <c r="C33" t="s">
        <v>364</v>
      </c>
      <c r="D33" t="s">
        <v>231</v>
      </c>
      <c r="E33" t="s">
        <v>336</v>
      </c>
      <c r="F33" s="96">
        <v>45597</v>
      </c>
      <c r="G33" s="97">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98"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432</v>
      </c>
      <c r="B34" t="s">
        <v>238</v>
      </c>
      <c r="C34" t="s">
        <v>433</v>
      </c>
      <c r="D34" t="s">
        <v>239</v>
      </c>
      <c r="E34" t="s">
        <v>336</v>
      </c>
      <c r="F34" s="96">
        <v>45597</v>
      </c>
      <c r="G34" s="97">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98"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si="0"/>
        <v>0</v>
      </c>
      <c r="V34">
        <f t="shared" si="1"/>
        <v>0</v>
      </c>
    </row>
    <row r="35" spans="1:22" x14ac:dyDescent="0.35">
      <c r="A35" t="s">
        <v>434</v>
      </c>
      <c r="B35" t="s">
        <v>228</v>
      </c>
      <c r="C35" t="s">
        <v>354</v>
      </c>
      <c r="D35" t="s">
        <v>229</v>
      </c>
      <c r="E35" t="s">
        <v>336</v>
      </c>
      <c r="F35" s="96">
        <v>45597</v>
      </c>
      <c r="G35" s="97">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98"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0"/>
        <v>1</v>
      </c>
      <c r="V35">
        <f t="shared" si="1"/>
        <v>0</v>
      </c>
    </row>
    <row r="36" spans="1:22" x14ac:dyDescent="0.35">
      <c r="A36" t="s">
        <v>436</v>
      </c>
      <c r="B36" t="s">
        <v>437</v>
      </c>
      <c r="C36" t="s">
        <v>438</v>
      </c>
      <c r="D36" t="s">
        <v>439</v>
      </c>
      <c r="E36" t="s">
        <v>343</v>
      </c>
      <c r="F36" s="96">
        <v>45597</v>
      </c>
      <c r="G36" s="97">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98"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0"/>
        <v>0</v>
      </c>
      <c r="V36">
        <f t="shared" si="1"/>
        <v>0</v>
      </c>
    </row>
    <row r="37" spans="1:22" x14ac:dyDescent="0.35">
      <c r="A37" t="s">
        <v>440</v>
      </c>
      <c r="B37" t="s">
        <v>441</v>
      </c>
      <c r="C37" t="s">
        <v>442</v>
      </c>
      <c r="D37" t="s">
        <v>443</v>
      </c>
      <c r="E37" t="s">
        <v>336</v>
      </c>
      <c r="F37" s="96">
        <v>45627</v>
      </c>
      <c r="G37" s="97">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98"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0"/>
        <v>0</v>
      </c>
      <c r="V37">
        <f t="shared" si="1"/>
        <v>0</v>
      </c>
    </row>
    <row r="38" spans="1:22" x14ac:dyDescent="0.35">
      <c r="A38" t="s">
        <v>444</v>
      </c>
      <c r="B38" t="s">
        <v>445</v>
      </c>
      <c r="C38" t="s">
        <v>396</v>
      </c>
      <c r="D38" t="s">
        <v>397</v>
      </c>
      <c r="E38" t="s">
        <v>336</v>
      </c>
      <c r="F38" s="96">
        <v>45627</v>
      </c>
      <c r="G38" s="97">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98"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0"/>
        <v>0</v>
      </c>
      <c r="V38">
        <f t="shared" si="1"/>
        <v>0</v>
      </c>
    </row>
    <row r="39" spans="1:22" x14ac:dyDescent="0.35">
      <c r="A39" t="s">
        <v>446</v>
      </c>
      <c r="B39" t="s">
        <v>447</v>
      </c>
      <c r="C39" t="s">
        <v>367</v>
      </c>
      <c r="D39" t="s">
        <v>368</v>
      </c>
      <c r="E39" t="s">
        <v>343</v>
      </c>
      <c r="F39" s="96">
        <v>45627</v>
      </c>
      <c r="G39" s="97">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98"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0"/>
        <v>0</v>
      </c>
      <c r="V39">
        <f t="shared" si="1"/>
        <v>0</v>
      </c>
    </row>
    <row r="40" spans="1:22" x14ac:dyDescent="0.35">
      <c r="A40" t="s">
        <v>448</v>
      </c>
      <c r="B40" t="s">
        <v>230</v>
      </c>
      <c r="C40" t="s">
        <v>364</v>
      </c>
      <c r="D40" t="s">
        <v>231</v>
      </c>
      <c r="E40" t="s">
        <v>336</v>
      </c>
      <c r="F40" s="96">
        <v>45627</v>
      </c>
      <c r="G40" s="97">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98"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0"/>
        <v>0</v>
      </c>
      <c r="V40">
        <f t="shared" si="1"/>
        <v>0</v>
      </c>
    </row>
    <row r="41" spans="1:22" x14ac:dyDescent="0.35">
      <c r="A41" t="s">
        <v>449</v>
      </c>
      <c r="B41" t="s">
        <v>450</v>
      </c>
      <c r="C41" t="s">
        <v>451</v>
      </c>
      <c r="D41" t="s">
        <v>452</v>
      </c>
      <c r="E41" t="s">
        <v>336</v>
      </c>
      <c r="F41" s="96">
        <v>45627</v>
      </c>
      <c r="G41" s="97">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98"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0"/>
        <v>0</v>
      </c>
      <c r="V41">
        <f t="shared" si="1"/>
        <v>0</v>
      </c>
    </row>
    <row r="42" spans="1:22" x14ac:dyDescent="0.35">
      <c r="A42" t="s">
        <v>453</v>
      </c>
      <c r="B42" t="s">
        <v>454</v>
      </c>
      <c r="C42" t="s">
        <v>455</v>
      </c>
      <c r="D42" t="s">
        <v>456</v>
      </c>
      <c r="E42" t="s">
        <v>343</v>
      </c>
      <c r="F42" s="96">
        <v>45658</v>
      </c>
      <c r="G42" s="97">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98"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0"/>
        <v>0</v>
      </c>
      <c r="V42">
        <f t="shared" si="1"/>
        <v>0</v>
      </c>
    </row>
    <row r="43" spans="1:22" x14ac:dyDescent="0.35">
      <c r="A43" t="s">
        <v>457</v>
      </c>
      <c r="B43" t="s">
        <v>385</v>
      </c>
      <c r="C43" t="s">
        <v>386</v>
      </c>
      <c r="D43" t="s">
        <v>387</v>
      </c>
      <c r="E43" t="s">
        <v>336</v>
      </c>
      <c r="F43" s="96">
        <v>45658</v>
      </c>
      <c r="G43" s="97">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98"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0"/>
        <v>0</v>
      </c>
      <c r="V43">
        <f t="shared" si="1"/>
        <v>0</v>
      </c>
    </row>
    <row r="44" spans="1:22" x14ac:dyDescent="0.35">
      <c r="A44" t="s">
        <v>460</v>
      </c>
      <c r="B44" t="s">
        <v>232</v>
      </c>
      <c r="C44" t="s">
        <v>383</v>
      </c>
      <c r="D44" t="s">
        <v>233</v>
      </c>
      <c r="E44" t="s">
        <v>343</v>
      </c>
      <c r="F44" s="96">
        <v>45658</v>
      </c>
      <c r="G44" s="97">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98"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0"/>
        <v>1</v>
      </c>
      <c r="V44">
        <f t="shared" si="1"/>
        <v>0</v>
      </c>
    </row>
    <row r="45" spans="1:22" x14ac:dyDescent="0.35">
      <c r="A45" t="s">
        <v>462</v>
      </c>
      <c r="B45" t="s">
        <v>463</v>
      </c>
      <c r="C45" t="s">
        <v>464</v>
      </c>
      <c r="D45" t="s">
        <v>465</v>
      </c>
      <c r="E45" t="s">
        <v>377</v>
      </c>
      <c r="F45" s="96">
        <v>45658</v>
      </c>
      <c r="G45" s="97">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98"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0"/>
        <v>0</v>
      </c>
      <c r="V45">
        <f t="shared" si="1"/>
        <v>0</v>
      </c>
    </row>
    <row r="46" spans="1:22" x14ac:dyDescent="0.35">
      <c r="A46" t="s">
        <v>466</v>
      </c>
      <c r="B46" t="s">
        <v>467</v>
      </c>
      <c r="C46" t="s">
        <v>341</v>
      </c>
      <c r="D46" t="s">
        <v>342</v>
      </c>
      <c r="E46" t="s">
        <v>343</v>
      </c>
      <c r="F46" s="96">
        <v>45658</v>
      </c>
      <c r="G46" s="97">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98"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0"/>
        <v>0</v>
      </c>
      <c r="V46">
        <f t="shared" si="1"/>
        <v>0</v>
      </c>
    </row>
    <row r="47" spans="1:22" x14ac:dyDescent="0.35">
      <c r="A47" t="s">
        <v>468</v>
      </c>
      <c r="B47" t="s">
        <v>469</v>
      </c>
      <c r="C47" t="s">
        <v>425</v>
      </c>
      <c r="D47" t="s">
        <v>235</v>
      </c>
      <c r="E47" t="s">
        <v>343</v>
      </c>
      <c r="F47" s="96">
        <v>45658</v>
      </c>
      <c r="G47" s="97">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98"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0"/>
        <v>0</v>
      </c>
      <c r="V47">
        <f t="shared" si="1"/>
        <v>0</v>
      </c>
    </row>
    <row r="48" spans="1:22" x14ac:dyDescent="0.35">
      <c r="A48" t="s">
        <v>470</v>
      </c>
      <c r="B48" t="s">
        <v>471</v>
      </c>
      <c r="C48" t="s">
        <v>472</v>
      </c>
      <c r="D48" t="s">
        <v>473</v>
      </c>
      <c r="E48" t="s">
        <v>336</v>
      </c>
      <c r="F48" s="96">
        <v>45689</v>
      </c>
      <c r="G48" s="97">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98"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0"/>
        <v>0</v>
      </c>
      <c r="V48">
        <f t="shared" si="1"/>
        <v>0</v>
      </c>
    </row>
    <row r="49" spans="1:22" x14ac:dyDescent="0.35">
      <c r="A49" t="s">
        <v>474</v>
      </c>
      <c r="B49" t="s">
        <v>475</v>
      </c>
      <c r="C49" t="s">
        <v>371</v>
      </c>
      <c r="D49" t="s">
        <v>372</v>
      </c>
      <c r="E49" t="s">
        <v>336</v>
      </c>
      <c r="F49" s="96">
        <v>45689</v>
      </c>
      <c r="G49" s="97">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98"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0"/>
        <v>0</v>
      </c>
      <c r="V49">
        <f t="shared" si="1"/>
        <v>0</v>
      </c>
    </row>
    <row r="50" spans="1:22" x14ac:dyDescent="0.35">
      <c r="A50" t="s">
        <v>476</v>
      </c>
      <c r="B50" t="s">
        <v>477</v>
      </c>
      <c r="C50" t="s">
        <v>386</v>
      </c>
      <c r="D50" t="s">
        <v>387</v>
      </c>
      <c r="E50" t="s">
        <v>336</v>
      </c>
      <c r="F50" s="96">
        <v>45689</v>
      </c>
      <c r="G50" s="97">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98"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0"/>
        <v>0</v>
      </c>
      <c r="V50">
        <f t="shared" si="1"/>
        <v>0</v>
      </c>
    </row>
    <row r="51" spans="1:22" x14ac:dyDescent="0.35">
      <c r="A51" t="s">
        <v>478</v>
      </c>
      <c r="B51" t="s">
        <v>479</v>
      </c>
      <c r="C51" t="s">
        <v>480</v>
      </c>
      <c r="D51" t="s">
        <v>481</v>
      </c>
      <c r="E51" t="s">
        <v>343</v>
      </c>
      <c r="F51" s="96">
        <v>45689</v>
      </c>
      <c r="G51" s="97">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98"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0"/>
        <v>0</v>
      </c>
      <c r="V51">
        <f t="shared" si="1"/>
        <v>0</v>
      </c>
    </row>
    <row r="52" spans="1:22" x14ac:dyDescent="0.35">
      <c r="A52" t="s">
        <v>482</v>
      </c>
      <c r="B52" t="s">
        <v>483</v>
      </c>
      <c r="C52" t="s">
        <v>484</v>
      </c>
      <c r="D52" t="s">
        <v>485</v>
      </c>
      <c r="E52" t="s">
        <v>336</v>
      </c>
      <c r="F52" s="96">
        <v>45717</v>
      </c>
      <c r="G52" s="97">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98"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0"/>
        <v>0</v>
      </c>
      <c r="V52">
        <f t="shared" si="1"/>
        <v>0</v>
      </c>
    </row>
    <row r="53" spans="1:22" x14ac:dyDescent="0.35">
      <c r="A53" t="s">
        <v>486</v>
      </c>
      <c r="B53" t="s">
        <v>487</v>
      </c>
      <c r="C53" t="s">
        <v>438</v>
      </c>
      <c r="D53" t="s">
        <v>439</v>
      </c>
      <c r="E53" t="s">
        <v>343</v>
      </c>
      <c r="F53" s="96">
        <v>45717</v>
      </c>
      <c r="G53" s="97">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98"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0"/>
        <v>0</v>
      </c>
      <c r="V53">
        <f t="shared" si="1"/>
        <v>0</v>
      </c>
    </row>
    <row r="54" spans="1:22" x14ac:dyDescent="0.35">
      <c r="A54" t="s">
        <v>488</v>
      </c>
      <c r="B54" t="s">
        <v>370</v>
      </c>
      <c r="C54" t="s">
        <v>371</v>
      </c>
      <c r="D54" t="s">
        <v>372</v>
      </c>
      <c r="E54" t="s">
        <v>336</v>
      </c>
      <c r="F54" s="96">
        <v>45717</v>
      </c>
      <c r="G54" s="97">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98"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0"/>
        <v>0</v>
      </c>
      <c r="V54">
        <f t="shared" si="1"/>
        <v>0</v>
      </c>
    </row>
    <row r="55" spans="1:22" x14ac:dyDescent="0.35">
      <c r="A55" t="s">
        <v>491</v>
      </c>
      <c r="B55" t="s">
        <v>492</v>
      </c>
      <c r="C55" t="s">
        <v>410</v>
      </c>
      <c r="D55" t="s">
        <v>411</v>
      </c>
      <c r="E55" t="s">
        <v>343</v>
      </c>
      <c r="F55" s="96">
        <v>45717</v>
      </c>
      <c r="G55" s="97">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98"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0"/>
        <v>0</v>
      </c>
      <c r="V55">
        <f t="shared" si="1"/>
        <v>0</v>
      </c>
    </row>
    <row r="56" spans="1:22" x14ac:dyDescent="0.35">
      <c r="A56" t="s">
        <v>493</v>
      </c>
      <c r="B56" t="s">
        <v>467</v>
      </c>
      <c r="C56" t="s">
        <v>341</v>
      </c>
      <c r="D56" t="s">
        <v>342</v>
      </c>
      <c r="E56" t="s">
        <v>343</v>
      </c>
      <c r="F56" s="96">
        <v>45717</v>
      </c>
      <c r="G56" s="97">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98"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0"/>
        <v>0</v>
      </c>
      <c r="V56">
        <f t="shared" si="1"/>
        <v>0</v>
      </c>
    </row>
    <row r="57" spans="1:22" x14ac:dyDescent="0.35">
      <c r="A57" t="s">
        <v>496</v>
      </c>
      <c r="B57" t="s">
        <v>497</v>
      </c>
      <c r="C57" t="s">
        <v>498</v>
      </c>
      <c r="D57" t="s">
        <v>499</v>
      </c>
      <c r="E57" t="s">
        <v>343</v>
      </c>
      <c r="F57" s="96">
        <v>45717</v>
      </c>
      <c r="G57" s="97">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98"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0"/>
        <v>0</v>
      </c>
      <c r="V57">
        <f t="shared" si="1"/>
        <v>0</v>
      </c>
    </row>
    <row r="58" spans="1:22" x14ac:dyDescent="0.35">
      <c r="A58" t="s">
        <v>500</v>
      </c>
      <c r="B58" t="s">
        <v>415</v>
      </c>
      <c r="C58" t="s">
        <v>416</v>
      </c>
      <c r="D58" t="s">
        <v>241</v>
      </c>
      <c r="E58" t="s">
        <v>377</v>
      </c>
      <c r="F58" s="96">
        <v>45717</v>
      </c>
      <c r="G58" s="97">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98"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0"/>
        <v>0</v>
      </c>
      <c r="V58">
        <f t="shared" si="1"/>
        <v>0</v>
      </c>
    </row>
    <row r="59" spans="1:22" x14ac:dyDescent="0.35">
      <c r="A59" t="s">
        <v>503</v>
      </c>
      <c r="B59" t="s">
        <v>504</v>
      </c>
      <c r="C59" t="s">
        <v>505</v>
      </c>
      <c r="D59" t="s">
        <v>506</v>
      </c>
      <c r="E59" t="s">
        <v>336</v>
      </c>
      <c r="F59" s="96">
        <v>45717</v>
      </c>
      <c r="G59" s="97">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98"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0"/>
        <v>0</v>
      </c>
      <c r="V59">
        <f t="shared" si="1"/>
        <v>0</v>
      </c>
    </row>
    <row r="60" spans="1:22" x14ac:dyDescent="0.35">
      <c r="A60" t="s">
        <v>507</v>
      </c>
      <c r="B60" t="s">
        <v>454</v>
      </c>
      <c r="C60" t="s">
        <v>455</v>
      </c>
      <c r="D60" t="s">
        <v>456</v>
      </c>
      <c r="E60" t="s">
        <v>343</v>
      </c>
      <c r="F60" s="96">
        <v>45748</v>
      </c>
      <c r="G60" s="97">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98"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0"/>
        <v>0</v>
      </c>
      <c r="V60">
        <f t="shared" si="1"/>
        <v>0</v>
      </c>
    </row>
    <row r="61" spans="1:22" x14ac:dyDescent="0.35">
      <c r="A61" t="s">
        <v>508</v>
      </c>
      <c r="B61" t="s">
        <v>509</v>
      </c>
      <c r="C61" t="s">
        <v>510</v>
      </c>
      <c r="D61" t="s">
        <v>511</v>
      </c>
      <c r="E61" t="s">
        <v>336</v>
      </c>
      <c r="F61" s="96">
        <v>45748</v>
      </c>
      <c r="G61" s="97">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98"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0"/>
        <v>0</v>
      </c>
      <c r="V61">
        <f t="shared" si="1"/>
        <v>0</v>
      </c>
    </row>
    <row r="62" spans="1:22" x14ac:dyDescent="0.35">
      <c r="A62" t="s">
        <v>512</v>
      </c>
      <c r="B62" t="s">
        <v>379</v>
      </c>
      <c r="C62" t="s">
        <v>380</v>
      </c>
      <c r="D62" t="s">
        <v>237</v>
      </c>
      <c r="E62" t="s">
        <v>336</v>
      </c>
      <c r="F62" s="96">
        <v>45748</v>
      </c>
      <c r="G62" s="97">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98"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0"/>
        <v>0</v>
      </c>
      <c r="V62">
        <f t="shared" si="1"/>
        <v>0</v>
      </c>
    </row>
    <row r="63" spans="1:22" x14ac:dyDescent="0.35">
      <c r="A63" t="s">
        <v>514</v>
      </c>
      <c r="B63" t="s">
        <v>515</v>
      </c>
      <c r="C63" t="s">
        <v>428</v>
      </c>
      <c r="D63" t="s">
        <v>429</v>
      </c>
      <c r="E63" t="s">
        <v>336</v>
      </c>
      <c r="F63" s="96">
        <v>45748</v>
      </c>
      <c r="G63" s="97">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98"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0"/>
        <v>0</v>
      </c>
      <c r="V63">
        <f t="shared" si="1"/>
        <v>0</v>
      </c>
    </row>
    <row r="64" spans="1:22" x14ac:dyDescent="0.35">
      <c r="A64" t="s">
        <v>516</v>
      </c>
      <c r="B64" t="s">
        <v>517</v>
      </c>
      <c r="C64" t="s">
        <v>518</v>
      </c>
      <c r="D64" t="s">
        <v>519</v>
      </c>
      <c r="E64" t="s">
        <v>343</v>
      </c>
      <c r="F64" s="96">
        <v>45748</v>
      </c>
      <c r="G64" s="97">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98"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0"/>
        <v>0</v>
      </c>
      <c r="V64">
        <f t="shared" si="1"/>
        <v>0</v>
      </c>
    </row>
    <row r="65" spans="1:22" x14ac:dyDescent="0.35">
      <c r="A65" t="s">
        <v>520</v>
      </c>
      <c r="B65" t="s">
        <v>350</v>
      </c>
      <c r="C65" t="s">
        <v>351</v>
      </c>
      <c r="D65" t="s">
        <v>243</v>
      </c>
      <c r="E65" t="s">
        <v>343</v>
      </c>
      <c r="F65" s="96">
        <v>45778</v>
      </c>
      <c r="G65" s="97">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98"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0"/>
        <v>0</v>
      </c>
      <c r="V65">
        <f t="shared" si="1"/>
        <v>0</v>
      </c>
    </row>
    <row r="66" spans="1:22" x14ac:dyDescent="0.35">
      <c r="A66" t="s">
        <v>522</v>
      </c>
      <c r="B66" t="s">
        <v>523</v>
      </c>
      <c r="C66" t="s">
        <v>524</v>
      </c>
      <c r="D66" t="s">
        <v>525</v>
      </c>
      <c r="E66" t="s">
        <v>377</v>
      </c>
      <c r="F66" s="96">
        <v>45778</v>
      </c>
      <c r="G66" s="97">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98"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si="0"/>
        <v>0</v>
      </c>
      <c r="V66">
        <f t="shared" si="1"/>
        <v>0</v>
      </c>
    </row>
    <row r="67" spans="1:22" x14ac:dyDescent="0.35">
      <c r="A67" t="s">
        <v>526</v>
      </c>
      <c r="B67" t="s">
        <v>527</v>
      </c>
      <c r="C67" t="s">
        <v>383</v>
      </c>
      <c r="D67" t="s">
        <v>233</v>
      </c>
      <c r="E67" t="s">
        <v>343</v>
      </c>
      <c r="F67" s="96">
        <v>45778</v>
      </c>
      <c r="G67" s="97">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98"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ref="U67:U98" si="2">IF(H67&lt;&gt;"cancelled",0,IF(COUNTIFS($C$2:$C$98,$C67,$H$2:$H$98,"created",$F$2:$F$98,"&lt;="&amp;F67)-COUNTIFS($C$2:$C$98,$C67,$H$2:$H$98,"cancelled",$F$2:$F$98,"&lt;="&amp;F67)=0,1,0))</f>
        <v>0</v>
      </c>
      <c r="V67">
        <f t="shared" ref="V67:V98" si="3">IF(AND(H67="created",T67=0,COUNTIFS($C$2:$C$98,$C67,$H$2:$H$98,"cancelled",$F$2:$F$98,"&lt;"&amp;F67)&gt;0,COUNTIFS($C$2:$C$98,$C67,$H$2:$H$98,"created",$F$2:$F$98,"&lt;"&amp;F67)-COUNTIFS($C$2:$C$98,$C67,$H$2:$H$98,"cancelled",$F$2:$F$98,"&lt;"&amp;F67)=0),1,0)</f>
        <v>1</v>
      </c>
    </row>
    <row r="68" spans="1:22" x14ac:dyDescent="0.35">
      <c r="A68" t="s">
        <v>529</v>
      </c>
      <c r="B68" t="s">
        <v>530</v>
      </c>
      <c r="C68" t="s">
        <v>442</v>
      </c>
      <c r="D68" t="s">
        <v>443</v>
      </c>
      <c r="E68" t="s">
        <v>336</v>
      </c>
      <c r="F68" s="96">
        <v>45778</v>
      </c>
      <c r="G68" s="97">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98"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2"/>
        <v>0</v>
      </c>
      <c r="V68">
        <f t="shared" si="3"/>
        <v>0</v>
      </c>
    </row>
    <row r="69" spans="1:22" x14ac:dyDescent="0.35">
      <c r="A69" t="s">
        <v>531</v>
      </c>
      <c r="B69" t="s">
        <v>234</v>
      </c>
      <c r="C69" t="s">
        <v>425</v>
      </c>
      <c r="D69" t="s">
        <v>235</v>
      </c>
      <c r="E69" t="s">
        <v>343</v>
      </c>
      <c r="F69" s="96">
        <v>45778</v>
      </c>
      <c r="G69" s="97">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98"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2"/>
        <v>0</v>
      </c>
      <c r="V69">
        <f t="shared" si="3"/>
        <v>0</v>
      </c>
    </row>
    <row r="70" spans="1:22" x14ac:dyDescent="0.35">
      <c r="A70" t="s">
        <v>533</v>
      </c>
      <c r="B70" t="s">
        <v>534</v>
      </c>
      <c r="C70" t="s">
        <v>535</v>
      </c>
      <c r="D70" t="s">
        <v>536</v>
      </c>
      <c r="E70" t="s">
        <v>336</v>
      </c>
      <c r="F70" s="96">
        <v>45778</v>
      </c>
      <c r="G70" s="97">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98"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2"/>
        <v>0</v>
      </c>
      <c r="V70">
        <f t="shared" si="3"/>
        <v>0</v>
      </c>
    </row>
    <row r="71" spans="1:22" x14ac:dyDescent="0.35">
      <c r="A71" t="s">
        <v>537</v>
      </c>
      <c r="B71" t="s">
        <v>409</v>
      </c>
      <c r="C71" t="s">
        <v>410</v>
      </c>
      <c r="D71" t="s">
        <v>411</v>
      </c>
      <c r="E71" t="s">
        <v>343</v>
      </c>
      <c r="F71" s="96">
        <v>45809</v>
      </c>
      <c r="G71" s="97">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98"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2"/>
        <v>0</v>
      </c>
      <c r="V71">
        <f t="shared" si="3"/>
        <v>0</v>
      </c>
    </row>
    <row r="72" spans="1:22" x14ac:dyDescent="0.35">
      <c r="A72" t="s">
        <v>539</v>
      </c>
      <c r="B72" t="s">
        <v>540</v>
      </c>
      <c r="C72" t="s">
        <v>455</v>
      </c>
      <c r="D72" t="s">
        <v>456</v>
      </c>
      <c r="E72" t="s">
        <v>343</v>
      </c>
      <c r="F72" s="96">
        <v>45809</v>
      </c>
      <c r="G72" s="97">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98"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2"/>
        <v>0</v>
      </c>
      <c r="V72">
        <f t="shared" si="3"/>
        <v>0</v>
      </c>
    </row>
    <row r="73" spans="1:22" x14ac:dyDescent="0.35">
      <c r="A73" t="s">
        <v>541</v>
      </c>
      <c r="B73" t="s">
        <v>542</v>
      </c>
      <c r="C73" t="s">
        <v>543</v>
      </c>
      <c r="D73" t="s">
        <v>544</v>
      </c>
      <c r="E73" t="s">
        <v>343</v>
      </c>
      <c r="F73" s="96">
        <v>45809</v>
      </c>
      <c r="G73" s="97">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98"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2"/>
        <v>0</v>
      </c>
      <c r="V73">
        <f t="shared" si="3"/>
        <v>0</v>
      </c>
    </row>
    <row r="74" spans="1:22" x14ac:dyDescent="0.35">
      <c r="A74" t="s">
        <v>545</v>
      </c>
      <c r="B74" t="s">
        <v>236</v>
      </c>
      <c r="C74" t="s">
        <v>380</v>
      </c>
      <c r="D74" t="s">
        <v>237</v>
      </c>
      <c r="E74" t="s">
        <v>336</v>
      </c>
      <c r="F74" s="96">
        <v>45809</v>
      </c>
      <c r="G74" s="97">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98"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2"/>
        <v>0</v>
      </c>
      <c r="V74">
        <f t="shared" si="3"/>
        <v>0</v>
      </c>
    </row>
    <row r="75" spans="1:22" x14ac:dyDescent="0.35">
      <c r="A75" t="s">
        <v>547</v>
      </c>
      <c r="B75" t="s">
        <v>450</v>
      </c>
      <c r="C75" t="s">
        <v>451</v>
      </c>
      <c r="D75" t="s">
        <v>452</v>
      </c>
      <c r="E75" t="s">
        <v>336</v>
      </c>
      <c r="F75" s="96">
        <v>45809</v>
      </c>
      <c r="G75" s="97">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98"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2"/>
        <v>0</v>
      </c>
      <c r="V75">
        <f t="shared" si="3"/>
        <v>0</v>
      </c>
    </row>
    <row r="76" spans="1:22" x14ac:dyDescent="0.35">
      <c r="A76" t="s">
        <v>550</v>
      </c>
      <c r="B76" t="s">
        <v>551</v>
      </c>
      <c r="C76" t="s">
        <v>552</v>
      </c>
      <c r="D76" t="s">
        <v>553</v>
      </c>
      <c r="E76" t="s">
        <v>336</v>
      </c>
      <c r="F76" s="96">
        <v>45809</v>
      </c>
      <c r="G76" s="97">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98"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2"/>
        <v>0</v>
      </c>
      <c r="V76">
        <f t="shared" si="3"/>
        <v>0</v>
      </c>
    </row>
    <row r="77" spans="1:22" x14ac:dyDescent="0.35">
      <c r="A77" t="s">
        <v>554</v>
      </c>
      <c r="B77" t="s">
        <v>238</v>
      </c>
      <c r="C77" t="s">
        <v>433</v>
      </c>
      <c r="D77" t="s">
        <v>239</v>
      </c>
      <c r="E77" t="s">
        <v>336</v>
      </c>
      <c r="F77" s="96">
        <v>45809</v>
      </c>
      <c r="G77" s="97">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98"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2"/>
        <v>1</v>
      </c>
      <c r="V77">
        <f t="shared" si="3"/>
        <v>0</v>
      </c>
    </row>
    <row r="78" spans="1:22" x14ac:dyDescent="0.35">
      <c r="A78" t="s">
        <v>555</v>
      </c>
      <c r="B78" t="s">
        <v>431</v>
      </c>
      <c r="C78" t="s">
        <v>364</v>
      </c>
      <c r="D78" t="s">
        <v>231</v>
      </c>
      <c r="E78" t="s">
        <v>336</v>
      </c>
      <c r="F78" s="96">
        <v>45839</v>
      </c>
      <c r="G78" s="97">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98"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2"/>
        <v>0</v>
      </c>
      <c r="V78">
        <f t="shared" si="3"/>
        <v>0</v>
      </c>
    </row>
    <row r="79" spans="1:22" x14ac:dyDescent="0.35">
      <c r="A79" t="s">
        <v>556</v>
      </c>
      <c r="B79" t="s">
        <v>240</v>
      </c>
      <c r="C79" t="s">
        <v>416</v>
      </c>
      <c r="D79" t="s">
        <v>241</v>
      </c>
      <c r="E79" t="s">
        <v>377</v>
      </c>
      <c r="F79" s="96">
        <v>45839</v>
      </c>
      <c r="G79" s="97">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98"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2"/>
        <v>0</v>
      </c>
      <c r="V79">
        <f t="shared" si="3"/>
        <v>0</v>
      </c>
    </row>
    <row r="80" spans="1:22" x14ac:dyDescent="0.35">
      <c r="A80" t="s">
        <v>558</v>
      </c>
      <c r="B80" t="s">
        <v>374</v>
      </c>
      <c r="C80" t="s">
        <v>375</v>
      </c>
      <c r="D80" t="s">
        <v>376</v>
      </c>
      <c r="E80" t="s">
        <v>377</v>
      </c>
      <c r="F80" s="96">
        <v>45839</v>
      </c>
      <c r="G80" s="97">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98"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2"/>
        <v>0</v>
      </c>
      <c r="V80">
        <f t="shared" si="3"/>
        <v>0</v>
      </c>
    </row>
    <row r="81" spans="1:22" x14ac:dyDescent="0.35">
      <c r="A81" t="s">
        <v>560</v>
      </c>
      <c r="B81" t="s">
        <v>471</v>
      </c>
      <c r="C81" t="s">
        <v>472</v>
      </c>
      <c r="D81" t="s">
        <v>473</v>
      </c>
      <c r="E81" t="s">
        <v>336</v>
      </c>
      <c r="F81" s="96">
        <v>45870</v>
      </c>
      <c r="G81" s="97">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98"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2"/>
        <v>0</v>
      </c>
      <c r="V81">
        <f t="shared" si="3"/>
        <v>0</v>
      </c>
    </row>
    <row r="82" spans="1:22" x14ac:dyDescent="0.35">
      <c r="A82" t="s">
        <v>562</v>
      </c>
      <c r="B82" t="s">
        <v>497</v>
      </c>
      <c r="C82" t="s">
        <v>498</v>
      </c>
      <c r="D82" t="s">
        <v>499</v>
      </c>
      <c r="E82" t="s">
        <v>343</v>
      </c>
      <c r="F82" s="96">
        <v>45870</v>
      </c>
      <c r="G82" s="97">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98"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2"/>
        <v>0</v>
      </c>
      <c r="V82">
        <f t="shared" si="3"/>
        <v>0</v>
      </c>
    </row>
    <row r="83" spans="1:22" x14ac:dyDescent="0.35">
      <c r="A83" t="s">
        <v>564</v>
      </c>
      <c r="B83" t="s">
        <v>399</v>
      </c>
      <c r="C83" t="s">
        <v>400</v>
      </c>
      <c r="D83" t="s">
        <v>401</v>
      </c>
      <c r="E83" t="s">
        <v>336</v>
      </c>
      <c r="F83" s="96">
        <v>45870</v>
      </c>
      <c r="G83" s="97">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98"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2"/>
        <v>0</v>
      </c>
      <c r="V83">
        <f t="shared" si="3"/>
        <v>0</v>
      </c>
    </row>
    <row r="84" spans="1:22" x14ac:dyDescent="0.35">
      <c r="A84" t="s">
        <v>566</v>
      </c>
      <c r="B84" t="s">
        <v>427</v>
      </c>
      <c r="C84" t="s">
        <v>428</v>
      </c>
      <c r="D84" t="s">
        <v>429</v>
      </c>
      <c r="E84" t="s">
        <v>336</v>
      </c>
      <c r="F84" s="96">
        <v>45870</v>
      </c>
      <c r="G84" s="97">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98"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2"/>
        <v>0</v>
      </c>
      <c r="V84">
        <f t="shared" si="3"/>
        <v>0</v>
      </c>
    </row>
    <row r="85" spans="1:22" x14ac:dyDescent="0.35">
      <c r="A85" t="s">
        <v>568</v>
      </c>
      <c r="B85" t="s">
        <v>242</v>
      </c>
      <c r="C85" t="s">
        <v>351</v>
      </c>
      <c r="D85" t="s">
        <v>243</v>
      </c>
      <c r="E85" t="s">
        <v>343</v>
      </c>
      <c r="F85" s="96">
        <v>45870</v>
      </c>
      <c r="G85" s="97">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98"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2"/>
        <v>0</v>
      </c>
      <c r="V85">
        <f t="shared" si="3"/>
        <v>0</v>
      </c>
    </row>
    <row r="86" spans="1:22" x14ac:dyDescent="0.35">
      <c r="A86" t="s">
        <v>569</v>
      </c>
      <c r="B86" t="s">
        <v>479</v>
      </c>
      <c r="C86" t="s">
        <v>480</v>
      </c>
      <c r="D86" t="s">
        <v>481</v>
      </c>
      <c r="E86" t="s">
        <v>343</v>
      </c>
      <c r="F86" s="96">
        <v>45901</v>
      </c>
      <c r="G86" s="97">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98"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2"/>
        <v>0</v>
      </c>
      <c r="V86">
        <f t="shared" si="3"/>
        <v>0</v>
      </c>
    </row>
    <row r="87" spans="1:22" x14ac:dyDescent="0.35">
      <c r="A87" t="s">
        <v>571</v>
      </c>
      <c r="B87" t="s">
        <v>540</v>
      </c>
      <c r="C87" t="s">
        <v>455</v>
      </c>
      <c r="D87" t="s">
        <v>456</v>
      </c>
      <c r="E87" t="s">
        <v>343</v>
      </c>
      <c r="F87" s="96">
        <v>45901</v>
      </c>
      <c r="G87" s="97">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98"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2"/>
        <v>0</v>
      </c>
      <c r="V87">
        <f t="shared" si="3"/>
        <v>0</v>
      </c>
    </row>
    <row r="88" spans="1:22" x14ac:dyDescent="0.35">
      <c r="A88" t="s">
        <v>573</v>
      </c>
      <c r="B88" t="s">
        <v>504</v>
      </c>
      <c r="C88" t="s">
        <v>505</v>
      </c>
      <c r="D88" t="s">
        <v>506</v>
      </c>
      <c r="E88" t="s">
        <v>336</v>
      </c>
      <c r="F88" s="96">
        <v>45901</v>
      </c>
      <c r="G88" s="97">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98"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2"/>
        <v>0</v>
      </c>
      <c r="V88">
        <f t="shared" si="3"/>
        <v>0</v>
      </c>
    </row>
    <row r="89" spans="1:22" x14ac:dyDescent="0.35">
      <c r="A89" t="s">
        <v>575</v>
      </c>
      <c r="B89" t="s">
        <v>437</v>
      </c>
      <c r="C89" t="s">
        <v>438</v>
      </c>
      <c r="D89" t="s">
        <v>439</v>
      </c>
      <c r="E89" t="s">
        <v>343</v>
      </c>
      <c r="F89" s="96">
        <v>45931</v>
      </c>
      <c r="G89" s="97">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98"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2"/>
        <v>0</v>
      </c>
      <c r="V89">
        <f t="shared" si="3"/>
        <v>0</v>
      </c>
    </row>
    <row r="90" spans="1:22" x14ac:dyDescent="0.35">
      <c r="A90" t="s">
        <v>577</v>
      </c>
      <c r="B90" t="s">
        <v>578</v>
      </c>
      <c r="C90" t="s">
        <v>433</v>
      </c>
      <c r="D90" t="s">
        <v>239</v>
      </c>
      <c r="E90" t="s">
        <v>336</v>
      </c>
      <c r="F90" s="96">
        <v>45931</v>
      </c>
      <c r="G90" s="97">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98"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2"/>
        <v>0</v>
      </c>
      <c r="V90">
        <f t="shared" si="3"/>
        <v>1</v>
      </c>
    </row>
    <row r="91" spans="1:22" x14ac:dyDescent="0.35">
      <c r="A91" t="s">
        <v>579</v>
      </c>
      <c r="B91" t="s">
        <v>523</v>
      </c>
      <c r="C91" t="s">
        <v>524</v>
      </c>
      <c r="D91" t="s">
        <v>525</v>
      </c>
      <c r="E91" t="s">
        <v>377</v>
      </c>
      <c r="F91" s="96">
        <v>45931</v>
      </c>
      <c r="G91" s="97">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98"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2"/>
        <v>0</v>
      </c>
      <c r="V91">
        <f t="shared" si="3"/>
        <v>0</v>
      </c>
    </row>
    <row r="92" spans="1:22" x14ac:dyDescent="0.35">
      <c r="A92" t="s">
        <v>581</v>
      </c>
      <c r="B92" t="s">
        <v>244</v>
      </c>
      <c r="C92" t="s">
        <v>391</v>
      </c>
      <c r="D92" t="s">
        <v>245</v>
      </c>
      <c r="E92" t="s">
        <v>343</v>
      </c>
      <c r="F92" s="96">
        <v>45962</v>
      </c>
      <c r="G92" s="97">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98"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2"/>
        <v>0</v>
      </c>
      <c r="V92">
        <f t="shared" si="3"/>
        <v>0</v>
      </c>
    </row>
    <row r="93" spans="1:22" x14ac:dyDescent="0.35">
      <c r="A93" t="s">
        <v>583</v>
      </c>
      <c r="B93" t="s">
        <v>551</v>
      </c>
      <c r="C93" t="s">
        <v>552</v>
      </c>
      <c r="D93" t="s">
        <v>553</v>
      </c>
      <c r="E93" t="s">
        <v>336</v>
      </c>
      <c r="F93" s="96">
        <v>45962</v>
      </c>
      <c r="G93" s="97">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98"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2"/>
        <v>0</v>
      </c>
      <c r="V93">
        <f t="shared" si="3"/>
        <v>0</v>
      </c>
    </row>
    <row r="94" spans="1:22" x14ac:dyDescent="0.35">
      <c r="A94" t="s">
        <v>585</v>
      </c>
      <c r="B94" t="s">
        <v>515</v>
      </c>
      <c r="C94" t="s">
        <v>428</v>
      </c>
      <c r="D94" t="s">
        <v>429</v>
      </c>
      <c r="E94" t="s">
        <v>336</v>
      </c>
      <c r="F94" s="96">
        <v>45992</v>
      </c>
      <c r="G94" s="97">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98"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2"/>
        <v>0</v>
      </c>
      <c r="V94">
        <f t="shared" si="3"/>
        <v>0</v>
      </c>
    </row>
    <row r="95" spans="1:22" x14ac:dyDescent="0.35">
      <c r="A95" t="s">
        <v>587</v>
      </c>
      <c r="B95" t="s">
        <v>246</v>
      </c>
      <c r="C95" t="s">
        <v>361</v>
      </c>
      <c r="D95" t="s">
        <v>247</v>
      </c>
      <c r="E95" t="s">
        <v>336</v>
      </c>
      <c r="F95" s="96">
        <v>45992</v>
      </c>
      <c r="G95" s="97">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98"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2"/>
        <v>0</v>
      </c>
      <c r="V95">
        <f t="shared" si="3"/>
        <v>0</v>
      </c>
    </row>
    <row r="96" spans="1:22" x14ac:dyDescent="0.35">
      <c r="A96" t="s">
        <v>589</v>
      </c>
      <c r="B96" t="s">
        <v>244</v>
      </c>
      <c r="C96" t="s">
        <v>391</v>
      </c>
      <c r="D96" t="s">
        <v>245</v>
      </c>
      <c r="E96" t="s">
        <v>343</v>
      </c>
      <c r="F96" s="96">
        <v>45992</v>
      </c>
      <c r="G96" s="97">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98"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2"/>
        <v>0</v>
      </c>
      <c r="V96">
        <f t="shared" si="3"/>
        <v>0</v>
      </c>
    </row>
    <row r="97" spans="1:22" x14ac:dyDescent="0.35">
      <c r="A97" t="s">
        <v>590</v>
      </c>
      <c r="B97" t="s">
        <v>591</v>
      </c>
      <c r="C97" t="s">
        <v>592</v>
      </c>
      <c r="D97" t="s">
        <v>593</v>
      </c>
      <c r="E97" t="s">
        <v>343</v>
      </c>
      <c r="F97" s="96">
        <v>46023</v>
      </c>
      <c r="G97" s="97">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98"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2"/>
        <v>0</v>
      </c>
      <c r="V97">
        <f t="shared" si="3"/>
        <v>0</v>
      </c>
    </row>
    <row r="98" spans="1:22" x14ac:dyDescent="0.35">
      <c r="A98" t="s">
        <v>594</v>
      </c>
      <c r="B98" t="s">
        <v>246</v>
      </c>
      <c r="C98" t="s">
        <v>361</v>
      </c>
      <c r="D98" t="s">
        <v>247</v>
      </c>
      <c r="E98" t="s">
        <v>336</v>
      </c>
      <c r="F98" s="96">
        <v>46054</v>
      </c>
      <c r="G98" s="97">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98"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2"/>
        <v>0</v>
      </c>
      <c r="V98">
        <f t="shared" si="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2"/>
  <sheetViews>
    <sheetView workbookViewId="0">
      <pane ySplit="1" topLeftCell="A2" activePane="bottomLeft" state="frozen"/>
      <selection pane="bottomLeft" activeCell="M26" sqref="M26"/>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SUMIFS(Engine!$S$2:$S$98, Engine!$R$2:$R$98, "New", Engine!$F$2:$F$98, Waterfall!A3)</f>
        <v>5800</v>
      </c>
      <c r="D3" s="39">
        <f>SUMIFS(Engine!$S$2:$S$98, Engine!$R$2:$R$98, "Expansion", Engine!$F$2:$F$98, Waterfall!A3)</f>
        <v>0</v>
      </c>
      <c r="E3" s="38">
        <f>SUMIFS(Engine!$S$2:$S$98, Engine!$R$2:$R$98, "Contraction", Engine!$F$2:$F$98, Waterfall!A3)</f>
        <v>0</v>
      </c>
      <c r="F3" s="38">
        <f>SUMIFS(Engine!$S$2:$S$98, Engine!$R$2:$R$98, "Churned", Engine!$F$2:$F$98, Waterfall!A3)</f>
        <v>0</v>
      </c>
      <c r="G3" s="38">
        <f>C3+D3+E3+F3</f>
        <v>5800</v>
      </c>
      <c r="H3" s="38">
        <f>B3+G3</f>
        <v>5800</v>
      </c>
    </row>
    <row r="4" spans="1:8" x14ac:dyDescent="0.35">
      <c r="A4" s="37">
        <v>45323</v>
      </c>
      <c r="B4" s="38">
        <f>H3</f>
        <v>5800</v>
      </c>
      <c r="C4" s="39">
        <f>SUMIFS(Engine!$S$2:$S$98, Engine!$R$2:$R$98, "New", Engine!$F$2:$F$98, Waterfall!A4)</f>
        <v>8615</v>
      </c>
      <c r="D4" s="39">
        <f>SUMIFS(Engine!$S$2:$S$98, Engine!$R$2:$R$98, "Expansion", Engine!$F$2:$F$98, Waterfall!A4)</f>
        <v>0</v>
      </c>
      <c r="E4" s="38">
        <f>SUMIFS(Engine!$S$2:$S$98, Engine!$R$2:$R$98, "Contraction", Engine!$F$2:$F$98, Waterfall!A4)</f>
        <v>0</v>
      </c>
      <c r="F4" s="38">
        <f>SUMIFS(Engine!$S$2:$S$98, Engine!$R$2:$R$98, "Churned", Engine!$F$2:$F$98, Waterfall!A4)</f>
        <v>0</v>
      </c>
      <c r="G4" s="38">
        <f t="shared" ref="G4:G28" si="0">C4+D4+E4+F4</f>
        <v>8615</v>
      </c>
      <c r="H4" s="38">
        <f t="shared" ref="H4:H28" si="1">B4+G4</f>
        <v>14415</v>
      </c>
    </row>
    <row r="5" spans="1:8" x14ac:dyDescent="0.35">
      <c r="A5" s="37">
        <v>45352</v>
      </c>
      <c r="B5" s="38">
        <f t="shared" ref="B5:B28" si="2">H4</f>
        <v>14415</v>
      </c>
      <c r="C5" s="39">
        <f>SUMIFS(Engine!$S$2:$S$98, Engine!$R$2:$R$98, "New", Engine!$F$2:$F$98, Waterfall!A5)</f>
        <v>6075</v>
      </c>
      <c r="D5" s="39">
        <f>SUMIFS(Engine!$S$2:$S$98, Engine!$R$2:$R$98, "Expansion", Engine!$F$2:$F$98, Waterfall!A5)</f>
        <v>0</v>
      </c>
      <c r="E5" s="38">
        <f>SUMIFS(Engine!$S$2:$S$98, Engine!$R$2:$R$98, "Contraction", Engine!$F$2:$F$98, Waterfall!A5)</f>
        <v>0</v>
      </c>
      <c r="F5" s="38">
        <f>SUMIFS(Engine!$S$2:$S$98, Engine!$R$2:$R$98, "Churned", Engine!$F$2:$F$98, Waterfall!A5)</f>
        <v>0</v>
      </c>
      <c r="G5" s="38">
        <f t="shared" si="0"/>
        <v>6075</v>
      </c>
      <c r="H5" s="38">
        <f t="shared" si="1"/>
        <v>20490</v>
      </c>
    </row>
    <row r="6" spans="1:8" x14ac:dyDescent="0.35">
      <c r="A6" s="37">
        <v>45383</v>
      </c>
      <c r="B6" s="38">
        <f t="shared" si="2"/>
        <v>20490</v>
      </c>
      <c r="C6" s="39">
        <f>SUMIFS(Engine!$S$2:$S$98, Engine!$R$2:$R$98, "New", Engine!$F$2:$F$98, Waterfall!A6)</f>
        <v>9444</v>
      </c>
      <c r="D6" s="39">
        <f>SUMIFS(Engine!$S$2:$S$98, Engine!$R$2:$R$98, "Expansion", Engine!$F$2:$F$98, Waterfall!A6)</f>
        <v>0</v>
      </c>
      <c r="E6" s="38">
        <f>SUMIFS(Engine!$S$2:$S$98, Engine!$R$2:$R$98, "Contraction", Engine!$F$2:$F$98, Waterfall!A6)</f>
        <v>0</v>
      </c>
      <c r="F6" s="38">
        <f>SUMIFS(Engine!$S$2:$S$98, Engine!$R$2:$R$98, "Churned", Engine!$F$2:$F$98, Waterfall!A6)</f>
        <v>0</v>
      </c>
      <c r="G6" s="38">
        <f t="shared" si="0"/>
        <v>9444</v>
      </c>
      <c r="H6" s="38">
        <f t="shared" si="1"/>
        <v>29934</v>
      </c>
    </row>
    <row r="7" spans="1:8" x14ac:dyDescent="0.35">
      <c r="A7" s="37">
        <v>45413</v>
      </c>
      <c r="B7" s="38">
        <f t="shared" si="2"/>
        <v>29934</v>
      </c>
      <c r="C7" s="39">
        <f>SUMIFS(Engine!$S$2:$S$98, Engine!$R$2:$R$98, "New", Engine!$F$2:$F$98, Waterfall!A7)</f>
        <v>2565</v>
      </c>
      <c r="D7" s="39">
        <f>SUMIFS(Engine!$S$2:$S$98, Engine!$R$2:$R$98, "Expansion", Engine!$F$2:$F$98, Waterfall!A7)</f>
        <v>0</v>
      </c>
      <c r="E7" s="38">
        <f>SUMIFS(Engine!$S$2:$S$98, Engine!$R$2:$R$98, "Contraction", Engine!$F$2:$F$98, Waterfall!A7)</f>
        <v>0</v>
      </c>
      <c r="F7" s="38">
        <f>SUMIFS(Engine!$S$2:$S$98, Engine!$R$2:$R$98, "Churned", Engine!$F$2:$F$98, Waterfall!A7)</f>
        <v>0</v>
      </c>
      <c r="G7" s="38">
        <f t="shared" si="0"/>
        <v>2565</v>
      </c>
      <c r="H7" s="38">
        <f t="shared" si="1"/>
        <v>32499</v>
      </c>
    </row>
    <row r="8" spans="1:8" x14ac:dyDescent="0.35">
      <c r="A8" s="37">
        <v>45444</v>
      </c>
      <c r="B8" s="38">
        <f t="shared" si="2"/>
        <v>32499</v>
      </c>
      <c r="C8" s="39">
        <f>SUMIFS(Engine!$S$2:$S$98, Engine!$R$2:$R$98, "New", Engine!$F$2:$F$98, Waterfall!A8)</f>
        <v>3490</v>
      </c>
      <c r="D8" s="39">
        <f>SUMIFS(Engine!$S$2:$S$98, Engine!$R$2:$R$98, "Expansion", Engine!$F$2:$F$98, Waterfall!A8)</f>
        <v>0</v>
      </c>
      <c r="E8" s="38">
        <f>SUMIFS(Engine!$S$2:$S$98, Engine!$R$2:$R$98, "Contraction", Engine!$F$2:$F$98, Waterfall!A8)</f>
        <v>0</v>
      </c>
      <c r="F8" s="38">
        <f>SUMIFS(Engine!$S$2:$S$98, Engine!$R$2:$R$98, "Churned", Engine!$F$2:$F$98, Waterfall!A8)</f>
        <v>0</v>
      </c>
      <c r="G8" s="38">
        <f t="shared" si="0"/>
        <v>3490</v>
      </c>
      <c r="H8" s="38">
        <f t="shared" si="1"/>
        <v>35989</v>
      </c>
    </row>
    <row r="9" spans="1:8" x14ac:dyDescent="0.35">
      <c r="A9" s="37">
        <v>45474</v>
      </c>
      <c r="B9" s="38">
        <f t="shared" si="2"/>
        <v>35989</v>
      </c>
      <c r="C9" s="39">
        <f>SUMIFS(Engine!$S$2:$S$98, Engine!$R$2:$R$98, "New", Engine!$F$2:$F$98, Waterfall!A9)</f>
        <v>9364.5</v>
      </c>
      <c r="D9" s="39">
        <f>SUMIFS(Engine!$S$2:$S$98, Engine!$R$2:$R$98, "Expansion", Engine!$F$2:$F$98, Waterfall!A9)</f>
        <v>0</v>
      </c>
      <c r="E9" s="38">
        <f>SUMIFS(Engine!$S$2:$S$98, Engine!$R$2:$R$98, "Contraction", Engine!$F$2:$F$98, Waterfall!A9)</f>
        <v>0</v>
      </c>
      <c r="F9" s="38">
        <f>SUMIFS(Engine!$S$2:$S$98, Engine!$R$2:$R$98, "Churned", Engine!$F$2:$F$98, Waterfall!A9)</f>
        <v>0</v>
      </c>
      <c r="G9" s="38">
        <f t="shared" si="0"/>
        <v>9364.5</v>
      </c>
      <c r="H9" s="38">
        <f t="shared" si="1"/>
        <v>45353.5</v>
      </c>
    </row>
    <row r="10" spans="1:8" x14ac:dyDescent="0.35">
      <c r="A10" s="37">
        <v>45505</v>
      </c>
      <c r="B10" s="38">
        <f t="shared" si="2"/>
        <v>45353.5</v>
      </c>
      <c r="C10" s="39">
        <f>SUMIFS(Engine!$S$2:$S$98, Engine!$R$2:$R$98, "New", Engine!$F$2:$F$98, Waterfall!A10)</f>
        <v>6840</v>
      </c>
      <c r="D10" s="39">
        <f>SUMIFS(Engine!$S$2:$S$98, Engine!$R$2:$R$98, "Expansion", Engine!$F$2:$F$98, Waterfall!A10)</f>
        <v>0</v>
      </c>
      <c r="E10" s="38">
        <f>SUMIFS(Engine!$S$2:$S$98, Engine!$R$2:$R$98, "Contraction", Engine!$F$2:$F$98, Waterfall!A10)</f>
        <v>0</v>
      </c>
      <c r="F10" s="40">
        <f>SUMIFS(Engine!$S$2:$S$98, Engine!$R$2:$R$98, "Churned", Engine!$F$2:$F$98, Waterfall!A10)</f>
        <v>-1900</v>
      </c>
      <c r="G10" s="38">
        <f t="shared" si="0"/>
        <v>4940</v>
      </c>
      <c r="H10" s="38">
        <f t="shared" si="1"/>
        <v>50293.5</v>
      </c>
    </row>
    <row r="11" spans="1:8" x14ac:dyDescent="0.35">
      <c r="A11" s="37">
        <v>45536</v>
      </c>
      <c r="B11" s="38">
        <f t="shared" si="2"/>
        <v>50293.5</v>
      </c>
      <c r="C11" s="39">
        <f>SUMIFS(Engine!$S$2:$S$98, Engine!$R$2:$R$98, "New", Engine!$F$2:$F$98, Waterfall!A11)</f>
        <v>13415</v>
      </c>
      <c r="D11" s="39">
        <f>SUMIFS(Engine!$S$2:$S$98, Engine!$R$2:$R$98, "Expansion", Engine!$F$2:$F$98, Waterfall!A11)</f>
        <v>0</v>
      </c>
      <c r="E11" s="38">
        <f>SUMIFS(Engine!$S$2:$S$98, Engine!$R$2:$R$98, "Contraction", Engine!$F$2:$F$98, Waterfall!A11)</f>
        <v>0</v>
      </c>
      <c r="F11" s="38">
        <f>SUMIFS(Engine!$S$2:$S$98, Engine!$R$2:$R$98, "Churned", Engine!$F$2:$F$98, Waterfall!A11)</f>
        <v>0</v>
      </c>
      <c r="G11" s="38">
        <f t="shared" si="0"/>
        <v>13415</v>
      </c>
      <c r="H11" s="38">
        <f t="shared" si="1"/>
        <v>63708.5</v>
      </c>
    </row>
    <row r="12" spans="1:8" x14ac:dyDescent="0.35">
      <c r="A12" s="37">
        <v>45566</v>
      </c>
      <c r="B12" s="38">
        <f t="shared" si="2"/>
        <v>63708.5</v>
      </c>
      <c r="C12" s="39">
        <f>SUMIFS(Engine!$S$2:$S$98, Engine!$R$2:$R$98, "New", Engine!$F$2:$F$98, Waterfall!A12)</f>
        <v>10130</v>
      </c>
      <c r="D12" s="39">
        <f>SUMIFS(Engine!$S$2:$S$98, Engine!$R$2:$R$98, "Expansion", Engine!$F$2:$F$98, Waterfall!A12)</f>
        <v>0</v>
      </c>
      <c r="E12" s="38">
        <f>SUMIFS(Engine!$S$2:$S$98, Engine!$R$2:$R$98, "Contraction", Engine!$F$2:$F$98, Waterfall!A12)</f>
        <v>0</v>
      </c>
      <c r="F12" s="38">
        <f>SUMIFS(Engine!$S$2:$S$98, Engine!$R$2:$R$98, "Churned", Engine!$F$2:$F$98, Waterfall!A12)</f>
        <v>0</v>
      </c>
      <c r="G12" s="38">
        <f t="shared" si="0"/>
        <v>10130</v>
      </c>
      <c r="H12" s="38">
        <f t="shared" si="1"/>
        <v>73838.5</v>
      </c>
    </row>
    <row r="13" spans="1:8" x14ac:dyDescent="0.35">
      <c r="A13" s="37">
        <v>45597</v>
      </c>
      <c r="B13" s="38">
        <f t="shared" si="2"/>
        <v>73838.5</v>
      </c>
      <c r="C13" s="39">
        <f>SUMIFS(Engine!$S$2:$S$98, Engine!$R$2:$R$98, "New", Engine!$F$2:$F$98, Waterfall!A13)</f>
        <v>4955</v>
      </c>
      <c r="D13" s="39">
        <f>SUMIFS(Engine!$S$2:$S$98, Engine!$R$2:$R$98, "Expansion", Engine!$F$2:$F$98, Waterfall!A13)</f>
        <v>0</v>
      </c>
      <c r="E13" s="38">
        <f>SUMIFS(Engine!$S$2:$S$98, Engine!$R$2:$R$98, "Contraction", Engine!$F$2:$F$98, Waterfall!A13)</f>
        <v>0</v>
      </c>
      <c r="F13" s="40">
        <f>SUMIFS(Engine!$S$2:$S$98, Engine!$R$2:$R$98, "Churned", Engine!$F$2:$F$98, Waterfall!A13)</f>
        <v>-495</v>
      </c>
      <c r="G13" s="38">
        <f t="shared" si="0"/>
        <v>4460</v>
      </c>
      <c r="H13" s="38">
        <f t="shared" si="1"/>
        <v>78298.5</v>
      </c>
    </row>
    <row r="14" spans="1:8" x14ac:dyDescent="0.35">
      <c r="A14" s="37">
        <v>45627</v>
      </c>
      <c r="B14" s="38">
        <f t="shared" si="2"/>
        <v>78298.5</v>
      </c>
      <c r="C14" s="39">
        <f>SUMIFS(Engine!$S$2:$S$98, Engine!$R$2:$R$98, "New", Engine!$F$2:$F$98, Waterfall!A14)</f>
        <v>14915</v>
      </c>
      <c r="D14" s="39">
        <f>SUMIFS(Engine!$S$2:$S$98, Engine!$R$2:$R$98, "Expansion", Engine!$F$2:$F$98, Waterfall!A14)</f>
        <v>0</v>
      </c>
      <c r="E14" s="38">
        <f>SUMIFS(Engine!$S$2:$S$98, Engine!$R$2:$R$98, "Contraction", Engine!$F$2:$F$98, Waterfall!A14)</f>
        <v>0</v>
      </c>
      <c r="F14" s="40">
        <f>SUMIFS(Engine!$S$2:$S$98, Engine!$R$2:$R$98, "Churned", Engine!$F$2:$F$98, Waterfall!A14)</f>
        <v>-2090</v>
      </c>
      <c r="G14" s="38">
        <f t="shared" si="0"/>
        <v>12825</v>
      </c>
      <c r="H14" s="38">
        <f t="shared" si="1"/>
        <v>91123.5</v>
      </c>
    </row>
    <row r="15" spans="1:8" x14ac:dyDescent="0.35">
      <c r="A15" s="37">
        <v>45658</v>
      </c>
      <c r="B15" s="38">
        <f t="shared" si="2"/>
        <v>91123.5</v>
      </c>
      <c r="C15" s="39">
        <f>SUMIFS(Engine!$S$2:$S$98, Engine!$R$2:$R$98, "New", Engine!$F$2:$F$98, Waterfall!A15)</f>
        <v>9940.5</v>
      </c>
      <c r="D15" s="39">
        <f>SUMIFS(Engine!$S$2:$S$98, Engine!$R$2:$R$98, "Expansion", Engine!$F$2:$F$98, Waterfall!A15)</f>
        <v>140</v>
      </c>
      <c r="E15" s="38">
        <f>SUMIFS(Engine!$S$2:$S$98, Engine!$R$2:$R$98, "Contraction", Engine!$F$2:$F$98, Waterfall!A15)</f>
        <v>0</v>
      </c>
      <c r="F15" s="40">
        <f>SUMIFS(Engine!$S$2:$S$98, Engine!$R$2:$R$98, "Churned", Engine!$F$2:$F$98, Waterfall!A15)</f>
        <v>-450</v>
      </c>
      <c r="G15" s="38">
        <f t="shared" si="0"/>
        <v>9630.5</v>
      </c>
      <c r="H15" s="38">
        <f t="shared" si="1"/>
        <v>100754</v>
      </c>
    </row>
    <row r="16" spans="1:8" x14ac:dyDescent="0.35">
      <c r="A16" s="37">
        <v>45689</v>
      </c>
      <c r="B16" s="38">
        <f t="shared" si="2"/>
        <v>100754</v>
      </c>
      <c r="C16" s="39">
        <f>SUMIFS(Engine!$S$2:$S$98, Engine!$R$2:$R$98, "New", Engine!$F$2:$F$98, Waterfall!A16)</f>
        <v>7405</v>
      </c>
      <c r="D16" s="39">
        <f>SUMIFS(Engine!$S$2:$S$98, Engine!$R$2:$R$98, "Expansion", Engine!$F$2:$F$98, Waterfall!A16)</f>
        <v>0</v>
      </c>
      <c r="E16" s="38">
        <f>SUMIFS(Engine!$S$2:$S$98, Engine!$R$2:$R$98, "Contraction", Engine!$F$2:$F$98, Waterfall!A16)</f>
        <v>0</v>
      </c>
      <c r="F16" s="38">
        <f>SUMIFS(Engine!$S$2:$S$98, Engine!$R$2:$R$98, "Churned", Engine!$F$2:$F$98, Waterfall!A16)</f>
        <v>0</v>
      </c>
      <c r="G16" s="38">
        <f t="shared" si="0"/>
        <v>7405</v>
      </c>
      <c r="H16" s="38">
        <f t="shared" si="1"/>
        <v>108159</v>
      </c>
    </row>
    <row r="17" spans="1:8" x14ac:dyDescent="0.35">
      <c r="A17" s="37">
        <v>45717</v>
      </c>
      <c r="B17" s="38">
        <f t="shared" si="2"/>
        <v>108159</v>
      </c>
      <c r="C17" s="39">
        <f>SUMIFS(Engine!$S$2:$S$98, Engine!$R$2:$R$98, "New", Engine!$F$2:$F$98, Waterfall!A17)</f>
        <v>19390</v>
      </c>
      <c r="D17" s="39">
        <f>SUMIFS(Engine!$S$2:$S$98, Engine!$R$2:$R$98, "Expansion", Engine!$F$2:$F$98, Waterfall!A17)</f>
        <v>0</v>
      </c>
      <c r="E17" s="40">
        <f>SUMIFS(Engine!$S$2:$S$98, Engine!$R$2:$R$98, "Contraction", Engine!$F$2:$F$98, Waterfall!A17)</f>
        <v>-1009.5</v>
      </c>
      <c r="F17" s="38">
        <f>SUMIFS(Engine!$S$2:$S$98, Engine!$R$2:$R$98, "Churned", Engine!$F$2:$F$98, Waterfall!A17)</f>
        <v>0</v>
      </c>
      <c r="G17" s="38">
        <f t="shared" si="0"/>
        <v>18380.5</v>
      </c>
      <c r="H17" s="38">
        <f t="shared" si="1"/>
        <v>126539.5</v>
      </c>
    </row>
    <row r="18" spans="1:8" x14ac:dyDescent="0.35">
      <c r="A18" s="37">
        <v>45748</v>
      </c>
      <c r="B18" s="38">
        <f t="shared" si="2"/>
        <v>126539.5</v>
      </c>
      <c r="C18" s="39">
        <f>SUMIFS(Engine!$S$2:$S$98, Engine!$R$2:$R$98, "New", Engine!$F$2:$F$98, Waterfall!A18)</f>
        <v>5780</v>
      </c>
      <c r="D18" s="39">
        <f>SUMIFS(Engine!$S$2:$S$98, Engine!$R$2:$R$98, "Expansion", Engine!$F$2:$F$98, Waterfall!A18)</f>
        <v>755</v>
      </c>
      <c r="E18" s="38">
        <f>SUMIFS(Engine!$S$2:$S$98, Engine!$R$2:$R$98, "Contraction", Engine!$F$2:$F$98, Waterfall!A18)</f>
        <v>0</v>
      </c>
      <c r="F18" s="38">
        <f>SUMIFS(Engine!$S$2:$S$98, Engine!$R$2:$R$98, "Churned", Engine!$F$2:$F$98, Waterfall!A18)</f>
        <v>0</v>
      </c>
      <c r="G18" s="38">
        <f t="shared" si="0"/>
        <v>6535</v>
      </c>
      <c r="H18" s="38">
        <f t="shared" si="1"/>
        <v>133074.5</v>
      </c>
    </row>
    <row r="19" spans="1:8" x14ac:dyDescent="0.35">
      <c r="A19" s="37">
        <v>45778</v>
      </c>
      <c r="B19" s="38">
        <f t="shared" si="2"/>
        <v>133074.5</v>
      </c>
      <c r="C19" s="39">
        <f>SUMIFS(Engine!$S$2:$S$98, Engine!$R$2:$R$98, "New", Engine!$F$2:$F$98, Waterfall!A19)</f>
        <v>12060</v>
      </c>
      <c r="D19" s="39">
        <f>SUMIFS(Engine!$S$2:$S$98, Engine!$R$2:$R$98, "Expansion", Engine!$F$2:$F$98, Waterfall!A19)</f>
        <v>330</v>
      </c>
      <c r="E19" s="38">
        <f>SUMIFS(Engine!$S$2:$S$98, Engine!$R$2:$R$98, "Contraction", Engine!$F$2:$F$98, Waterfall!A19)</f>
        <v>0</v>
      </c>
      <c r="F19" s="40">
        <f>SUMIFS(Engine!$S$2:$S$98, Engine!$R$2:$R$98, "Churned", Engine!$F$2:$F$98, Waterfall!A19)</f>
        <v>-2375</v>
      </c>
      <c r="G19" s="38">
        <f t="shared" si="0"/>
        <v>10015</v>
      </c>
      <c r="H19" s="38">
        <f t="shared" si="1"/>
        <v>143089.5</v>
      </c>
    </row>
    <row r="20" spans="1:8" x14ac:dyDescent="0.35">
      <c r="A20" s="37">
        <v>45809</v>
      </c>
      <c r="B20" s="38">
        <f t="shared" si="2"/>
        <v>143089.5</v>
      </c>
      <c r="C20" s="39">
        <f>SUMIFS(Engine!$S$2:$S$98, Engine!$R$2:$R$98, "New", Engine!$F$2:$F$98, Waterfall!A20)</f>
        <v>8630</v>
      </c>
      <c r="D20" s="39">
        <f>SUMIFS(Engine!$S$2:$S$98, Engine!$R$2:$R$98, "Expansion", Engine!$F$2:$F$98, Waterfall!A20)</f>
        <v>1700</v>
      </c>
      <c r="E20" s="38">
        <f>SUMIFS(Engine!$S$2:$S$98, Engine!$R$2:$R$98, "Contraction", Engine!$F$2:$F$98, Waterfall!A20)</f>
        <v>0</v>
      </c>
      <c r="F20" s="40">
        <f>SUMIFS(Engine!$S$2:$S$98, Engine!$R$2:$R$98, "Churned", Engine!$F$2:$F$98, Waterfall!A20)</f>
        <v>-1305</v>
      </c>
      <c r="G20" s="38">
        <f t="shared" si="0"/>
        <v>9025</v>
      </c>
      <c r="H20" s="38">
        <f t="shared" si="1"/>
        <v>152114.5</v>
      </c>
    </row>
    <row r="21" spans="1:8" x14ac:dyDescent="0.35">
      <c r="A21" s="37">
        <v>45839</v>
      </c>
      <c r="B21" s="38">
        <f t="shared" si="2"/>
        <v>152114.5</v>
      </c>
      <c r="C21" s="39">
        <f>SUMIFS(Engine!$S$2:$S$98, Engine!$R$2:$R$98, "New", Engine!$F$2:$F$98, Waterfall!A21)</f>
        <v>0</v>
      </c>
      <c r="D21" s="39">
        <f>SUMIFS(Engine!$S$2:$S$98, Engine!$R$2:$R$98, "Expansion", Engine!$F$2:$F$98, Waterfall!A21)</f>
        <v>660</v>
      </c>
      <c r="E21" s="38">
        <f>SUMIFS(Engine!$S$2:$S$98, Engine!$R$2:$R$98, "Contraction", Engine!$F$2:$F$98, Waterfall!A21)</f>
        <v>0</v>
      </c>
      <c r="F21" s="40">
        <f>SUMIFS(Engine!$S$2:$S$98, Engine!$R$2:$R$98, "Churned", Engine!$F$2:$F$98, Waterfall!A21)</f>
        <v>-1760</v>
      </c>
      <c r="G21" s="38">
        <f t="shared" si="0"/>
        <v>-1100</v>
      </c>
      <c r="H21" s="38">
        <f t="shared" si="1"/>
        <v>151014.5</v>
      </c>
    </row>
    <row r="22" spans="1:8" x14ac:dyDescent="0.35">
      <c r="A22" s="37">
        <v>45870</v>
      </c>
      <c r="B22" s="38">
        <f t="shared" si="2"/>
        <v>151014.5</v>
      </c>
      <c r="C22" s="39">
        <f>SUMIFS(Engine!$S$2:$S$98, Engine!$R$2:$R$98, "New", Engine!$F$2:$F$98, Waterfall!A22)</f>
        <v>0</v>
      </c>
      <c r="D22" s="39">
        <f>SUMIFS(Engine!$S$2:$S$98, Engine!$R$2:$R$98, "Expansion", Engine!$F$2:$F$98, Waterfall!A22)</f>
        <v>2960</v>
      </c>
      <c r="E22" s="40">
        <f>SUMIFS(Engine!$S$2:$S$98, Engine!$R$2:$R$98, "Contraction", Engine!$F$2:$F$98, Waterfall!A22)</f>
        <v>-710</v>
      </c>
      <c r="F22" s="40">
        <f>SUMIFS(Engine!$S$2:$S$98, Engine!$R$2:$R$98, "Churned", Engine!$F$2:$F$98, Waterfall!A22)</f>
        <v>-4680</v>
      </c>
      <c r="G22" s="38">
        <f t="shared" si="0"/>
        <v>-2430</v>
      </c>
      <c r="H22" s="38">
        <f t="shared" si="1"/>
        <v>148584.5</v>
      </c>
    </row>
    <row r="23" spans="1:8" x14ac:dyDescent="0.35">
      <c r="A23" s="37">
        <v>45901</v>
      </c>
      <c r="B23" s="38">
        <f t="shared" si="2"/>
        <v>148584.5</v>
      </c>
      <c r="C23" s="39">
        <f>SUMIFS(Engine!$S$2:$S$98, Engine!$R$2:$R$98, "New", Engine!$F$2:$F$98, Waterfall!A23)</f>
        <v>0</v>
      </c>
      <c r="D23" s="39">
        <f>SUMIFS(Engine!$S$2:$S$98, Engine!$R$2:$R$98, "Expansion", Engine!$F$2:$F$98, Waterfall!A23)</f>
        <v>1900</v>
      </c>
      <c r="E23" s="40">
        <f>SUMIFS(Engine!$S$2:$S$98, Engine!$R$2:$R$98, "Contraction", Engine!$F$2:$F$98, Waterfall!A23)</f>
        <v>-125</v>
      </c>
      <c r="F23" s="38">
        <f>SUMIFS(Engine!$S$2:$S$98, Engine!$R$2:$R$98, "Churned", Engine!$F$2:$F$98, Waterfall!A23)</f>
        <v>0</v>
      </c>
      <c r="G23" s="38">
        <f t="shared" si="0"/>
        <v>1775</v>
      </c>
      <c r="H23" s="38">
        <f t="shared" si="1"/>
        <v>150359.5</v>
      </c>
    </row>
    <row r="24" spans="1:8" x14ac:dyDescent="0.35">
      <c r="A24" s="37">
        <v>45931</v>
      </c>
      <c r="B24" s="38">
        <f t="shared" si="2"/>
        <v>150359.5</v>
      </c>
      <c r="C24" s="39">
        <f>SUMIFS(Engine!$S$2:$S$98, Engine!$R$2:$R$98, "New", Engine!$F$2:$F$98, Waterfall!A24)</f>
        <v>935</v>
      </c>
      <c r="D24" s="39">
        <f>SUMIFS(Engine!$S$2:$S$98, Engine!$R$2:$R$98, "Expansion", Engine!$F$2:$F$98, Waterfall!A24)</f>
        <v>1325</v>
      </c>
      <c r="E24" s="38">
        <f>SUMIFS(Engine!$S$2:$S$98, Engine!$R$2:$R$98, "Contraction", Engine!$F$2:$F$98, Waterfall!A24)</f>
        <v>0</v>
      </c>
      <c r="F24" s="38">
        <f>SUMIFS(Engine!$S$2:$S$98, Engine!$R$2:$R$98, "Churned", Engine!$F$2:$F$98, Waterfall!A24)</f>
        <v>0</v>
      </c>
      <c r="G24" s="38">
        <f t="shared" si="0"/>
        <v>2260</v>
      </c>
      <c r="H24" s="38">
        <f t="shared" si="1"/>
        <v>152619.5</v>
      </c>
    </row>
    <row r="25" spans="1:8" x14ac:dyDescent="0.35">
      <c r="A25" s="37">
        <v>45962</v>
      </c>
      <c r="B25" s="38">
        <f t="shared" si="2"/>
        <v>152619.5</v>
      </c>
      <c r="C25" s="39">
        <f>SUMIFS(Engine!$S$2:$S$98, Engine!$R$2:$R$98, "New", Engine!$F$2:$F$98, Waterfall!A25)</f>
        <v>0</v>
      </c>
      <c r="D25" s="39">
        <f>SUMIFS(Engine!$S$2:$S$98, Engine!$R$2:$R$98, "Expansion", Engine!$F$2:$F$98, Waterfall!A25)</f>
        <v>0</v>
      </c>
      <c r="E25" s="40">
        <f>SUMIFS(Engine!$S$2:$S$98, Engine!$R$2:$R$98, "Contraction", Engine!$F$2:$F$98, Waterfall!A25)</f>
        <v>-435.5</v>
      </c>
      <c r="F25" s="38">
        <f>SUMIFS(Engine!$S$2:$S$98, Engine!$R$2:$R$98, "Churned", Engine!$F$2:$F$98, Waterfall!A25)</f>
        <v>0</v>
      </c>
      <c r="G25" s="40">
        <f t="shared" si="0"/>
        <v>-435.5</v>
      </c>
      <c r="H25" s="38">
        <f t="shared" si="1"/>
        <v>152184</v>
      </c>
    </row>
    <row r="26" spans="1:8" x14ac:dyDescent="0.35">
      <c r="A26" s="37">
        <v>45992</v>
      </c>
      <c r="B26" s="38">
        <f t="shared" si="2"/>
        <v>152184</v>
      </c>
      <c r="C26" s="39">
        <f>SUMIFS(Engine!$S$2:$S$98, Engine!$R$2:$R$98, "New", Engine!$F$2:$F$98, Waterfall!A26)</f>
        <v>0</v>
      </c>
      <c r="D26" s="39">
        <f>SUMIFS(Engine!$S$2:$S$98, Engine!$R$2:$R$98, "Expansion", Engine!$F$2:$F$98, Waterfall!A26)</f>
        <v>440</v>
      </c>
      <c r="E26" s="40">
        <f>SUMIFS(Engine!$S$2:$S$98, Engine!$R$2:$R$98, "Contraction", Engine!$F$2:$F$98, Waterfall!A26)</f>
        <v>-81</v>
      </c>
      <c r="F26" s="40">
        <f>SUMIFS(Engine!$S$2:$S$98, Engine!$R$2:$R$98, "Churned", Engine!$F$2:$F$98, Waterfall!A26)</f>
        <v>-1624.5</v>
      </c>
      <c r="G26" s="38">
        <f t="shared" si="0"/>
        <v>-1265.5</v>
      </c>
      <c r="H26" s="38">
        <f t="shared" si="1"/>
        <v>150918.5</v>
      </c>
    </row>
    <row r="27" spans="1:8" x14ac:dyDescent="0.35">
      <c r="A27" s="37">
        <v>46023</v>
      </c>
      <c r="B27" s="38">
        <f t="shared" si="2"/>
        <v>150918.5</v>
      </c>
      <c r="C27" s="39">
        <f>SUMIFS(Engine!$S$2:$S$98, Engine!$R$2:$R$98, "New", Engine!$F$2:$F$98, Waterfall!A27)</f>
        <v>1710</v>
      </c>
      <c r="D27" s="39">
        <f>SUMIFS(Engine!$S$2:$S$98, Engine!$R$2:$R$98, "Expansion", Engine!$F$2:$F$98, Waterfall!A27)</f>
        <v>0</v>
      </c>
      <c r="E27" s="38">
        <f>SUMIFS(Engine!$S$2:$S$98, Engine!$R$2:$R$98, "Contraction", Engine!$F$2:$F$98, Waterfall!A27)</f>
        <v>0</v>
      </c>
      <c r="F27" s="38">
        <f>SUMIFS(Engine!$S$2:$S$98, Engine!$R$2:$R$98, "Churned", Engine!$F$2:$F$98, Waterfall!A27)</f>
        <v>0</v>
      </c>
      <c r="G27" s="38">
        <f t="shared" si="0"/>
        <v>1710</v>
      </c>
      <c r="H27" s="38">
        <f t="shared" si="1"/>
        <v>152628.5</v>
      </c>
    </row>
    <row r="28" spans="1:8" x14ac:dyDescent="0.35">
      <c r="A28" s="37">
        <v>46054</v>
      </c>
      <c r="B28" s="38">
        <f t="shared" si="2"/>
        <v>152628.5</v>
      </c>
      <c r="C28" s="39">
        <f>SUMIFS(Engine!$S$2:$S$98, Engine!$R$2:$R$98, "New", Engine!$F$2:$F$98, Waterfall!A28)</f>
        <v>0</v>
      </c>
      <c r="D28" s="39">
        <f>SUMIFS(Engine!$S$2:$S$98, Engine!$R$2:$R$98, "Expansion", Engine!$F$2:$F$98, Waterfall!A28)</f>
        <v>0</v>
      </c>
      <c r="E28" s="38">
        <f>SUMIFS(Engine!$S$2:$S$98, Engine!$R$2:$R$98, "Contraction", Engine!$F$2:$F$98, Waterfall!A28)</f>
        <v>0</v>
      </c>
      <c r="F28" s="40">
        <f>SUMIFS(Engine!$S$2:$S$98, Engine!$R$2:$R$98, "Churned", Engine!$F$2:$F$98, Waterfall!A28)</f>
        <v>-594</v>
      </c>
      <c r="G28" s="38">
        <f t="shared" si="0"/>
        <v>-594</v>
      </c>
      <c r="H28" s="38">
        <f t="shared" si="1"/>
        <v>152034.5</v>
      </c>
    </row>
    <row r="30" spans="1:8" x14ac:dyDescent="0.35">
      <c r="A30" t="s">
        <v>163</v>
      </c>
      <c r="B30" s="38">
        <f>H28</f>
        <v>152034.5</v>
      </c>
    </row>
    <row r="31" spans="1:8" x14ac:dyDescent="0.35">
      <c r="A31" t="s">
        <v>164</v>
      </c>
      <c r="B31" s="38">
        <f>SUM(Engine!$S$2:$S$98)</f>
        <v>152034.5</v>
      </c>
    </row>
    <row r="32" spans="1:8" x14ac:dyDescent="0.35">
      <c r="A32" t="s">
        <v>165</v>
      </c>
      <c r="B32" s="38">
        <f>B30-B31</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A37"/>
  <sheetViews>
    <sheetView workbookViewId="0">
      <selection activeCell="B35" sqref="B35"/>
    </sheetView>
  </sheetViews>
  <sheetFormatPr defaultRowHeight="14.5" x14ac:dyDescent="0.35"/>
  <cols>
    <col min="1" max="1" width="40" customWidth="1"/>
  </cols>
  <sheetData>
    <row r="1" spans="1:27" ht="15.5" x14ac:dyDescent="0.35">
      <c r="A1" s="41" t="s">
        <v>166</v>
      </c>
    </row>
    <row r="3" spans="1:27" x14ac:dyDescent="0.35">
      <c r="A3" s="42" t="s">
        <v>167</v>
      </c>
    </row>
    <row r="4" spans="1:27"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row>
    <row r="5" spans="1:27"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row>
    <row r="6" spans="1:27"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row>
    <row r="7" spans="1:27"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row>
    <row r="9" spans="1:27" x14ac:dyDescent="0.35">
      <c r="A9" s="42" t="s">
        <v>170</v>
      </c>
    </row>
    <row r="10" spans="1:27"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row>
    <row r="11" spans="1:27"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row>
    <row r="12" spans="1:27"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row>
    <row r="14" spans="1:27" x14ac:dyDescent="0.35">
      <c r="A14" s="42" t="s">
        <v>173</v>
      </c>
    </row>
    <row r="15" spans="1:27"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row>
    <row r="16" spans="1:27" x14ac:dyDescent="0.35">
      <c r="A16" s="42" t="s">
        <v>174</v>
      </c>
      <c r="B16" s="31">
        <v>0</v>
      </c>
      <c r="C16" s="31">
        <f>B16+COUNTIFS(Engine!$H$2:$H$98,"created",Engine!$F$2:$F$98,B15)-COUNTIFS(Engine!$H$2:$H$98,"cancelled",Engine!$F$2:$F$98,B15)</f>
        <v>2</v>
      </c>
      <c r="D16" s="31">
        <f>C16+COUNTIFS(Engine!$H$2:$H$98,"created",Engine!$F$2:$F$98,C15)-COUNTIFS(Engine!$H$2:$H$98,"cancelled",Engine!$F$2:$F$98,C15)</f>
        <v>5</v>
      </c>
      <c r="E16" s="31">
        <f>D16+COUNTIFS(Engine!$H$2:$H$98,"created",Engine!$F$2:$F$98,D15)-COUNTIFS(Engine!$H$2:$H$98,"cancelled",Engine!$F$2:$F$98,D15)</f>
        <v>7</v>
      </c>
      <c r="F16" s="31">
        <f>E16+COUNTIFS(Engine!$H$2:$H$98,"created",Engine!$F$2:$F$98,E15)-COUNTIFS(Engine!$H$2:$H$98,"cancelled",Engine!$F$2:$F$98,E15)</f>
        <v>11</v>
      </c>
      <c r="G16" s="31">
        <f>F16+COUNTIFS(Engine!$H$2:$H$98,"created",Engine!$F$2:$F$98,F15)-COUNTIFS(Engine!$H$2:$H$98,"cancelled",Engine!$F$2:$F$98,F15)</f>
        <v>13</v>
      </c>
      <c r="H16" s="31">
        <f>G16+COUNTIFS(Engine!$H$2:$H$98,"created",Engine!$F$2:$F$98,G15)-COUNTIFS(Engine!$H$2:$H$98,"cancelled",Engine!$F$2:$F$98,G15)</f>
        <v>16</v>
      </c>
      <c r="I16" s="31">
        <f>H16+COUNTIFS(Engine!$H$2:$H$98,"created",Engine!$F$2:$F$98,H15)-COUNTIFS(Engine!$H$2:$H$98,"cancelled",Engine!$F$2:$F$98,H15)</f>
        <v>20</v>
      </c>
      <c r="J16" s="31">
        <f>I16+COUNTIFS(Engine!$H$2:$H$98,"created",Engine!$F$2:$F$98,I15)-COUNTIFS(Engine!$H$2:$H$98,"cancelled",Engine!$F$2:$F$98,I15)</f>
        <v>21</v>
      </c>
      <c r="K16" s="31">
        <f>J16+COUNTIFS(Engine!$H$2:$H$98,"created",Engine!$F$2:$F$98,J15)-COUNTIFS(Engine!$H$2:$H$98,"cancelled",Engine!$F$2:$F$98,J15)</f>
        <v>26</v>
      </c>
      <c r="L16" s="31">
        <f>K16+COUNTIFS(Engine!$H$2:$H$98,"created",Engine!$F$2:$F$98,K15)-COUNTIFS(Engine!$H$2:$H$98,"cancelled",Engine!$F$2:$F$98,K15)</f>
        <v>29</v>
      </c>
      <c r="M16" s="31">
        <f>L16+COUNTIFS(Engine!$H$2:$H$98,"created",Engine!$F$2:$F$98,L15)-COUNTIFS(Engine!$H$2:$H$98,"cancelled",Engine!$F$2:$F$98,L15)</f>
        <v>31</v>
      </c>
      <c r="N16" s="31">
        <f>M16+COUNTIFS(Engine!$H$2:$H$98,"created",Engine!$F$2:$F$98,M15)-COUNTIFS(Engine!$H$2:$H$98,"cancelled",Engine!$F$2:$F$98,M15)</f>
        <v>34</v>
      </c>
      <c r="O16" s="31">
        <f>N16+COUNTIFS(Engine!$H$2:$H$98,"created",Engine!$F$2:$F$98,N15)-COUNTIFS(Engine!$H$2:$H$98,"cancelled",Engine!$F$2:$F$98,N15)</f>
        <v>37</v>
      </c>
      <c r="P16" s="31">
        <f>O16+COUNTIFS(Engine!$H$2:$H$98,"created",Engine!$F$2:$F$98,O15)-COUNTIFS(Engine!$H$2:$H$98,"cancelled",Engine!$F$2:$F$98,O15)</f>
        <v>41</v>
      </c>
      <c r="Q16" s="31">
        <f>P16+COUNTIFS(Engine!$H$2:$H$98,"created",Engine!$F$2:$F$98,P15)-COUNTIFS(Engine!$H$2:$H$98,"cancelled",Engine!$F$2:$F$98,P15)</f>
        <v>46</v>
      </c>
      <c r="R16" s="31">
        <f>Q16+COUNTIFS(Engine!$H$2:$H$98,"created",Engine!$F$2:$F$98,Q15)-COUNTIFS(Engine!$H$2:$H$98,"cancelled",Engine!$F$2:$F$98,Q15)</f>
        <v>49</v>
      </c>
      <c r="S16" s="31">
        <f>R16+COUNTIFS(Engine!$H$2:$H$98,"created",Engine!$F$2:$F$98,R15)-COUNTIFS(Engine!$H$2:$H$98,"cancelled",Engine!$F$2:$F$98,R15)</f>
        <v>52</v>
      </c>
      <c r="T16" s="31">
        <f>S16+COUNTIFS(Engine!$H$2:$H$98,"created",Engine!$F$2:$F$98,S15)-COUNTIFS(Engine!$H$2:$H$98,"cancelled",Engine!$F$2:$F$98,S15)</f>
        <v>53</v>
      </c>
      <c r="U16" s="31">
        <f>T16+COUNTIFS(Engine!$H$2:$H$98,"created",Engine!$F$2:$F$98,T15)-COUNTIFS(Engine!$H$2:$H$98,"cancelled",Engine!$F$2:$F$98,T15)</f>
        <v>52</v>
      </c>
      <c r="V16" s="31">
        <f>U16+COUNTIFS(Engine!$H$2:$H$98,"created",Engine!$F$2:$F$98,U15)-COUNTIFS(Engine!$H$2:$H$98,"cancelled",Engine!$F$2:$F$98,U15)</f>
        <v>51</v>
      </c>
      <c r="W16" s="31">
        <f>V16+COUNTIFS(Engine!$H$2:$H$98,"created",Engine!$F$2:$F$98,V15)-COUNTIFS(Engine!$H$2:$H$98,"cancelled",Engine!$F$2:$F$98,V15)</f>
        <v>51</v>
      </c>
      <c r="X16" s="31">
        <f>W16+COUNTIFS(Engine!$H$2:$H$98,"created",Engine!$F$2:$F$98,W15)-COUNTIFS(Engine!$H$2:$H$98,"cancelled",Engine!$F$2:$F$98,W15)</f>
        <v>52</v>
      </c>
      <c r="Y16" s="31">
        <f>X16+COUNTIFS(Engine!$H$2:$H$98,"created",Engine!$F$2:$F$98,X15)-COUNTIFS(Engine!$H$2:$H$98,"cancelled",Engine!$F$2:$F$98,X15)</f>
        <v>52</v>
      </c>
      <c r="Z16" s="31">
        <f>Y16+COUNTIFS(Engine!$H$2:$H$98,"created",Engine!$F$2:$F$98,Y15)-COUNTIFS(Engine!$H$2:$H$98,"cancelled",Engine!$F$2:$F$98,Y15)</f>
        <v>51</v>
      </c>
      <c r="AA16" s="31">
        <f>Z16+COUNTIFS(Engine!$H$2:$H$98,"created",Engine!$F$2:$F$98,Z15)-COUNTIFS(Engine!$H$2:$H$98,"cancelled",Engine!$F$2:$F$98,Z15)</f>
        <v>52</v>
      </c>
    </row>
    <row r="17" spans="1:27" x14ac:dyDescent="0.35">
      <c r="A17" s="42" t="s">
        <v>175</v>
      </c>
      <c r="B17" s="31">
        <f>COUNTIFS(Engine!$H$2:$H$98,"cancelled",Engine!$F$2:$F$98,B15)</f>
        <v>0</v>
      </c>
      <c r="C17" s="31">
        <f>COUNTIFS(Engine!$H$2:$H$98,"cancelled",Engine!$F$2:$F$98,C15)</f>
        <v>0</v>
      </c>
      <c r="D17" s="31">
        <f>COUNTIFS(Engine!$H$2:$H$98,"cancelled",Engine!$F$2:$F$98,D15)</f>
        <v>0</v>
      </c>
      <c r="E17" s="31">
        <f>COUNTIFS(Engine!$H$2:$H$98,"cancelled",Engine!$F$2:$F$98,E15)</f>
        <v>0</v>
      </c>
      <c r="F17" s="31">
        <f>COUNTIFS(Engine!$H$2:$H$98,"cancelled",Engine!$F$2:$F$98,F15)</f>
        <v>0</v>
      </c>
      <c r="G17" s="31">
        <f>COUNTIFS(Engine!$H$2:$H$98,"cancelled",Engine!$F$2:$F$98,G15)</f>
        <v>0</v>
      </c>
      <c r="H17" s="31">
        <f>COUNTIFS(Engine!$H$2:$H$98,"cancelled",Engine!$F$2:$F$98,H15)</f>
        <v>0</v>
      </c>
      <c r="I17" s="31">
        <f>COUNTIFS(Engine!$H$2:$H$98,"cancelled",Engine!$F$2:$F$98,I15)</f>
        <v>1</v>
      </c>
      <c r="J17" s="31">
        <f>COUNTIFS(Engine!$H$2:$H$98,"cancelled",Engine!$F$2:$F$98,J15)</f>
        <v>0</v>
      </c>
      <c r="K17" s="31">
        <f>COUNTIFS(Engine!$H$2:$H$98,"cancelled",Engine!$F$2:$F$98,K15)</f>
        <v>0</v>
      </c>
      <c r="L17" s="31">
        <f>COUNTIFS(Engine!$H$2:$H$98,"cancelled",Engine!$F$2:$F$98,L15)</f>
        <v>1</v>
      </c>
      <c r="M17" s="31">
        <f>COUNTIFS(Engine!$H$2:$H$98,"cancelled",Engine!$F$2:$F$98,M15)</f>
        <v>1</v>
      </c>
      <c r="N17" s="31">
        <f>COUNTIFS(Engine!$H$2:$H$98,"cancelled",Engine!$F$2:$F$98,N15)</f>
        <v>1</v>
      </c>
      <c r="O17" s="31">
        <f>COUNTIFS(Engine!$H$2:$H$98,"cancelled",Engine!$F$2:$F$98,O15)</f>
        <v>0</v>
      </c>
      <c r="P17" s="31">
        <f>COUNTIFS(Engine!$H$2:$H$98,"cancelled",Engine!$F$2:$F$98,P15)</f>
        <v>0</v>
      </c>
      <c r="Q17" s="31">
        <f>COUNTIFS(Engine!$H$2:$H$98,"cancelled",Engine!$F$2:$F$98,Q15)</f>
        <v>0</v>
      </c>
      <c r="R17" s="31">
        <f>COUNTIFS(Engine!$H$2:$H$98,"cancelled",Engine!$F$2:$F$98,R15)</f>
        <v>1</v>
      </c>
      <c r="S17" s="31">
        <f>COUNTIFS(Engine!$H$2:$H$98,"cancelled",Engine!$F$2:$F$98,S15)</f>
        <v>2</v>
      </c>
      <c r="T17" s="31">
        <f>COUNTIFS(Engine!$H$2:$H$98,"cancelled",Engine!$F$2:$F$98,T15)</f>
        <v>1</v>
      </c>
      <c r="U17" s="31">
        <f>COUNTIFS(Engine!$H$2:$H$98,"cancelled",Engine!$F$2:$F$98,U15)</f>
        <v>1</v>
      </c>
      <c r="V17" s="31">
        <f>COUNTIFS(Engine!$H$2:$H$98,"cancelled",Engine!$F$2:$F$98,V15)</f>
        <v>0</v>
      </c>
      <c r="W17" s="31">
        <f>COUNTIFS(Engine!$H$2:$H$98,"cancelled",Engine!$F$2:$F$98,W15)</f>
        <v>0</v>
      </c>
      <c r="X17" s="31">
        <f>COUNTIFS(Engine!$H$2:$H$98,"cancelled",Engine!$F$2:$F$98,X15)</f>
        <v>0</v>
      </c>
      <c r="Y17" s="31">
        <f>COUNTIFS(Engine!$H$2:$H$98,"cancelled",Engine!$F$2:$F$98,Y15)</f>
        <v>1</v>
      </c>
      <c r="Z17" s="31">
        <f>COUNTIFS(Engine!$H$2:$H$98,"cancelled",Engine!$F$2:$F$98,Z15)</f>
        <v>0</v>
      </c>
      <c r="AA17" s="31">
        <f>COUNTIFS(Engine!$H$2:$H$98,"cancelled",Engine!$F$2:$F$98,AA15)</f>
        <v>1</v>
      </c>
    </row>
    <row r="18" spans="1:27" x14ac:dyDescent="0.35">
      <c r="A18" s="42" t="s">
        <v>176</v>
      </c>
      <c r="B18" s="28" t="str">
        <f t="shared" ref="B18:AA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row>
    <row r="19" spans="1:27" x14ac:dyDescent="0.35">
      <c r="A19" s="45" t="s">
        <v>177</v>
      </c>
      <c r="B19" s="46">
        <f>0</f>
        <v>0</v>
      </c>
      <c r="C19" s="46">
        <f>COUNTIFS(Engine!$T$2:$T$98,1,Engine!$F$2:$F$98,"&lt;="&amp;B15)+COUNTIFS(Engine!$V$2:$V$98,1,Engine!$F$2:$F$98,"&lt;="&amp;B15)-COUNTIFS(Engine!$U$2:$U$98,1,Engine!$F$2:$F$98,"&lt;="&amp;B15)</f>
        <v>2</v>
      </c>
      <c r="D19" s="46">
        <f>COUNTIFS(Engine!$T$2:$T$98,1,Engine!$F$2:$F$98,"&lt;="&amp;C15)+COUNTIFS(Engine!$V$2:$V$98,1,Engine!$F$2:$F$98,"&lt;="&amp;C15)-COUNTIFS(Engine!$U$2:$U$98,1,Engine!$F$2:$F$98,"&lt;="&amp;C15)</f>
        <v>4</v>
      </c>
      <c r="E19" s="46">
        <f>COUNTIFS(Engine!$T$2:$T$98,1,Engine!$F$2:$F$98,"&lt;="&amp;D15)+COUNTIFS(Engine!$V$2:$V$98,1,Engine!$F$2:$F$98,"&lt;="&amp;D15)-COUNTIFS(Engine!$U$2:$U$98,1,Engine!$F$2:$F$98,"&lt;="&amp;D15)</f>
        <v>6</v>
      </c>
      <c r="F19" s="46">
        <f>COUNTIFS(Engine!$T$2:$T$98,1,Engine!$F$2:$F$98,"&lt;="&amp;E15)+COUNTIFS(Engine!$V$2:$V$98,1,Engine!$F$2:$F$98,"&lt;="&amp;E15)-COUNTIFS(Engine!$U$2:$U$98,1,Engine!$F$2:$F$98,"&lt;="&amp;E15)</f>
        <v>9</v>
      </c>
      <c r="G19" s="46">
        <f>COUNTIFS(Engine!$T$2:$T$98,1,Engine!$F$2:$F$98,"&lt;="&amp;F15)+COUNTIFS(Engine!$V$2:$V$98,1,Engine!$F$2:$F$98,"&lt;="&amp;F15)-COUNTIFS(Engine!$U$2:$U$98,1,Engine!$F$2:$F$98,"&lt;="&amp;F15)</f>
        <v>11</v>
      </c>
      <c r="H19" s="46">
        <f>COUNTIFS(Engine!$T$2:$T$98,1,Engine!$F$2:$F$98,"&lt;="&amp;G15)+COUNTIFS(Engine!$V$2:$V$98,1,Engine!$F$2:$F$98,"&lt;="&amp;G15)-COUNTIFS(Engine!$U$2:$U$98,1,Engine!$F$2:$F$98,"&lt;="&amp;G15)</f>
        <v>13</v>
      </c>
      <c r="I19" s="46">
        <f>COUNTIFS(Engine!$T$2:$T$98,1,Engine!$F$2:$F$98,"&lt;="&amp;H15)+COUNTIFS(Engine!$V$2:$V$98,1,Engine!$F$2:$F$98,"&lt;="&amp;H15)-COUNTIFS(Engine!$U$2:$U$98,1,Engine!$F$2:$F$98,"&lt;="&amp;H15)</f>
        <v>15</v>
      </c>
      <c r="J19" s="46">
        <f>COUNTIFS(Engine!$T$2:$T$98,1,Engine!$F$2:$F$98,"&lt;="&amp;I15)+COUNTIFS(Engine!$V$2:$V$98,1,Engine!$F$2:$F$98,"&lt;="&amp;I15)-COUNTIFS(Engine!$U$2:$U$98,1,Engine!$F$2:$F$98,"&lt;="&amp;I15)</f>
        <v>17</v>
      </c>
      <c r="K19" s="46">
        <f>COUNTIFS(Engine!$T$2:$T$98,1,Engine!$F$2:$F$98,"&lt;="&amp;J15)+COUNTIFS(Engine!$V$2:$V$98,1,Engine!$F$2:$F$98,"&lt;="&amp;J15)-COUNTIFS(Engine!$U$2:$U$98,1,Engine!$F$2:$F$98,"&lt;="&amp;J15)</f>
        <v>20</v>
      </c>
      <c r="L19" s="46">
        <f>COUNTIFS(Engine!$T$2:$T$98,1,Engine!$F$2:$F$98,"&lt;="&amp;K15)+COUNTIFS(Engine!$V$2:$V$98,1,Engine!$F$2:$F$98,"&lt;="&amp;K15)-COUNTIFS(Engine!$U$2:$U$98,1,Engine!$F$2:$F$98,"&lt;="&amp;K15)</f>
        <v>22</v>
      </c>
      <c r="M19" s="46">
        <f>COUNTIFS(Engine!$T$2:$T$98,1,Engine!$F$2:$F$98,"&lt;="&amp;L15)+COUNTIFS(Engine!$V$2:$V$98,1,Engine!$F$2:$F$98,"&lt;="&amp;L15)-COUNTIFS(Engine!$U$2:$U$98,1,Engine!$F$2:$F$98,"&lt;="&amp;L15)</f>
        <v>23</v>
      </c>
      <c r="N19" s="46">
        <f>COUNTIFS(Engine!$T$2:$T$98,1,Engine!$F$2:$F$98,"&lt;="&amp;M15)+COUNTIFS(Engine!$V$2:$V$98,1,Engine!$F$2:$F$98,"&lt;="&amp;M15)-COUNTIFS(Engine!$U$2:$U$98,1,Engine!$F$2:$F$98,"&lt;="&amp;M15)</f>
        <v>25</v>
      </c>
      <c r="O19" s="46">
        <f>COUNTIFS(Engine!$T$2:$T$98,1,Engine!$F$2:$F$98,"&lt;="&amp;N15)+COUNTIFS(Engine!$V$2:$V$98,1,Engine!$F$2:$F$98,"&lt;="&amp;N15)-COUNTIFS(Engine!$U$2:$U$98,1,Engine!$F$2:$F$98,"&lt;="&amp;N15)</f>
        <v>26</v>
      </c>
      <c r="P19" s="46">
        <f>COUNTIFS(Engine!$T$2:$T$98,1,Engine!$F$2:$F$98,"&lt;="&amp;O15)+COUNTIFS(Engine!$V$2:$V$98,1,Engine!$F$2:$F$98,"&lt;="&amp;O15)-COUNTIFS(Engine!$U$2:$U$98,1,Engine!$F$2:$F$98,"&lt;="&amp;O15)</f>
        <v>28</v>
      </c>
      <c r="Q19" s="46">
        <f>COUNTIFS(Engine!$T$2:$T$98,1,Engine!$F$2:$F$98,"&lt;="&amp;P15)+COUNTIFS(Engine!$V$2:$V$98,1,Engine!$F$2:$F$98,"&lt;="&amp;P15)-COUNTIFS(Engine!$U$2:$U$98,1,Engine!$F$2:$F$98,"&lt;="&amp;P15)</f>
        <v>31</v>
      </c>
      <c r="R19" s="46">
        <f>COUNTIFS(Engine!$T$2:$T$98,1,Engine!$F$2:$F$98,"&lt;="&amp;Q15)+COUNTIFS(Engine!$V$2:$V$98,1,Engine!$F$2:$F$98,"&lt;="&amp;Q15)-COUNTIFS(Engine!$U$2:$U$98,1,Engine!$F$2:$F$98,"&lt;="&amp;Q15)</f>
        <v>33</v>
      </c>
      <c r="S19" s="46">
        <f>COUNTIFS(Engine!$T$2:$T$98,1,Engine!$F$2:$F$98,"&lt;="&amp;R15)+COUNTIFS(Engine!$V$2:$V$98,1,Engine!$F$2:$F$98,"&lt;="&amp;R15)-COUNTIFS(Engine!$U$2:$U$98,1,Engine!$F$2:$F$98,"&lt;="&amp;R15)</f>
        <v>36</v>
      </c>
      <c r="T19" s="46">
        <f>COUNTIFS(Engine!$T$2:$T$98,1,Engine!$F$2:$F$98,"&lt;="&amp;S15)+COUNTIFS(Engine!$V$2:$V$98,1,Engine!$F$2:$F$98,"&lt;="&amp;S15)-COUNTIFS(Engine!$U$2:$U$98,1,Engine!$F$2:$F$98,"&lt;="&amp;S15)</f>
        <v>37</v>
      </c>
      <c r="U19" s="46">
        <f>COUNTIFS(Engine!$T$2:$T$98,1,Engine!$F$2:$F$98,"&lt;="&amp;T15)+COUNTIFS(Engine!$V$2:$V$98,1,Engine!$F$2:$F$98,"&lt;="&amp;T15)-COUNTIFS(Engine!$U$2:$U$98,1,Engine!$F$2:$F$98,"&lt;="&amp;T15)</f>
        <v>37</v>
      </c>
      <c r="V19" s="46">
        <f>COUNTIFS(Engine!$T$2:$T$98,1,Engine!$F$2:$F$98,"&lt;="&amp;U15)+COUNTIFS(Engine!$V$2:$V$98,1,Engine!$F$2:$F$98,"&lt;="&amp;U15)-COUNTIFS(Engine!$U$2:$U$98,1,Engine!$F$2:$F$98,"&lt;="&amp;U15)</f>
        <v>37</v>
      </c>
      <c r="W19" s="46">
        <f>COUNTIFS(Engine!$T$2:$T$98,1,Engine!$F$2:$F$98,"&lt;="&amp;V15)+COUNTIFS(Engine!$V$2:$V$98,1,Engine!$F$2:$F$98,"&lt;="&amp;V15)-COUNTIFS(Engine!$U$2:$U$98,1,Engine!$F$2:$F$98,"&lt;="&amp;V15)</f>
        <v>37</v>
      </c>
      <c r="X19" s="46">
        <f>COUNTIFS(Engine!$T$2:$T$98,1,Engine!$F$2:$F$98,"&lt;="&amp;W15)+COUNTIFS(Engine!$V$2:$V$98,1,Engine!$F$2:$F$98,"&lt;="&amp;W15)-COUNTIFS(Engine!$U$2:$U$98,1,Engine!$F$2:$F$98,"&lt;="&amp;W15)</f>
        <v>38</v>
      </c>
      <c r="Y19" s="46">
        <f>COUNTIFS(Engine!$T$2:$T$98,1,Engine!$F$2:$F$98,"&lt;="&amp;X15)+COUNTIFS(Engine!$V$2:$V$98,1,Engine!$F$2:$F$98,"&lt;="&amp;X15)-COUNTIFS(Engine!$U$2:$U$98,1,Engine!$F$2:$F$98,"&lt;="&amp;X15)</f>
        <v>38</v>
      </c>
      <c r="Z19" s="46">
        <f>COUNTIFS(Engine!$T$2:$T$98,1,Engine!$F$2:$F$98,"&lt;="&amp;Y15)+COUNTIFS(Engine!$V$2:$V$98,1,Engine!$F$2:$F$98,"&lt;="&amp;Y15)-COUNTIFS(Engine!$U$2:$U$98,1,Engine!$F$2:$F$98,"&lt;="&amp;Y15)</f>
        <v>38</v>
      </c>
      <c r="AA19" s="46">
        <f>COUNTIFS(Engine!$T$2:$T$98,1,Engine!$F$2:$F$98,"&lt;="&amp;Z15)+COUNTIFS(Engine!$V$2:$V$98,1,Engine!$F$2:$F$98,"&lt;="&amp;Z15)-COUNTIFS(Engine!$U$2:$U$98,1,Engine!$F$2:$F$98,"&lt;="&amp;Z15)</f>
        <v>39</v>
      </c>
    </row>
    <row r="20" spans="1:27" x14ac:dyDescent="0.35">
      <c r="A20" s="45" t="s">
        <v>178</v>
      </c>
      <c r="B20" s="46">
        <f>COUNTIFS(Engine!$U$2:$U$98,1,Engine!$F$2:$F$98,B15)</f>
        <v>0</v>
      </c>
      <c r="C20" s="46">
        <f>COUNTIFS(Engine!$U$2:$U$98,1,Engine!$F$2:$F$98,C15)</f>
        <v>0</v>
      </c>
      <c r="D20" s="46">
        <f>COUNTIFS(Engine!$U$2:$U$98,1,Engine!$F$2:$F$98,D15)</f>
        <v>0</v>
      </c>
      <c r="E20" s="46">
        <f>COUNTIFS(Engine!$U$2:$U$98,1,Engine!$F$2:$F$98,E15)</f>
        <v>0</v>
      </c>
      <c r="F20" s="46">
        <f>COUNTIFS(Engine!$U$2:$U$98,1,Engine!$F$2:$F$98,F15)</f>
        <v>0</v>
      </c>
      <c r="G20" s="46">
        <f>COUNTIFS(Engine!$U$2:$U$98,1,Engine!$F$2:$F$98,G15)</f>
        <v>0</v>
      </c>
      <c r="H20" s="46">
        <f>COUNTIFS(Engine!$U$2:$U$98,1,Engine!$F$2:$F$98,H15)</f>
        <v>0</v>
      </c>
      <c r="I20" s="46">
        <f>COUNTIFS(Engine!$U$2:$U$98,1,Engine!$F$2:$F$98,I15)</f>
        <v>0</v>
      </c>
      <c r="J20" s="46">
        <f>COUNTIFS(Engine!$U$2:$U$98,1,Engine!$F$2:$F$98,J15)</f>
        <v>0</v>
      </c>
      <c r="K20" s="46">
        <f>COUNTIFS(Engine!$U$2:$U$98,1,Engine!$F$2:$F$98,K15)</f>
        <v>0</v>
      </c>
      <c r="L20" s="46">
        <f>COUNTIFS(Engine!$U$2:$U$98,1,Engine!$F$2:$F$98,L15)</f>
        <v>1</v>
      </c>
      <c r="M20" s="46">
        <f>COUNTIFS(Engine!$U$2:$U$98,1,Engine!$F$2:$F$98,M15)</f>
        <v>0</v>
      </c>
      <c r="N20" s="46">
        <f>COUNTIFS(Engine!$U$2:$U$98,1,Engine!$F$2:$F$98,N15)</f>
        <v>1</v>
      </c>
      <c r="O20" s="46">
        <f>COUNTIFS(Engine!$U$2:$U$98,1,Engine!$F$2:$F$98,O15)</f>
        <v>0</v>
      </c>
      <c r="P20" s="46">
        <f>COUNTIFS(Engine!$U$2:$U$98,1,Engine!$F$2:$F$98,P15)</f>
        <v>0</v>
      </c>
      <c r="Q20" s="46">
        <f>COUNTIFS(Engine!$U$2:$U$98,1,Engine!$F$2:$F$98,Q15)</f>
        <v>0</v>
      </c>
      <c r="R20" s="46">
        <f>COUNTIFS(Engine!$U$2:$U$98,1,Engine!$F$2:$F$98,R15)</f>
        <v>0</v>
      </c>
      <c r="S20" s="46">
        <f>COUNTIFS(Engine!$U$2:$U$98,1,Engine!$F$2:$F$98,S15)</f>
        <v>1</v>
      </c>
      <c r="T20" s="46">
        <f>COUNTIFS(Engine!$U$2:$U$98,1,Engine!$F$2:$F$98,T15)</f>
        <v>0</v>
      </c>
      <c r="U20" s="46">
        <f>COUNTIFS(Engine!$U$2:$U$98,1,Engine!$F$2:$F$98,U15)</f>
        <v>0</v>
      </c>
      <c r="V20" s="46">
        <f>COUNTIFS(Engine!$U$2:$U$98,1,Engine!$F$2:$F$98,V15)</f>
        <v>0</v>
      </c>
      <c r="W20" s="46">
        <f>COUNTIFS(Engine!$U$2:$U$98,1,Engine!$F$2:$F$98,W15)</f>
        <v>0</v>
      </c>
      <c r="X20" s="46">
        <f>COUNTIFS(Engine!$U$2:$U$98,1,Engine!$F$2:$F$98,X15)</f>
        <v>0</v>
      </c>
      <c r="Y20" s="46">
        <f>COUNTIFS(Engine!$U$2:$U$98,1,Engine!$F$2:$F$98,Y15)</f>
        <v>0</v>
      </c>
      <c r="Z20" s="46">
        <f>COUNTIFS(Engine!$U$2:$U$98,1,Engine!$F$2:$F$98,Z15)</f>
        <v>0</v>
      </c>
      <c r="AA20" s="46">
        <f>COUNTIFS(Engine!$U$2:$U$98,1,Engine!$F$2:$F$98,AA15)</f>
        <v>0</v>
      </c>
    </row>
    <row r="21" spans="1:27" x14ac:dyDescent="0.35">
      <c r="A21" s="45" t="s">
        <v>179</v>
      </c>
      <c r="B21" s="47" t="str">
        <f t="shared" ref="B21:AA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row>
    <row r="23" spans="1:27" x14ac:dyDescent="0.35">
      <c r="A23" s="42" t="s">
        <v>180</v>
      </c>
    </row>
    <row r="24" spans="1:27"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row>
    <row r="25" spans="1:27" x14ac:dyDescent="0.35">
      <c r="A25" s="42" t="s">
        <v>181</v>
      </c>
      <c r="B25" s="28" t="str">
        <f>IFERROR(AVERAGEIF(B6:B6,"&gt;0"),"-")</f>
        <v>-</v>
      </c>
      <c r="C25" s="28">
        <f>IFERROR(AVERAGEIF(B6:C6,"&gt;0"),"-")</f>
        <v>1</v>
      </c>
      <c r="D25" s="28">
        <f>IFERROR(AVERAGEIF(B6:D6,"&gt;0"),"-")</f>
        <v>1</v>
      </c>
      <c r="E25" s="28">
        <f t="shared" ref="E25:AA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row>
    <row r="26" spans="1:27"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row>
    <row r="27" spans="1:27" x14ac:dyDescent="0.35">
      <c r="A27" s="42" t="s">
        <v>183</v>
      </c>
      <c r="B27" s="28" t="str">
        <f>IFERROR(AVERAGE(B21),"-")</f>
        <v>-</v>
      </c>
      <c r="C27" s="28">
        <f>IFERROR(AVERAGE(B21:C21),"-")</f>
        <v>0</v>
      </c>
      <c r="D27" s="28">
        <f>IFERROR(AVERAGE(B21:D21),"-")</f>
        <v>0</v>
      </c>
      <c r="E27" s="28">
        <f t="shared" ref="E27:AA27" si="6">AVERAGE(C21:E21)</f>
        <v>0</v>
      </c>
      <c r="F27" s="28">
        <f t="shared" si="6"/>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row>
    <row r="28" spans="1:27"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7"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A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row>
    <row r="30" spans="1:27"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row>
    <row r="31" spans="1:27"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A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row>
    <row r="32" spans="1:27" ht="20" customHeight="1" x14ac:dyDescent="0.35"/>
    <row r="33" spans="1:27" x14ac:dyDescent="0.35">
      <c r="A33" s="42" t="s">
        <v>187</v>
      </c>
    </row>
    <row r="34" spans="1:27" ht="80" customHeight="1" x14ac:dyDescent="0.35">
      <c r="A34" s="110" t="s">
        <v>188</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row>
    <row r="35" spans="1:27" ht="15" customHeight="1" x14ac:dyDescent="0.35"/>
    <row r="36" spans="1:27" x14ac:dyDescent="0.35">
      <c r="A36" s="42" t="s">
        <v>189</v>
      </c>
    </row>
    <row r="37" spans="1:27" ht="95" customHeight="1" x14ac:dyDescent="0.35">
      <c r="A37" s="110" t="s">
        <v>190</v>
      </c>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row>
  </sheetData>
  <mergeCells count="2">
    <mergeCell ref="A34:AA34"/>
    <mergeCell ref="A37:AA3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workbookViewId="0">
      <pane xSplit="1" topLeftCell="B1" activePane="topRight" state="frozen"/>
      <selection pane="topRight" activeCell="F87" sqref="F87"/>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40</v>
      </c>
      <c r="C4" s="52"/>
    </row>
    <row r="5" spans="1:4" x14ac:dyDescent="0.35">
      <c r="A5" s="51" t="s">
        <v>194</v>
      </c>
      <c r="B5" s="52">
        <f>COUNTA(Table1[subscription_id])</f>
        <v>97</v>
      </c>
      <c r="C5" s="52"/>
    </row>
    <row r="6" spans="1:4" x14ac:dyDescent="0.35">
      <c r="A6" s="51" t="s">
        <v>195</v>
      </c>
      <c r="B6" s="53">
        <f>SUM(C12:C17)</f>
        <v>144185.5</v>
      </c>
      <c r="C6" s="53"/>
    </row>
    <row r="7" spans="1:4" x14ac:dyDescent="0.35">
      <c r="A7" s="51" t="s">
        <v>196</v>
      </c>
      <c r="B7" s="53">
        <f>B6/B4</f>
        <v>3604.6374999999998</v>
      </c>
      <c r="C7" s="53"/>
    </row>
    <row r="8" spans="1:4" x14ac:dyDescent="0.35">
      <c r="A8" s="51" t="s">
        <v>197</v>
      </c>
      <c r="B8" s="53">
        <f>B6/B5</f>
        <v>1486.4484536082475</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2523.2462500000001</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 t="shared" ref="E28:E33" si="1">C12</f>
        <v>3105</v>
      </c>
      <c r="F28" s="59">
        <f t="shared" ref="F28:F33" si="2">E28*C28/B28</f>
        <v>931.5</v>
      </c>
    </row>
    <row r="29" spans="1:6" x14ac:dyDescent="0.35">
      <c r="A29" s="54" t="s">
        <v>203</v>
      </c>
      <c r="B29" s="59">
        <f>Ref!B3</f>
        <v>95</v>
      </c>
      <c r="C29" s="59">
        <f>Ref!C3</f>
        <v>28.5</v>
      </c>
      <c r="D29" s="60">
        <f>Ref!D3</f>
        <v>0.7</v>
      </c>
      <c r="E29" s="59">
        <f t="shared" si="1"/>
        <v>15475.5</v>
      </c>
      <c r="F29" s="59">
        <f t="shared" si="2"/>
        <v>4642.6499999999996</v>
      </c>
    </row>
    <row r="30" spans="1:6" x14ac:dyDescent="0.35">
      <c r="A30" s="54" t="s">
        <v>204</v>
      </c>
      <c r="B30" s="59">
        <f>Ref!B4</f>
        <v>180</v>
      </c>
      <c r="C30" s="59">
        <f>Ref!C4</f>
        <v>54</v>
      </c>
      <c r="D30" s="60">
        <f>Ref!D4</f>
        <v>0.7</v>
      </c>
      <c r="E30" s="59">
        <f t="shared" si="1"/>
        <v>32580</v>
      </c>
      <c r="F30" s="59">
        <f t="shared" si="2"/>
        <v>9774</v>
      </c>
    </row>
    <row r="31" spans="1:6" x14ac:dyDescent="0.35">
      <c r="A31" s="54" t="s">
        <v>205</v>
      </c>
      <c r="B31" s="59">
        <f>Ref!B5</f>
        <v>85</v>
      </c>
      <c r="C31" s="59">
        <f>Ref!C5</f>
        <v>25.5</v>
      </c>
      <c r="D31" s="60">
        <f>Ref!D5</f>
        <v>0.7</v>
      </c>
      <c r="E31" s="59">
        <f t="shared" si="1"/>
        <v>29325</v>
      </c>
      <c r="F31" s="59">
        <f t="shared" si="2"/>
        <v>8797.5</v>
      </c>
    </row>
    <row r="32" spans="1:6" x14ac:dyDescent="0.35">
      <c r="A32" s="54" t="s">
        <v>206</v>
      </c>
      <c r="B32" s="59">
        <f>Ref!B6</f>
        <v>110</v>
      </c>
      <c r="C32" s="59">
        <f>Ref!C6</f>
        <v>33</v>
      </c>
      <c r="D32" s="60">
        <f>Ref!D6</f>
        <v>0.7</v>
      </c>
      <c r="E32" s="59">
        <f t="shared" si="1"/>
        <v>26950</v>
      </c>
      <c r="F32" s="59">
        <f t="shared" si="2"/>
        <v>8085</v>
      </c>
    </row>
    <row r="33" spans="1:6" x14ac:dyDescent="0.35">
      <c r="A33" s="54" t="s">
        <v>207</v>
      </c>
      <c r="B33" s="59">
        <f>Ref!B7</f>
        <v>150</v>
      </c>
      <c r="C33" s="59">
        <f>Ref!C7</f>
        <v>45</v>
      </c>
      <c r="D33" s="60">
        <f>Ref!D7</f>
        <v>0.7</v>
      </c>
      <c r="E33" s="59">
        <f t="shared" si="1"/>
        <v>36750</v>
      </c>
      <c r="F33" s="59">
        <f t="shared" si="2"/>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422598.52928410121</v>
      </c>
    </row>
    <row r="58" spans="1:10" x14ac:dyDescent="0.35">
      <c r="A58" s="67" t="s">
        <v>252</v>
      </c>
      <c r="B58" s="68">
        <f>B7*B23/B37</f>
        <v>295818.97049887088</v>
      </c>
    </row>
    <row r="59" spans="1:10" x14ac:dyDescent="0.35">
      <c r="A59" s="62" t="s">
        <v>253</v>
      </c>
      <c r="B59" s="66">
        <f>B7*C53*B23</f>
        <v>28974.679940419308</v>
      </c>
    </row>
    <row r="61" spans="1:10" x14ac:dyDescent="0.35">
      <c r="A61" s="62" t="s">
        <v>254</v>
      </c>
    </row>
    <row r="62" spans="1:10" ht="195.5" x14ac:dyDescent="0.35">
      <c r="A62" s="69" t="s">
        <v>255</v>
      </c>
    </row>
    <row r="64" spans="1:10" x14ac:dyDescent="0.35">
      <c r="A64" s="112" t="s">
        <v>256</v>
      </c>
      <c r="B64" s="112"/>
      <c r="C64" s="112"/>
      <c r="D64" s="112"/>
      <c r="E64" s="112"/>
      <c r="F64" s="112"/>
      <c r="G64" s="112"/>
      <c r="H64" s="112"/>
      <c r="I64" s="112"/>
      <c r="J64" s="112"/>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21.875122960667358</v>
      </c>
      <c r="C93" s="81" t="s">
        <v>293</v>
      </c>
    </row>
    <row r="94" spans="1:10" x14ac:dyDescent="0.35">
      <c r="A94" s="62" t="s">
        <v>294</v>
      </c>
      <c r="B94" s="82">
        <f>B58/B89</f>
        <v>8.7676043419938026</v>
      </c>
      <c r="C94" s="65" t="s">
        <v>293</v>
      </c>
    </row>
    <row r="95" spans="1:10" x14ac:dyDescent="0.35">
      <c r="A95" s="67" t="s">
        <v>295</v>
      </c>
      <c r="B95" s="83">
        <f>B85/B24</f>
        <v>5.3593964216044796</v>
      </c>
      <c r="C95" s="81" t="s">
        <v>296</v>
      </c>
    </row>
    <row r="96" spans="1:10" x14ac:dyDescent="0.35">
      <c r="A96" s="62" t="s">
        <v>297</v>
      </c>
      <c r="B96" s="84">
        <f>B89/B24</f>
        <v>13.371663586144237</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G5" sqref="G5"/>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Historical Baseline</vt:lpstr>
      <vt:lpstr>Forecast Assumptions</vt:lpstr>
      <vt:lpstr>2026 Forecast</vt:lpstr>
      <vt:lpstr>Jan 2026 A vs F </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2026-04-05T21:27:06Z</dcterms:modified>
</cp:coreProperties>
</file>