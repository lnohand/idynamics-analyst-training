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venti\Downloads\idynamics-training\idynamics-analyst-training\assignments\excel\"/>
    </mc:Choice>
  </mc:AlternateContent>
  <xr:revisionPtr revIDLastSave="0" documentId="13_ncr:1_{4A0398CD-809C-44C2-84E4-C84F415839FD}" xr6:coauthVersionLast="47" xr6:coauthVersionMax="47" xr10:uidLastSave="{00000000-0000-0000-0000-000000000000}"/>
  <bookViews>
    <workbookView xWindow="-110" yWindow="-110" windowWidth="38620" windowHeight="21100" activeTab="2" xr2:uid="{00000000-000D-0000-FFFF-FFFF00000000}"/>
  </bookViews>
  <sheets>
    <sheet name="START HERE" sheetId="1" r:id="rId1"/>
    <sheet name="Exercise 1" sheetId="2" r:id="rId2"/>
    <sheet name="Exercise 2" sheetId="3" r:id="rId3"/>
  </sheets>
  <calcPr calcId="191029"/>
  <pivotCaches>
    <pivotCache cacheId="7" r:id="rId4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7" i="2" l="1"/>
  <c r="G37" i="2"/>
  <c r="H26" i="2" a="1"/>
  <c r="H26" i="2" s="1"/>
  <c r="H27" i="2" a="1"/>
  <c r="H27" i="2" s="1"/>
  <c r="H28" i="2" a="1"/>
  <c r="H28" i="2" s="1"/>
  <c r="H29" i="2" a="1"/>
  <c r="H29" i="2" s="1"/>
  <c r="H30" i="2" a="1"/>
  <c r="H30" i="2" s="1"/>
  <c r="H31" i="2" a="1"/>
  <c r="H31" i="2" s="1"/>
  <c r="H32" i="2" a="1"/>
  <c r="H32" i="2" s="1"/>
  <c r="H33" i="2" a="1"/>
  <c r="H33" i="2" s="1"/>
  <c r="H34" i="2" a="1"/>
  <c r="H34" i="2" s="1"/>
  <c r="H35" i="2" a="1"/>
  <c r="H35" i="2" s="1"/>
  <c r="H36" i="2" a="1"/>
  <c r="H36" i="2" s="1"/>
  <c r="H25" i="2" a="1"/>
  <c r="H25" i="2" s="1"/>
  <c r="F26" i="2"/>
  <c r="G26" i="2" s="1"/>
  <c r="F27" i="2"/>
  <c r="G27" i="2" s="1"/>
  <c r="F28" i="2"/>
  <c r="G28" i="2" s="1"/>
  <c r="F29" i="2"/>
  <c r="G29" i="2" s="1"/>
  <c r="F30" i="2"/>
  <c r="G30" i="2" s="1"/>
  <c r="F31" i="2"/>
  <c r="G31" i="2" s="1"/>
  <c r="F32" i="2"/>
  <c r="G32" i="2" s="1"/>
  <c r="F33" i="2"/>
  <c r="G33" i="2" s="1"/>
  <c r="F34" i="2"/>
  <c r="G34" i="2" s="1"/>
  <c r="F35" i="2"/>
  <c r="G35" i="2" s="1"/>
  <c r="F36" i="2"/>
  <c r="G36" i="2" s="1"/>
  <c r="F25" i="2"/>
  <c r="G25" i="2" s="1"/>
  <c r="E26" i="2"/>
  <c r="E27" i="2"/>
  <c r="E28" i="2"/>
  <c r="E29" i="2"/>
  <c r="E30" i="2"/>
  <c r="E31" i="2"/>
  <c r="E32" i="2"/>
  <c r="E33" i="2"/>
  <c r="E34" i="2"/>
  <c r="E35" i="2"/>
  <c r="E36" i="2"/>
  <c r="E25" i="2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<sst xmlns="http://schemas.openxmlformats.org/spreadsheetml/2006/main" count="292" uniqueCount="130">
  <si>
    <t>Finance Analyst — Excel Technical Interview</t>
  </si>
  <si>
    <t>Instructions</t>
  </si>
  <si>
    <t>1. You have 40 minutes to complete both exercises.</t>
  </si>
  <si>
    <t>2. Each tab contains a business scenario and the data you need. There are no trick questions.</t>
  </si>
  <si>
    <t>3. Use formulas — not hardcoded numbers. We want to see that your models update when inputs change.</t>
  </si>
  <si>
    <t>4. Green cells are where your work goes. Everything else is source data.</t>
  </si>
  <si>
    <t>5. When you finish, walk us through what you built and anything you'd flag to the business.</t>
  </si>
  <si>
    <t>Good luck.</t>
  </si>
  <si>
    <t>Deal Desk Approval Report</t>
  </si>
  <si>
    <t>20 minutes</t>
  </si>
  <si>
    <t>From: Jordan Lee (Director, Deal Desk)</t>
  </si>
  <si>
    <t>Hey — I need the weekly deal approval report before our 2pm. We had 12 deals</t>
  </si>
  <si>
    <t>come through this week. Product catalog and the discount approval policy are below.</t>
  </si>
  <si>
    <t>For each deal I need to see: what product they're buying, the list price, the net</t>
  </si>
  <si>
    <t>price after discount, and who needs to approve it based on our discount policy.</t>
  </si>
  <si>
    <t>Roll up some totals at the bottom — whatever you think I'd want to see before</t>
  </si>
  <si>
    <t>the meeting. Flag anything that looks off.</t>
  </si>
  <si>
    <t>Product Catalog</t>
  </si>
  <si>
    <t>Discount Approval Policy</t>
  </si>
  <si>
    <t>Product SKU</t>
  </si>
  <si>
    <t>Product Name</t>
  </si>
  <si>
    <t>List Price (Annual)</t>
  </si>
  <si>
    <t>Min Discount (&gt;=)</t>
  </si>
  <si>
    <t>Max Discount (&lt;)</t>
  </si>
  <si>
    <t>Approver Required</t>
  </si>
  <si>
    <t>SKU-100</t>
  </si>
  <si>
    <t>Platform - Starter</t>
  </si>
  <si>
    <t>Auto-Approve</t>
  </si>
  <si>
    <t>SKU-200</t>
  </si>
  <si>
    <t>Platform - Professional</t>
  </si>
  <si>
    <t>Sales Manager</t>
  </si>
  <si>
    <t>SKU-300</t>
  </si>
  <si>
    <t>Platform - Enterprise</t>
  </si>
  <si>
    <t>VP of Sales</t>
  </si>
  <si>
    <t>SKU-401</t>
  </si>
  <si>
    <t>Add-On: Advanced Analytics</t>
  </si>
  <si>
    <t>CFO</t>
  </si>
  <si>
    <t>SKU-402</t>
  </si>
  <si>
    <t>Add-On: API Access</t>
  </si>
  <si>
    <t>SKU-403</t>
  </si>
  <si>
    <t>Add-On: Premium Support</t>
  </si>
  <si>
    <t>This Week's Submissions</t>
  </si>
  <si>
    <t>Deal #</t>
  </si>
  <si>
    <t>Rep</t>
  </si>
  <si>
    <t>Discount Offered</t>
  </si>
  <si>
    <t>List Price</t>
  </si>
  <si>
    <t>Net ACV</t>
  </si>
  <si>
    <t>D-001</t>
  </si>
  <si>
    <t>Sarah Chen</t>
  </si>
  <si>
    <t>D-002</t>
  </si>
  <si>
    <t>James Wright</t>
  </si>
  <si>
    <t>D-003</t>
  </si>
  <si>
    <t>Priya Patel</t>
  </si>
  <si>
    <t>D-004</t>
  </si>
  <si>
    <t>Marcus Johnson</t>
  </si>
  <si>
    <t>D-005</t>
  </si>
  <si>
    <t>Lisa Kim</t>
  </si>
  <si>
    <t>D-006</t>
  </si>
  <si>
    <t>David Okafor</t>
  </si>
  <si>
    <t>D-007</t>
  </si>
  <si>
    <t>Anna Kowalski</t>
  </si>
  <si>
    <t>D-008</t>
  </si>
  <si>
    <t>Ryan Tanaka</t>
  </si>
  <si>
    <t>D-009</t>
  </si>
  <si>
    <t>D-010</t>
  </si>
  <si>
    <t>D-011</t>
  </si>
  <si>
    <t>D-012</t>
  </si>
  <si>
    <t>Summary</t>
  </si>
  <si>
    <t>Q1 Bookings Analysis</t>
  </si>
  <si>
    <t>From: Dana Torres (CRO)</t>
  </si>
  <si>
    <t>I have the quarterly business review in an hour and I need a clean breakdown of</t>
  </si>
  <si>
    <t>Q1 bookings. Raw data is below — 30 closed-won deals from Jan through March.</t>
  </si>
  <si>
    <t>I want to see:</t>
  </si>
  <si>
    <t xml:space="preserve">  •  How each rep performed</t>
  </si>
  <si>
    <t xml:space="preserve">  •  How the quarter trended month over month</t>
  </si>
  <si>
    <t xml:space="preserve">  •  Where our revenue is concentrated (product, region, deal type)</t>
  </si>
  <si>
    <t>Build whatever pivot tables or summaries you think tell the story. Format it so</t>
  </si>
  <si>
    <t>I can screenshot it into my deck. If anything in the data concerns you, call it out.</t>
  </si>
  <si>
    <t>Q1 2026 Closed-Won Deals</t>
  </si>
  <si>
    <t>Close Date</t>
  </si>
  <si>
    <t>Region</t>
  </si>
  <si>
    <t>Product</t>
  </si>
  <si>
    <t>Deal Type</t>
  </si>
  <si>
    <t>ACV</t>
  </si>
  <si>
    <t>Contract Term
(months)</t>
  </si>
  <si>
    <t>Customer</t>
  </si>
  <si>
    <t>West</t>
  </si>
  <si>
    <t>New</t>
  </si>
  <si>
    <t>Meridian Health</t>
  </si>
  <si>
    <t>East</t>
  </si>
  <si>
    <t>Renewal</t>
  </si>
  <si>
    <t>Oakmont Group</t>
  </si>
  <si>
    <t>Central</t>
  </si>
  <si>
    <t>Atlas Logistics</t>
  </si>
  <si>
    <t>Expansion</t>
  </si>
  <si>
    <t>Riverdale Corp</t>
  </si>
  <si>
    <t>Pinnacle Retail</t>
  </si>
  <si>
    <t>Stonewall Industries</t>
  </si>
  <si>
    <t>Vertex Manufacturing</t>
  </si>
  <si>
    <t>Horizon Media</t>
  </si>
  <si>
    <t>Highpoint Systems</t>
  </si>
  <si>
    <t>Clearwater Inc</t>
  </si>
  <si>
    <t>Summit Financial</t>
  </si>
  <si>
    <t>Crestline Tech</t>
  </si>
  <si>
    <t>Broadfield LLC</t>
  </si>
  <si>
    <t>Eastwood Partners</t>
  </si>
  <si>
    <t>Ironbridge Partners</t>
  </si>
  <si>
    <t>Lakeview Education</t>
  </si>
  <si>
    <t>Pacific Ventures</t>
  </si>
  <si>
    <t>Redwood Analytics</t>
  </si>
  <si>
    <t>Blueshore Capital</t>
  </si>
  <si>
    <t>Mapletree Consulting</t>
  </si>
  <si>
    <t>Silverline Insurance</t>
  </si>
  <si>
    <t>Northstar Pharma</t>
  </si>
  <si>
    <t>Goldcrest Mining</t>
  </si>
  <si>
    <t>Evergreen Solutions</t>
  </si>
  <si>
    <t>Terrace Data Systems</t>
  </si>
  <si>
    <t>Average / Total</t>
  </si>
  <si>
    <t>David provided a discount of 35% in D-006 which was an outlier compared to other deals. It will require CFO approval.</t>
  </si>
  <si>
    <t>Ryan provided a steep discount of 20% in D-008 which requires the approval of a Sales Manager and is notably higher than any other discount given for our add-ons.</t>
  </si>
  <si>
    <t>Row Labels</t>
  </si>
  <si>
    <t>Grand Total</t>
  </si>
  <si>
    <t>Sum of ACV</t>
  </si>
  <si>
    <t>Jan</t>
  </si>
  <si>
    <t>Feb</t>
  </si>
  <si>
    <t>Mar</t>
  </si>
  <si>
    <t>Count of Region</t>
  </si>
  <si>
    <t>Count of Deal Type</t>
  </si>
  <si>
    <t>Months</t>
  </si>
  <si>
    <t>Revenue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</si>
</sst>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\$#,##0"/>
    <numFmt numFmtId="166" formatCode="yyyy\-mm\-dd"/>
    <numFmt numFmtId="169" formatCode="&quot;$&quot;#,##0.00"/>
  </numFmts>
  <fonts count="11" x14ac:knownFonts="1">
    <font>
      <sz val="11"/>
      <color theme="1"/>
      <name val="Calibri"/>
      <family val="2"/>
      <scheme val="minor"/>
    </font>
    <font>
      <b/>
      <sz val="16"/>
      <color rgb="FF1B5E8C"/>
      <name val="Calibri"/>
    </font>
    <font>
      <b/>
      <sz val="11"/>
      <color rgb="FF1B5E8C"/>
      <name val="Calibri"/>
    </font>
    <font>
      <sz val="11"/>
      <name val="Calibri"/>
    </font>
    <font>
      <b/>
      <sz val="11"/>
      <name val="Calibri"/>
    </font>
    <font>
      <b/>
      <sz val="14"/>
      <color rgb="FF1B5E8C"/>
      <name val="Calibri"/>
    </font>
    <font>
      <sz val="10"/>
      <color rgb="FF888888"/>
      <name val="Calibri"/>
    </font>
    <font>
      <i/>
      <sz val="11"/>
      <color rgb="FF333333"/>
      <name val="Calibri"/>
    </font>
    <font>
      <b/>
      <sz val="11"/>
      <color rgb="FFFFFFFF"/>
      <name val="Calibri"/>
    </font>
    <font>
      <sz val="11"/>
      <color rgb="FF0000FF"/>
      <name val="Calibri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B5E8C"/>
      </patternFill>
    </fill>
    <fill>
      <patternFill patternType="solid">
        <fgColor rgb="FFFFF8E1"/>
      </patternFill>
    </fill>
    <fill>
      <patternFill patternType="solid">
        <fgColor rgb="FFE8F5E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2" borderId="0" xfId="0" applyFont="1" applyFill="1" applyAlignment="1">
      <alignment horizontal="center" wrapText="1"/>
    </xf>
    <xf numFmtId="0" fontId="3" fillId="3" borderId="0" xfId="0" applyFont="1" applyFill="1"/>
    <xf numFmtId="164" fontId="9" fillId="3" borderId="0" xfId="0" applyNumberFormat="1" applyFont="1" applyFill="1"/>
    <xf numFmtId="9" fontId="9" fillId="3" borderId="0" xfId="0" applyNumberFormat="1" applyFont="1" applyFill="1"/>
    <xf numFmtId="9" fontId="3" fillId="0" borderId="0" xfId="0" applyNumberFormat="1" applyFont="1"/>
    <xf numFmtId="164" fontId="0" fillId="4" borderId="0" xfId="0" applyNumberFormat="1" applyFill="1"/>
    <xf numFmtId="0" fontId="0" fillId="4" borderId="0" xfId="0" applyFill="1"/>
    <xf numFmtId="166" fontId="0" fillId="0" borderId="0" xfId="0" applyNumberFormat="1"/>
    <xf numFmtId="164" fontId="0" fillId="0" borderId="0" xfId="0" applyNumberFormat="1"/>
    <xf numFmtId="0" fontId="0" fillId="4" borderId="0" xfId="0" applyNumberFormat="1" applyFill="1"/>
    <xf numFmtId="169" fontId="0" fillId="4" borderId="0" xfId="0" applyNumberFormat="1" applyFill="1"/>
    <xf numFmtId="9" fontId="0" fillId="4" borderId="0" xfId="0" applyNumberFormat="1" applyFill="1"/>
    <xf numFmtId="0" fontId="10" fillId="4" borderId="0" xfId="0" applyFont="1" applyFill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</cellXfs>
  <cellStyles count="1">
    <cellStyle name="Normal" xfId="0" builtinId="0"/>
  </cellStyles>
  <dxfs count="10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indexed="64"/>
          <bgColor rgb="FF1B5E8C"/>
        </patternFill>
      </fill>
      <alignment horizontal="center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</dxf>
    <dxf>
      <numFmt numFmtId="164" formatCode="\$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</dxf>
    <dxf>
      <numFmt numFmtId="166" formatCode="yyyy\-mm\-dd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Relationship Id="rId9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ichael Bezrukov" refreshedDate="46110.687431944447" createdVersion="8" refreshedVersion="8" minRefreshableVersion="3" recordCount="30" xr:uid="{559502ED-0749-401A-A8A2-15B5E9804D9F}">
  <cacheSource type="worksheet">
    <worksheetSource name="Table1"/>
  </cacheSource>
  <cacheFields count="10">
    <cacheField name="Close Date" numFmtId="166">
      <sharedItems containsSemiMixedTypes="0" containsNonDate="0" containsDate="1" containsString="0" minDate="2026-01-08T00:00:00" maxDate="2026-04-01T00:00:00" count="30">
        <d v="2026-01-08T00:00:00"/>
        <d v="2026-01-12T00:00:00"/>
        <d v="2026-01-15T00:00:00"/>
        <d v="2026-01-18T00:00:00"/>
        <d v="2026-01-22T00:00:00"/>
        <d v="2026-01-23T00:00:00"/>
        <d v="2026-01-25T00:00:00"/>
        <d v="2026-01-27T00:00:00"/>
        <d v="2026-01-29T00:00:00"/>
        <d v="2026-01-31T00:00:00"/>
        <d v="2026-02-03T00:00:00"/>
        <d v="2026-02-05T00:00:00"/>
        <d v="2026-02-10T00:00:00"/>
        <d v="2026-02-12T00:00:00"/>
        <d v="2026-02-14T00:00:00"/>
        <d v="2026-02-18T00:00:00"/>
        <d v="2026-02-20T00:00:00"/>
        <d v="2026-02-24T00:00:00"/>
        <d v="2026-02-26T00:00:00"/>
        <d v="2026-02-28T00:00:00"/>
        <d v="2026-03-02T00:00:00"/>
        <d v="2026-03-05T00:00:00"/>
        <d v="2026-03-09T00:00:00"/>
        <d v="2026-03-11T00:00:00"/>
        <d v="2026-03-14T00:00:00"/>
        <d v="2026-03-17T00:00:00"/>
        <d v="2026-03-20T00:00:00"/>
        <d v="2026-03-23T00:00:00"/>
        <d v="2026-03-26T00:00:00"/>
        <d v="2026-03-31T00:00:00"/>
      </sharedItems>
      <fieldGroup par="9"/>
    </cacheField>
    <cacheField name="Rep" numFmtId="0">
      <sharedItems count="6">
        <s v="Sarah Chen"/>
        <s v="James Wright"/>
        <s v="Marcus Johnson"/>
        <s v="Priya Patel"/>
        <s v="Lisa Kim"/>
        <s v="David Okafor"/>
      </sharedItems>
    </cacheField>
    <cacheField name="Region" numFmtId="0">
      <sharedItems count="3">
        <s v="West"/>
        <s v="East"/>
        <s v="Central"/>
      </sharedItems>
    </cacheField>
    <cacheField name="Product" numFmtId="0">
      <sharedItems count="3">
        <s v="Platform - Enterprise"/>
        <s v="Platform - Professional"/>
        <s v="Platform - Starter"/>
      </sharedItems>
    </cacheField>
    <cacheField name="Deal Type" numFmtId="0">
      <sharedItems count="3">
        <s v="New"/>
        <s v="Renewal"/>
        <s v="Expansion"/>
      </sharedItems>
    </cacheField>
    <cacheField name="ACV" numFmtId="164">
      <sharedItems containsSemiMixedTypes="0" containsString="0" containsNumber="1" containsInteger="1" minValue="18000" maxValue="96000"/>
    </cacheField>
    <cacheField name="Contract Term_x000a_(months)" numFmtId="0">
      <sharedItems containsSemiMixedTypes="0" containsString="0" containsNumber="1" containsInteger="1" minValue="12" maxValue="24"/>
    </cacheField>
    <cacheField name="Customer" numFmtId="0">
      <sharedItems/>
    </cacheField>
    <cacheField name="Days (Close Date)" numFmtId="0" databaseField="0">
      <fieldGroup base="0">
        <rangePr groupBy="days" startDate="2026-01-08T00:00:00" endDate="2026-04-01T00:00:00"/>
        <groupItems count="368">
          <s v="&lt;2026-01-08"/>
          <s v="01-Jan"/>
          <s v="02-Jan"/>
          <s v="03-Jan"/>
          <s v="04-Jan"/>
          <s v="05-Jan"/>
          <s v="06-Jan"/>
          <s v="07-Jan"/>
          <s v="08-Jan"/>
          <s v="09-Jan"/>
          <s v="10-Jan"/>
          <s v="11-Jan"/>
          <s v="12-Jan"/>
          <s v="13-Jan"/>
          <s v="14-Jan"/>
          <s v="15-Jan"/>
          <s v="16-Jan"/>
          <s v="17-Jan"/>
          <s v="18-Jan"/>
          <s v="19-Jan"/>
          <s v="20-Jan"/>
          <s v="21-Jan"/>
          <s v="22-Jan"/>
          <s v="23-Jan"/>
          <s v="24-Jan"/>
          <s v="25-Jan"/>
          <s v="26-Jan"/>
          <s v="27-Jan"/>
          <s v="28-Jan"/>
          <s v="29-Jan"/>
          <s v="30-Jan"/>
          <s v="31-Jan"/>
          <s v="01-Feb"/>
          <s v="02-Feb"/>
          <s v="03-Feb"/>
          <s v="04-Feb"/>
          <s v="05-Feb"/>
          <s v="06-Feb"/>
          <s v="07-Feb"/>
          <s v="08-Feb"/>
          <s v="0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01-Mar"/>
          <s v="02-Mar"/>
          <s v="03-Mar"/>
          <s v="04-Mar"/>
          <s v="05-Mar"/>
          <s v="06-Mar"/>
          <s v="07-Mar"/>
          <s v="08-Mar"/>
          <s v="0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01-Apr"/>
          <s v="02-Apr"/>
          <s v="03-Apr"/>
          <s v="04-Apr"/>
          <s v="05-Apr"/>
          <s v="06-Apr"/>
          <s v="07-Apr"/>
          <s v="08-Apr"/>
          <s v="09-Apr"/>
          <s v="10-Apr"/>
          <s v="11-Apr"/>
          <s v="12-Apr"/>
          <s v="13-Apr"/>
          <s v="14-Apr"/>
          <s v="15-Apr"/>
          <s v="16-Apr"/>
          <s v="17-Apr"/>
          <s v="18-Apr"/>
          <s v="19-Apr"/>
          <s v="20-Apr"/>
          <s v="21-Apr"/>
          <s v="22-Apr"/>
          <s v="23-Apr"/>
          <s v="24-Apr"/>
          <s v="25-Apr"/>
          <s v="26-Apr"/>
          <s v="27-Apr"/>
          <s v="28-Apr"/>
          <s v="29-Apr"/>
          <s v="30-Apr"/>
          <s v="01-May"/>
          <s v="02-May"/>
          <s v="03-May"/>
          <s v="04-May"/>
          <s v="05-May"/>
          <s v="06-May"/>
          <s v="07-May"/>
          <s v="08-May"/>
          <s v="09-May"/>
          <s v="10-May"/>
          <s v="11-May"/>
          <s v="12-May"/>
          <s v="13-May"/>
          <s v="14-May"/>
          <s v="15-May"/>
          <s v="16-May"/>
          <s v="17-May"/>
          <s v="18-May"/>
          <s v="19-May"/>
          <s v="20-May"/>
          <s v="21-May"/>
          <s v="22-May"/>
          <s v="23-May"/>
          <s v="24-May"/>
          <s v="25-May"/>
          <s v="26-May"/>
          <s v="27-May"/>
          <s v="28-May"/>
          <s v="29-May"/>
          <s v="30-May"/>
          <s v="31-May"/>
          <s v="01-Jun"/>
          <s v="02-Jun"/>
          <s v="03-Jun"/>
          <s v="04-Jun"/>
          <s v="05-Jun"/>
          <s v="06-Jun"/>
          <s v="07-Jun"/>
          <s v="08-Jun"/>
          <s v="09-Jun"/>
          <s v="10-Jun"/>
          <s v="11-Jun"/>
          <s v="12-Jun"/>
          <s v="13-Jun"/>
          <s v="14-Jun"/>
          <s v="15-Jun"/>
          <s v="16-Jun"/>
          <s v="17-Jun"/>
          <s v="18-Jun"/>
          <s v="19-Jun"/>
          <s v="20-Jun"/>
          <s v="21-Jun"/>
          <s v="22-Jun"/>
          <s v="23-Jun"/>
          <s v="24-Jun"/>
          <s v="25-Jun"/>
          <s v="26-Jun"/>
          <s v="27-Jun"/>
          <s v="28-Jun"/>
          <s v="29-Jun"/>
          <s v="30-Jun"/>
          <s v="01-Jul"/>
          <s v="02-Jul"/>
          <s v="03-Jul"/>
          <s v="04-Jul"/>
          <s v="05-Jul"/>
          <s v="06-Jul"/>
          <s v="07-Jul"/>
          <s v="08-Jul"/>
          <s v="09-Jul"/>
          <s v="10-Jul"/>
          <s v="11-Jul"/>
          <s v="12-Jul"/>
          <s v="13-Jul"/>
          <s v="14-Jul"/>
          <s v="15-Jul"/>
          <s v="16-Jul"/>
          <s v="17-Jul"/>
          <s v="18-Jul"/>
          <s v="19-Jul"/>
          <s v="20-Jul"/>
          <s v="21-Jul"/>
          <s v="22-Jul"/>
          <s v="23-Jul"/>
          <s v="24-Jul"/>
          <s v="25-Jul"/>
          <s v="26-Jul"/>
          <s v="27-Jul"/>
          <s v="28-Jul"/>
          <s v="29-Jul"/>
          <s v="30-Jul"/>
          <s v="31-Jul"/>
          <s v="01-Aug"/>
          <s v="02-Aug"/>
          <s v="03-Aug"/>
          <s v="04-Aug"/>
          <s v="05-Aug"/>
          <s v="06-Aug"/>
          <s v="07-Aug"/>
          <s v="08-Aug"/>
          <s v="09-Aug"/>
          <s v="10-Aug"/>
          <s v="11-Aug"/>
          <s v="12-Aug"/>
          <s v="13-Aug"/>
          <s v="14-Aug"/>
          <s v="15-Aug"/>
          <s v="16-Aug"/>
          <s v="17-Aug"/>
          <s v="18-Aug"/>
          <s v="19-Aug"/>
          <s v="20-Aug"/>
          <s v="21-Aug"/>
          <s v="22-Aug"/>
          <s v="23-Aug"/>
          <s v="24-Aug"/>
          <s v="25-Aug"/>
          <s v="26-Aug"/>
          <s v="27-Aug"/>
          <s v="28-Aug"/>
          <s v="29-Aug"/>
          <s v="30-Aug"/>
          <s v="31-Aug"/>
          <s v="01-Sep"/>
          <s v="02-Sep"/>
          <s v="03-Sep"/>
          <s v="04-Sep"/>
          <s v="05-Sep"/>
          <s v="06-Sep"/>
          <s v="07-Sep"/>
          <s v="08-Sep"/>
          <s v="09-Sep"/>
          <s v="10-Sep"/>
          <s v="11-Sep"/>
          <s v="12-Sep"/>
          <s v="13-Sep"/>
          <s v="14-Sep"/>
          <s v="15-Sep"/>
          <s v="16-Sep"/>
          <s v="17-Sep"/>
          <s v="18-Sep"/>
          <s v="19-Sep"/>
          <s v="20-Sep"/>
          <s v="21-Sep"/>
          <s v="22-Sep"/>
          <s v="23-Sep"/>
          <s v="24-Sep"/>
          <s v="25-Sep"/>
          <s v="26-Sep"/>
          <s v="27-Sep"/>
          <s v="28-Sep"/>
          <s v="29-Sep"/>
          <s v="30-Sep"/>
          <s v="01-Oct"/>
          <s v="02-Oct"/>
          <s v="03-Oct"/>
          <s v="04-Oct"/>
          <s v="05-Oct"/>
          <s v="06-Oct"/>
          <s v="07-Oct"/>
          <s v="08-Oct"/>
          <s v="09-Oct"/>
          <s v="10-Oct"/>
          <s v="11-Oct"/>
          <s v="12-Oct"/>
          <s v="13-Oct"/>
          <s v="14-Oct"/>
          <s v="15-Oct"/>
          <s v="16-Oct"/>
          <s v="17-Oct"/>
          <s v="18-Oct"/>
          <s v="19-Oct"/>
          <s v="20-Oct"/>
          <s v="21-Oct"/>
          <s v="22-Oct"/>
          <s v="23-Oct"/>
          <s v="24-Oct"/>
          <s v="25-Oct"/>
          <s v="26-Oct"/>
          <s v="27-Oct"/>
          <s v="28-Oct"/>
          <s v="29-Oct"/>
          <s v="30-Oct"/>
          <s v="31-Oct"/>
          <s v="01-Nov"/>
          <s v="02-Nov"/>
          <s v="03-Nov"/>
          <s v="04-Nov"/>
          <s v="05-Nov"/>
          <s v="06-Nov"/>
          <s v="07-Nov"/>
          <s v="08-Nov"/>
          <s v="0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01-Dec"/>
          <s v="02-Dec"/>
          <s v="03-Dec"/>
          <s v="04-Dec"/>
          <s v="05-Dec"/>
          <s v="06-Dec"/>
          <s v="07-Dec"/>
          <s v="08-Dec"/>
          <s v="09-Dec"/>
          <s v="10-Dec"/>
          <s v="11-Dec"/>
          <s v="12-Dec"/>
          <s v="13-Dec"/>
          <s v="14-Dec"/>
          <s v="15-Dec"/>
          <s v="16-Dec"/>
          <s v="17-Dec"/>
          <s v="18-Dec"/>
          <s v="19-Dec"/>
          <s v="20-Dec"/>
          <s v="21-Dec"/>
          <s v="22-Dec"/>
          <s v="23-Dec"/>
          <s v="24-Dec"/>
          <s v="25-Dec"/>
          <s v="26-Dec"/>
          <s v="27-Dec"/>
          <s v="28-Dec"/>
          <s v="29-Dec"/>
          <s v="30-Dec"/>
          <s v="31-Dec"/>
          <s v="&gt;2026-04-01"/>
        </groupItems>
      </fieldGroup>
    </cacheField>
    <cacheField name="Months (Close Date)" numFmtId="0" databaseField="0">
      <fieldGroup base="0">
        <rangePr groupBy="months" startDate="2026-01-08T00:00:00" endDate="2026-04-01T00:00:00"/>
        <groupItems count="14">
          <s v="&lt;2026-01-08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2026-04-01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0">
  <r>
    <x v="0"/>
    <x v="0"/>
    <x v="0"/>
    <x v="0"/>
    <x v="0"/>
    <n v="96000"/>
    <n v="12"/>
    <s v="Meridian Health"/>
  </r>
  <r>
    <x v="1"/>
    <x v="1"/>
    <x v="1"/>
    <x v="1"/>
    <x v="1"/>
    <n v="42000"/>
    <n v="12"/>
    <s v="Oakmont Group"/>
  </r>
  <r>
    <x v="2"/>
    <x v="2"/>
    <x v="2"/>
    <x v="2"/>
    <x v="0"/>
    <n v="18000"/>
    <n v="12"/>
    <s v="Atlas Logistics"/>
  </r>
  <r>
    <x v="3"/>
    <x v="3"/>
    <x v="0"/>
    <x v="1"/>
    <x v="2"/>
    <n v="42000"/>
    <n v="12"/>
    <s v="Riverdale Corp"/>
  </r>
  <r>
    <x v="4"/>
    <x v="4"/>
    <x v="1"/>
    <x v="0"/>
    <x v="0"/>
    <n v="96000"/>
    <n v="24"/>
    <s v="Pinnacle Retail"/>
  </r>
  <r>
    <x v="5"/>
    <x v="5"/>
    <x v="2"/>
    <x v="1"/>
    <x v="1"/>
    <n v="42000"/>
    <n v="12"/>
    <s v="Stonewall Industries"/>
  </r>
  <r>
    <x v="6"/>
    <x v="0"/>
    <x v="0"/>
    <x v="2"/>
    <x v="0"/>
    <n v="18000"/>
    <n v="12"/>
    <s v="Vertex Manufacturing"/>
  </r>
  <r>
    <x v="7"/>
    <x v="1"/>
    <x v="1"/>
    <x v="1"/>
    <x v="0"/>
    <n v="42000"/>
    <n v="12"/>
    <s v="Horizon Media"/>
  </r>
  <r>
    <x v="8"/>
    <x v="2"/>
    <x v="2"/>
    <x v="0"/>
    <x v="2"/>
    <n v="96000"/>
    <n v="24"/>
    <s v="Highpoint Systems"/>
  </r>
  <r>
    <x v="9"/>
    <x v="3"/>
    <x v="0"/>
    <x v="1"/>
    <x v="1"/>
    <n v="42000"/>
    <n v="12"/>
    <s v="Clearwater Inc"/>
  </r>
  <r>
    <x v="10"/>
    <x v="0"/>
    <x v="0"/>
    <x v="2"/>
    <x v="0"/>
    <n v="18000"/>
    <n v="12"/>
    <s v="Summit Financial"/>
  </r>
  <r>
    <x v="11"/>
    <x v="5"/>
    <x v="2"/>
    <x v="1"/>
    <x v="0"/>
    <n v="42000"/>
    <n v="12"/>
    <s v="Crestline Tech"/>
  </r>
  <r>
    <x v="12"/>
    <x v="0"/>
    <x v="0"/>
    <x v="0"/>
    <x v="2"/>
    <n v="96000"/>
    <n v="12"/>
    <s v="Broadfield LLC"/>
  </r>
  <r>
    <x v="13"/>
    <x v="1"/>
    <x v="1"/>
    <x v="1"/>
    <x v="1"/>
    <n v="42000"/>
    <n v="24"/>
    <s v="Eastwood Partners"/>
  </r>
  <r>
    <x v="14"/>
    <x v="3"/>
    <x v="0"/>
    <x v="2"/>
    <x v="0"/>
    <n v="18000"/>
    <n v="12"/>
    <s v="Ironbridge Partners"/>
  </r>
  <r>
    <x v="15"/>
    <x v="2"/>
    <x v="2"/>
    <x v="0"/>
    <x v="0"/>
    <n v="96000"/>
    <n v="12"/>
    <s v="Lakeview Education"/>
  </r>
  <r>
    <x v="16"/>
    <x v="4"/>
    <x v="1"/>
    <x v="1"/>
    <x v="2"/>
    <n v="42000"/>
    <n v="12"/>
    <s v="Pacific Ventures"/>
  </r>
  <r>
    <x v="17"/>
    <x v="5"/>
    <x v="2"/>
    <x v="2"/>
    <x v="1"/>
    <n v="18000"/>
    <n v="12"/>
    <s v="Highpoint Systems"/>
  </r>
  <r>
    <x v="18"/>
    <x v="0"/>
    <x v="0"/>
    <x v="1"/>
    <x v="0"/>
    <n v="42000"/>
    <n v="12"/>
    <s v="Redwood Analytics"/>
  </r>
  <r>
    <x v="19"/>
    <x v="1"/>
    <x v="1"/>
    <x v="0"/>
    <x v="0"/>
    <n v="96000"/>
    <n v="12"/>
    <s v="Blueshore Capital"/>
  </r>
  <r>
    <x v="20"/>
    <x v="3"/>
    <x v="0"/>
    <x v="1"/>
    <x v="0"/>
    <n v="42000"/>
    <n v="24"/>
    <s v="Mapletree Consulting"/>
  </r>
  <r>
    <x v="21"/>
    <x v="2"/>
    <x v="2"/>
    <x v="2"/>
    <x v="2"/>
    <n v="18000"/>
    <n v="12"/>
    <s v="Stonewall Industries"/>
  </r>
  <r>
    <x v="22"/>
    <x v="4"/>
    <x v="1"/>
    <x v="1"/>
    <x v="1"/>
    <n v="42000"/>
    <n v="24"/>
    <s v="Oakmont Group"/>
  </r>
  <r>
    <x v="23"/>
    <x v="5"/>
    <x v="2"/>
    <x v="1"/>
    <x v="0"/>
    <n v="42000"/>
    <n v="12"/>
    <s v="Silverline Insurance"/>
  </r>
  <r>
    <x v="24"/>
    <x v="0"/>
    <x v="0"/>
    <x v="0"/>
    <x v="0"/>
    <n v="96000"/>
    <n v="12"/>
    <s v="Northstar Pharma"/>
  </r>
  <r>
    <x v="25"/>
    <x v="1"/>
    <x v="1"/>
    <x v="2"/>
    <x v="0"/>
    <n v="18000"/>
    <n v="12"/>
    <s v="Goldcrest Mining"/>
  </r>
  <r>
    <x v="26"/>
    <x v="3"/>
    <x v="0"/>
    <x v="1"/>
    <x v="1"/>
    <n v="42000"/>
    <n v="12"/>
    <s v="Riverdale Corp"/>
  </r>
  <r>
    <x v="27"/>
    <x v="2"/>
    <x v="2"/>
    <x v="0"/>
    <x v="2"/>
    <n v="96000"/>
    <n v="12"/>
    <s v="Clearwater Inc"/>
  </r>
  <r>
    <x v="28"/>
    <x v="4"/>
    <x v="1"/>
    <x v="1"/>
    <x v="0"/>
    <n v="42000"/>
    <n v="12"/>
    <s v="Evergreen Solutions"/>
  </r>
  <r>
    <x v="29"/>
    <x v="5"/>
    <x v="2"/>
    <x v="2"/>
    <x v="0"/>
    <n v="18000"/>
    <n v="12"/>
    <s v="Terrace Data Systems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3669F70-39DA-477D-8810-307EE03A71AA}" name="PivotTable4" cacheId="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P53:Q60" firstHeaderRow="1" firstDataRow="1" firstDataCol="1"/>
  <pivotFields count="10">
    <pivotField numFmtId="166" showAll="0">
      <items count="3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t="default"/>
      </items>
    </pivotField>
    <pivotField axis="axisRow" showAll="0">
      <items count="7">
        <item x="5"/>
        <item x="1"/>
        <item x="4"/>
        <item x="2"/>
        <item x="3"/>
        <item x="0"/>
        <item t="default"/>
      </items>
    </pivotField>
    <pivotField showAll="0"/>
    <pivotField showAll="0"/>
    <pivotField showAll="0"/>
    <pivotField dataField="1" numFmtId="164" showAll="0"/>
    <pivotField showAll="0"/>
    <pivotField showAll="0"/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1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Sum of ACV" fld="5" baseField="0" baseItem="0" numFmtId="164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11628DB-635E-4770-B676-5B029B6AE37B}" name="PivotTable3" cacheId="7" applyNumberFormats="0" applyBorderFormats="0" applyFontFormats="0" applyPatternFormats="0" applyAlignmentFormats="0" applyWidthHeightFormats="1" dataCaption="Values" updatedVersion="8" minRefreshableVersion="3" itemPrintTitles="1" createdVersion="8" indent="0" outline="1" outlineData="1" multipleFieldFilters="0">
  <location ref="J53:M57" firstHeaderRow="0" firstDataRow="1" firstDataCol="1"/>
  <pivotFields count="10">
    <pivotField numFmtId="166" showAll="0">
      <items count="3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t="default"/>
      </items>
    </pivotField>
    <pivotField showAll="0">
      <items count="7">
        <item x="5"/>
        <item x="1"/>
        <item x="4"/>
        <item x="2"/>
        <item x="3"/>
        <item x="0"/>
        <item t="default"/>
      </items>
    </pivotField>
    <pivotField dataField="1" showAll="0">
      <items count="4">
        <item x="2"/>
        <item x="1"/>
        <item x="0"/>
        <item t="default"/>
      </items>
    </pivotField>
    <pivotField axis="axisRow" showAll="0">
      <items count="4">
        <item sd="0" x="0"/>
        <item sd="0" x="1"/>
        <item sd="0" x="2"/>
        <item t="default"/>
      </items>
    </pivotField>
    <pivotField dataField="1" showAll="0">
      <items count="4">
        <item x="2"/>
        <item x="0"/>
        <item x="1"/>
        <item t="default"/>
      </items>
    </pivotField>
    <pivotField dataField="1" numFmtId="164" showAll="0"/>
    <pivotField showAll="0"/>
    <pivotField showAll="0"/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3"/>
  </rowFields>
  <rowItems count="4">
    <i>
      <x/>
    </i>
    <i>
      <x v="1"/>
    </i>
    <i>
      <x v="2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um of ACV" fld="5" baseField="0" baseItem="0" numFmtId="164"/>
    <dataField name="Count of Region" fld="2" subtotal="count" baseField="0" baseItem="0"/>
    <dataField name="Count of Deal Typ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579817A-206D-4584-AC4D-7CFFBA800F92}" name="PivotTable2" cacheId="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Months">
  <location ref="D49:E53" firstHeaderRow="1" firstDataRow="1" firstDataCol="1"/>
  <pivotFields count="10">
    <pivotField axis="axisRow" numFmtId="166" showAll="0">
      <items count="3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t="default"/>
      </items>
    </pivotField>
    <pivotField showAll="0">
      <items count="7">
        <item x="5"/>
        <item x="1"/>
        <item x="4"/>
        <item x="2"/>
        <item x="3"/>
        <item x="0"/>
        <item t="default"/>
      </items>
    </pivotField>
    <pivotField showAll="0"/>
    <pivotField showAll="0"/>
    <pivotField showAll="0"/>
    <pivotField dataField="1" numFmtId="164" showAll="0"/>
    <pivotField showAll="0"/>
    <pivotField showAll="0"/>
    <pivotField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367"/>
        <item t="default"/>
      </items>
    </pivotField>
    <pivotField axis="axisRow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</pivotFields>
  <rowFields count="2">
    <field x="9"/>
    <field x="0"/>
  </rowFields>
  <rowItems count="4">
    <i>
      <x v="1"/>
    </i>
    <i>
      <x v="2"/>
    </i>
    <i>
      <x v="3"/>
    </i>
    <i t="grand">
      <x/>
    </i>
  </rowItems>
  <colItems count="1">
    <i/>
  </colItems>
  <dataFields count="1">
    <dataField name="Revenue" fld="5" baseField="0" baseItem="0" numFmtId="164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64158D1-A42B-47F3-9B0A-F1BC9E4724CB}" name="PivotTable1" cacheId="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Rep">
  <location ref="A49:B56" firstHeaderRow="1" firstDataRow="1" firstDataCol="1"/>
  <pivotFields count="10">
    <pivotField numFmtId="166" showAll="0">
      <items count="3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t="default"/>
      </items>
    </pivotField>
    <pivotField axis="axisRow" showAll="0">
      <items count="7">
        <item x="5"/>
        <item x="1"/>
        <item x="4"/>
        <item x="2"/>
        <item x="3"/>
        <item x="0"/>
        <item t="default"/>
      </items>
    </pivotField>
    <pivotField showAll="0"/>
    <pivotField showAll="0"/>
    <pivotField showAll="0"/>
    <pivotField dataField="1" numFmtId="164" showAll="0"/>
    <pivotField showAll="0"/>
    <pivotField showAll="0"/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1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Revenue" fld="5" baseField="0" baseItem="0" numFmtId="164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3E69BA9-E6D0-404F-92B4-3DB40CAE890C}" name="Table1" displayName="Table1" ref="A17:H47" totalsRowShown="0" headerRowDxfId="0" dataDxfId="1">
  <autoFilter ref="A17:H47" xr:uid="{13E69BA9-E6D0-404F-92B4-3DB40CAE890C}"/>
  <tableColumns count="8">
    <tableColumn id="1" xr3:uid="{4806EC7A-0D35-43B9-AC76-F163BECE95EB}" name="Close Date" dataDxfId="9"/>
    <tableColumn id="2" xr3:uid="{742D238C-ABA5-4348-90FA-7ABCAE21571C}" name="Rep" dataDxfId="8"/>
    <tableColumn id="3" xr3:uid="{8F54527F-545F-44EE-BCFF-72EC98DCCE8D}" name="Region" dataDxfId="7"/>
    <tableColumn id="4" xr3:uid="{38621FE1-AB1F-49C1-B80F-192E75B3BC68}" name="Product" dataDxfId="6"/>
    <tableColumn id="5" xr3:uid="{953A8A64-CAC0-4445-BBFD-A5ABB60C6607}" name="Deal Type" dataDxfId="5"/>
    <tableColumn id="6" xr3:uid="{95E665AD-F26F-45AD-A509-8D5552279D4B}" name="ACV" dataDxfId="4"/>
    <tableColumn id="7" xr3:uid="{C24B8206-B99A-452F-B668-C560F20BAB95}" name="Contract Term_x000a_(months)" dataDxfId="3"/>
    <tableColumn id="8" xr3:uid="{CFC54FB0-6A44-4E8A-B24F-B0A40C383A36}" name="Customer" dataDxfId="2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5" Type="http://schemas.openxmlformats.org/officeDocument/2006/relationships/table" Target="../tables/table1.xml"/><Relationship Id="rId4" Type="http://schemas.openxmlformats.org/officeDocument/2006/relationships/pivotTable" Target="../pivotTables/pivot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10"/>
  <sheetViews>
    <sheetView workbookViewId="0"/>
  </sheetViews>
  <sheetFormatPr defaultRowHeight="14.5" x14ac:dyDescent="0.35"/>
  <cols>
    <col min="1" max="1" width="70" customWidth="1"/>
  </cols>
  <sheetData>
    <row r="1" spans="1:1" ht="21" x14ac:dyDescent="0.5">
      <c r="A1" s="1" t="s">
        <v>0</v>
      </c>
    </row>
    <row r="3" spans="1:1" x14ac:dyDescent="0.35">
      <c r="A3" s="2" t="s">
        <v>1</v>
      </c>
    </row>
    <row r="4" spans="1:1" x14ac:dyDescent="0.35">
      <c r="A4" s="3" t="s">
        <v>2</v>
      </c>
    </row>
    <row r="5" spans="1:1" x14ac:dyDescent="0.35">
      <c r="A5" s="3" t="s">
        <v>3</v>
      </c>
    </row>
    <row r="6" spans="1:1" x14ac:dyDescent="0.35">
      <c r="A6" s="3" t="s">
        <v>4</v>
      </c>
    </row>
    <row r="7" spans="1:1" x14ac:dyDescent="0.35">
      <c r="A7" s="3" t="s">
        <v>5</v>
      </c>
    </row>
    <row r="8" spans="1:1" x14ac:dyDescent="0.35">
      <c r="A8" s="3" t="s">
        <v>6</v>
      </c>
    </row>
    <row r="10" spans="1:1" x14ac:dyDescent="0.35">
      <c r="A10" s="4" t="s">
        <v>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44"/>
  <sheetViews>
    <sheetView workbookViewId="0">
      <selection activeCell="L43" sqref="L43"/>
    </sheetView>
  </sheetViews>
  <sheetFormatPr defaultRowHeight="14.5" x14ac:dyDescent="0.35"/>
  <cols>
    <col min="1" max="1" width="28" customWidth="1"/>
    <col min="2" max="2" width="18" customWidth="1"/>
    <col min="3" max="3" width="16" customWidth="1"/>
    <col min="4" max="4" width="18" customWidth="1"/>
    <col min="5" max="5" width="24.90625" customWidth="1"/>
    <col min="6" max="6" width="20" customWidth="1"/>
    <col min="7" max="8" width="18" customWidth="1"/>
  </cols>
  <sheetData>
    <row r="1" spans="1:7" ht="18.5" x14ac:dyDescent="0.45">
      <c r="A1" s="5" t="s">
        <v>8</v>
      </c>
    </row>
    <row r="2" spans="1:7" x14ac:dyDescent="0.35">
      <c r="A2" s="6" t="s">
        <v>9</v>
      </c>
    </row>
    <row r="4" spans="1:7" x14ac:dyDescent="0.35">
      <c r="A4" s="4" t="s">
        <v>10</v>
      </c>
    </row>
    <row r="5" spans="1:7" x14ac:dyDescent="0.35">
      <c r="A5" s="7" t="s">
        <v>11</v>
      </c>
    </row>
    <row r="6" spans="1:7" x14ac:dyDescent="0.35">
      <c r="A6" s="7" t="s">
        <v>12</v>
      </c>
    </row>
    <row r="7" spans="1:7" x14ac:dyDescent="0.35">
      <c r="A7" s="7"/>
    </row>
    <row r="8" spans="1:7" x14ac:dyDescent="0.35">
      <c r="A8" s="7" t="s">
        <v>13</v>
      </c>
    </row>
    <row r="9" spans="1:7" x14ac:dyDescent="0.35">
      <c r="A9" s="7" t="s">
        <v>14</v>
      </c>
    </row>
    <row r="10" spans="1:7" x14ac:dyDescent="0.35">
      <c r="A10" s="7"/>
    </row>
    <row r="11" spans="1:7" x14ac:dyDescent="0.35">
      <c r="A11" s="7" t="s">
        <v>15</v>
      </c>
    </row>
    <row r="12" spans="1:7" x14ac:dyDescent="0.35">
      <c r="A12" s="7" t="s">
        <v>16</v>
      </c>
    </row>
    <row r="14" spans="1:7" x14ac:dyDescent="0.35">
      <c r="A14" s="2" t="s">
        <v>17</v>
      </c>
      <c r="E14" s="2" t="s">
        <v>18</v>
      </c>
    </row>
    <row r="15" spans="1:7" x14ac:dyDescent="0.35">
      <c r="A15" s="8" t="s">
        <v>19</v>
      </c>
      <c r="B15" s="8" t="s">
        <v>20</v>
      </c>
      <c r="C15" s="8" t="s">
        <v>21</v>
      </c>
      <c r="E15" s="8" t="s">
        <v>22</v>
      </c>
      <c r="F15" s="8" t="s">
        <v>23</v>
      </c>
      <c r="G15" s="8" t="s">
        <v>24</v>
      </c>
    </row>
    <row r="16" spans="1:7" x14ac:dyDescent="0.35">
      <c r="A16" s="9" t="s">
        <v>25</v>
      </c>
      <c r="B16" s="9" t="s">
        <v>26</v>
      </c>
      <c r="C16" s="10">
        <v>18000</v>
      </c>
      <c r="E16" s="11">
        <v>0</v>
      </c>
      <c r="F16" s="11">
        <v>0.1</v>
      </c>
      <c r="G16" s="9" t="s">
        <v>27</v>
      </c>
    </row>
    <row r="17" spans="1:8" x14ac:dyDescent="0.35">
      <c r="A17" s="9" t="s">
        <v>28</v>
      </c>
      <c r="B17" s="9" t="s">
        <v>29</v>
      </c>
      <c r="C17" s="10">
        <v>42000</v>
      </c>
      <c r="E17" s="11">
        <v>0.1</v>
      </c>
      <c r="F17" s="11">
        <v>0.2</v>
      </c>
      <c r="G17" s="9" t="s">
        <v>30</v>
      </c>
    </row>
    <row r="18" spans="1:8" x14ac:dyDescent="0.35">
      <c r="A18" s="9" t="s">
        <v>31</v>
      </c>
      <c r="B18" s="9" t="s">
        <v>32</v>
      </c>
      <c r="C18" s="10">
        <v>96000</v>
      </c>
      <c r="E18" s="11">
        <v>0.2</v>
      </c>
      <c r="F18" s="11">
        <v>0.3</v>
      </c>
      <c r="G18" s="9" t="s">
        <v>33</v>
      </c>
    </row>
    <row r="19" spans="1:8" x14ac:dyDescent="0.35">
      <c r="A19" s="9" t="s">
        <v>34</v>
      </c>
      <c r="B19" s="9" t="s">
        <v>35</v>
      </c>
      <c r="C19" s="10">
        <v>12000</v>
      </c>
      <c r="E19" s="11">
        <v>0.3</v>
      </c>
      <c r="F19" s="11">
        <v>1</v>
      </c>
      <c r="G19" s="9" t="s">
        <v>36</v>
      </c>
    </row>
    <row r="20" spans="1:8" x14ac:dyDescent="0.35">
      <c r="A20" s="9" t="s">
        <v>37</v>
      </c>
      <c r="B20" s="9" t="s">
        <v>38</v>
      </c>
      <c r="C20" s="10">
        <v>8400</v>
      </c>
    </row>
    <row r="21" spans="1:8" x14ac:dyDescent="0.35">
      <c r="A21" s="9" t="s">
        <v>39</v>
      </c>
      <c r="B21" s="9" t="s">
        <v>40</v>
      </c>
      <c r="C21" s="10">
        <v>15000</v>
      </c>
    </row>
    <row r="23" spans="1:8" x14ac:dyDescent="0.35">
      <c r="A23" s="2" t="s">
        <v>41</v>
      </c>
    </row>
    <row r="24" spans="1:8" x14ac:dyDescent="0.35">
      <c r="A24" s="8" t="s">
        <v>42</v>
      </c>
      <c r="B24" s="8" t="s">
        <v>43</v>
      </c>
      <c r="C24" s="8" t="s">
        <v>19</v>
      </c>
      <c r="D24" s="8" t="s">
        <v>44</v>
      </c>
      <c r="E24" s="8" t="s">
        <v>20</v>
      </c>
      <c r="F24" s="8" t="s">
        <v>45</v>
      </c>
      <c r="G24" s="8" t="s">
        <v>46</v>
      </c>
      <c r="H24" s="8" t="s">
        <v>24</v>
      </c>
    </row>
    <row r="25" spans="1:8" x14ac:dyDescent="0.35">
      <c r="A25" s="3" t="s">
        <v>47</v>
      </c>
      <c r="B25" s="3" t="s">
        <v>48</v>
      </c>
      <c r="C25" s="3" t="s">
        <v>31</v>
      </c>
      <c r="D25" s="12">
        <v>0.05</v>
      </c>
      <c r="E25" s="17" t="str">
        <f>VLOOKUP(C25, $A$16:$C$21, 2)</f>
        <v>Platform - Enterprise</v>
      </c>
      <c r="F25" s="18">
        <f>VLOOKUP(C25, $A$16:$C$21, 3)</f>
        <v>96000</v>
      </c>
      <c r="G25" s="13">
        <f>F25*(1-D25)</f>
        <v>91200</v>
      </c>
      <c r="H25" s="17" t="str" cm="1">
        <f t="array" ref="H25">_xlfn.IFS(D25&lt;$F$16,$G$16,AND(D25&gt;=$E$17, $F$17&gt;=D25),$G$17,AND(D25&gt;=$E$18,$F$18&gt;=D25),$G$18,AND(D25&gt;=$E$19, $F$19&gt;=D25),$G$19)</f>
        <v>Auto-Approve</v>
      </c>
    </row>
    <row r="26" spans="1:8" x14ac:dyDescent="0.35">
      <c r="A26" s="3" t="s">
        <v>49</v>
      </c>
      <c r="B26" s="3" t="s">
        <v>50</v>
      </c>
      <c r="C26" s="3" t="s">
        <v>28</v>
      </c>
      <c r="D26" s="12">
        <v>0.15</v>
      </c>
      <c r="E26" s="17" t="str">
        <f>VLOOKUP(C26, $A$16:$C$21, 2)</f>
        <v>Platform - Professional</v>
      </c>
      <c r="F26" s="18">
        <f t="shared" ref="F26:F36" si="0">VLOOKUP(C26, $A$16:$C$21, 3)</f>
        <v>42000</v>
      </c>
      <c r="G26" s="13">
        <f t="shared" ref="G26:G36" si="1">F26*(1-D26)</f>
        <v>35700</v>
      </c>
      <c r="H26" s="17" t="str" cm="1">
        <f t="array" ref="H26">_xlfn.IFS(D26&lt;$F$16,$G$16,AND(D26&gt;=$E$17, $F$17&gt;=D26),$G$17,AND(D26&gt;=$E$18,$F$18&gt;=D26),$G$18,AND(D26&gt;=$E$19, $F$19&gt;=D26),$G$19)</f>
        <v>Sales Manager</v>
      </c>
    </row>
    <row r="27" spans="1:8" x14ac:dyDescent="0.35">
      <c r="A27" s="3" t="s">
        <v>51</v>
      </c>
      <c r="B27" s="3" t="s">
        <v>52</v>
      </c>
      <c r="C27" s="3" t="s">
        <v>31</v>
      </c>
      <c r="D27" s="12">
        <v>0.25</v>
      </c>
      <c r="E27" s="17" t="str">
        <f>VLOOKUP(C27, $A$16:$C$21, 2)</f>
        <v>Platform - Enterprise</v>
      </c>
      <c r="F27" s="18">
        <f t="shared" si="0"/>
        <v>96000</v>
      </c>
      <c r="G27" s="13">
        <f t="shared" si="1"/>
        <v>72000</v>
      </c>
      <c r="H27" s="17" t="str" cm="1">
        <f t="array" ref="H27">_xlfn.IFS(D27&lt;$F$16,$G$16,AND(D27&gt;=$E$17, $F$17&gt;=D27),$G$17,AND(D27&gt;=$E$18,$F$18&gt;=D27),$G$18,AND(D27&gt;=$E$19, $F$19&gt;=D27),$G$19)</f>
        <v>VP of Sales</v>
      </c>
    </row>
    <row r="28" spans="1:8" x14ac:dyDescent="0.35">
      <c r="A28" s="3" t="s">
        <v>53</v>
      </c>
      <c r="B28" s="3" t="s">
        <v>54</v>
      </c>
      <c r="C28" s="3" t="s">
        <v>25</v>
      </c>
      <c r="D28" s="12">
        <v>0</v>
      </c>
      <c r="E28" s="17" t="str">
        <f>VLOOKUP(C28, $A$16:$C$21, 2)</f>
        <v>Platform - Starter</v>
      </c>
      <c r="F28" s="18">
        <f t="shared" si="0"/>
        <v>18000</v>
      </c>
      <c r="G28" s="13">
        <f t="shared" si="1"/>
        <v>18000</v>
      </c>
      <c r="H28" s="17" t="str" cm="1">
        <f t="array" ref="H28">_xlfn.IFS(D28&lt;$F$16,$G$16,AND(D28&gt;=$E$17, $F$17&gt;=D28),$G$17,AND(D28&gt;=$E$18,$F$18&gt;=D28),$G$18,AND(D28&gt;=$E$19, $F$19&gt;=D28),$G$19)</f>
        <v>Auto-Approve</v>
      </c>
    </row>
    <row r="29" spans="1:8" x14ac:dyDescent="0.35">
      <c r="A29" s="3" t="s">
        <v>55</v>
      </c>
      <c r="B29" s="3" t="s">
        <v>56</v>
      </c>
      <c r="C29" s="3" t="s">
        <v>28</v>
      </c>
      <c r="D29" s="12">
        <v>0.12</v>
      </c>
      <c r="E29" s="17" t="str">
        <f>VLOOKUP(C29, $A$16:$C$21, 2)</f>
        <v>Platform - Professional</v>
      </c>
      <c r="F29" s="18">
        <f t="shared" si="0"/>
        <v>42000</v>
      </c>
      <c r="G29" s="13">
        <f t="shared" si="1"/>
        <v>36960</v>
      </c>
      <c r="H29" s="17" t="str" cm="1">
        <f t="array" ref="H29">_xlfn.IFS(D29&lt;$F$16,$G$16,AND(D29&gt;=$E$17, $F$17&gt;=D29),$G$17,AND(D29&gt;=$E$18,$F$18&gt;=D29),$G$18,AND(D29&gt;=$E$19, $F$19&gt;=D29),$G$19)</f>
        <v>Sales Manager</v>
      </c>
    </row>
    <row r="30" spans="1:8" x14ac:dyDescent="0.35">
      <c r="A30" s="3" t="s">
        <v>57</v>
      </c>
      <c r="B30" s="3" t="s">
        <v>58</v>
      </c>
      <c r="C30" s="3" t="s">
        <v>31</v>
      </c>
      <c r="D30" s="12">
        <v>0.35</v>
      </c>
      <c r="E30" s="17" t="str">
        <f>VLOOKUP(C30, $A$16:$C$21, 2)</f>
        <v>Platform - Enterprise</v>
      </c>
      <c r="F30" s="18">
        <f t="shared" si="0"/>
        <v>96000</v>
      </c>
      <c r="G30" s="13">
        <f t="shared" si="1"/>
        <v>62400</v>
      </c>
      <c r="H30" s="17" t="str" cm="1">
        <f t="array" ref="H30">_xlfn.IFS(D30&lt;$F$16,$G$16,AND(D30&gt;=$E$17, $F$17&gt;=D30),$G$17,AND(D30&gt;=$E$18,$F$18&gt;=D30),$G$18,AND(D30&gt;=$E$19, $F$19&gt;=D30),$G$19)</f>
        <v>CFO</v>
      </c>
    </row>
    <row r="31" spans="1:8" x14ac:dyDescent="0.35">
      <c r="A31" s="3" t="s">
        <v>59</v>
      </c>
      <c r="B31" s="3" t="s">
        <v>60</v>
      </c>
      <c r="C31" s="3" t="s">
        <v>34</v>
      </c>
      <c r="D31" s="12">
        <v>0.08</v>
      </c>
      <c r="E31" s="17" t="str">
        <f>VLOOKUP(C31, $A$16:$C$21, 2)</f>
        <v>Add-On: Advanced Analytics</v>
      </c>
      <c r="F31" s="18">
        <f t="shared" si="0"/>
        <v>12000</v>
      </c>
      <c r="G31" s="13">
        <f t="shared" si="1"/>
        <v>11040</v>
      </c>
      <c r="H31" s="17" t="str" cm="1">
        <f t="array" ref="H31">_xlfn.IFS(D31&lt;$F$16,$G$16,AND(D31&gt;=$E$17, $F$17&gt;=D31),$G$17,AND(D31&gt;=$E$18,$F$18&gt;=D31),$G$18,AND(D31&gt;=$E$19, $F$19&gt;=D31),$G$19)</f>
        <v>Auto-Approve</v>
      </c>
    </row>
    <row r="32" spans="1:8" x14ac:dyDescent="0.35">
      <c r="A32" s="3" t="s">
        <v>61</v>
      </c>
      <c r="B32" s="3" t="s">
        <v>62</v>
      </c>
      <c r="C32" s="3" t="s">
        <v>37</v>
      </c>
      <c r="D32" s="12">
        <v>0.2</v>
      </c>
      <c r="E32" s="17" t="str">
        <f>VLOOKUP(C32, $A$16:$C$21, 2)</f>
        <v>Add-On: API Access</v>
      </c>
      <c r="F32" s="18">
        <f t="shared" si="0"/>
        <v>8400</v>
      </c>
      <c r="G32" s="13">
        <f t="shared" si="1"/>
        <v>6720</v>
      </c>
      <c r="H32" s="17" t="str" cm="1">
        <f t="array" ref="H32">_xlfn.IFS(D32&lt;$F$16,$G$16,AND(D32&gt;=$E$17, $F$17&gt;=D32),$G$17,AND(D32&gt;=$E$18,$F$18&gt;=D32),$G$18,AND(D32&gt;=$E$19, $F$19&gt;=D32),$G$19)</f>
        <v>Sales Manager</v>
      </c>
    </row>
    <row r="33" spans="1:8" x14ac:dyDescent="0.35">
      <c r="A33" s="3" t="s">
        <v>63</v>
      </c>
      <c r="B33" s="3" t="s">
        <v>48</v>
      </c>
      <c r="C33" s="3" t="s">
        <v>28</v>
      </c>
      <c r="D33" s="12">
        <v>0.18</v>
      </c>
      <c r="E33" s="17" t="str">
        <f>VLOOKUP(C33, $A$16:$C$21, 2)</f>
        <v>Platform - Professional</v>
      </c>
      <c r="F33" s="18">
        <f t="shared" si="0"/>
        <v>42000</v>
      </c>
      <c r="G33" s="13">
        <f t="shared" si="1"/>
        <v>34440</v>
      </c>
      <c r="H33" s="17" t="str" cm="1">
        <f t="array" ref="H33">_xlfn.IFS(D33&lt;$F$16,$G$16,AND(D33&gt;=$E$17, $F$17&gt;=D33),$G$17,AND(D33&gt;=$E$18,$F$18&gt;=D33),$G$18,AND(D33&gt;=$E$19, $F$19&gt;=D33),$G$19)</f>
        <v>Sales Manager</v>
      </c>
    </row>
    <row r="34" spans="1:8" x14ac:dyDescent="0.35">
      <c r="A34" s="3" t="s">
        <v>64</v>
      </c>
      <c r="B34" s="3" t="s">
        <v>50</v>
      </c>
      <c r="C34" s="3" t="s">
        <v>39</v>
      </c>
      <c r="D34" s="12">
        <v>0.11</v>
      </c>
      <c r="E34" s="17" t="str">
        <f>VLOOKUP(C34, $A$16:$C$21, 2)</f>
        <v>Add-On: Premium Support</v>
      </c>
      <c r="F34" s="18">
        <f t="shared" si="0"/>
        <v>15000</v>
      </c>
      <c r="G34" s="13">
        <f t="shared" si="1"/>
        <v>13350</v>
      </c>
      <c r="H34" s="17" t="str" cm="1">
        <f t="array" ref="H34">_xlfn.IFS(D34&lt;$F$16,$G$16,AND(D34&gt;=$E$17, $F$17&gt;=D34),$G$17,AND(D34&gt;=$E$18,$F$18&gt;=D34),$G$18,AND(D34&gt;=$E$19, $F$19&gt;=D34),$G$19)</f>
        <v>Sales Manager</v>
      </c>
    </row>
    <row r="35" spans="1:8" x14ac:dyDescent="0.35">
      <c r="A35" s="3" t="s">
        <v>65</v>
      </c>
      <c r="B35" s="3" t="s">
        <v>52</v>
      </c>
      <c r="C35" s="3" t="s">
        <v>25</v>
      </c>
      <c r="D35" s="12">
        <v>0.22</v>
      </c>
      <c r="E35" s="17" t="str">
        <f>VLOOKUP(C35, $A$16:$C$21, 2)</f>
        <v>Platform - Starter</v>
      </c>
      <c r="F35" s="18">
        <f t="shared" si="0"/>
        <v>18000</v>
      </c>
      <c r="G35" s="13">
        <f t="shared" si="1"/>
        <v>14040</v>
      </c>
      <c r="H35" s="17" t="str" cm="1">
        <f t="array" ref="H35">_xlfn.IFS(D35&lt;$F$16,$G$16,AND(D35&gt;=$E$17, $F$17&gt;=D35),$G$17,AND(D35&gt;=$E$18,$F$18&gt;=D35),$G$18,AND(D35&gt;=$E$19, $F$19&gt;=D35),$G$19)</f>
        <v>VP of Sales</v>
      </c>
    </row>
    <row r="36" spans="1:8" x14ac:dyDescent="0.35">
      <c r="A36" s="3" t="s">
        <v>66</v>
      </c>
      <c r="B36" s="3" t="s">
        <v>54</v>
      </c>
      <c r="C36" s="3" t="s">
        <v>31</v>
      </c>
      <c r="D36" s="12">
        <v>0</v>
      </c>
      <c r="E36" s="17" t="str">
        <f>VLOOKUP(C36, $A$16:$C$21, 2)</f>
        <v>Platform - Enterprise</v>
      </c>
      <c r="F36" s="18">
        <f t="shared" si="0"/>
        <v>96000</v>
      </c>
      <c r="G36" s="13">
        <f t="shared" si="1"/>
        <v>96000</v>
      </c>
      <c r="H36" s="17" t="str" cm="1">
        <f t="array" ref="H36">_xlfn.IFS(D36&lt;$F$16,$G$16,AND(D36&gt;=$E$17, $F$17&gt;=D36),$G$17,AND(D36&gt;=$E$18,$F$18&gt;=D36),$G$18,AND(D36&gt;=$E$19, $F$19&gt;=D36),$G$19)</f>
        <v>Auto-Approve</v>
      </c>
    </row>
    <row r="37" spans="1:8" x14ac:dyDescent="0.35">
      <c r="A37" s="3" t="s">
        <v>117</v>
      </c>
      <c r="B37" s="3"/>
      <c r="C37" s="3"/>
      <c r="D37" s="12">
        <f>AVERAGE(D25:D36)</f>
        <v>0.14249999999999999</v>
      </c>
      <c r="E37" s="17"/>
      <c r="F37" s="18"/>
      <c r="G37" s="13">
        <f>SUM(G25:G36)</f>
        <v>491850</v>
      </c>
      <c r="H37" s="17"/>
    </row>
    <row r="39" spans="1:8" x14ac:dyDescent="0.35">
      <c r="A39" s="2" t="s">
        <v>67</v>
      </c>
    </row>
    <row r="40" spans="1:8" x14ac:dyDescent="0.35">
      <c r="A40" s="20" t="s">
        <v>118</v>
      </c>
      <c r="B40" s="19"/>
      <c r="C40" s="20"/>
      <c r="D40" s="20"/>
      <c r="E40" s="20"/>
      <c r="F40" s="20"/>
      <c r="G40" s="20"/>
    </row>
    <row r="41" spans="1:8" x14ac:dyDescent="0.35">
      <c r="A41" s="20" t="s">
        <v>119</v>
      </c>
      <c r="B41" s="14"/>
      <c r="C41" s="20"/>
      <c r="D41" s="20"/>
      <c r="E41" s="20"/>
      <c r="F41" s="20"/>
      <c r="G41" s="20"/>
    </row>
    <row r="42" spans="1:8" x14ac:dyDescent="0.35">
      <c r="A42" s="14"/>
      <c r="B42" s="14"/>
      <c r="C42" s="20"/>
      <c r="D42" s="20"/>
      <c r="E42" s="20"/>
      <c r="F42" s="20"/>
      <c r="G42" s="20"/>
    </row>
    <row r="43" spans="1:8" x14ac:dyDescent="0.35">
      <c r="A43" s="14"/>
      <c r="B43" s="14"/>
      <c r="C43" s="20"/>
      <c r="D43" s="20"/>
      <c r="E43" s="20"/>
      <c r="F43" s="20"/>
      <c r="G43" s="20"/>
    </row>
    <row r="44" spans="1:8" x14ac:dyDescent="0.35">
      <c r="A44" s="14"/>
      <c r="B44" s="14"/>
      <c r="C44" s="20"/>
      <c r="D44" s="20"/>
      <c r="E44" s="20"/>
      <c r="F44" s="20"/>
      <c r="G44" s="20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Q60"/>
  <sheetViews>
    <sheetView tabSelected="1" topLeftCell="A6" workbookViewId="0">
      <selection activeCell="K25" sqref="K25"/>
    </sheetView>
  </sheetViews>
  <sheetFormatPr defaultRowHeight="14.5" x14ac:dyDescent="0.35"/>
  <cols>
    <col min="1" max="1" width="16" customWidth="1"/>
    <col min="2" max="2" width="18" customWidth="1"/>
    <col min="3" max="3" width="16" customWidth="1"/>
    <col min="4" max="4" width="14.453125" bestFit="1" customWidth="1"/>
    <col min="5" max="5" width="10.54296875" bestFit="1" customWidth="1"/>
    <col min="6" max="6" width="16" customWidth="1"/>
    <col min="7" max="7" width="12.36328125" bestFit="1" customWidth="1"/>
    <col min="8" max="8" width="10.54296875" bestFit="1" customWidth="1"/>
    <col min="10" max="10" width="22" bestFit="1" customWidth="1"/>
    <col min="11" max="11" width="10.54296875" bestFit="1" customWidth="1"/>
    <col min="12" max="12" width="14.26953125" bestFit="1" customWidth="1"/>
    <col min="13" max="13" width="14.453125" bestFit="1" customWidth="1"/>
    <col min="14" max="14" width="10.54296875" bestFit="1" customWidth="1"/>
  </cols>
  <sheetData>
    <row r="1" spans="1:1" ht="18.5" x14ac:dyDescent="0.45">
      <c r="A1" s="5" t="s">
        <v>68</v>
      </c>
    </row>
    <row r="2" spans="1:1" x14ac:dyDescent="0.35">
      <c r="A2" s="6" t="s">
        <v>9</v>
      </c>
    </row>
    <row r="4" spans="1:1" x14ac:dyDescent="0.35">
      <c r="A4" s="4" t="s">
        <v>69</v>
      </c>
    </row>
    <row r="5" spans="1:1" x14ac:dyDescent="0.35">
      <c r="A5" s="7" t="s">
        <v>70</v>
      </c>
    </row>
    <row r="6" spans="1:1" x14ac:dyDescent="0.35">
      <c r="A6" s="7" t="s">
        <v>71</v>
      </c>
    </row>
    <row r="7" spans="1:1" x14ac:dyDescent="0.35">
      <c r="A7" s="7"/>
    </row>
    <row r="8" spans="1:1" x14ac:dyDescent="0.35">
      <c r="A8" s="7" t="s">
        <v>72</v>
      </c>
    </row>
    <row r="9" spans="1:1" x14ac:dyDescent="0.35">
      <c r="A9" s="7" t="s">
        <v>73</v>
      </c>
    </row>
    <row r="10" spans="1:1" x14ac:dyDescent="0.35">
      <c r="A10" s="7" t="s">
        <v>74</v>
      </c>
    </row>
    <row r="11" spans="1:1" x14ac:dyDescent="0.35">
      <c r="A11" s="7" t="s">
        <v>75</v>
      </c>
    </row>
    <row r="12" spans="1:1" x14ac:dyDescent="0.35">
      <c r="A12" s="7"/>
    </row>
    <row r="13" spans="1:1" x14ac:dyDescent="0.35">
      <c r="A13" s="7" t="s">
        <v>76</v>
      </c>
    </row>
    <row r="14" spans="1:1" x14ac:dyDescent="0.35">
      <c r="A14" s="7" t="s">
        <v>77</v>
      </c>
    </row>
    <row r="16" spans="1:1" x14ac:dyDescent="0.35">
      <c r="A16" s="2" t="s">
        <v>78</v>
      </c>
    </row>
    <row r="17" spans="1:8" ht="29" x14ac:dyDescent="0.35">
      <c r="A17" s="8" t="s">
        <v>79</v>
      </c>
      <c r="B17" s="8" t="s">
        <v>43</v>
      </c>
      <c r="C17" s="8" t="s">
        <v>80</v>
      </c>
      <c r="D17" s="8" t="s">
        <v>81</v>
      </c>
      <c r="E17" s="8" t="s">
        <v>82</v>
      </c>
      <c r="F17" s="8" t="s">
        <v>83</v>
      </c>
      <c r="G17" s="8" t="s">
        <v>84</v>
      </c>
      <c r="H17" s="8" t="s">
        <v>85</v>
      </c>
    </row>
    <row r="18" spans="1:8" x14ac:dyDescent="0.35">
      <c r="A18" s="15">
        <v>46030</v>
      </c>
      <c r="B18" s="3" t="s">
        <v>48</v>
      </c>
      <c r="C18" s="3" t="s">
        <v>86</v>
      </c>
      <c r="D18" s="3" t="s">
        <v>32</v>
      </c>
      <c r="E18" s="3" t="s">
        <v>87</v>
      </c>
      <c r="F18" s="16">
        <v>96000</v>
      </c>
      <c r="G18" s="3">
        <v>12</v>
      </c>
      <c r="H18" s="3" t="s">
        <v>88</v>
      </c>
    </row>
    <row r="19" spans="1:8" x14ac:dyDescent="0.35">
      <c r="A19" s="15">
        <v>46034</v>
      </c>
      <c r="B19" s="3" t="s">
        <v>50</v>
      </c>
      <c r="C19" s="3" t="s">
        <v>89</v>
      </c>
      <c r="D19" s="3" t="s">
        <v>29</v>
      </c>
      <c r="E19" s="3" t="s">
        <v>90</v>
      </c>
      <c r="F19" s="16">
        <v>42000</v>
      </c>
      <c r="G19" s="3">
        <v>12</v>
      </c>
      <c r="H19" s="3" t="s">
        <v>91</v>
      </c>
    </row>
    <row r="20" spans="1:8" x14ac:dyDescent="0.35">
      <c r="A20" s="15">
        <v>46037</v>
      </c>
      <c r="B20" s="3" t="s">
        <v>54</v>
      </c>
      <c r="C20" s="3" t="s">
        <v>92</v>
      </c>
      <c r="D20" s="3" t="s">
        <v>26</v>
      </c>
      <c r="E20" s="3" t="s">
        <v>87</v>
      </c>
      <c r="F20" s="16">
        <v>18000</v>
      </c>
      <c r="G20" s="3">
        <v>12</v>
      </c>
      <c r="H20" s="3" t="s">
        <v>93</v>
      </c>
    </row>
    <row r="21" spans="1:8" x14ac:dyDescent="0.35">
      <c r="A21" s="15">
        <v>46040</v>
      </c>
      <c r="B21" s="3" t="s">
        <v>52</v>
      </c>
      <c r="C21" s="3" t="s">
        <v>86</v>
      </c>
      <c r="D21" s="3" t="s">
        <v>29</v>
      </c>
      <c r="E21" s="3" t="s">
        <v>94</v>
      </c>
      <c r="F21" s="16">
        <v>42000</v>
      </c>
      <c r="G21" s="3">
        <v>12</v>
      </c>
      <c r="H21" s="3" t="s">
        <v>95</v>
      </c>
    </row>
    <row r="22" spans="1:8" x14ac:dyDescent="0.35">
      <c r="A22" s="15">
        <v>46044</v>
      </c>
      <c r="B22" s="3" t="s">
        <v>56</v>
      </c>
      <c r="C22" s="3" t="s">
        <v>89</v>
      </c>
      <c r="D22" s="3" t="s">
        <v>32</v>
      </c>
      <c r="E22" s="3" t="s">
        <v>87</v>
      </c>
      <c r="F22" s="16">
        <v>96000</v>
      </c>
      <c r="G22" s="3">
        <v>24</v>
      </c>
      <c r="H22" s="3" t="s">
        <v>96</v>
      </c>
    </row>
    <row r="23" spans="1:8" x14ac:dyDescent="0.35">
      <c r="A23" s="15">
        <v>46045</v>
      </c>
      <c r="B23" s="3" t="s">
        <v>58</v>
      </c>
      <c r="C23" s="3" t="s">
        <v>92</v>
      </c>
      <c r="D23" s="3" t="s">
        <v>29</v>
      </c>
      <c r="E23" s="3" t="s">
        <v>90</v>
      </c>
      <c r="F23" s="16">
        <v>42000</v>
      </c>
      <c r="G23" s="3">
        <v>12</v>
      </c>
      <c r="H23" s="3" t="s">
        <v>97</v>
      </c>
    </row>
    <row r="24" spans="1:8" x14ac:dyDescent="0.35">
      <c r="A24" s="15">
        <v>46047</v>
      </c>
      <c r="B24" s="3" t="s">
        <v>48</v>
      </c>
      <c r="C24" s="3" t="s">
        <v>86</v>
      </c>
      <c r="D24" s="3" t="s">
        <v>26</v>
      </c>
      <c r="E24" s="3" t="s">
        <v>87</v>
      </c>
      <c r="F24" s="16">
        <v>18000</v>
      </c>
      <c r="G24" s="3">
        <v>12</v>
      </c>
      <c r="H24" s="3" t="s">
        <v>98</v>
      </c>
    </row>
    <row r="25" spans="1:8" x14ac:dyDescent="0.35">
      <c r="A25" s="15">
        <v>46049</v>
      </c>
      <c r="B25" s="3" t="s">
        <v>50</v>
      </c>
      <c r="C25" s="3" t="s">
        <v>89</v>
      </c>
      <c r="D25" s="3" t="s">
        <v>29</v>
      </c>
      <c r="E25" s="3" t="s">
        <v>87</v>
      </c>
      <c r="F25" s="16">
        <v>42000</v>
      </c>
      <c r="G25" s="3">
        <v>12</v>
      </c>
      <c r="H25" s="3" t="s">
        <v>99</v>
      </c>
    </row>
    <row r="26" spans="1:8" x14ac:dyDescent="0.35">
      <c r="A26" s="15">
        <v>46051</v>
      </c>
      <c r="B26" s="3" t="s">
        <v>54</v>
      </c>
      <c r="C26" s="3" t="s">
        <v>92</v>
      </c>
      <c r="D26" s="3" t="s">
        <v>32</v>
      </c>
      <c r="E26" s="3" t="s">
        <v>94</v>
      </c>
      <c r="F26" s="16">
        <v>96000</v>
      </c>
      <c r="G26" s="3">
        <v>24</v>
      </c>
      <c r="H26" s="3" t="s">
        <v>100</v>
      </c>
    </row>
    <row r="27" spans="1:8" x14ac:dyDescent="0.35">
      <c r="A27" s="15">
        <v>46053</v>
      </c>
      <c r="B27" s="3" t="s">
        <v>52</v>
      </c>
      <c r="C27" s="3" t="s">
        <v>86</v>
      </c>
      <c r="D27" s="3" t="s">
        <v>29</v>
      </c>
      <c r="E27" s="3" t="s">
        <v>90</v>
      </c>
      <c r="F27" s="16">
        <v>42000</v>
      </c>
      <c r="G27" s="3">
        <v>12</v>
      </c>
      <c r="H27" s="3" t="s">
        <v>101</v>
      </c>
    </row>
    <row r="28" spans="1:8" x14ac:dyDescent="0.35">
      <c r="A28" s="15">
        <v>46056</v>
      </c>
      <c r="B28" s="3" t="s">
        <v>48</v>
      </c>
      <c r="C28" s="3" t="s">
        <v>86</v>
      </c>
      <c r="D28" s="3" t="s">
        <v>26</v>
      </c>
      <c r="E28" s="3" t="s">
        <v>87</v>
      </c>
      <c r="F28" s="16">
        <v>18000</v>
      </c>
      <c r="G28" s="3">
        <v>12</v>
      </c>
      <c r="H28" s="3" t="s">
        <v>102</v>
      </c>
    </row>
    <row r="29" spans="1:8" x14ac:dyDescent="0.35">
      <c r="A29" s="15">
        <v>46058</v>
      </c>
      <c r="B29" s="3" t="s">
        <v>58</v>
      </c>
      <c r="C29" s="3" t="s">
        <v>92</v>
      </c>
      <c r="D29" s="3" t="s">
        <v>29</v>
      </c>
      <c r="E29" s="3" t="s">
        <v>87</v>
      </c>
      <c r="F29" s="16">
        <v>42000</v>
      </c>
      <c r="G29" s="3">
        <v>12</v>
      </c>
      <c r="H29" s="3" t="s">
        <v>103</v>
      </c>
    </row>
    <row r="30" spans="1:8" x14ac:dyDescent="0.35">
      <c r="A30" s="15">
        <v>46063</v>
      </c>
      <c r="B30" s="3" t="s">
        <v>48</v>
      </c>
      <c r="C30" s="3" t="s">
        <v>86</v>
      </c>
      <c r="D30" s="3" t="s">
        <v>32</v>
      </c>
      <c r="E30" s="3" t="s">
        <v>94</v>
      </c>
      <c r="F30" s="16">
        <v>96000</v>
      </c>
      <c r="G30" s="3">
        <v>12</v>
      </c>
      <c r="H30" s="3" t="s">
        <v>104</v>
      </c>
    </row>
    <row r="31" spans="1:8" x14ac:dyDescent="0.35">
      <c r="A31" s="15">
        <v>46065</v>
      </c>
      <c r="B31" s="3" t="s">
        <v>50</v>
      </c>
      <c r="C31" s="3" t="s">
        <v>89</v>
      </c>
      <c r="D31" s="3" t="s">
        <v>29</v>
      </c>
      <c r="E31" s="3" t="s">
        <v>90</v>
      </c>
      <c r="F31" s="16">
        <v>42000</v>
      </c>
      <c r="G31" s="3">
        <v>24</v>
      </c>
      <c r="H31" s="3" t="s">
        <v>105</v>
      </c>
    </row>
    <row r="32" spans="1:8" x14ac:dyDescent="0.35">
      <c r="A32" s="15">
        <v>46067</v>
      </c>
      <c r="B32" s="3" t="s">
        <v>52</v>
      </c>
      <c r="C32" s="3" t="s">
        <v>86</v>
      </c>
      <c r="D32" s="3" t="s">
        <v>26</v>
      </c>
      <c r="E32" s="3" t="s">
        <v>87</v>
      </c>
      <c r="F32" s="16">
        <v>18000</v>
      </c>
      <c r="G32" s="3">
        <v>12</v>
      </c>
      <c r="H32" s="3" t="s">
        <v>106</v>
      </c>
    </row>
    <row r="33" spans="1:8" x14ac:dyDescent="0.35">
      <c r="A33" s="15">
        <v>46071</v>
      </c>
      <c r="B33" s="3" t="s">
        <v>54</v>
      </c>
      <c r="C33" s="3" t="s">
        <v>92</v>
      </c>
      <c r="D33" s="3" t="s">
        <v>32</v>
      </c>
      <c r="E33" s="3" t="s">
        <v>87</v>
      </c>
      <c r="F33" s="16">
        <v>96000</v>
      </c>
      <c r="G33" s="3">
        <v>12</v>
      </c>
      <c r="H33" s="3" t="s">
        <v>107</v>
      </c>
    </row>
    <row r="34" spans="1:8" x14ac:dyDescent="0.35">
      <c r="A34" s="15">
        <v>46073</v>
      </c>
      <c r="B34" s="3" t="s">
        <v>56</v>
      </c>
      <c r="C34" s="3" t="s">
        <v>89</v>
      </c>
      <c r="D34" s="3" t="s">
        <v>29</v>
      </c>
      <c r="E34" s="3" t="s">
        <v>94</v>
      </c>
      <c r="F34" s="16">
        <v>42000</v>
      </c>
      <c r="G34" s="3">
        <v>12</v>
      </c>
      <c r="H34" s="3" t="s">
        <v>108</v>
      </c>
    </row>
    <row r="35" spans="1:8" x14ac:dyDescent="0.35">
      <c r="A35" s="15">
        <v>46077</v>
      </c>
      <c r="B35" s="3" t="s">
        <v>58</v>
      </c>
      <c r="C35" s="3" t="s">
        <v>92</v>
      </c>
      <c r="D35" s="3" t="s">
        <v>26</v>
      </c>
      <c r="E35" s="3" t="s">
        <v>90</v>
      </c>
      <c r="F35" s="16">
        <v>18000</v>
      </c>
      <c r="G35" s="3">
        <v>12</v>
      </c>
      <c r="H35" s="3" t="s">
        <v>100</v>
      </c>
    </row>
    <row r="36" spans="1:8" x14ac:dyDescent="0.35">
      <c r="A36" s="15">
        <v>46079</v>
      </c>
      <c r="B36" s="3" t="s">
        <v>48</v>
      </c>
      <c r="C36" s="3" t="s">
        <v>86</v>
      </c>
      <c r="D36" s="3" t="s">
        <v>29</v>
      </c>
      <c r="E36" s="3" t="s">
        <v>87</v>
      </c>
      <c r="F36" s="16">
        <v>42000</v>
      </c>
      <c r="G36" s="3">
        <v>12</v>
      </c>
      <c r="H36" s="3" t="s">
        <v>109</v>
      </c>
    </row>
    <row r="37" spans="1:8" x14ac:dyDescent="0.35">
      <c r="A37" s="15">
        <v>46081</v>
      </c>
      <c r="B37" s="3" t="s">
        <v>50</v>
      </c>
      <c r="C37" s="3" t="s">
        <v>89</v>
      </c>
      <c r="D37" s="3" t="s">
        <v>32</v>
      </c>
      <c r="E37" s="3" t="s">
        <v>87</v>
      </c>
      <c r="F37" s="16">
        <v>96000</v>
      </c>
      <c r="G37" s="3">
        <v>12</v>
      </c>
      <c r="H37" s="3" t="s">
        <v>110</v>
      </c>
    </row>
    <row r="38" spans="1:8" x14ac:dyDescent="0.35">
      <c r="A38" s="15">
        <v>46083</v>
      </c>
      <c r="B38" s="3" t="s">
        <v>52</v>
      </c>
      <c r="C38" s="3" t="s">
        <v>86</v>
      </c>
      <c r="D38" s="3" t="s">
        <v>29</v>
      </c>
      <c r="E38" s="3" t="s">
        <v>87</v>
      </c>
      <c r="F38" s="16">
        <v>42000</v>
      </c>
      <c r="G38" s="3">
        <v>24</v>
      </c>
      <c r="H38" s="3" t="s">
        <v>111</v>
      </c>
    </row>
    <row r="39" spans="1:8" x14ac:dyDescent="0.35">
      <c r="A39" s="15">
        <v>46086</v>
      </c>
      <c r="B39" s="3" t="s">
        <v>54</v>
      </c>
      <c r="C39" s="3" t="s">
        <v>92</v>
      </c>
      <c r="D39" s="3" t="s">
        <v>26</v>
      </c>
      <c r="E39" s="3" t="s">
        <v>94</v>
      </c>
      <c r="F39" s="16">
        <v>18000</v>
      </c>
      <c r="G39" s="3">
        <v>12</v>
      </c>
      <c r="H39" s="3" t="s">
        <v>97</v>
      </c>
    </row>
    <row r="40" spans="1:8" x14ac:dyDescent="0.35">
      <c r="A40" s="15">
        <v>46090</v>
      </c>
      <c r="B40" s="3" t="s">
        <v>56</v>
      </c>
      <c r="C40" s="3" t="s">
        <v>89</v>
      </c>
      <c r="D40" s="3" t="s">
        <v>29</v>
      </c>
      <c r="E40" s="3" t="s">
        <v>90</v>
      </c>
      <c r="F40" s="16">
        <v>42000</v>
      </c>
      <c r="G40" s="3">
        <v>24</v>
      </c>
      <c r="H40" s="3" t="s">
        <v>91</v>
      </c>
    </row>
    <row r="41" spans="1:8" x14ac:dyDescent="0.35">
      <c r="A41" s="15">
        <v>46092</v>
      </c>
      <c r="B41" s="3" t="s">
        <v>58</v>
      </c>
      <c r="C41" s="3" t="s">
        <v>92</v>
      </c>
      <c r="D41" s="3" t="s">
        <v>29</v>
      </c>
      <c r="E41" s="3" t="s">
        <v>87</v>
      </c>
      <c r="F41" s="16">
        <v>42000</v>
      </c>
      <c r="G41" s="3">
        <v>12</v>
      </c>
      <c r="H41" s="3" t="s">
        <v>112</v>
      </c>
    </row>
    <row r="42" spans="1:8" x14ac:dyDescent="0.35">
      <c r="A42" s="15">
        <v>46095</v>
      </c>
      <c r="B42" s="3" t="s">
        <v>48</v>
      </c>
      <c r="C42" s="3" t="s">
        <v>86</v>
      </c>
      <c r="D42" s="3" t="s">
        <v>32</v>
      </c>
      <c r="E42" s="3" t="s">
        <v>87</v>
      </c>
      <c r="F42" s="16">
        <v>96000</v>
      </c>
      <c r="G42" s="3">
        <v>12</v>
      </c>
      <c r="H42" s="3" t="s">
        <v>113</v>
      </c>
    </row>
    <row r="43" spans="1:8" x14ac:dyDescent="0.35">
      <c r="A43" s="15">
        <v>46098</v>
      </c>
      <c r="B43" s="3" t="s">
        <v>50</v>
      </c>
      <c r="C43" s="3" t="s">
        <v>89</v>
      </c>
      <c r="D43" s="3" t="s">
        <v>26</v>
      </c>
      <c r="E43" s="3" t="s">
        <v>87</v>
      </c>
      <c r="F43" s="16">
        <v>18000</v>
      </c>
      <c r="G43" s="3">
        <v>12</v>
      </c>
      <c r="H43" s="3" t="s">
        <v>114</v>
      </c>
    </row>
    <row r="44" spans="1:8" x14ac:dyDescent="0.35">
      <c r="A44" s="15">
        <v>46101</v>
      </c>
      <c r="B44" s="3" t="s">
        <v>52</v>
      </c>
      <c r="C44" s="3" t="s">
        <v>86</v>
      </c>
      <c r="D44" s="3" t="s">
        <v>29</v>
      </c>
      <c r="E44" s="3" t="s">
        <v>90</v>
      </c>
      <c r="F44" s="16">
        <v>42000</v>
      </c>
      <c r="G44" s="3">
        <v>12</v>
      </c>
      <c r="H44" s="3" t="s">
        <v>95</v>
      </c>
    </row>
    <row r="45" spans="1:8" x14ac:dyDescent="0.35">
      <c r="A45" s="15">
        <v>46104</v>
      </c>
      <c r="B45" s="3" t="s">
        <v>54</v>
      </c>
      <c r="C45" s="3" t="s">
        <v>92</v>
      </c>
      <c r="D45" s="3" t="s">
        <v>32</v>
      </c>
      <c r="E45" s="3" t="s">
        <v>94</v>
      </c>
      <c r="F45" s="16">
        <v>96000</v>
      </c>
      <c r="G45" s="3">
        <v>12</v>
      </c>
      <c r="H45" s="3" t="s">
        <v>101</v>
      </c>
    </row>
    <row r="46" spans="1:8" x14ac:dyDescent="0.35">
      <c r="A46" s="15">
        <v>46107</v>
      </c>
      <c r="B46" s="3" t="s">
        <v>56</v>
      </c>
      <c r="C46" s="3" t="s">
        <v>89</v>
      </c>
      <c r="D46" s="3" t="s">
        <v>29</v>
      </c>
      <c r="E46" s="3" t="s">
        <v>87</v>
      </c>
      <c r="F46" s="16">
        <v>42000</v>
      </c>
      <c r="G46" s="3">
        <v>12</v>
      </c>
      <c r="H46" s="3" t="s">
        <v>115</v>
      </c>
    </row>
    <row r="47" spans="1:8" x14ac:dyDescent="0.35">
      <c r="A47" s="15">
        <v>46112</v>
      </c>
      <c r="B47" s="3" t="s">
        <v>58</v>
      </c>
      <c r="C47" s="3" t="s">
        <v>92</v>
      </c>
      <c r="D47" s="3" t="s">
        <v>26</v>
      </c>
      <c r="E47" s="3" t="s">
        <v>87</v>
      </c>
      <c r="F47" s="16">
        <v>18000</v>
      </c>
      <c r="G47" s="3">
        <v>12</v>
      </c>
      <c r="H47" s="3" t="s">
        <v>116</v>
      </c>
    </row>
    <row r="49" spans="1:17" x14ac:dyDescent="0.35">
      <c r="A49" s="21" t="s">
        <v>43</v>
      </c>
      <c r="B49" t="s">
        <v>129</v>
      </c>
      <c r="D49" s="21" t="s">
        <v>128</v>
      </c>
      <c r="E49" t="s">
        <v>129</v>
      </c>
    </row>
    <row r="50" spans="1:17" x14ac:dyDescent="0.35">
      <c r="A50" s="22" t="s">
        <v>58</v>
      </c>
      <c r="B50" s="16">
        <v>162000</v>
      </c>
      <c r="D50" s="22" t="s">
        <v>123</v>
      </c>
      <c r="E50" s="16">
        <v>534000</v>
      </c>
    </row>
    <row r="51" spans="1:17" x14ac:dyDescent="0.35">
      <c r="A51" s="22" t="s">
        <v>50</v>
      </c>
      <c r="B51" s="16">
        <v>240000</v>
      </c>
      <c r="D51" s="22" t="s">
        <v>124</v>
      </c>
      <c r="E51" s="16">
        <v>510000</v>
      </c>
    </row>
    <row r="52" spans="1:17" x14ac:dyDescent="0.35">
      <c r="A52" s="22" t="s">
        <v>56</v>
      </c>
      <c r="B52" s="16">
        <v>222000</v>
      </c>
      <c r="D52" s="22" t="s">
        <v>125</v>
      </c>
      <c r="E52" s="16">
        <v>456000</v>
      </c>
    </row>
    <row r="53" spans="1:17" x14ac:dyDescent="0.35">
      <c r="A53" s="22" t="s">
        <v>54</v>
      </c>
      <c r="B53" s="16">
        <v>324000</v>
      </c>
      <c r="D53" s="22" t="s">
        <v>121</v>
      </c>
      <c r="E53" s="16">
        <v>1500000</v>
      </c>
      <c r="J53" s="21" t="s">
        <v>120</v>
      </c>
      <c r="K53" t="s">
        <v>122</v>
      </c>
      <c r="L53" t="s">
        <v>126</v>
      </c>
      <c r="M53" t="s">
        <v>127</v>
      </c>
      <c r="P53" s="21" t="s">
        <v>120</v>
      </c>
      <c r="Q53" t="s">
        <v>122</v>
      </c>
    </row>
    <row r="54" spans="1:17" x14ac:dyDescent="0.35">
      <c r="A54" s="22" t="s">
        <v>52</v>
      </c>
      <c r="B54" s="16">
        <v>186000</v>
      </c>
      <c r="J54" s="22" t="s">
        <v>32</v>
      </c>
      <c r="K54" s="16">
        <v>768000</v>
      </c>
      <c r="L54" s="23">
        <v>8</v>
      </c>
      <c r="M54" s="23">
        <v>8</v>
      </c>
      <c r="P54" s="22" t="s">
        <v>58</v>
      </c>
      <c r="Q54" s="16">
        <v>162000</v>
      </c>
    </row>
    <row r="55" spans="1:17" x14ac:dyDescent="0.35">
      <c r="A55" s="22" t="s">
        <v>48</v>
      </c>
      <c r="B55" s="16">
        <v>366000</v>
      </c>
      <c r="J55" s="22" t="s">
        <v>29</v>
      </c>
      <c r="K55" s="16">
        <v>588000</v>
      </c>
      <c r="L55" s="23">
        <v>14</v>
      </c>
      <c r="M55" s="23">
        <v>14</v>
      </c>
      <c r="P55" s="22" t="s">
        <v>50</v>
      </c>
      <c r="Q55" s="16">
        <v>240000</v>
      </c>
    </row>
    <row r="56" spans="1:17" x14ac:dyDescent="0.35">
      <c r="A56" s="22" t="s">
        <v>121</v>
      </c>
      <c r="B56" s="16">
        <v>1500000</v>
      </c>
      <c r="J56" s="22" t="s">
        <v>26</v>
      </c>
      <c r="K56" s="16">
        <v>144000</v>
      </c>
      <c r="L56" s="23">
        <v>8</v>
      </c>
      <c r="M56" s="23">
        <v>8</v>
      </c>
      <c r="P56" s="22" t="s">
        <v>56</v>
      </c>
      <c r="Q56" s="16">
        <v>222000</v>
      </c>
    </row>
    <row r="57" spans="1:17" x14ac:dyDescent="0.35">
      <c r="J57" s="22" t="s">
        <v>121</v>
      </c>
      <c r="K57" s="16">
        <v>1500000</v>
      </c>
      <c r="L57" s="23">
        <v>30</v>
      </c>
      <c r="M57" s="23">
        <v>30</v>
      </c>
      <c r="P57" s="22" t="s">
        <v>54</v>
      </c>
      <c r="Q57" s="16">
        <v>324000</v>
      </c>
    </row>
    <row r="58" spans="1:17" x14ac:dyDescent="0.35">
      <c r="P58" s="22" t="s">
        <v>52</v>
      </c>
      <c r="Q58" s="16">
        <v>186000</v>
      </c>
    </row>
    <row r="59" spans="1:17" x14ac:dyDescent="0.35">
      <c r="P59" s="22" t="s">
        <v>48</v>
      </c>
      <c r="Q59" s="16">
        <v>366000</v>
      </c>
    </row>
    <row r="60" spans="1:17" x14ac:dyDescent="0.35">
      <c r="P60" s="22" t="s">
        <v>121</v>
      </c>
      <c r="Q60" s="16">
        <v>1500000</v>
      </c>
    </row>
  </sheetData>
  <pageMargins left="0.75" right="0.75" top="1" bottom="1" header="0.5" footer="0.5"/>
  <tableParts count="1">
    <tablePart r:id="rId5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START HERE</vt:lpstr>
      <vt:lpstr>Exercise 1</vt:lpstr>
      <vt:lpstr>Exercise 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Michael Bezrukov</cp:lastModifiedBy>
  <dcterms:created xsi:type="dcterms:W3CDTF">2026-03-28T01:47:23Z</dcterms:created>
  <dcterms:modified xsi:type="dcterms:W3CDTF">2026-03-30T05:22:33Z</dcterms:modified>
</cp:coreProperties>
</file>