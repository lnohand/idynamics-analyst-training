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ncept" sheetId="2" state="visible" r:id="rId2"/>
    <sheet name="Data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1D4ED8"/>
      <sz val="12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EF2FF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1" fontId="0" fillId="3" borderId="1" pivotButton="0" quotePrefix="0" xfId="0"/>
    <xf numFmtId="164" fontId="0" fillId="3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Efficiency Metrics - Warm-Up</t>
        </is>
      </c>
    </row>
    <row r="3">
      <c r="A3" t="inlineStr">
        <is>
          <t>From: David Chen, VP Finance</t>
        </is>
      </c>
    </row>
    <row r="4">
      <c r="A4" t="inlineStr"/>
    </row>
    <row r="5">
      <c r="A5" t="inlineStr">
        <is>
          <t>Michael - three efficiency metrics investors will ask you about, and one of them</t>
        </is>
      </c>
    </row>
    <row r="6">
      <c r="A6" t="inlineStr">
        <is>
          <t>(the Magic Number) is already sitting in your own forecast workbook. Learn all three.</t>
        </is>
      </c>
    </row>
    <row r="7">
      <c r="A7" t="inlineStr"/>
    </row>
    <row r="8">
      <c r="A8" s="2" t="inlineStr">
        <is>
          <t>Read the 'Concept' tab first (formulas + benchmarks). Then use the 'Data' tab to fill</t>
        </is>
      </c>
    </row>
    <row r="9">
      <c r="A9" t="inlineStr">
        <is>
          <t>in the 'Metrics' tab: Magic Number, Burn Multiple, and CAC Payback for Q2-Q4, each with</t>
        </is>
      </c>
    </row>
    <row r="10">
      <c r="A10" t="inlineStr">
        <is>
          <t>a one-line read and pass/fail vs the benchmark. Live formulas, no typed answers.</t>
        </is>
      </c>
    </row>
    <row r="11">
      <c r="A11" t="inlineStr"/>
    </row>
    <row r="12">
      <c r="A12" t="inlineStr">
        <is>
          <t>Last row: open your redesigned forecast workbook, find the Magic Number in the</t>
        </is>
      </c>
    </row>
    <row r="13">
      <c r="A13" t="inlineStr">
        <is>
          <t>efficiency strip, and confirm the trend you see here matches.</t>
        </is>
      </c>
    </row>
    <row r="14">
      <c r="A14" t="inlineStr"/>
    </row>
    <row r="15">
      <c r="A15" t="inlineStr">
        <is>
          <t>SUBMIT: commit to branch  student/excel-efficiency-warmup ,</t>
        </is>
      </c>
    </row>
    <row r="16">
      <c r="A16" t="inlineStr">
        <is>
          <t xml:space="preserve">        file -&gt; submissions/excel/efficiency_warmup.xlsx , open a PR.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Concept - SaaS Efficiency Metrics</t>
        </is>
      </c>
    </row>
    <row r="3">
      <c r="A3" s="3" t="inlineStr">
        <is>
          <t>Magic Number</t>
        </is>
      </c>
    </row>
    <row r="4">
      <c r="A4" s="2">
        <f> Net New ARR (this quarter)  /  Sales &amp; Marketing spend (PRIOR quarter)</f>
        <v/>
      </c>
    </row>
    <row r="5">
      <c r="A5" s="4" t="inlineStr">
        <is>
          <t>How many $ of new annual recurring revenue each $ of S&amp;M buys.</t>
        </is>
      </c>
    </row>
    <row r="6">
      <c r="A6" t="inlineStr">
        <is>
          <t>Benchmark:  &gt;0.75 = efficient, scale up   |   0.5-0.75 = ok   |   &lt;0.5 = inefficient, fix before spending more</t>
        </is>
      </c>
    </row>
    <row r="8">
      <c r="A8" s="3" t="inlineStr">
        <is>
          <t>Burn Multiple</t>
        </is>
      </c>
    </row>
    <row r="9">
      <c r="A9" s="2">
        <f> Net Cash Burn (this quarter)  /  Net New ARR (this quarter)</f>
        <v/>
      </c>
    </row>
    <row r="10">
      <c r="A10" s="4" t="inlineStr">
        <is>
          <t>How many $ of cash you burn to add $1 of new ARR. Lower is better.</t>
        </is>
      </c>
    </row>
    <row r="11">
      <c r="A11" t="inlineStr">
        <is>
          <t>Benchmark:  &lt;1 = great   |   1-1.5 = good   |   1.5-2 = ok   |   &gt;2 = inefficient</t>
        </is>
      </c>
    </row>
    <row r="13">
      <c r="A13" s="3" t="inlineStr">
        <is>
          <t>CAC Payback (months)</t>
        </is>
      </c>
    </row>
    <row r="14">
      <c r="A14" s="2">
        <f> CAC  /  (Monthly ARPA x Gross Margin);  CAC = S&amp;M / new customers;  ARPA = ACV / 12</f>
        <v/>
      </c>
    </row>
    <row r="15">
      <c r="A15" s="4" t="inlineStr">
        <is>
          <t>Months of gross-margin revenue to earn back the cost of acquiring a customer.</t>
        </is>
      </c>
    </row>
    <row r="16">
      <c r="A16" t="inlineStr">
        <is>
          <t>Benchmark:  &lt;12 mo healthy (SMB)   |   &lt;18 mo (enterprise)   |   lower is better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4" customWidth="1" min="4" max="4"/>
    <col width="15" customWidth="1" min="5" max="5"/>
    <col width="11" customWidth="1" min="6" max="6"/>
    <col width="13" customWidth="1" min="7" max="7"/>
  </cols>
  <sheetData>
    <row r="1">
      <c r="A1" s="1" t="inlineStr">
        <is>
          <t>Data - Brightwave SaaS (toy)</t>
        </is>
      </c>
    </row>
    <row r="3">
      <c r="A3" s="5" t="inlineStr">
        <is>
          <t>Quarter</t>
        </is>
      </c>
      <c r="B3" s="5" t="inlineStr">
        <is>
          <t>Ending ARR</t>
        </is>
      </c>
      <c r="C3" s="5" t="inlineStr">
        <is>
          <t>S&amp;M Spend</t>
        </is>
      </c>
      <c r="D3" s="5" t="inlineStr">
        <is>
          <t>Net Cash Burn</t>
        </is>
      </c>
      <c r="E3" s="5" t="inlineStr">
        <is>
          <t>New Customers</t>
        </is>
      </c>
      <c r="F3" s="5" t="inlineStr">
        <is>
          <t>ACV</t>
        </is>
      </c>
      <c r="G3" s="5" t="inlineStr">
        <is>
          <t>Gross Margin</t>
        </is>
      </c>
    </row>
    <row r="4">
      <c r="A4" s="6" t="inlineStr">
        <is>
          <t>Q1 2025</t>
        </is>
      </c>
      <c r="B4" s="7" t="n">
        <v>4000000</v>
      </c>
      <c r="C4" s="7" t="n">
        <v>800000</v>
      </c>
      <c r="D4" s="6" t="inlineStr">
        <is>
          <t>n/a</t>
        </is>
      </c>
      <c r="E4" s="8" t="n">
        <v>50</v>
      </c>
      <c r="F4" s="7" t="n">
        <v>30000</v>
      </c>
      <c r="G4" s="9" t="n">
        <v>0.8</v>
      </c>
    </row>
    <row r="5">
      <c r="A5" s="6" t="inlineStr">
        <is>
          <t>Q2 2025</t>
        </is>
      </c>
      <c r="B5" s="7" t="n">
        <v>4800000</v>
      </c>
      <c r="C5" s="7" t="n">
        <v>900000</v>
      </c>
      <c r="D5" s="7" t="n">
        <v>1200000</v>
      </c>
      <c r="E5" s="8" t="n">
        <v>45</v>
      </c>
      <c r="F5" s="7" t="n">
        <v>30000</v>
      </c>
      <c r="G5" s="9" t="n">
        <v>0.8</v>
      </c>
    </row>
    <row r="6">
      <c r="A6" s="6" t="inlineStr">
        <is>
          <t>Q3 2025</t>
        </is>
      </c>
      <c r="B6" s="7" t="n">
        <v>5400000</v>
      </c>
      <c r="C6" s="7" t="n">
        <v>1000000</v>
      </c>
      <c r="D6" s="7" t="n">
        <v>1100000</v>
      </c>
      <c r="E6" s="8" t="n">
        <v>40</v>
      </c>
      <c r="F6" s="7" t="n">
        <v>30000</v>
      </c>
      <c r="G6" s="9" t="n">
        <v>0.8</v>
      </c>
    </row>
    <row r="7">
      <c r="A7" s="6" t="inlineStr">
        <is>
          <t>Q4 2025</t>
        </is>
      </c>
      <c r="B7" s="7" t="n">
        <v>5800000</v>
      </c>
      <c r="C7" s="7" t="n">
        <v>1000000</v>
      </c>
      <c r="D7" s="7" t="n">
        <v>1000000</v>
      </c>
      <c r="E7" s="8" t="n">
        <v>40</v>
      </c>
      <c r="F7" s="7" t="n">
        <v>30000</v>
      </c>
      <c r="G7" s="9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4" customWidth="1" min="4" max="4"/>
    <col width="10" customWidth="1" min="5" max="5"/>
    <col width="16" customWidth="1" min="6" max="6"/>
    <col width="52" customWidth="1" min="7" max="7"/>
  </cols>
  <sheetData>
    <row r="1">
      <c r="A1" s="1" t="inlineStr">
        <is>
          <t>Metrics</t>
        </is>
      </c>
    </row>
    <row r="3">
      <c r="A3" s="5" t="inlineStr">
        <is>
          <t>Quarter</t>
        </is>
      </c>
      <c r="B3" s="5" t="inlineStr">
        <is>
          <t>Net New ARR</t>
        </is>
      </c>
      <c r="C3" s="5" t="inlineStr">
        <is>
          <t>Magic Number</t>
        </is>
      </c>
      <c r="D3" s="5" t="inlineStr">
        <is>
          <t>Burn Multiple</t>
        </is>
      </c>
      <c r="E3" s="5" t="inlineStr">
        <is>
          <t>CAC</t>
        </is>
      </c>
      <c r="F3" s="5" t="inlineStr">
        <is>
          <t>CAC Payback (mo)</t>
        </is>
      </c>
      <c r="G3" s="5" t="inlineStr">
        <is>
          <t>One-line read</t>
        </is>
      </c>
    </row>
    <row r="4">
      <c r="A4" t="inlineStr">
        <is>
          <t>Q2 2025</t>
        </is>
      </c>
      <c r="B4" s="10" t="n"/>
      <c r="C4" s="10" t="n"/>
      <c r="D4" s="10" t="n"/>
      <c r="E4" s="10" t="n"/>
      <c r="F4" s="10" t="n"/>
      <c r="G4" s="10" t="n"/>
    </row>
    <row r="5">
      <c r="A5" t="inlineStr">
        <is>
          <t>Q3 2025</t>
        </is>
      </c>
      <c r="B5" s="10" t="n"/>
      <c r="C5" s="10" t="n"/>
      <c r="D5" s="10" t="n"/>
      <c r="E5" s="10" t="n"/>
      <c r="F5" s="10" t="n"/>
      <c r="G5" s="10" t="n"/>
    </row>
    <row r="6">
      <c r="A6" t="inlineStr">
        <is>
          <t>Q4 2025</t>
        </is>
      </c>
      <c r="B6" s="10" t="n"/>
      <c r="C6" s="10" t="n"/>
      <c r="D6" s="10" t="n"/>
      <c r="E6" s="10" t="n"/>
      <c r="F6" s="10" t="n"/>
      <c r="G6" s="10" t="n"/>
    </row>
    <row r="8">
      <c r="A8" s="2" t="inlineStr">
        <is>
          <t>Cross-check:</t>
        </is>
      </c>
      <c r="B8" t="inlineStr">
        <is>
          <t>Open your redesigned forecast workbook -&gt; efficiency strip. Magic Number there = ______ (should be ~0.87). Does the declining trend above match the story in your model?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2026-07-06T04:05:32Z</dcterms:created>
  <dcterms:modified xsi:type="dcterms:W3CDTF">2026-07-06T04:05:32Z</dcterms:modified>
</cp:coreProperties>
</file>