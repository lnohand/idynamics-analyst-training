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enti\Downloads\idynamics-training\idynamics-analyst-training\assignments\excel\"/>
    </mc:Choice>
  </mc:AlternateContent>
  <xr:revisionPtr revIDLastSave="0" documentId="13_ncr:1_{D79CD1FC-1F43-47BA-8CBB-A17A5187F565}" xr6:coauthVersionLast="47" xr6:coauthVersionMax="47" xr10:uidLastSave="{00000000-0000-0000-0000-000000000000}"/>
  <bookViews>
    <workbookView xWindow="-110" yWindow="-110" windowWidth="38620" windowHeight="21100" tabRatio="500" activeTab="4" xr2:uid="{00000000-000D-0000-FFFF-FFFF00000000}"/>
  </bookViews>
  <sheets>
    <sheet name="Instructions" sheetId="1" r:id="rId1"/>
    <sheet name="Subscriptions" sheetId="2" r:id="rId2"/>
    <sheet name="Plan Category Mapping" sheetId="3" r:id="rId3"/>
    <sheet name="Email" sheetId="4" r:id="rId4"/>
    <sheet name="Analysis" sheetId="5" r:id="rId5"/>
  </sheets>
  <definedNames>
    <definedName name="_xlnm._FilterDatabase" localSheetId="1" hidden="1">Subscriptions!$A$1:$J$126</definedName>
  </definedNames>
  <calcPr calcId="191029" iterateDelta="1E-4"/>
  <pivotCaches>
    <pivotCache cacheId="8"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5" l="1"/>
  <c r="C47" i="5"/>
  <c r="C48" i="5"/>
  <c r="C45" i="5"/>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2" i="2"/>
  <c r="M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2" i="2"/>
  <c r="B8" i="5"/>
  <c r="O60" i="2"/>
  <c r="Q60" i="2" s="1"/>
  <c r="L3" i="2"/>
  <c r="L4" i="2"/>
  <c r="L5" i="2"/>
  <c r="L6" i="2"/>
  <c r="L7" i="2"/>
  <c r="L8" i="2"/>
  <c r="L9" i="2"/>
  <c r="L10" i="2"/>
  <c r="L11" i="2"/>
  <c r="O11" i="2" s="1"/>
  <c r="Q11" i="2" s="1"/>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O59" i="2" s="1"/>
  <c r="Q59" i="2" s="1"/>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2" i="2"/>
  <c r="M3" i="2"/>
  <c r="M4" i="2"/>
  <c r="M5" i="2"/>
  <c r="M6" i="2"/>
  <c r="M7" i="2"/>
  <c r="M8" i="2"/>
  <c r="M9" i="2"/>
  <c r="M10" i="2"/>
  <c r="M11" i="2"/>
  <c r="M12" i="2"/>
  <c r="M13" i="2"/>
  <c r="M14" i="2"/>
  <c r="M15" i="2"/>
  <c r="M16" i="2"/>
  <c r="M17" i="2"/>
  <c r="M18" i="2"/>
  <c r="M19" i="2"/>
  <c r="M20" i="2"/>
  <c r="O20" i="2" s="1"/>
  <c r="Q20" i="2" s="1"/>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C49" i="5" l="1"/>
  <c r="O99" i="2"/>
  <c r="Q99" i="2" s="1"/>
  <c r="O51" i="2"/>
  <c r="Q51" i="2" s="1"/>
  <c r="O124" i="2"/>
  <c r="Q124" i="2" s="1"/>
  <c r="O108" i="2"/>
  <c r="Q108" i="2" s="1"/>
  <c r="O76" i="2"/>
  <c r="Q76" i="2" s="1"/>
  <c r="O115" i="2"/>
  <c r="Q115" i="2" s="1"/>
  <c r="O67" i="2"/>
  <c r="Q67" i="2" s="1"/>
  <c r="O35" i="2"/>
  <c r="Q35" i="2" s="1"/>
  <c r="O3" i="2"/>
  <c r="Q3" i="2" s="1"/>
  <c r="O92" i="2"/>
  <c r="Q92" i="2" s="1"/>
  <c r="O28" i="2"/>
  <c r="Q28" i="2" s="1"/>
  <c r="O83" i="2"/>
  <c r="Q83" i="2" s="1"/>
  <c r="O44" i="2"/>
  <c r="Q44" i="2" s="1"/>
  <c r="O126" i="2"/>
  <c r="Q126" i="2" s="1"/>
  <c r="O110" i="2"/>
  <c r="Q110" i="2" s="1"/>
  <c r="O78" i="2"/>
  <c r="Q78" i="2" s="1"/>
  <c r="O30" i="2"/>
  <c r="Q30" i="2" s="1"/>
  <c r="O123" i="2"/>
  <c r="Q123" i="2" s="1"/>
  <c r="O46" i="2"/>
  <c r="Q46" i="2" s="1"/>
  <c r="O22" i="2"/>
  <c r="Q22" i="2" s="1"/>
  <c r="O14" i="2"/>
  <c r="Q14" i="2" s="1"/>
  <c r="O62" i="2"/>
  <c r="Q62" i="2" s="1"/>
  <c r="O100" i="2"/>
  <c r="Q100" i="2" s="1"/>
  <c r="O94" i="2"/>
  <c r="Q94" i="2" s="1"/>
  <c r="O91" i="2"/>
  <c r="Q91" i="2" s="1"/>
  <c r="O122" i="2"/>
  <c r="Q122" i="2" s="1"/>
  <c r="O90" i="2"/>
  <c r="Q90" i="2" s="1"/>
  <c r="O58" i="2"/>
  <c r="Q58" i="2" s="1"/>
  <c r="O26" i="2"/>
  <c r="Q26" i="2" s="1"/>
  <c r="O121" i="2"/>
  <c r="Q121" i="2" s="1"/>
  <c r="O89" i="2"/>
  <c r="Q89" i="2" s="1"/>
  <c r="O41" i="2"/>
  <c r="Q41" i="2" s="1"/>
  <c r="O104" i="2"/>
  <c r="Q104" i="2" s="1"/>
  <c r="O72" i="2"/>
  <c r="Q72" i="2" s="1"/>
  <c r="O40" i="2"/>
  <c r="O8" i="2"/>
  <c r="Q8" i="2" s="1"/>
  <c r="O86" i="2"/>
  <c r="Q86" i="2" s="1"/>
  <c r="O38" i="2"/>
  <c r="Q38" i="2" s="1"/>
  <c r="O6" i="2"/>
  <c r="Q6" i="2" s="1"/>
  <c r="O19" i="2"/>
  <c r="Q19" i="2" s="1"/>
  <c r="O117" i="2"/>
  <c r="Q117" i="2" s="1"/>
  <c r="O101" i="2"/>
  <c r="Q101" i="2" s="1"/>
  <c r="O85" i="2"/>
  <c r="Q85" i="2" s="1"/>
  <c r="O69" i="2"/>
  <c r="Q69" i="2" s="1"/>
  <c r="O53" i="2"/>
  <c r="Q53" i="2" s="1"/>
  <c r="O37" i="2"/>
  <c r="Q37" i="2" s="1"/>
  <c r="O21" i="2"/>
  <c r="Q21" i="2" s="1"/>
  <c r="O5" i="2"/>
  <c r="Q5" i="2" s="1"/>
  <c r="O116" i="2"/>
  <c r="Q116" i="2" s="1"/>
  <c r="O84" i="2"/>
  <c r="Q84" i="2" s="1"/>
  <c r="O68" i="2"/>
  <c r="Q68" i="2" s="1"/>
  <c r="O52" i="2"/>
  <c r="Q52" i="2" s="1"/>
  <c r="O36" i="2"/>
  <c r="Q36" i="2" s="1"/>
  <c r="O4" i="2"/>
  <c r="Q4" i="2" s="1"/>
  <c r="O105" i="2"/>
  <c r="Q105" i="2" s="1"/>
  <c r="O73" i="2"/>
  <c r="Q73" i="2" s="1"/>
  <c r="O9" i="2"/>
  <c r="Q9" i="2" s="1"/>
  <c r="O120" i="2"/>
  <c r="Q120" i="2" s="1"/>
  <c r="O88" i="2"/>
  <c r="Q88" i="2" s="1"/>
  <c r="O56" i="2"/>
  <c r="Q56" i="2" s="1"/>
  <c r="O24" i="2"/>
  <c r="Q24" i="2" s="1"/>
  <c r="O102" i="2"/>
  <c r="Q102" i="2" s="1"/>
  <c r="O54" i="2"/>
  <c r="Q54" i="2" s="1"/>
  <c r="O107" i="2"/>
  <c r="Q107" i="2" s="1"/>
  <c r="O75" i="2"/>
  <c r="Q75" i="2" s="1"/>
  <c r="O43" i="2"/>
  <c r="Q43" i="2" s="1"/>
  <c r="O27" i="2"/>
  <c r="Q27" i="2" s="1"/>
  <c r="O106" i="2"/>
  <c r="Q106" i="2" s="1"/>
  <c r="O74" i="2"/>
  <c r="Q74" i="2" s="1"/>
  <c r="O42" i="2"/>
  <c r="Q42" i="2" s="1"/>
  <c r="O10" i="2"/>
  <c r="Q10" i="2" s="1"/>
  <c r="O57" i="2"/>
  <c r="Q57" i="2" s="1"/>
  <c r="O25" i="2"/>
  <c r="Q25" i="2" s="1"/>
  <c r="O118" i="2"/>
  <c r="Q118" i="2" s="1"/>
  <c r="O70" i="2"/>
  <c r="Q70" i="2" s="1"/>
  <c r="O12" i="2"/>
  <c r="Q12" i="2" s="1"/>
  <c r="B7" i="5"/>
  <c r="O114" i="2"/>
  <c r="Q114" i="2" s="1"/>
  <c r="O98" i="2"/>
  <c r="Q98" i="2" s="1"/>
  <c r="O82" i="2"/>
  <c r="Q82" i="2" s="1"/>
  <c r="O66" i="2"/>
  <c r="Q66" i="2" s="1"/>
  <c r="O50" i="2"/>
  <c r="Q50" i="2" s="1"/>
  <c r="O34" i="2"/>
  <c r="Q34" i="2" s="1"/>
  <c r="O18" i="2"/>
  <c r="Q18" i="2" s="1"/>
  <c r="O113" i="2"/>
  <c r="Q113" i="2" s="1"/>
  <c r="O97" i="2"/>
  <c r="Q97" i="2" s="1"/>
  <c r="O81" i="2"/>
  <c r="Q81" i="2" s="1"/>
  <c r="O65" i="2"/>
  <c r="Q65" i="2" s="1"/>
  <c r="O49" i="2"/>
  <c r="Q49" i="2" s="1"/>
  <c r="O33" i="2"/>
  <c r="Q33" i="2" s="1"/>
  <c r="O17" i="2"/>
  <c r="Q17" i="2" s="1"/>
  <c r="O112" i="2"/>
  <c r="Q112" i="2" s="1"/>
  <c r="O80" i="2"/>
  <c r="Q80" i="2" s="1"/>
  <c r="O64" i="2"/>
  <c r="Q64" i="2" s="1"/>
  <c r="O32" i="2"/>
  <c r="Q32" i="2" s="1"/>
  <c r="O16" i="2"/>
  <c r="Q16" i="2" s="1"/>
  <c r="Q2" i="2"/>
  <c r="O111" i="2"/>
  <c r="Q111" i="2" s="1"/>
  <c r="O95" i="2"/>
  <c r="Q95" i="2" s="1"/>
  <c r="O79" i="2"/>
  <c r="Q79" i="2" s="1"/>
  <c r="O63" i="2"/>
  <c r="Q63" i="2" s="1"/>
  <c r="O47" i="2"/>
  <c r="Q47" i="2" s="1"/>
  <c r="O31" i="2"/>
  <c r="Q31" i="2" s="1"/>
  <c r="O15" i="2"/>
  <c r="Q15" i="2" s="1"/>
  <c r="O125" i="2"/>
  <c r="Q125" i="2" s="1"/>
  <c r="O109" i="2"/>
  <c r="Q109" i="2" s="1"/>
  <c r="O93" i="2"/>
  <c r="Q93" i="2" s="1"/>
  <c r="O77" i="2"/>
  <c r="Q77" i="2" s="1"/>
  <c r="O61" i="2"/>
  <c r="Q61" i="2" s="1"/>
  <c r="O45" i="2"/>
  <c r="Q45" i="2" s="1"/>
  <c r="O29" i="2"/>
  <c r="Q29" i="2" s="1"/>
  <c r="O13" i="2"/>
  <c r="Q13" i="2" s="1"/>
  <c r="B6" i="5"/>
  <c r="O96" i="2"/>
  <c r="Q96" i="2" s="1"/>
  <c r="O48" i="2"/>
  <c r="Q48" i="2" s="1"/>
  <c r="O119" i="2"/>
  <c r="Q119" i="2" s="1"/>
  <c r="O103" i="2"/>
  <c r="Q103" i="2" s="1"/>
  <c r="O87" i="2"/>
  <c r="Q87" i="2" s="1"/>
  <c r="O71" i="2"/>
  <c r="Q71" i="2" s="1"/>
  <c r="O55" i="2"/>
  <c r="Q55" i="2" s="1"/>
  <c r="O39" i="2"/>
  <c r="Q39" i="2" s="1"/>
  <c r="O23" i="2"/>
  <c r="Q23" i="2" s="1"/>
  <c r="O7" i="2"/>
  <c r="Q7" i="2" s="1"/>
  <c r="C8" i="5"/>
  <c r="D8" i="5" s="1"/>
  <c r="Q40" i="2"/>
  <c r="C6" i="5" l="1"/>
  <c r="D6" i="5" s="1"/>
  <c r="C7" i="5"/>
  <c r="D7" i="5" s="1"/>
</calcChain>
</file>

<file path=xl/sharedStrings.xml><?xml version="1.0" encoding="utf-8"?>
<sst xmlns="http://schemas.openxmlformats.org/spreadsheetml/2006/main" count="871" uniqueCount="188">
  <si>
    <t>Month</t>
  </si>
  <si>
    <t>Subscription ID</t>
  </si>
  <si>
    <t>Customer ID</t>
  </si>
  <si>
    <t>Company Name</t>
  </si>
  <si>
    <t>Plan Name</t>
  </si>
  <si>
    <t>Billing Cycle</t>
  </si>
  <si>
    <t>Seats</t>
  </si>
  <si>
    <t>List Price / Seat</t>
  </si>
  <si>
    <t>Discount %</t>
  </si>
  <si>
    <t>Cost / Seat</t>
  </si>
  <si>
    <t>2025-01</t>
  </si>
  <si>
    <t>SUB002</t>
  </si>
  <si>
    <t>CUST002</t>
  </si>
  <si>
    <t>Pacific Analytics Inc</t>
  </si>
  <si>
    <t>Platform Suite</t>
  </si>
  <si>
    <t>Annual</t>
  </si>
  <si>
    <t>SUB003</t>
  </si>
  <si>
    <t>CUST003</t>
  </si>
  <si>
    <t>Maple Healthcare Systems</t>
  </si>
  <si>
    <t>Marketing Pro</t>
  </si>
  <si>
    <t>Monthly</t>
  </si>
  <si>
    <t>SUB004</t>
  </si>
  <si>
    <t>CUST004</t>
  </si>
  <si>
    <t>Prairie Commerce Group</t>
  </si>
  <si>
    <t>Sales Hub</t>
  </si>
  <si>
    <t>SUB006</t>
  </si>
  <si>
    <t>CUST006</t>
  </si>
  <si>
    <t>Northern Retail Solutions</t>
  </si>
  <si>
    <t>Analytics Enterprise</t>
  </si>
  <si>
    <t>SUB007</t>
  </si>
  <si>
    <t>CUST007</t>
  </si>
  <si>
    <t>Ontario Manufacturing Tech</t>
  </si>
  <si>
    <t>SUB009</t>
  </si>
  <si>
    <t>CUST009</t>
  </si>
  <si>
    <t>West Coast Logistics</t>
  </si>
  <si>
    <t>SUB010</t>
  </si>
  <si>
    <t>CUST010</t>
  </si>
  <si>
    <t>Montreal Finance Hub</t>
  </si>
  <si>
    <t>Analytics Starter</t>
  </si>
  <si>
    <t>SUB011</t>
  </si>
  <si>
    <t>CUST011</t>
  </si>
  <si>
    <t>Prairie Health Connect</t>
  </si>
  <si>
    <t>SUB012</t>
  </si>
  <si>
    <t>CUST012</t>
  </si>
  <si>
    <t>Maritime E-commerce</t>
  </si>
  <si>
    <t>Analytics Growth</t>
  </si>
  <si>
    <t>SUB013</t>
  </si>
  <si>
    <t>CUST013</t>
  </si>
  <si>
    <t>Alberta Tech Innovators</t>
  </si>
  <si>
    <t>SUB014</t>
  </si>
  <si>
    <t>CUST014</t>
  </si>
  <si>
    <t>Toronto Media Group</t>
  </si>
  <si>
    <t>SUB015</t>
  </si>
  <si>
    <t>CUST015</t>
  </si>
  <si>
    <t>BC Retail Networks</t>
  </si>
  <si>
    <t>SUB016</t>
  </si>
  <si>
    <t>CUST016</t>
  </si>
  <si>
    <t>Quebec Manufacturing</t>
  </si>
  <si>
    <t>SUB017</t>
  </si>
  <si>
    <t>CUST017</t>
  </si>
  <si>
    <t>Capital Education Tech</t>
  </si>
  <si>
    <t>SUB018</t>
  </si>
  <si>
    <t>CUST018</t>
  </si>
  <si>
    <t>Vancouver FinTech Labs</t>
  </si>
  <si>
    <t>SUB019</t>
  </si>
  <si>
    <t>CUST019</t>
  </si>
  <si>
    <t>Central Healthcare Partners</t>
  </si>
  <si>
    <t>SUB020</t>
  </si>
  <si>
    <t>CUST020</t>
  </si>
  <si>
    <t>Atlantic SaaS Systems</t>
  </si>
  <si>
    <t>SUB021</t>
  </si>
  <si>
    <t>CUST021</t>
  </si>
  <si>
    <t>Calgary Commerce Solutions</t>
  </si>
  <si>
    <t>SUB022</t>
  </si>
  <si>
    <t>CUST022</t>
  </si>
  <si>
    <t>Toronto Tech Ventures</t>
  </si>
  <si>
    <t>SUB023</t>
  </si>
  <si>
    <t>CUST023</t>
  </si>
  <si>
    <t>Island Media Productions</t>
  </si>
  <si>
    <t>SUB024</t>
  </si>
  <si>
    <t>CUST024</t>
  </si>
  <si>
    <t>Western Retail Group</t>
  </si>
  <si>
    <t>SUB025</t>
  </si>
  <si>
    <t>CUST025</t>
  </si>
  <si>
    <t>Montreal Manufacturing Pro</t>
  </si>
  <si>
    <t>SUB026</t>
  </si>
  <si>
    <t>CUST026</t>
  </si>
  <si>
    <t>Ontario Education Connect</t>
  </si>
  <si>
    <t>SUB027</t>
  </si>
  <si>
    <t>CUST027</t>
  </si>
  <si>
    <t>Pacific Finance Corp</t>
  </si>
  <si>
    <t>SUB028</t>
  </si>
  <si>
    <t>CUST028</t>
  </si>
  <si>
    <t>Prairie SaaS Innovations</t>
  </si>
  <si>
    <t>SUB041</t>
  </si>
  <si>
    <t>CUST001</t>
  </si>
  <si>
    <t>TechVision Solutions</t>
  </si>
  <si>
    <t>SUB042</t>
  </si>
  <si>
    <t>SUB043</t>
  </si>
  <si>
    <t>SUB044</t>
  </si>
  <si>
    <t>SUB046</t>
  </si>
  <si>
    <t>SUB049</t>
  </si>
  <si>
    <t>SUB050</t>
  </si>
  <si>
    <t>SUB054</t>
  </si>
  <si>
    <t>SUB055</t>
  </si>
  <si>
    <t>SUB056</t>
  </si>
  <si>
    <t>SUB057</t>
  </si>
  <si>
    <t>SUB059</t>
  </si>
  <si>
    <t>CUST008</t>
  </si>
  <si>
    <t>Quantum Education Platform</t>
  </si>
  <si>
    <t>SUB060</t>
  </si>
  <si>
    <t>2025-02</t>
  </si>
  <si>
    <t>SUB029</t>
  </si>
  <si>
    <t>CUST029</t>
  </si>
  <si>
    <t>Halifax Healthcare Tech</t>
  </si>
  <si>
    <t>SUB030</t>
  </si>
  <si>
    <t>CUST030</t>
  </si>
  <si>
    <t>Alberta E-commerce Hub</t>
  </si>
  <si>
    <t>SUB045</t>
  </si>
  <si>
    <t>SUB051</t>
  </si>
  <si>
    <t>2025-03</t>
  </si>
  <si>
    <t>SUB031</t>
  </si>
  <si>
    <t>CUST031</t>
  </si>
  <si>
    <t>Toronto Digital Media</t>
  </si>
  <si>
    <t>SUB032</t>
  </si>
  <si>
    <t>CUST032</t>
  </si>
  <si>
    <t>BC Manufacturing Systems</t>
  </si>
  <si>
    <t>SUB033</t>
  </si>
  <si>
    <t>CUST033</t>
  </si>
  <si>
    <t>Ottawa Retail Solutions</t>
  </si>
  <si>
    <t>SUB052</t>
  </si>
  <si>
    <t>SUB058</t>
  </si>
  <si>
    <t>iDynamics Software Inc.</t>
  </si>
  <si>
    <t>Instructions</t>
  </si>
  <si>
    <t>Instructions:</t>
  </si>
  <si>
    <t>Today is April 7, 2025. You are a Junior Finance Analyst at iDynamics Software Inc., a B2B SaaS company. The company has just closed Q1 2025 (January–March), and David Chen, VP of Finance, would like to review how the business performed.
David has sent you an email — please reference the "Email" tab.</t>
  </si>
  <si>
    <t>Objective:</t>
  </si>
  <si>
    <t>1)   Review David's email, and in the Commentary section of the Email tab, provide the necessary details.</t>
  </si>
  <si>
    <t>Details:</t>
  </si>
  <si>
    <t>1)   The Q1 subscription data is provided in the "Subscriptions" tab.</t>
  </si>
  <si>
    <t xml:space="preserve">       a)   Review the data and address the email.</t>
  </si>
  <si>
    <t>2)   You may use the "Analysis" tab to conduct your analysis.</t>
  </si>
  <si>
    <t xml:space="preserve">       a)   Add additional columns, rows, or tabs as needed.</t>
  </si>
  <si>
    <t xml:space="preserve">       b)   Any additional analysis you deem relevant is welcome.</t>
  </si>
  <si>
    <t>This file is the property of iDynamics Software Inc. — For training purposes only.</t>
  </si>
  <si>
    <t>Plan Category Mapping</t>
  </si>
  <si>
    <t>Plan Category</t>
  </si>
  <si>
    <t>Analytics</t>
  </si>
  <si>
    <t>Sales</t>
  </si>
  <si>
    <t>Marketing</t>
  </si>
  <si>
    <t>Suite</t>
  </si>
  <si>
    <t xml:space="preserve">  iDynamics Software Inc.</t>
  </si>
  <si>
    <t>To:    FP&amp;A Team Inbox</t>
  </si>
  <si>
    <t>From:    David Chen (VP Finance)</t>
  </si>
  <si>
    <t>Re:    Q1 2025 Performance Review</t>
  </si>
  <si>
    <t>Sent:    April 7, 2025  |  9:45 AM</t>
  </si>
  <si>
    <t>Hello FP&amp;A Team,</t>
  </si>
  <si>
    <t>Q1 is closed. Before I present to Daniel next week I want a quick read on how we performed. Can you pull together the following?</t>
  </si>
  <si>
    <t>1.   What is our total revenue, gross margin, and gross margin % for Q1? Can you also break this down by month? I want to see if there were any swings across January, February, and March.</t>
  </si>
  <si>
    <t>2.   For all of Q1, give me a breakdown of gross margin $ by plan category. Which categories performed the strongest and weakest?</t>
  </si>
  <si>
    <t>3.   For the plan category with the weakest gross margin $, identify which customer has the lowest gross margin contribution and explain why their contribution is low. (Set aside any impact from discounts — focus on the underlying subscription.)</t>
  </si>
  <si>
    <t>4.   I'm curious what our margins would have looked like had we not offered any discounts. Can you assess what our gross margin would have been without discounts, and share any relevant observations?</t>
  </si>
  <si>
    <t>Please have this ready before EOD.
Thanks,
David</t>
  </si>
  <si>
    <t>To:    David Chen (VP Finance)</t>
  </si>
  <si>
    <t>From:    Michael (FP&amp;A)</t>
  </si>
  <si>
    <t>Sent:    April 7, 2025  |  [Time]</t>
  </si>
  <si>
    <t>Hi David,</t>
  </si>
  <si>
    <t>Please find the requested details below:</t>
  </si>
  <si>
    <t>1.   What is our total revenue, gross margin, and gross margin % for Q1? Breakdown by month?</t>
  </si>
  <si>
    <t>Commentary:</t>
  </si>
  <si>
    <t>2.   Gross margin $ breakdown by plan category:</t>
  </si>
  <si>
    <t>3.   Weakest plan category — lowest GM$ customer and reason:</t>
  </si>
  <si>
    <t>4.   Margin impact of discounts:</t>
  </si>
  <si>
    <t>Analysis — Use this tab freely. Add rows, columns, or additional tabs as needed.</t>
  </si>
  <si>
    <t>Total Gross Margin ($)</t>
  </si>
  <si>
    <t>Total Gross Margin (%)</t>
  </si>
  <si>
    <t>Total COGS</t>
  </si>
  <si>
    <t xml:space="preserve">Total Revenue </t>
  </si>
  <si>
    <t>Row Labels</t>
  </si>
  <si>
    <t>Grand Total</t>
  </si>
  <si>
    <t>(All)</t>
  </si>
  <si>
    <t>Sum of Total Gross Margin ($)</t>
  </si>
  <si>
    <t>Total Net Margin</t>
  </si>
  <si>
    <t>Total Gross Revenue</t>
  </si>
  <si>
    <t>Total Net Revenue</t>
  </si>
  <si>
    <t>Sum of Total Net Margin</t>
  </si>
  <si>
    <t>Sum of Seats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</si>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</sst>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11" x14ac:knownFonts="1">
    <font>
      <sz val="11"/>
      <color theme="1"/>
      <name val="Calibri"/>
      <family val="2"/>
      <charset val="1"/>
    </font>
    <font>
      <b/>
      <sz val="16"/>
      <color rgb="FFFFFFFF"/>
      <name val="Arial"/>
      <family val="2"/>
    </font>
    <font>
      <b/>
      <sz val="11"/>
      <color rgb="FFFFFFFF"/>
      <name val="Arial"/>
      <family val="2"/>
    </font>
    <font>
      <b/>
      <sz val="11"/>
      <name val="Arial"/>
      <family val="2"/>
    </font>
    <font>
      <sz val="10"/>
      <name val="Arial"/>
      <family val="2"/>
    </font>
    <font>
      <b/>
      <sz val="10"/>
      <name val="Arial"/>
      <family val="2"/>
    </font>
    <font>
      <i/>
      <sz val="8"/>
      <color rgb="FF666666"/>
      <name val="Arial"/>
      <family val="2"/>
    </font>
    <font>
      <b/>
      <sz val="13"/>
      <color rgb="FFFFFFFF"/>
      <name val="Arial"/>
      <family val="2"/>
    </font>
    <font>
      <b/>
      <sz val="14"/>
      <color rgb="FFFFFFFF"/>
      <name val="Arial"/>
      <family val="2"/>
    </font>
    <font>
      <i/>
      <sz val="10"/>
      <color rgb="FF666666"/>
      <name val="Arial"/>
      <family val="2"/>
    </font>
    <font>
      <sz val="11"/>
      <color theme="1"/>
      <name val="Calibri"/>
      <family val="2"/>
      <charset val="1"/>
    </font>
  </fonts>
  <fills count="9">
    <fill>
      <patternFill patternType="none"/>
    </fill>
    <fill>
      <patternFill patternType="gray125"/>
    </fill>
    <fill>
      <patternFill patternType="solid">
        <fgColor rgb="FF003366"/>
        <bgColor rgb="FF333399"/>
      </patternFill>
    </fill>
    <fill>
      <patternFill patternType="solid">
        <fgColor rgb="FF1A1A1A"/>
        <bgColor rgb="FF333300"/>
      </patternFill>
    </fill>
    <fill>
      <patternFill patternType="solid">
        <fgColor rgb="FFD9D9D9"/>
        <bgColor rgb="FFE8EEF7"/>
      </patternFill>
    </fill>
    <fill>
      <patternFill patternType="solid">
        <fgColor rgb="FFF2F2F2"/>
        <bgColor rgb="FFE8EEF7"/>
      </patternFill>
    </fill>
    <fill>
      <patternFill patternType="solid">
        <fgColor rgb="FFFFFFFF"/>
        <bgColor rgb="FFF2F2F2"/>
      </patternFill>
    </fill>
    <fill>
      <patternFill patternType="solid">
        <fgColor rgb="FFE8EEF7"/>
        <bgColor rgb="FFF2F2F2"/>
      </patternFill>
    </fill>
    <fill>
      <patternFill patternType="solid">
        <fgColor rgb="FFFFFF00"/>
        <bgColor rgb="FFFFFF00"/>
      </patternFill>
    </fill>
  </fills>
  <borders count="4">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right style="thin">
        <color rgb="FFB0B0B0"/>
      </right>
      <top style="thin">
        <color rgb="FFB0B0B0"/>
      </top>
      <bottom style="thin">
        <color rgb="FFB0B0B0"/>
      </bottom>
      <diagonal/>
    </border>
  </borders>
  <cellStyleXfs count="2">
    <xf numFmtId="0" fontId="0" fillId="0" borderId="0"/>
    <xf numFmtId="9" fontId="10" fillId="0" borderId="0" applyFont="0" applyFill="0" applyBorder="0" applyAlignment="0" applyProtection="0"/>
  </cellStyleXfs>
  <cellXfs count="43">
    <xf numFmtId="0" fontId="0" fillId="0" borderId="0" xfId="0"/>
    <xf numFmtId="0" fontId="2" fillId="2" borderId="1" xfId="0" applyFont="1" applyFill="1" applyBorder="1" applyAlignment="1">
      <alignment horizontal="center" vertical="center" wrapText="1"/>
    </xf>
    <xf numFmtId="0" fontId="4" fillId="5" borderId="1" xfId="0" applyFont="1" applyFill="1" applyBorder="1" applyAlignment="1">
      <alignment horizontal="center"/>
    </xf>
    <xf numFmtId="0" fontId="4" fillId="5" borderId="1" xfId="0" applyFont="1" applyFill="1" applyBorder="1" applyAlignment="1">
      <alignment horizontal="left" indent="1"/>
    </xf>
    <xf numFmtId="164" fontId="4" fillId="5" borderId="1" xfId="0" applyNumberFormat="1" applyFont="1" applyFill="1" applyBorder="1" applyAlignment="1">
      <alignment horizontal="center"/>
    </xf>
    <xf numFmtId="9" fontId="4" fillId="5" borderId="1" xfId="0" applyNumberFormat="1" applyFont="1" applyFill="1" applyBorder="1" applyAlignment="1">
      <alignment horizontal="center"/>
    </xf>
    <xf numFmtId="0" fontId="4" fillId="6" borderId="1" xfId="0" applyFont="1" applyFill="1" applyBorder="1" applyAlignment="1">
      <alignment horizontal="center"/>
    </xf>
    <xf numFmtId="0" fontId="4" fillId="6" borderId="1" xfId="0" applyFont="1" applyFill="1" applyBorder="1" applyAlignment="1">
      <alignment horizontal="left" indent="1"/>
    </xf>
    <xf numFmtId="164" fontId="4" fillId="6" borderId="1" xfId="0" applyNumberFormat="1" applyFont="1" applyFill="1" applyBorder="1" applyAlignment="1">
      <alignment horizontal="center"/>
    </xf>
    <xf numFmtId="9" fontId="4" fillId="6" borderId="1" xfId="0" applyNumberFormat="1" applyFont="1" applyFill="1" applyBorder="1" applyAlignment="1">
      <alignment horizontal="center"/>
    </xf>
    <xf numFmtId="0" fontId="2" fillId="3" borderId="1" xfId="0" applyFont="1" applyFill="1" applyBorder="1" applyAlignment="1">
      <alignment horizontal="center"/>
    </xf>
    <xf numFmtId="0" fontId="2" fillId="2" borderId="2" xfId="0" applyFont="1" applyFill="1" applyBorder="1" applyAlignment="1">
      <alignment horizontal="center" vertical="center" wrapText="1"/>
    </xf>
    <xf numFmtId="165" fontId="0" fillId="0" borderId="0" xfId="0" applyNumberFormat="1"/>
    <xf numFmtId="9" fontId="0" fillId="0" borderId="0" xfId="1" applyFont="1"/>
    <xf numFmtId="164" fontId="4" fillId="5" borderId="0" xfId="0" applyNumberFormat="1" applyFont="1" applyFill="1" applyAlignment="1">
      <alignment horizontal="center"/>
    </xf>
    <xf numFmtId="17" fontId="0" fillId="0" borderId="0" xfId="0" applyNumberFormat="1"/>
    <xf numFmtId="0" fontId="2" fillId="2" borderId="3" xfId="0" applyFont="1" applyFill="1" applyBorder="1" applyAlignment="1">
      <alignment horizontal="center" vertical="center" wrapText="1"/>
    </xf>
    <xf numFmtId="0" fontId="4" fillId="5" borderId="3" xfId="0" applyFont="1" applyFill="1" applyBorder="1" applyAlignment="1">
      <alignment horizontal="center"/>
    </xf>
    <xf numFmtId="0" fontId="4" fillId="6" borderId="3" xfId="0" applyFont="1" applyFill="1" applyBorder="1" applyAlignment="1">
      <alignment horizontal="center"/>
    </xf>
    <xf numFmtId="0" fontId="0" fillId="0" borderId="0" xfId="0" pivotButton="1"/>
    <xf numFmtId="0" fontId="0" fillId="0" borderId="0" xfId="0" applyAlignment="1">
      <alignment horizontal="left"/>
    </xf>
    <xf numFmtId="0" fontId="9" fillId="5" borderId="0" xfId="0" applyFont="1" applyFill="1" applyAlignment="1">
      <alignment indent="2"/>
    </xf>
    <xf numFmtId="0" fontId="0" fillId="0" borderId="0" xfId="0"/>
    <xf numFmtId="0" fontId="1" fillId="2" borderId="0" xfId="0" applyFont="1" applyFill="1" applyAlignment="1">
      <alignment horizontal="left" vertical="center" indent="2"/>
    </xf>
    <xf numFmtId="0" fontId="6" fillId="0" borderId="0" xfId="0" applyFont="1" applyAlignment="1">
      <alignment horizontal="left" indent="2"/>
    </xf>
    <xf numFmtId="0" fontId="5" fillId="5" borderId="0" xfId="0" applyFont="1" applyFill="1" applyAlignment="1">
      <alignment vertical="top" wrapText="1" indent="2"/>
    </xf>
    <xf numFmtId="0" fontId="4" fillId="5" borderId="0" xfId="0" applyFont="1" applyFill="1" applyAlignment="1">
      <alignment indent="2"/>
    </xf>
    <xf numFmtId="0" fontId="3" fillId="4" borderId="0" xfId="0" applyFont="1" applyFill="1" applyAlignment="1">
      <alignment horizontal="left" indent="2"/>
    </xf>
    <xf numFmtId="0" fontId="2" fillId="3" borderId="0" xfId="0" applyFont="1" applyFill="1" applyAlignment="1">
      <alignment horizontal="left" vertical="center" indent="2"/>
    </xf>
    <xf numFmtId="0" fontId="5" fillId="4" borderId="0" xfId="0" applyFont="1" applyFill="1" applyAlignment="1">
      <alignment horizontal="left" indent="2"/>
    </xf>
    <xf numFmtId="0" fontId="4" fillId="5" borderId="0" xfId="0" applyFont="1" applyFill="1" applyAlignment="1">
      <alignment vertical="top" wrapText="1" indent="2"/>
    </xf>
    <xf numFmtId="0" fontId="7" fillId="2" borderId="0" xfId="0" applyFont="1" applyFill="1" applyAlignment="1">
      <alignment horizontal="center" vertical="center"/>
    </xf>
    <xf numFmtId="0" fontId="5" fillId="7" borderId="0" xfId="0" applyFont="1" applyFill="1" applyAlignment="1">
      <alignment indent="1"/>
    </xf>
    <xf numFmtId="0" fontId="4" fillId="5" borderId="0" xfId="0" applyFont="1" applyFill="1" applyAlignment="1">
      <alignment indent="1"/>
    </xf>
    <xf numFmtId="0" fontId="9" fillId="8" borderId="0" xfId="0" applyFont="1" applyFill="1" applyAlignment="1">
      <alignment vertical="top" wrapText="1" indent="1"/>
    </xf>
    <xf numFmtId="0" fontId="8" fillId="2" borderId="0" xfId="0" applyFont="1" applyFill="1"/>
    <xf numFmtId="0" fontId="5" fillId="5" borderId="0" xfId="0" applyFont="1" applyFill="1" applyAlignment="1">
      <alignment indent="1"/>
    </xf>
    <xf numFmtId="0" fontId="5" fillId="7" borderId="0" xfId="0" applyFont="1" applyFill="1" applyAlignment="1">
      <alignment wrapText="1" indent="1"/>
    </xf>
    <xf numFmtId="0" fontId="0" fillId="4" borderId="0" xfId="0" applyFill="1"/>
    <xf numFmtId="0" fontId="4" fillId="0" borderId="0" xfId="0" applyFont="1" applyAlignment="1">
      <alignment indent="1"/>
    </xf>
    <xf numFmtId="0" fontId="4" fillId="6" borderId="0" xfId="0" applyFont="1" applyFill="1" applyAlignment="1">
      <alignment wrapText="1" indent="1"/>
    </xf>
    <xf numFmtId="0" fontId="4" fillId="6" borderId="0" xfId="0" applyFont="1" applyFill="1" applyAlignment="1">
      <alignment indent="1"/>
    </xf>
    <xf numFmtId="0" fontId="0" fillId="0" borderId="0" xfId="0" applyNumberFormat="1"/>
  </cellXfs>
  <cellStyles count="2">
    <cellStyle name="Normal" xfId="0" builtinId="0"/>
    <cellStyle name="Percent" xfId="1" builtinId="5"/>
  </cellStyles>
  <dxfs count="19">
    <dxf>
      <numFmt numFmtId="165" formatCode="&quot;$&quot;#,##0.00"/>
    </dxf>
    <dxf>
      <numFmt numFmtId="165" formatCode="&quot;$&quot;#,##0.00"/>
    </dxf>
    <dxf>
      <font>
        <b val="0"/>
        <i val="0"/>
        <strike val="0"/>
        <condense val="0"/>
        <extend val="0"/>
        <outline val="0"/>
        <shadow val="0"/>
        <u val="none"/>
        <vertAlign val="baseline"/>
        <sz val="11"/>
        <color theme="1"/>
        <name val="Calibri"/>
        <family val="2"/>
        <charset val="1"/>
        <scheme val="none"/>
      </font>
    </dxf>
    <dxf>
      <numFmt numFmtId="165" formatCode="&quot;$&quot;#,##0.00"/>
    </dxf>
    <dxf>
      <numFmt numFmtId="165" formatCode="&quot;$&quot;#,##0.00"/>
    </dxf>
    <dxf>
      <numFmt numFmtId="165" formatCode="&quot;$&quot;#,##0.00"/>
    </dxf>
    <dxf>
      <font>
        <b val="0"/>
        <i val="0"/>
        <strike val="0"/>
        <condense val="0"/>
        <extend val="0"/>
        <outline val="0"/>
        <shadow val="0"/>
        <u val="none"/>
        <vertAlign val="baseline"/>
        <sz val="10"/>
        <color auto="1"/>
        <name val="Arial"/>
        <family val="2"/>
        <scheme val="none"/>
      </font>
      <numFmt numFmtId="164" formatCode="\$#,##0.00"/>
      <fill>
        <patternFill patternType="solid">
          <fgColor rgb="FFE8EEF7"/>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0"/>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numFmt numFmtId="13" formatCode="0%"/>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numFmt numFmtId="164" formatCode="\$#,##0.00"/>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left" vertical="bottom" textRotation="0" wrapText="0" indent="1"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10"/>
        <color auto="1"/>
        <name val="Arial"/>
        <family val="2"/>
        <scheme val="none"/>
      </font>
      <fill>
        <patternFill patternType="solid">
          <fgColor rgb="FFE8EEF7"/>
          <bgColor rgb="FFF2F2F2"/>
        </patternFill>
      </fill>
      <alignment horizontal="center" vertical="bottom" textRotation="0" wrapText="0" indent="0" justifyLastLine="0" shrinkToFit="0" readingOrder="0"/>
      <border diagonalUp="0" diagonalDown="0">
        <left/>
        <right style="thin">
          <color rgb="FFB0B0B0"/>
        </right>
        <top style="thin">
          <color rgb="FFB0B0B0"/>
        </top>
        <bottom style="thin">
          <color rgb="FFB0B0B0"/>
        </bottom>
        <vertical/>
        <horizontal/>
      </border>
    </dxf>
    <dxf>
      <border outline="0">
        <left style="thin">
          <color rgb="FFB0B0B0"/>
        </left>
      </border>
    </dxf>
    <dxf>
      <font>
        <b/>
        <i val="0"/>
        <strike val="0"/>
        <condense val="0"/>
        <extend val="0"/>
        <outline val="0"/>
        <shadow val="0"/>
        <u val="none"/>
        <vertAlign val="baseline"/>
        <sz val="11"/>
        <color rgb="FFFFFFFF"/>
        <name val="Arial"/>
        <family val="2"/>
        <scheme val="none"/>
      </font>
      <fill>
        <patternFill patternType="solid">
          <fgColor rgb="FF333399"/>
          <bgColor rgb="FF003366"/>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595959"/>
      <rgbColor rgb="FF9999FF"/>
      <rgbColor rgb="FF993366"/>
      <rgbColor rgb="FFF2F2F2"/>
      <rgbColor rgb="FFE8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70AD47"/>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Bezrukov" refreshedDate="46134.662861805555" createdVersion="8" refreshedVersion="8" minRefreshableVersion="3" recordCount="125" xr:uid="{C4F2A633-D2BA-4ED6-ACC8-85059A946C24}">
  <cacheSource type="worksheet">
    <worksheetSource name="Table1"/>
  </cacheSource>
  <cacheFields count="17">
    <cacheField name="Month" numFmtId="0">
      <sharedItems/>
    </cacheField>
    <cacheField name="Subscription ID" numFmtId="0">
      <sharedItems/>
    </cacheField>
    <cacheField name="Customer ID" numFmtId="0">
      <sharedItems/>
    </cacheField>
    <cacheField name="Company Name" numFmtId="0">
      <sharedItems/>
    </cacheField>
    <cacheField name="Plan Name" numFmtId="0">
      <sharedItems count="6">
        <s v="Platform Suite"/>
        <s v="Marketing Pro"/>
        <s v="Sales Hub"/>
        <s v="Analytics Enterprise"/>
        <s v="Analytics Starter"/>
        <s v="Analytics Growth"/>
      </sharedItems>
    </cacheField>
    <cacheField name="Billing Cycle" numFmtId="0">
      <sharedItems/>
    </cacheField>
    <cacheField name="Seats" numFmtId="0">
      <sharedItems containsSemiMixedTypes="0" containsString="0" containsNumber="1" containsInteger="1" minValue="10" maxValue="45"/>
    </cacheField>
    <cacheField name="List Price / Seat" numFmtId="164">
      <sharedItems containsSemiMixedTypes="0" containsString="0" containsNumber="1" containsInteger="1" minValue="45" maxValue="2160"/>
    </cacheField>
    <cacheField name="Discount %" numFmtId="9">
      <sharedItems containsSemiMixedTypes="0" containsString="0" containsNumber="1" minValue="0" maxValue="0.15"/>
    </cacheField>
    <cacheField name="Cost / Seat" numFmtId="164">
      <sharedItems containsSemiMixedTypes="0" containsString="0" containsNumber="1" minValue="9" maxValue="756"/>
    </cacheField>
    <cacheField name="Plan Category" numFmtId="164">
      <sharedItems count="4">
        <s v="Suite"/>
        <s v="Marketing"/>
        <s v="Sales"/>
        <s v="Analytics"/>
      </sharedItems>
    </cacheField>
    <cacheField name="Total COGS" numFmtId="165">
      <sharedItems containsSemiMixedTypes="0" containsString="0" containsNumber="1" minValue="90" maxValue="2700"/>
    </cacheField>
    <cacheField name="Total Net Revenue" numFmtId="165">
      <sharedItems containsSemiMixedTypes="0" containsString="0" containsNumber="1" minValue="450" maxValue="6840"/>
    </cacheField>
    <cacheField name="Total Gross Revenue" numFmtId="165">
      <sharedItems containsSemiMixedTypes="0" containsString="0" containsNumber="1" containsInteger="1" minValue="450" maxValue="6840"/>
    </cacheField>
    <cacheField name="Total Net Margin" numFmtId="165">
      <sharedItems containsSemiMixedTypes="0" containsString="0" containsNumber="1" minValue="360" maxValue="4446"/>
    </cacheField>
    <cacheField name="Total Gross Margin ($)" numFmtId="165">
      <sharedItems containsSemiMixedTypes="0" containsString="0" containsNumber="1" minValue="360" maxValue="4446"/>
    </cacheField>
    <cacheField name="Total Gross Margin (%)" numFmtId="9">
      <sharedItems containsSemiMixedTypes="0" containsString="0" containsNumber="1" minValue="0.6" maxValue="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2025-01"/>
    <s v="SUB002"/>
    <s v="CUST002"/>
    <s v="Pacific Analytics Inc"/>
    <x v="0"/>
    <s v="Annual"/>
    <n v="26"/>
    <n v="1800"/>
    <n v="0"/>
    <n v="720"/>
    <x v="0"/>
    <n v="1560"/>
    <n v="3900"/>
    <n v="3900"/>
    <n v="2340"/>
    <n v="2340"/>
    <n v="0.6"/>
  </r>
  <r>
    <s v="2025-01"/>
    <s v="SUB003"/>
    <s v="CUST003"/>
    <s v="Maple Healthcare Systems"/>
    <x v="1"/>
    <s v="Monthly"/>
    <n v="23"/>
    <n v="85"/>
    <n v="0"/>
    <n v="31.5"/>
    <x v="1"/>
    <n v="724.5"/>
    <n v="1955"/>
    <n v="1955"/>
    <n v="1230.5"/>
    <n v="1230.5"/>
    <n v="0.62941176470588234"/>
  </r>
  <r>
    <s v="2025-01"/>
    <s v="SUB004"/>
    <s v="CUST004"/>
    <s v="Prairie Commerce Group"/>
    <x v="2"/>
    <s v="Monthly"/>
    <n v="18"/>
    <n v="110"/>
    <n v="0"/>
    <n v="31"/>
    <x v="2"/>
    <n v="558"/>
    <n v="1980"/>
    <n v="1980"/>
    <n v="1422"/>
    <n v="1422"/>
    <n v="0.71818181818181814"/>
  </r>
  <r>
    <s v="2025-01"/>
    <s v="SUB006"/>
    <s v="CUST006"/>
    <s v="Northern Retail Solutions"/>
    <x v="3"/>
    <s v="Annual"/>
    <n v="31"/>
    <n v="2160"/>
    <n v="0"/>
    <n v="756"/>
    <x v="3"/>
    <n v="1953"/>
    <n v="5580"/>
    <n v="5580"/>
    <n v="3627"/>
    <n v="3627"/>
    <n v="0.65"/>
  </r>
  <r>
    <s v="2025-01"/>
    <s v="SUB007"/>
    <s v="CUST007"/>
    <s v="Ontario Manufacturing Tech"/>
    <x v="1"/>
    <s v="Monthly"/>
    <n v="16"/>
    <n v="85"/>
    <n v="0"/>
    <n v="31.5"/>
    <x v="1"/>
    <n v="504"/>
    <n v="1360"/>
    <n v="1360"/>
    <n v="856"/>
    <n v="856"/>
    <n v="0.62941176470588234"/>
  </r>
  <r>
    <s v="2025-01"/>
    <s v="SUB009"/>
    <s v="CUST009"/>
    <s v="West Coast Logistics"/>
    <x v="0"/>
    <s v="Annual"/>
    <n v="36"/>
    <n v="1800"/>
    <n v="0"/>
    <n v="720"/>
    <x v="0"/>
    <n v="2160"/>
    <n v="5400"/>
    <n v="5400"/>
    <n v="3240"/>
    <n v="3240"/>
    <n v="0.6"/>
  </r>
  <r>
    <s v="2025-01"/>
    <s v="SUB010"/>
    <s v="CUST010"/>
    <s v="Montreal Finance Hub"/>
    <x v="4"/>
    <s v="Monthly"/>
    <n v="13"/>
    <n v="45"/>
    <n v="0"/>
    <n v="9"/>
    <x v="3"/>
    <n v="117"/>
    <n v="585"/>
    <n v="585"/>
    <n v="468"/>
    <n v="468"/>
    <n v="0.8"/>
  </r>
  <r>
    <s v="2025-01"/>
    <s v="SUB011"/>
    <s v="CUST011"/>
    <s v="Prairie Health Connect"/>
    <x v="2"/>
    <s v="Monthly"/>
    <n v="18"/>
    <n v="110"/>
    <n v="0"/>
    <n v="31"/>
    <x v="2"/>
    <n v="558"/>
    <n v="1980"/>
    <n v="1980"/>
    <n v="1422"/>
    <n v="1422"/>
    <n v="0.71818181818181814"/>
  </r>
  <r>
    <s v="2025-01"/>
    <s v="SUB012"/>
    <s v="CUST012"/>
    <s v="Maritime E-commerce"/>
    <x v="5"/>
    <s v="Monthly"/>
    <n v="23"/>
    <n v="95"/>
    <n v="0"/>
    <n v="24"/>
    <x v="3"/>
    <n v="552"/>
    <n v="2185"/>
    <n v="2185"/>
    <n v="1633"/>
    <n v="1633"/>
    <n v="0.74736842105263157"/>
  </r>
  <r>
    <s v="2025-01"/>
    <s v="SUB013"/>
    <s v="CUST013"/>
    <s v="Alberta Tech Innovators"/>
    <x v="4"/>
    <s v="Monthly"/>
    <n v="10"/>
    <n v="45"/>
    <n v="0"/>
    <n v="9"/>
    <x v="3"/>
    <n v="90"/>
    <n v="450"/>
    <n v="450"/>
    <n v="360"/>
    <n v="360"/>
    <n v="0.8"/>
  </r>
  <r>
    <s v="2025-01"/>
    <s v="SUB014"/>
    <s v="CUST014"/>
    <s v="Toronto Media Group"/>
    <x v="1"/>
    <s v="Monthly"/>
    <n v="28"/>
    <n v="85"/>
    <n v="0"/>
    <n v="31.5"/>
    <x v="1"/>
    <n v="882"/>
    <n v="2380"/>
    <n v="2380"/>
    <n v="1498"/>
    <n v="1498"/>
    <n v="0.62941176470588234"/>
  </r>
  <r>
    <s v="2025-01"/>
    <s v="SUB015"/>
    <s v="CUST015"/>
    <s v="BC Retail Networks"/>
    <x v="5"/>
    <s v="Monthly"/>
    <n v="19"/>
    <n v="95"/>
    <n v="0.1"/>
    <n v="24"/>
    <x v="3"/>
    <n v="410.40000000000003"/>
    <n v="1624.5"/>
    <n v="1805"/>
    <n v="1214.0999999999999"/>
    <n v="1394.6"/>
    <n v="0.74736842105263157"/>
  </r>
  <r>
    <s v="2025-01"/>
    <s v="SUB016"/>
    <s v="CUST016"/>
    <s v="Quebec Manufacturing"/>
    <x v="0"/>
    <s v="Annual"/>
    <n v="42"/>
    <n v="1800"/>
    <n v="0"/>
    <n v="720"/>
    <x v="0"/>
    <n v="2520"/>
    <n v="6300"/>
    <n v="6300"/>
    <n v="3780"/>
    <n v="3780"/>
    <n v="0.6"/>
  </r>
  <r>
    <s v="2025-01"/>
    <s v="SUB017"/>
    <s v="CUST017"/>
    <s v="Capital Education Tech"/>
    <x v="4"/>
    <s v="Monthly"/>
    <n v="12"/>
    <n v="45"/>
    <n v="0"/>
    <n v="9"/>
    <x v="3"/>
    <n v="108"/>
    <n v="540"/>
    <n v="540"/>
    <n v="432"/>
    <n v="432"/>
    <n v="0.8"/>
  </r>
  <r>
    <s v="2025-01"/>
    <s v="SUB018"/>
    <s v="CUST018"/>
    <s v="Vancouver FinTech Labs"/>
    <x v="3"/>
    <s v="Monthly"/>
    <n v="35"/>
    <n v="180"/>
    <n v="0"/>
    <n v="63"/>
    <x v="3"/>
    <n v="2205"/>
    <n v="6300"/>
    <n v="6300"/>
    <n v="4095"/>
    <n v="4095"/>
    <n v="0.65"/>
  </r>
  <r>
    <s v="2025-01"/>
    <s v="SUB019"/>
    <s v="CUST019"/>
    <s v="Central Healthcare Partners"/>
    <x v="1"/>
    <s v="Monthly"/>
    <n v="19"/>
    <n v="85"/>
    <n v="0"/>
    <n v="31.5"/>
    <x v="1"/>
    <n v="598.5"/>
    <n v="1615"/>
    <n v="1615"/>
    <n v="1016.5"/>
    <n v="1016.5"/>
    <n v="0.62941176470588234"/>
  </r>
  <r>
    <s v="2025-01"/>
    <s v="SUB020"/>
    <s v="CUST020"/>
    <s v="Atlantic SaaS Systems"/>
    <x v="2"/>
    <s v="Monthly"/>
    <n v="15"/>
    <n v="110"/>
    <n v="0"/>
    <n v="31"/>
    <x v="2"/>
    <n v="465"/>
    <n v="1650"/>
    <n v="1650"/>
    <n v="1185"/>
    <n v="1185"/>
    <n v="0.71818181818181814"/>
  </r>
  <r>
    <s v="2025-01"/>
    <s v="SUB021"/>
    <s v="CUST021"/>
    <s v="Calgary Commerce Solutions"/>
    <x v="5"/>
    <s v="Monthly"/>
    <n v="25"/>
    <n v="95"/>
    <n v="0"/>
    <n v="24"/>
    <x v="3"/>
    <n v="600"/>
    <n v="2375"/>
    <n v="2375"/>
    <n v="1775"/>
    <n v="1775"/>
    <n v="0.74736842105263157"/>
  </r>
  <r>
    <s v="2025-01"/>
    <s v="SUB022"/>
    <s v="CUST022"/>
    <s v="Toronto Tech Ventures"/>
    <x v="0"/>
    <s v="Monthly"/>
    <n v="33"/>
    <n v="150"/>
    <n v="0"/>
    <n v="60"/>
    <x v="0"/>
    <n v="1980"/>
    <n v="4950"/>
    <n v="4950"/>
    <n v="2970"/>
    <n v="2970"/>
    <n v="0.6"/>
  </r>
  <r>
    <s v="2025-01"/>
    <s v="SUB023"/>
    <s v="CUST023"/>
    <s v="Island Media Productions"/>
    <x v="4"/>
    <s v="Monthly"/>
    <n v="10"/>
    <n v="45"/>
    <n v="0"/>
    <n v="9"/>
    <x v="3"/>
    <n v="90"/>
    <n v="450"/>
    <n v="450"/>
    <n v="360"/>
    <n v="360"/>
    <n v="0.8"/>
  </r>
  <r>
    <s v="2025-01"/>
    <s v="SUB024"/>
    <s v="CUST024"/>
    <s v="Western Retail Group"/>
    <x v="1"/>
    <s v="Monthly"/>
    <n v="31"/>
    <n v="85"/>
    <n v="0"/>
    <n v="31.5"/>
    <x v="1"/>
    <n v="976.5"/>
    <n v="2635"/>
    <n v="2635"/>
    <n v="1658.5"/>
    <n v="1658.5"/>
    <n v="0.62941176470588234"/>
  </r>
  <r>
    <s v="2025-01"/>
    <s v="SUB025"/>
    <s v="CUST025"/>
    <s v="Montreal Manufacturing Pro"/>
    <x v="3"/>
    <s v="Annual"/>
    <n v="38"/>
    <n v="2160"/>
    <n v="0"/>
    <n v="756"/>
    <x v="3"/>
    <n v="2394"/>
    <n v="6840"/>
    <n v="6840"/>
    <n v="4446"/>
    <n v="4446"/>
    <n v="0.65"/>
  </r>
  <r>
    <s v="2025-01"/>
    <s v="SUB026"/>
    <s v="CUST026"/>
    <s v="Ontario Education Connect"/>
    <x v="5"/>
    <s v="Monthly"/>
    <n v="16"/>
    <n v="95"/>
    <n v="0"/>
    <n v="24"/>
    <x v="3"/>
    <n v="384"/>
    <n v="1520"/>
    <n v="1520"/>
    <n v="1136"/>
    <n v="1136"/>
    <n v="0.74736842105263157"/>
  </r>
  <r>
    <s v="2025-01"/>
    <s v="SUB027"/>
    <s v="CUST027"/>
    <s v="Pacific Finance Corp"/>
    <x v="2"/>
    <s v="Monthly"/>
    <n v="28"/>
    <n v="110"/>
    <n v="0.15"/>
    <n v="31"/>
    <x v="2"/>
    <n v="737.8"/>
    <n v="2618"/>
    <n v="3080"/>
    <n v="1880.2"/>
    <n v="2342.1999999999998"/>
    <n v="0.71818181818181825"/>
  </r>
  <r>
    <s v="2025-01"/>
    <s v="SUB028"/>
    <s v="CUST028"/>
    <s v="Prairie SaaS Innovations"/>
    <x v="4"/>
    <s v="Monthly"/>
    <n v="15"/>
    <n v="45"/>
    <n v="0"/>
    <n v="9"/>
    <x v="3"/>
    <n v="135"/>
    <n v="675"/>
    <n v="675"/>
    <n v="540"/>
    <n v="540"/>
    <n v="0.8"/>
  </r>
  <r>
    <s v="2025-01"/>
    <s v="SUB041"/>
    <s v="CUST001"/>
    <s v="TechVision Solutions"/>
    <x v="2"/>
    <s v="Monthly"/>
    <n v="16"/>
    <n v="110"/>
    <n v="0"/>
    <n v="31"/>
    <x v="2"/>
    <n v="496"/>
    <n v="1760"/>
    <n v="1760"/>
    <n v="1264"/>
    <n v="1264"/>
    <n v="0.71818181818181814"/>
  </r>
  <r>
    <s v="2025-01"/>
    <s v="SUB042"/>
    <s v="CUST003"/>
    <s v="Maple Healthcare Systems"/>
    <x v="2"/>
    <s v="Monthly"/>
    <n v="19"/>
    <n v="110"/>
    <n v="0"/>
    <n v="31"/>
    <x v="2"/>
    <n v="589"/>
    <n v="2090"/>
    <n v="2090"/>
    <n v="1501"/>
    <n v="1501"/>
    <n v="0.71818181818181814"/>
  </r>
  <r>
    <s v="2025-01"/>
    <s v="SUB043"/>
    <s v="CUST006"/>
    <s v="Northern Retail Solutions"/>
    <x v="1"/>
    <s v="Monthly"/>
    <n v="33"/>
    <n v="85"/>
    <n v="0"/>
    <n v="31.5"/>
    <x v="1"/>
    <n v="1039.5"/>
    <n v="2805"/>
    <n v="2805"/>
    <n v="1765.5"/>
    <n v="1765.5"/>
    <n v="0.62941176470588234"/>
  </r>
  <r>
    <s v="2025-01"/>
    <s v="SUB044"/>
    <s v="CUST009"/>
    <s v="West Coast Logistics"/>
    <x v="5"/>
    <s v="Monthly"/>
    <n v="35"/>
    <n v="95"/>
    <n v="0"/>
    <n v="24"/>
    <x v="3"/>
    <n v="840"/>
    <n v="3325"/>
    <n v="3325"/>
    <n v="2485"/>
    <n v="2485"/>
    <n v="0.74736842105263157"/>
  </r>
  <r>
    <s v="2025-01"/>
    <s v="SUB046"/>
    <s v="CUST015"/>
    <s v="BC Retail Networks"/>
    <x v="3"/>
    <s v="Monthly"/>
    <n v="20"/>
    <n v="180"/>
    <n v="0"/>
    <n v="63"/>
    <x v="3"/>
    <n v="1260"/>
    <n v="3600"/>
    <n v="3600"/>
    <n v="2340"/>
    <n v="2340"/>
    <n v="0.65"/>
  </r>
  <r>
    <s v="2025-01"/>
    <s v="SUB049"/>
    <s v="CUST012"/>
    <s v="Maritime E-commerce"/>
    <x v="4"/>
    <s v="Monthly"/>
    <n v="19"/>
    <n v="45"/>
    <n v="0"/>
    <n v="9"/>
    <x v="3"/>
    <n v="171"/>
    <n v="855"/>
    <n v="855"/>
    <n v="684"/>
    <n v="684"/>
    <n v="0.8"/>
  </r>
  <r>
    <s v="2025-01"/>
    <s v="SUB050"/>
    <s v="CUST007"/>
    <s v="Ontario Manufacturing Tech"/>
    <x v="4"/>
    <s v="Monthly"/>
    <n v="15"/>
    <n v="45"/>
    <n v="0.12"/>
    <n v="9"/>
    <x v="3"/>
    <n v="118.8"/>
    <n v="594"/>
    <n v="675"/>
    <n v="475.2"/>
    <n v="556.20000000000005"/>
    <n v="0.79999999999999993"/>
  </r>
  <r>
    <s v="2025-01"/>
    <s v="SUB054"/>
    <s v="CUST002"/>
    <s v="Pacific Analytics Inc"/>
    <x v="5"/>
    <s v="Annual"/>
    <n v="22"/>
    <n v="1140"/>
    <n v="0.05"/>
    <n v="288"/>
    <x v="3"/>
    <n v="501.59999999999997"/>
    <n v="1985.5"/>
    <n v="2090"/>
    <n v="1483.9"/>
    <n v="1588.4"/>
    <n v="0.74736842105263157"/>
  </r>
  <r>
    <s v="2025-01"/>
    <s v="SUB055"/>
    <s v="CUST004"/>
    <s v="Prairie Commerce Group"/>
    <x v="3"/>
    <s v="Monthly"/>
    <n v="26"/>
    <n v="180"/>
    <n v="0"/>
    <n v="63"/>
    <x v="3"/>
    <n v="1638"/>
    <n v="4680"/>
    <n v="4680"/>
    <n v="3042"/>
    <n v="3042"/>
    <n v="0.65"/>
  </r>
  <r>
    <s v="2025-01"/>
    <s v="SUB056"/>
    <s v="CUST016"/>
    <s v="Quebec Manufacturing"/>
    <x v="1"/>
    <s v="Monthly"/>
    <n v="38"/>
    <n v="85"/>
    <n v="0"/>
    <n v="31.5"/>
    <x v="1"/>
    <n v="1197"/>
    <n v="3230"/>
    <n v="3230"/>
    <n v="2033"/>
    <n v="2033"/>
    <n v="0.62941176470588234"/>
  </r>
  <r>
    <s v="2025-01"/>
    <s v="SUB057"/>
    <s v="CUST021"/>
    <s v="Calgary Commerce Solutions"/>
    <x v="0"/>
    <s v="Monthly"/>
    <n v="28"/>
    <n v="150"/>
    <n v="0"/>
    <n v="60"/>
    <x v="0"/>
    <n v="1680"/>
    <n v="4200"/>
    <n v="4200"/>
    <n v="2520"/>
    <n v="2520"/>
    <n v="0.6"/>
  </r>
  <r>
    <s v="2025-01"/>
    <s v="SUB059"/>
    <s v="CUST008"/>
    <s v="Quantum Education Platform"/>
    <x v="1"/>
    <s v="Monthly"/>
    <n v="22"/>
    <n v="85"/>
    <n v="0"/>
    <n v="31.5"/>
    <x v="1"/>
    <n v="693"/>
    <n v="1870"/>
    <n v="1870"/>
    <n v="1177"/>
    <n v="1177"/>
    <n v="0.62941176470588234"/>
  </r>
  <r>
    <s v="2025-01"/>
    <s v="SUB060"/>
    <s v="CUST019"/>
    <s v="Central Healthcare Partners"/>
    <x v="2"/>
    <s v="Monthly"/>
    <n v="16"/>
    <n v="110"/>
    <n v="0"/>
    <n v="31"/>
    <x v="2"/>
    <n v="496"/>
    <n v="1760"/>
    <n v="1760"/>
    <n v="1264"/>
    <n v="1264"/>
    <n v="0.71818181818181814"/>
  </r>
  <r>
    <s v="2025-02"/>
    <s v="SUB002"/>
    <s v="CUST002"/>
    <s v="Pacific Analytics Inc"/>
    <x v="0"/>
    <s v="Annual"/>
    <n v="26"/>
    <n v="1800"/>
    <n v="0"/>
    <n v="720"/>
    <x v="0"/>
    <n v="1560"/>
    <n v="3900"/>
    <n v="3900"/>
    <n v="2340"/>
    <n v="2340"/>
    <n v="0.6"/>
  </r>
  <r>
    <s v="2025-02"/>
    <s v="SUB003"/>
    <s v="CUST003"/>
    <s v="Maple Healthcare Systems"/>
    <x v="1"/>
    <s v="Monthly"/>
    <n v="23"/>
    <n v="85"/>
    <n v="0"/>
    <n v="31.5"/>
    <x v="1"/>
    <n v="724.5"/>
    <n v="1955"/>
    <n v="1955"/>
    <n v="1230.5"/>
    <n v="1230.5"/>
    <n v="0.62941176470588234"/>
  </r>
  <r>
    <s v="2025-02"/>
    <s v="SUB004"/>
    <s v="CUST004"/>
    <s v="Prairie Commerce Group"/>
    <x v="2"/>
    <s v="Monthly"/>
    <n v="18"/>
    <n v="110"/>
    <n v="0"/>
    <n v="31"/>
    <x v="2"/>
    <n v="558"/>
    <n v="1980"/>
    <n v="1980"/>
    <n v="1422"/>
    <n v="1422"/>
    <n v="0.71818181818181814"/>
  </r>
  <r>
    <s v="2025-02"/>
    <s v="SUB006"/>
    <s v="CUST006"/>
    <s v="Northern Retail Solutions"/>
    <x v="3"/>
    <s v="Annual"/>
    <n v="31"/>
    <n v="2160"/>
    <n v="0"/>
    <n v="756"/>
    <x v="3"/>
    <n v="1953"/>
    <n v="5580"/>
    <n v="5580"/>
    <n v="3627"/>
    <n v="3627"/>
    <n v="0.65"/>
  </r>
  <r>
    <s v="2025-02"/>
    <s v="SUB007"/>
    <s v="CUST007"/>
    <s v="Ontario Manufacturing Tech"/>
    <x v="1"/>
    <s v="Monthly"/>
    <n v="16"/>
    <n v="85"/>
    <n v="0"/>
    <n v="31.5"/>
    <x v="1"/>
    <n v="504"/>
    <n v="1360"/>
    <n v="1360"/>
    <n v="856"/>
    <n v="856"/>
    <n v="0.62941176470588234"/>
  </r>
  <r>
    <s v="2025-02"/>
    <s v="SUB009"/>
    <s v="CUST009"/>
    <s v="West Coast Logistics"/>
    <x v="0"/>
    <s v="Annual"/>
    <n v="36"/>
    <n v="1800"/>
    <n v="0"/>
    <n v="720"/>
    <x v="0"/>
    <n v="2160"/>
    <n v="5400"/>
    <n v="5400"/>
    <n v="3240"/>
    <n v="3240"/>
    <n v="0.6"/>
  </r>
  <r>
    <s v="2025-02"/>
    <s v="SUB010"/>
    <s v="CUST010"/>
    <s v="Montreal Finance Hub"/>
    <x v="4"/>
    <s v="Monthly"/>
    <n v="13"/>
    <n v="45"/>
    <n v="0"/>
    <n v="9"/>
    <x v="3"/>
    <n v="117"/>
    <n v="585"/>
    <n v="585"/>
    <n v="468"/>
    <n v="468"/>
    <n v="0.8"/>
  </r>
  <r>
    <s v="2025-02"/>
    <s v="SUB011"/>
    <s v="CUST011"/>
    <s v="Prairie Health Connect"/>
    <x v="2"/>
    <s v="Monthly"/>
    <n v="18"/>
    <n v="110"/>
    <n v="0"/>
    <n v="31"/>
    <x v="2"/>
    <n v="558"/>
    <n v="1980"/>
    <n v="1980"/>
    <n v="1422"/>
    <n v="1422"/>
    <n v="0.71818181818181814"/>
  </r>
  <r>
    <s v="2025-02"/>
    <s v="SUB012"/>
    <s v="CUST012"/>
    <s v="Maritime E-commerce"/>
    <x v="5"/>
    <s v="Monthly"/>
    <n v="23"/>
    <n v="95"/>
    <n v="0"/>
    <n v="24"/>
    <x v="3"/>
    <n v="552"/>
    <n v="2185"/>
    <n v="2185"/>
    <n v="1633"/>
    <n v="1633"/>
    <n v="0.74736842105263157"/>
  </r>
  <r>
    <s v="2025-02"/>
    <s v="SUB014"/>
    <s v="CUST014"/>
    <s v="Toronto Media Group"/>
    <x v="1"/>
    <s v="Monthly"/>
    <n v="28"/>
    <n v="85"/>
    <n v="0"/>
    <n v="31.5"/>
    <x v="1"/>
    <n v="882"/>
    <n v="2380"/>
    <n v="2380"/>
    <n v="1498"/>
    <n v="1498"/>
    <n v="0.62941176470588234"/>
  </r>
  <r>
    <s v="2025-02"/>
    <s v="SUB015"/>
    <s v="CUST015"/>
    <s v="BC Retail Networks"/>
    <x v="5"/>
    <s v="Monthly"/>
    <n v="19"/>
    <n v="95"/>
    <n v="0.1"/>
    <n v="24"/>
    <x v="3"/>
    <n v="410.40000000000003"/>
    <n v="1624.5"/>
    <n v="1805"/>
    <n v="1214.0999999999999"/>
    <n v="1394.6"/>
    <n v="0.74736842105263157"/>
  </r>
  <r>
    <s v="2025-02"/>
    <s v="SUB016"/>
    <s v="CUST016"/>
    <s v="Quebec Manufacturing"/>
    <x v="0"/>
    <s v="Annual"/>
    <n v="42"/>
    <n v="1800"/>
    <n v="0"/>
    <n v="720"/>
    <x v="0"/>
    <n v="2520"/>
    <n v="6300"/>
    <n v="6300"/>
    <n v="3780"/>
    <n v="3780"/>
    <n v="0.6"/>
  </r>
  <r>
    <s v="2025-02"/>
    <s v="SUB017"/>
    <s v="CUST017"/>
    <s v="Capital Education Tech"/>
    <x v="4"/>
    <s v="Monthly"/>
    <n v="12"/>
    <n v="45"/>
    <n v="0"/>
    <n v="9"/>
    <x v="3"/>
    <n v="108"/>
    <n v="540"/>
    <n v="540"/>
    <n v="432"/>
    <n v="432"/>
    <n v="0.8"/>
  </r>
  <r>
    <s v="2025-02"/>
    <s v="SUB018"/>
    <s v="CUST018"/>
    <s v="Vancouver FinTech Labs"/>
    <x v="3"/>
    <s v="Monthly"/>
    <n v="35"/>
    <n v="180"/>
    <n v="0"/>
    <n v="63"/>
    <x v="3"/>
    <n v="2205"/>
    <n v="6300"/>
    <n v="6300"/>
    <n v="4095"/>
    <n v="4095"/>
    <n v="0.65"/>
  </r>
  <r>
    <s v="2025-02"/>
    <s v="SUB019"/>
    <s v="CUST019"/>
    <s v="Central Healthcare Partners"/>
    <x v="1"/>
    <s v="Monthly"/>
    <n v="19"/>
    <n v="85"/>
    <n v="0"/>
    <n v="31.5"/>
    <x v="1"/>
    <n v="598.5"/>
    <n v="1615"/>
    <n v="1615"/>
    <n v="1016.5"/>
    <n v="1016.5"/>
    <n v="0.62941176470588234"/>
  </r>
  <r>
    <s v="2025-02"/>
    <s v="SUB020"/>
    <s v="CUST020"/>
    <s v="Atlantic SaaS Systems"/>
    <x v="2"/>
    <s v="Monthly"/>
    <n v="15"/>
    <n v="110"/>
    <n v="0"/>
    <n v="31"/>
    <x v="2"/>
    <n v="465"/>
    <n v="1650"/>
    <n v="1650"/>
    <n v="1185"/>
    <n v="1185"/>
    <n v="0.71818181818181814"/>
  </r>
  <r>
    <s v="2025-02"/>
    <s v="SUB021"/>
    <s v="CUST021"/>
    <s v="Calgary Commerce Solutions"/>
    <x v="5"/>
    <s v="Monthly"/>
    <n v="25"/>
    <n v="95"/>
    <n v="0"/>
    <n v="24"/>
    <x v="3"/>
    <n v="600"/>
    <n v="2375"/>
    <n v="2375"/>
    <n v="1775"/>
    <n v="1775"/>
    <n v="0.74736842105263157"/>
  </r>
  <r>
    <s v="2025-02"/>
    <s v="SUB022"/>
    <s v="CUST022"/>
    <s v="Toronto Tech Ventures"/>
    <x v="0"/>
    <s v="Monthly"/>
    <n v="33"/>
    <n v="150"/>
    <n v="0"/>
    <n v="60"/>
    <x v="0"/>
    <n v="1980"/>
    <n v="4950"/>
    <n v="4950"/>
    <n v="2970"/>
    <n v="2970"/>
    <n v="0.6"/>
  </r>
  <r>
    <s v="2025-02"/>
    <s v="SUB023"/>
    <s v="CUST023"/>
    <s v="Island Media Productions"/>
    <x v="4"/>
    <s v="Monthly"/>
    <n v="10"/>
    <n v="45"/>
    <n v="0"/>
    <n v="9"/>
    <x v="3"/>
    <n v="90"/>
    <n v="450"/>
    <n v="450"/>
    <n v="360"/>
    <n v="360"/>
    <n v="0.8"/>
  </r>
  <r>
    <s v="2025-02"/>
    <s v="SUB024"/>
    <s v="CUST024"/>
    <s v="Western Retail Group"/>
    <x v="1"/>
    <s v="Monthly"/>
    <n v="31"/>
    <n v="85"/>
    <n v="0"/>
    <n v="31.5"/>
    <x v="1"/>
    <n v="976.5"/>
    <n v="2635"/>
    <n v="2635"/>
    <n v="1658.5"/>
    <n v="1658.5"/>
    <n v="0.62941176470588234"/>
  </r>
  <r>
    <s v="2025-02"/>
    <s v="SUB025"/>
    <s v="CUST025"/>
    <s v="Montreal Manufacturing Pro"/>
    <x v="3"/>
    <s v="Annual"/>
    <n v="38"/>
    <n v="2160"/>
    <n v="0"/>
    <n v="756"/>
    <x v="3"/>
    <n v="2394"/>
    <n v="6840"/>
    <n v="6840"/>
    <n v="4446"/>
    <n v="4446"/>
    <n v="0.65"/>
  </r>
  <r>
    <s v="2025-02"/>
    <s v="SUB026"/>
    <s v="CUST026"/>
    <s v="Ontario Education Connect"/>
    <x v="5"/>
    <s v="Monthly"/>
    <n v="16"/>
    <n v="95"/>
    <n v="0"/>
    <n v="24"/>
    <x v="3"/>
    <n v="384"/>
    <n v="1520"/>
    <n v="1520"/>
    <n v="1136"/>
    <n v="1136"/>
    <n v="0.74736842105263157"/>
  </r>
  <r>
    <s v="2025-02"/>
    <s v="SUB027"/>
    <s v="CUST027"/>
    <s v="Pacific Finance Corp"/>
    <x v="2"/>
    <s v="Monthly"/>
    <n v="28"/>
    <n v="110"/>
    <n v="0.15"/>
    <n v="31"/>
    <x v="2"/>
    <n v="737.8"/>
    <n v="2618"/>
    <n v="3080"/>
    <n v="1880.2"/>
    <n v="2342.1999999999998"/>
    <n v="0.71818181818181825"/>
  </r>
  <r>
    <s v="2025-02"/>
    <s v="SUB028"/>
    <s v="CUST028"/>
    <s v="Prairie SaaS Innovations"/>
    <x v="4"/>
    <s v="Monthly"/>
    <n v="15"/>
    <n v="45"/>
    <n v="0"/>
    <n v="9"/>
    <x v="3"/>
    <n v="135"/>
    <n v="675"/>
    <n v="675"/>
    <n v="540"/>
    <n v="540"/>
    <n v="0.8"/>
  </r>
  <r>
    <s v="2025-02"/>
    <s v="SUB029"/>
    <s v="CUST029"/>
    <s v="Halifax Healthcare Tech"/>
    <x v="1"/>
    <s v="Monthly"/>
    <n v="22"/>
    <n v="85"/>
    <n v="0"/>
    <n v="31.5"/>
    <x v="1"/>
    <n v="693"/>
    <n v="1870"/>
    <n v="1870"/>
    <n v="1177"/>
    <n v="1177"/>
    <n v="0.62941176470588234"/>
  </r>
  <r>
    <s v="2025-02"/>
    <s v="SUB030"/>
    <s v="CUST030"/>
    <s v="Alberta E-commerce Hub"/>
    <x v="5"/>
    <s v="Monthly"/>
    <n v="20"/>
    <n v="95"/>
    <n v="0"/>
    <n v="24"/>
    <x v="3"/>
    <n v="480"/>
    <n v="1900"/>
    <n v="1900"/>
    <n v="1420"/>
    <n v="1420"/>
    <n v="0.74736842105263157"/>
  </r>
  <r>
    <s v="2025-02"/>
    <s v="SUB041"/>
    <s v="CUST001"/>
    <s v="TechVision Solutions"/>
    <x v="2"/>
    <s v="Monthly"/>
    <n v="16"/>
    <n v="110"/>
    <n v="0"/>
    <n v="31"/>
    <x v="2"/>
    <n v="496"/>
    <n v="1760"/>
    <n v="1760"/>
    <n v="1264"/>
    <n v="1264"/>
    <n v="0.71818181818181814"/>
  </r>
  <r>
    <s v="2025-02"/>
    <s v="SUB042"/>
    <s v="CUST003"/>
    <s v="Maple Healthcare Systems"/>
    <x v="2"/>
    <s v="Monthly"/>
    <n v="19"/>
    <n v="110"/>
    <n v="0"/>
    <n v="31"/>
    <x v="2"/>
    <n v="589"/>
    <n v="2090"/>
    <n v="2090"/>
    <n v="1501"/>
    <n v="1501"/>
    <n v="0.71818181818181814"/>
  </r>
  <r>
    <s v="2025-02"/>
    <s v="SUB043"/>
    <s v="CUST006"/>
    <s v="Northern Retail Solutions"/>
    <x v="1"/>
    <s v="Monthly"/>
    <n v="33"/>
    <n v="85"/>
    <n v="0"/>
    <n v="31.5"/>
    <x v="1"/>
    <n v="1039.5"/>
    <n v="2805"/>
    <n v="2805"/>
    <n v="1765.5"/>
    <n v="1765.5"/>
    <n v="0.62941176470588234"/>
  </r>
  <r>
    <s v="2025-02"/>
    <s v="SUB044"/>
    <s v="CUST009"/>
    <s v="West Coast Logistics"/>
    <x v="5"/>
    <s v="Monthly"/>
    <n v="35"/>
    <n v="95"/>
    <n v="0"/>
    <n v="24"/>
    <x v="3"/>
    <n v="840"/>
    <n v="3325"/>
    <n v="3325"/>
    <n v="2485"/>
    <n v="2485"/>
    <n v="0.74736842105263157"/>
  </r>
  <r>
    <s v="2025-02"/>
    <s v="SUB045"/>
    <s v="CUST010"/>
    <s v="Montreal Finance Hub"/>
    <x v="1"/>
    <s v="Monthly"/>
    <n v="13"/>
    <n v="85"/>
    <n v="0"/>
    <n v="31.5"/>
    <x v="1"/>
    <n v="409.5"/>
    <n v="1105"/>
    <n v="1105"/>
    <n v="695.5"/>
    <n v="695.5"/>
    <n v="0.62941176470588234"/>
  </r>
  <r>
    <s v="2025-02"/>
    <s v="SUB046"/>
    <s v="CUST015"/>
    <s v="BC Retail Networks"/>
    <x v="3"/>
    <s v="Monthly"/>
    <n v="20"/>
    <n v="180"/>
    <n v="0"/>
    <n v="63"/>
    <x v="3"/>
    <n v="1260"/>
    <n v="3600"/>
    <n v="3600"/>
    <n v="2340"/>
    <n v="2340"/>
    <n v="0.65"/>
  </r>
  <r>
    <s v="2025-02"/>
    <s v="SUB049"/>
    <s v="CUST012"/>
    <s v="Maritime E-commerce"/>
    <x v="4"/>
    <s v="Monthly"/>
    <n v="19"/>
    <n v="45"/>
    <n v="0"/>
    <n v="9"/>
    <x v="3"/>
    <n v="171"/>
    <n v="855"/>
    <n v="855"/>
    <n v="684"/>
    <n v="684"/>
    <n v="0.8"/>
  </r>
  <r>
    <s v="2025-02"/>
    <s v="SUB050"/>
    <s v="CUST007"/>
    <s v="Ontario Manufacturing Tech"/>
    <x v="4"/>
    <s v="Monthly"/>
    <n v="15"/>
    <n v="45"/>
    <n v="0.12"/>
    <n v="9"/>
    <x v="3"/>
    <n v="118.8"/>
    <n v="594"/>
    <n v="675"/>
    <n v="475.2"/>
    <n v="556.20000000000005"/>
    <n v="0.79999999999999993"/>
  </r>
  <r>
    <s v="2025-02"/>
    <s v="SUB051"/>
    <s v="CUST014"/>
    <s v="Toronto Media Group"/>
    <x v="2"/>
    <s v="Monthly"/>
    <n v="23"/>
    <n v="110"/>
    <n v="0"/>
    <n v="31"/>
    <x v="2"/>
    <n v="713"/>
    <n v="2530"/>
    <n v="2530"/>
    <n v="1817"/>
    <n v="1817"/>
    <n v="0.71818181818181814"/>
  </r>
  <r>
    <s v="2025-02"/>
    <s v="SUB054"/>
    <s v="CUST002"/>
    <s v="Pacific Analytics Inc"/>
    <x v="5"/>
    <s v="Annual"/>
    <n v="22"/>
    <n v="1140"/>
    <n v="0.05"/>
    <n v="288"/>
    <x v="3"/>
    <n v="501.59999999999997"/>
    <n v="1985.5"/>
    <n v="2090"/>
    <n v="1483.9"/>
    <n v="1588.4"/>
    <n v="0.74736842105263157"/>
  </r>
  <r>
    <s v="2025-02"/>
    <s v="SUB055"/>
    <s v="CUST004"/>
    <s v="Prairie Commerce Group"/>
    <x v="3"/>
    <s v="Monthly"/>
    <n v="26"/>
    <n v="180"/>
    <n v="0"/>
    <n v="63"/>
    <x v="3"/>
    <n v="1638"/>
    <n v="4680"/>
    <n v="4680"/>
    <n v="3042"/>
    <n v="3042"/>
    <n v="0.65"/>
  </r>
  <r>
    <s v="2025-02"/>
    <s v="SUB056"/>
    <s v="CUST016"/>
    <s v="Quebec Manufacturing"/>
    <x v="1"/>
    <s v="Monthly"/>
    <n v="38"/>
    <n v="85"/>
    <n v="0"/>
    <n v="31.5"/>
    <x v="1"/>
    <n v="1197"/>
    <n v="3230"/>
    <n v="3230"/>
    <n v="2033"/>
    <n v="2033"/>
    <n v="0.62941176470588234"/>
  </r>
  <r>
    <s v="2025-02"/>
    <s v="SUB057"/>
    <s v="CUST021"/>
    <s v="Calgary Commerce Solutions"/>
    <x v="0"/>
    <s v="Monthly"/>
    <n v="28"/>
    <n v="150"/>
    <n v="0"/>
    <n v="60"/>
    <x v="0"/>
    <n v="1680"/>
    <n v="4200"/>
    <n v="4200"/>
    <n v="2520"/>
    <n v="2520"/>
    <n v="0.6"/>
  </r>
  <r>
    <s v="2025-02"/>
    <s v="SUB059"/>
    <s v="CUST008"/>
    <s v="Quantum Education Platform"/>
    <x v="1"/>
    <s v="Monthly"/>
    <n v="22"/>
    <n v="85"/>
    <n v="0"/>
    <n v="31.5"/>
    <x v="1"/>
    <n v="693"/>
    <n v="1870"/>
    <n v="1870"/>
    <n v="1177"/>
    <n v="1177"/>
    <n v="0.62941176470588234"/>
  </r>
  <r>
    <s v="2025-02"/>
    <s v="SUB060"/>
    <s v="CUST019"/>
    <s v="Central Healthcare Partners"/>
    <x v="2"/>
    <s v="Monthly"/>
    <n v="16"/>
    <n v="110"/>
    <n v="0"/>
    <n v="31"/>
    <x v="2"/>
    <n v="496"/>
    <n v="1760"/>
    <n v="1760"/>
    <n v="1264"/>
    <n v="1264"/>
    <n v="0.71818181818181814"/>
  </r>
  <r>
    <s v="2025-03"/>
    <s v="SUB002"/>
    <s v="CUST002"/>
    <s v="Pacific Analytics Inc"/>
    <x v="0"/>
    <s v="Annual"/>
    <n v="26"/>
    <n v="1800"/>
    <n v="0"/>
    <n v="720"/>
    <x v="0"/>
    <n v="1560"/>
    <n v="3900"/>
    <n v="3900"/>
    <n v="2340"/>
    <n v="2340"/>
    <n v="0.6"/>
  </r>
  <r>
    <s v="2025-03"/>
    <s v="SUB003"/>
    <s v="CUST003"/>
    <s v="Maple Healthcare Systems"/>
    <x v="1"/>
    <s v="Monthly"/>
    <n v="23"/>
    <n v="85"/>
    <n v="0"/>
    <n v="31.5"/>
    <x v="1"/>
    <n v="724.5"/>
    <n v="1955"/>
    <n v="1955"/>
    <n v="1230.5"/>
    <n v="1230.5"/>
    <n v="0.62941176470588234"/>
  </r>
  <r>
    <s v="2025-03"/>
    <s v="SUB004"/>
    <s v="CUST004"/>
    <s v="Prairie Commerce Group"/>
    <x v="2"/>
    <s v="Monthly"/>
    <n v="18"/>
    <n v="110"/>
    <n v="0"/>
    <n v="31"/>
    <x v="2"/>
    <n v="558"/>
    <n v="1980"/>
    <n v="1980"/>
    <n v="1422"/>
    <n v="1422"/>
    <n v="0.71818181818181814"/>
  </r>
  <r>
    <s v="2025-03"/>
    <s v="SUB006"/>
    <s v="CUST006"/>
    <s v="Northern Retail Solutions"/>
    <x v="3"/>
    <s v="Annual"/>
    <n v="31"/>
    <n v="2160"/>
    <n v="0"/>
    <n v="756"/>
    <x v="3"/>
    <n v="1953"/>
    <n v="5580"/>
    <n v="5580"/>
    <n v="3627"/>
    <n v="3627"/>
    <n v="0.65"/>
  </r>
  <r>
    <s v="2025-03"/>
    <s v="SUB007"/>
    <s v="CUST007"/>
    <s v="Ontario Manufacturing Tech"/>
    <x v="1"/>
    <s v="Monthly"/>
    <n v="16"/>
    <n v="85"/>
    <n v="0"/>
    <n v="31.5"/>
    <x v="1"/>
    <n v="504"/>
    <n v="1360"/>
    <n v="1360"/>
    <n v="856"/>
    <n v="856"/>
    <n v="0.62941176470588234"/>
  </r>
  <r>
    <s v="2025-03"/>
    <s v="SUB009"/>
    <s v="CUST009"/>
    <s v="West Coast Logistics"/>
    <x v="0"/>
    <s v="Annual"/>
    <n v="36"/>
    <n v="1800"/>
    <n v="0"/>
    <n v="720"/>
    <x v="0"/>
    <n v="2160"/>
    <n v="5400"/>
    <n v="5400"/>
    <n v="3240"/>
    <n v="3240"/>
    <n v="0.6"/>
  </r>
  <r>
    <s v="2025-03"/>
    <s v="SUB010"/>
    <s v="CUST010"/>
    <s v="Montreal Finance Hub"/>
    <x v="4"/>
    <s v="Monthly"/>
    <n v="13"/>
    <n v="45"/>
    <n v="0"/>
    <n v="9"/>
    <x v="3"/>
    <n v="117"/>
    <n v="585"/>
    <n v="585"/>
    <n v="468"/>
    <n v="468"/>
    <n v="0.8"/>
  </r>
  <r>
    <s v="2025-03"/>
    <s v="SUB011"/>
    <s v="CUST011"/>
    <s v="Prairie Health Connect"/>
    <x v="2"/>
    <s v="Monthly"/>
    <n v="18"/>
    <n v="110"/>
    <n v="0"/>
    <n v="31"/>
    <x v="2"/>
    <n v="558"/>
    <n v="1980"/>
    <n v="1980"/>
    <n v="1422"/>
    <n v="1422"/>
    <n v="0.71818181818181814"/>
  </r>
  <r>
    <s v="2025-03"/>
    <s v="SUB012"/>
    <s v="CUST012"/>
    <s v="Maritime E-commerce"/>
    <x v="5"/>
    <s v="Monthly"/>
    <n v="23"/>
    <n v="95"/>
    <n v="0"/>
    <n v="24"/>
    <x v="3"/>
    <n v="552"/>
    <n v="2185"/>
    <n v="2185"/>
    <n v="1633"/>
    <n v="1633"/>
    <n v="0.74736842105263157"/>
  </r>
  <r>
    <s v="2025-03"/>
    <s v="SUB014"/>
    <s v="CUST014"/>
    <s v="Toronto Media Group"/>
    <x v="1"/>
    <s v="Monthly"/>
    <n v="28"/>
    <n v="85"/>
    <n v="0"/>
    <n v="31.5"/>
    <x v="1"/>
    <n v="882"/>
    <n v="2380"/>
    <n v="2380"/>
    <n v="1498"/>
    <n v="1498"/>
    <n v="0.62941176470588234"/>
  </r>
  <r>
    <s v="2025-03"/>
    <s v="SUB015"/>
    <s v="CUST015"/>
    <s v="BC Retail Networks"/>
    <x v="5"/>
    <s v="Monthly"/>
    <n v="19"/>
    <n v="95"/>
    <n v="0.1"/>
    <n v="24"/>
    <x v="3"/>
    <n v="410.40000000000003"/>
    <n v="1624.5"/>
    <n v="1805"/>
    <n v="1214.0999999999999"/>
    <n v="1394.6"/>
    <n v="0.74736842105263157"/>
  </r>
  <r>
    <s v="2025-03"/>
    <s v="SUB016"/>
    <s v="CUST016"/>
    <s v="Quebec Manufacturing"/>
    <x v="0"/>
    <s v="Annual"/>
    <n v="42"/>
    <n v="1800"/>
    <n v="0"/>
    <n v="720"/>
    <x v="0"/>
    <n v="2520"/>
    <n v="6300"/>
    <n v="6300"/>
    <n v="3780"/>
    <n v="3780"/>
    <n v="0.6"/>
  </r>
  <r>
    <s v="2025-03"/>
    <s v="SUB017"/>
    <s v="CUST017"/>
    <s v="Capital Education Tech"/>
    <x v="4"/>
    <s v="Monthly"/>
    <n v="12"/>
    <n v="45"/>
    <n v="0"/>
    <n v="9"/>
    <x v="3"/>
    <n v="108"/>
    <n v="540"/>
    <n v="540"/>
    <n v="432"/>
    <n v="432"/>
    <n v="0.8"/>
  </r>
  <r>
    <s v="2025-03"/>
    <s v="SUB018"/>
    <s v="CUST018"/>
    <s v="Vancouver FinTech Labs"/>
    <x v="3"/>
    <s v="Monthly"/>
    <n v="35"/>
    <n v="180"/>
    <n v="0"/>
    <n v="63"/>
    <x v="3"/>
    <n v="2205"/>
    <n v="6300"/>
    <n v="6300"/>
    <n v="4095"/>
    <n v="4095"/>
    <n v="0.65"/>
  </r>
  <r>
    <s v="2025-03"/>
    <s v="SUB019"/>
    <s v="CUST019"/>
    <s v="Central Healthcare Partners"/>
    <x v="1"/>
    <s v="Monthly"/>
    <n v="19"/>
    <n v="85"/>
    <n v="0"/>
    <n v="31.5"/>
    <x v="1"/>
    <n v="598.5"/>
    <n v="1615"/>
    <n v="1615"/>
    <n v="1016.5"/>
    <n v="1016.5"/>
    <n v="0.62941176470588234"/>
  </r>
  <r>
    <s v="2025-03"/>
    <s v="SUB020"/>
    <s v="CUST020"/>
    <s v="Atlantic SaaS Systems"/>
    <x v="2"/>
    <s v="Monthly"/>
    <n v="15"/>
    <n v="110"/>
    <n v="0"/>
    <n v="31"/>
    <x v="2"/>
    <n v="465"/>
    <n v="1650"/>
    <n v="1650"/>
    <n v="1185"/>
    <n v="1185"/>
    <n v="0.71818181818181814"/>
  </r>
  <r>
    <s v="2025-03"/>
    <s v="SUB021"/>
    <s v="CUST021"/>
    <s v="Calgary Commerce Solutions"/>
    <x v="5"/>
    <s v="Monthly"/>
    <n v="25"/>
    <n v="95"/>
    <n v="0"/>
    <n v="24"/>
    <x v="3"/>
    <n v="600"/>
    <n v="2375"/>
    <n v="2375"/>
    <n v="1775"/>
    <n v="1775"/>
    <n v="0.74736842105263157"/>
  </r>
  <r>
    <s v="2025-03"/>
    <s v="SUB022"/>
    <s v="CUST022"/>
    <s v="Toronto Tech Ventures"/>
    <x v="0"/>
    <s v="Monthly"/>
    <n v="33"/>
    <n v="150"/>
    <n v="0"/>
    <n v="60"/>
    <x v="0"/>
    <n v="1980"/>
    <n v="4950"/>
    <n v="4950"/>
    <n v="2970"/>
    <n v="2970"/>
    <n v="0.6"/>
  </r>
  <r>
    <s v="2025-03"/>
    <s v="SUB023"/>
    <s v="CUST023"/>
    <s v="Island Media Productions"/>
    <x v="4"/>
    <s v="Monthly"/>
    <n v="10"/>
    <n v="45"/>
    <n v="0"/>
    <n v="9"/>
    <x v="3"/>
    <n v="90"/>
    <n v="450"/>
    <n v="450"/>
    <n v="360"/>
    <n v="360"/>
    <n v="0.8"/>
  </r>
  <r>
    <s v="2025-03"/>
    <s v="SUB024"/>
    <s v="CUST024"/>
    <s v="Western Retail Group"/>
    <x v="1"/>
    <s v="Monthly"/>
    <n v="31"/>
    <n v="85"/>
    <n v="0"/>
    <n v="31.5"/>
    <x v="1"/>
    <n v="976.5"/>
    <n v="2635"/>
    <n v="2635"/>
    <n v="1658.5"/>
    <n v="1658.5"/>
    <n v="0.62941176470588234"/>
  </r>
  <r>
    <s v="2025-03"/>
    <s v="SUB025"/>
    <s v="CUST025"/>
    <s v="Montreal Manufacturing Pro"/>
    <x v="3"/>
    <s v="Annual"/>
    <n v="38"/>
    <n v="2160"/>
    <n v="0"/>
    <n v="756"/>
    <x v="3"/>
    <n v="2394"/>
    <n v="6840"/>
    <n v="6840"/>
    <n v="4446"/>
    <n v="4446"/>
    <n v="0.65"/>
  </r>
  <r>
    <s v="2025-03"/>
    <s v="SUB026"/>
    <s v="CUST026"/>
    <s v="Ontario Education Connect"/>
    <x v="5"/>
    <s v="Monthly"/>
    <n v="16"/>
    <n v="95"/>
    <n v="0"/>
    <n v="24"/>
    <x v="3"/>
    <n v="384"/>
    <n v="1520"/>
    <n v="1520"/>
    <n v="1136"/>
    <n v="1136"/>
    <n v="0.74736842105263157"/>
  </r>
  <r>
    <s v="2025-03"/>
    <s v="SUB027"/>
    <s v="CUST027"/>
    <s v="Pacific Finance Corp"/>
    <x v="2"/>
    <s v="Monthly"/>
    <n v="28"/>
    <n v="110"/>
    <n v="0.15"/>
    <n v="31"/>
    <x v="2"/>
    <n v="737.8"/>
    <n v="2618"/>
    <n v="3080"/>
    <n v="1880.2"/>
    <n v="2342.1999999999998"/>
    <n v="0.71818181818181825"/>
  </r>
  <r>
    <s v="2025-03"/>
    <s v="SUB028"/>
    <s v="CUST028"/>
    <s v="Prairie SaaS Innovations"/>
    <x v="4"/>
    <s v="Monthly"/>
    <n v="15"/>
    <n v="45"/>
    <n v="0"/>
    <n v="9"/>
    <x v="3"/>
    <n v="135"/>
    <n v="675"/>
    <n v="675"/>
    <n v="540"/>
    <n v="540"/>
    <n v="0.8"/>
  </r>
  <r>
    <s v="2025-03"/>
    <s v="SUB029"/>
    <s v="CUST029"/>
    <s v="Halifax Healthcare Tech"/>
    <x v="1"/>
    <s v="Monthly"/>
    <n v="22"/>
    <n v="85"/>
    <n v="0"/>
    <n v="31.5"/>
    <x v="1"/>
    <n v="693"/>
    <n v="1870"/>
    <n v="1870"/>
    <n v="1177"/>
    <n v="1177"/>
    <n v="0.62941176470588234"/>
  </r>
  <r>
    <s v="2025-03"/>
    <s v="SUB030"/>
    <s v="CUST030"/>
    <s v="Alberta E-commerce Hub"/>
    <x v="5"/>
    <s v="Monthly"/>
    <n v="20"/>
    <n v="95"/>
    <n v="0"/>
    <n v="24"/>
    <x v="3"/>
    <n v="480"/>
    <n v="1900"/>
    <n v="1900"/>
    <n v="1420"/>
    <n v="1420"/>
    <n v="0.74736842105263157"/>
  </r>
  <r>
    <s v="2025-03"/>
    <s v="SUB031"/>
    <s v="CUST031"/>
    <s v="Toronto Digital Media"/>
    <x v="0"/>
    <s v="Annual"/>
    <n v="45"/>
    <n v="1800"/>
    <n v="0"/>
    <n v="720"/>
    <x v="0"/>
    <n v="2700"/>
    <n v="6750"/>
    <n v="6750"/>
    <n v="4050"/>
    <n v="4050"/>
    <n v="0.6"/>
  </r>
  <r>
    <s v="2025-03"/>
    <s v="SUB032"/>
    <s v="CUST032"/>
    <s v="BC Manufacturing Systems"/>
    <x v="3"/>
    <s v="Monthly"/>
    <n v="26"/>
    <n v="180"/>
    <n v="0"/>
    <n v="63"/>
    <x v="3"/>
    <n v="1638"/>
    <n v="4680"/>
    <n v="4680"/>
    <n v="3042"/>
    <n v="3042"/>
    <n v="0.65"/>
  </r>
  <r>
    <s v="2025-03"/>
    <s v="SUB033"/>
    <s v="CUST033"/>
    <s v="Ottawa Retail Solutions"/>
    <x v="1"/>
    <s v="Monthly"/>
    <n v="25"/>
    <n v="85"/>
    <n v="0"/>
    <n v="31.5"/>
    <x v="1"/>
    <n v="787.5"/>
    <n v="2125"/>
    <n v="2125"/>
    <n v="1337.5"/>
    <n v="1337.5"/>
    <n v="0.62941176470588234"/>
  </r>
  <r>
    <s v="2025-03"/>
    <s v="SUB041"/>
    <s v="CUST001"/>
    <s v="TechVision Solutions"/>
    <x v="2"/>
    <s v="Monthly"/>
    <n v="16"/>
    <n v="110"/>
    <n v="0"/>
    <n v="31"/>
    <x v="2"/>
    <n v="496"/>
    <n v="1760"/>
    <n v="1760"/>
    <n v="1264"/>
    <n v="1264"/>
    <n v="0.71818181818181814"/>
  </r>
  <r>
    <s v="2025-03"/>
    <s v="SUB042"/>
    <s v="CUST003"/>
    <s v="Maple Healthcare Systems"/>
    <x v="2"/>
    <s v="Monthly"/>
    <n v="19"/>
    <n v="110"/>
    <n v="0"/>
    <n v="31"/>
    <x v="2"/>
    <n v="589"/>
    <n v="2090"/>
    <n v="2090"/>
    <n v="1501"/>
    <n v="1501"/>
    <n v="0.71818181818181814"/>
  </r>
  <r>
    <s v="2025-03"/>
    <s v="SUB043"/>
    <s v="CUST006"/>
    <s v="Northern Retail Solutions"/>
    <x v="1"/>
    <s v="Monthly"/>
    <n v="33"/>
    <n v="85"/>
    <n v="0"/>
    <n v="31.5"/>
    <x v="1"/>
    <n v="1039.5"/>
    <n v="2805"/>
    <n v="2805"/>
    <n v="1765.5"/>
    <n v="1765.5"/>
    <n v="0.62941176470588234"/>
  </r>
  <r>
    <s v="2025-03"/>
    <s v="SUB044"/>
    <s v="CUST009"/>
    <s v="West Coast Logistics"/>
    <x v="5"/>
    <s v="Monthly"/>
    <n v="35"/>
    <n v="95"/>
    <n v="0"/>
    <n v="24"/>
    <x v="3"/>
    <n v="840"/>
    <n v="3325"/>
    <n v="3325"/>
    <n v="2485"/>
    <n v="2485"/>
    <n v="0.74736842105263157"/>
  </r>
  <r>
    <s v="2025-03"/>
    <s v="SUB045"/>
    <s v="CUST010"/>
    <s v="Montreal Finance Hub"/>
    <x v="1"/>
    <s v="Monthly"/>
    <n v="13"/>
    <n v="85"/>
    <n v="0"/>
    <n v="31.5"/>
    <x v="1"/>
    <n v="409.5"/>
    <n v="1105"/>
    <n v="1105"/>
    <n v="695.5"/>
    <n v="695.5"/>
    <n v="0.62941176470588234"/>
  </r>
  <r>
    <s v="2025-03"/>
    <s v="SUB046"/>
    <s v="CUST015"/>
    <s v="BC Retail Networks"/>
    <x v="3"/>
    <s v="Monthly"/>
    <n v="20"/>
    <n v="180"/>
    <n v="0"/>
    <n v="63"/>
    <x v="3"/>
    <n v="1260"/>
    <n v="3600"/>
    <n v="3600"/>
    <n v="2340"/>
    <n v="2340"/>
    <n v="0.65"/>
  </r>
  <r>
    <s v="2025-03"/>
    <s v="SUB049"/>
    <s v="CUST012"/>
    <s v="Maritime E-commerce"/>
    <x v="4"/>
    <s v="Monthly"/>
    <n v="19"/>
    <n v="45"/>
    <n v="0"/>
    <n v="9"/>
    <x v="3"/>
    <n v="171"/>
    <n v="855"/>
    <n v="855"/>
    <n v="684"/>
    <n v="684"/>
    <n v="0.8"/>
  </r>
  <r>
    <s v="2025-03"/>
    <s v="SUB050"/>
    <s v="CUST007"/>
    <s v="Ontario Manufacturing Tech"/>
    <x v="4"/>
    <s v="Monthly"/>
    <n v="15"/>
    <n v="45"/>
    <n v="0.12"/>
    <n v="9"/>
    <x v="3"/>
    <n v="118.8"/>
    <n v="594"/>
    <n v="675"/>
    <n v="475.2"/>
    <n v="556.20000000000005"/>
    <n v="0.79999999999999993"/>
  </r>
  <r>
    <s v="2025-03"/>
    <s v="SUB051"/>
    <s v="CUST014"/>
    <s v="Toronto Media Group"/>
    <x v="2"/>
    <s v="Monthly"/>
    <n v="23"/>
    <n v="110"/>
    <n v="0"/>
    <n v="31"/>
    <x v="2"/>
    <n v="713"/>
    <n v="2530"/>
    <n v="2530"/>
    <n v="1817"/>
    <n v="1817"/>
    <n v="0.71818181818181814"/>
  </r>
  <r>
    <s v="2025-03"/>
    <s v="SUB052"/>
    <s v="CUST018"/>
    <s v="Vancouver FinTech Labs"/>
    <x v="1"/>
    <s v="Monthly"/>
    <n v="35"/>
    <n v="85"/>
    <n v="0"/>
    <n v="31.5"/>
    <x v="1"/>
    <n v="1102.5"/>
    <n v="2975"/>
    <n v="2975"/>
    <n v="1872.5"/>
    <n v="1872.5"/>
    <n v="0.62941176470588234"/>
  </r>
  <r>
    <s v="2025-03"/>
    <s v="SUB054"/>
    <s v="CUST002"/>
    <s v="Pacific Analytics Inc"/>
    <x v="5"/>
    <s v="Annual"/>
    <n v="22"/>
    <n v="1140"/>
    <n v="0.05"/>
    <n v="288"/>
    <x v="3"/>
    <n v="501.59999999999997"/>
    <n v="1985.5"/>
    <n v="2090"/>
    <n v="1483.9"/>
    <n v="1588.4"/>
    <n v="0.74736842105263157"/>
  </r>
  <r>
    <s v="2025-03"/>
    <s v="SUB055"/>
    <s v="CUST004"/>
    <s v="Prairie Commerce Group"/>
    <x v="3"/>
    <s v="Monthly"/>
    <n v="26"/>
    <n v="180"/>
    <n v="0"/>
    <n v="63"/>
    <x v="3"/>
    <n v="1638"/>
    <n v="4680"/>
    <n v="4680"/>
    <n v="3042"/>
    <n v="3042"/>
    <n v="0.65"/>
  </r>
  <r>
    <s v="2025-03"/>
    <s v="SUB056"/>
    <s v="CUST016"/>
    <s v="Quebec Manufacturing"/>
    <x v="1"/>
    <s v="Monthly"/>
    <n v="38"/>
    <n v="85"/>
    <n v="0"/>
    <n v="31.5"/>
    <x v="1"/>
    <n v="1197"/>
    <n v="3230"/>
    <n v="3230"/>
    <n v="2033"/>
    <n v="2033"/>
    <n v="0.62941176470588234"/>
  </r>
  <r>
    <s v="2025-03"/>
    <s v="SUB057"/>
    <s v="CUST021"/>
    <s v="Calgary Commerce Solutions"/>
    <x v="0"/>
    <s v="Monthly"/>
    <n v="28"/>
    <n v="150"/>
    <n v="0"/>
    <n v="60"/>
    <x v="0"/>
    <n v="1680"/>
    <n v="4200"/>
    <n v="4200"/>
    <n v="2520"/>
    <n v="2520"/>
    <n v="0.6"/>
  </r>
  <r>
    <s v="2025-03"/>
    <s v="SUB058"/>
    <s v="CUST024"/>
    <s v="Western Retail Group"/>
    <x v="2"/>
    <s v="Monthly"/>
    <n v="26"/>
    <n v="110"/>
    <n v="0"/>
    <n v="31"/>
    <x v="2"/>
    <n v="806"/>
    <n v="2860"/>
    <n v="2860"/>
    <n v="2054"/>
    <n v="2054"/>
    <n v="0.71818181818181814"/>
  </r>
  <r>
    <s v="2025-03"/>
    <s v="SUB059"/>
    <s v="CUST008"/>
    <s v="Quantum Education Platform"/>
    <x v="1"/>
    <s v="Monthly"/>
    <n v="22"/>
    <n v="85"/>
    <n v="0"/>
    <n v="31.5"/>
    <x v="1"/>
    <n v="693"/>
    <n v="1870"/>
    <n v="1870"/>
    <n v="1177"/>
    <n v="1177"/>
    <n v="0.62941176470588234"/>
  </r>
  <r>
    <s v="2025-03"/>
    <s v="SUB060"/>
    <s v="CUST019"/>
    <s v="Central Healthcare Partners"/>
    <x v="2"/>
    <s v="Monthly"/>
    <n v="16"/>
    <n v="110"/>
    <n v="0"/>
    <n v="31"/>
    <x v="2"/>
    <n v="496"/>
    <n v="1760"/>
    <n v="1760"/>
    <n v="1264"/>
    <n v="1264"/>
    <n v="0.718181818181818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22C97-38DF-4545-BC2C-9C63686A3ECB}"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D43" firstHeaderRow="0" firstDataRow="1" firstDataCol="1"/>
  <pivotFields count="17">
    <pivotField showAll="0"/>
    <pivotField showAll="0"/>
    <pivotField showAll="0"/>
    <pivotField showAll="0"/>
    <pivotField showAll="0"/>
    <pivotField showAll="0"/>
    <pivotField dataField="1" showAll="0"/>
    <pivotField numFmtId="164" showAll="0"/>
    <pivotField numFmtId="9" showAll="0"/>
    <pivotField numFmtId="164" showAll="0"/>
    <pivotField axis="axisRow" showAll="0">
      <items count="5">
        <item x="3"/>
        <item x="1"/>
        <item x="2"/>
        <item x="0"/>
        <item t="default"/>
      </items>
    </pivotField>
    <pivotField numFmtId="165" showAll="0"/>
    <pivotField numFmtId="165" showAll="0"/>
    <pivotField numFmtId="165" showAll="0"/>
    <pivotField dataField="1" numFmtId="165" showAll="0"/>
    <pivotField numFmtId="165" showAll="0"/>
    <pivotField numFmtId="9" showAll="0"/>
  </pivotFields>
  <rowFields count="1">
    <field x="10"/>
  </rowFields>
  <rowItems count="5">
    <i>
      <x/>
    </i>
    <i>
      <x v="1"/>
    </i>
    <i>
      <x v="2"/>
    </i>
    <i>
      <x v="3"/>
    </i>
    <i t="grand">
      <x/>
    </i>
  </rowItems>
  <colFields count="1">
    <field x="-2"/>
  </colFields>
  <colItems count="2">
    <i>
      <x/>
    </i>
    <i i="1">
      <x v="1"/>
    </i>
  </colItems>
  <dataFields count="2">
    <dataField name="Sum of Total Net Margin" fld="14" baseField="0" baseItem="0" numFmtId="165"/>
    <dataField name="Sum of Sea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B40BF-6F2C-4D3E-9CAF-1BDC2693EB6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D34" firstHeaderRow="0" firstDataRow="1" firstDataCol="1"/>
  <pivotFields count="17">
    <pivotField showAll="0"/>
    <pivotField showAll="0"/>
    <pivotField showAll="0"/>
    <pivotField showAll="0"/>
    <pivotField showAll="0"/>
    <pivotField showAll="0"/>
    <pivotField dataField="1" showAll="0"/>
    <pivotField numFmtId="164" showAll="0"/>
    <pivotField numFmtId="9" showAll="0"/>
    <pivotField numFmtId="164" showAll="0"/>
    <pivotField axis="axisRow" showAll="0">
      <items count="5">
        <item x="3"/>
        <item x="1"/>
        <item x="2"/>
        <item x="0"/>
        <item t="default"/>
      </items>
    </pivotField>
    <pivotField numFmtId="165" showAll="0"/>
    <pivotField numFmtId="165" showAll="0"/>
    <pivotField numFmtId="165" showAll="0"/>
    <pivotField numFmtId="165" showAll="0"/>
    <pivotField dataField="1" numFmtId="165" showAll="0"/>
    <pivotField numFmtId="9" showAll="0"/>
  </pivotFields>
  <rowFields count="1">
    <field x="10"/>
  </rowFields>
  <rowItems count="5">
    <i>
      <x/>
    </i>
    <i>
      <x v="1"/>
    </i>
    <i>
      <x v="2"/>
    </i>
    <i>
      <x v="3"/>
    </i>
    <i t="grand">
      <x/>
    </i>
  </rowItems>
  <colFields count="1">
    <field x="-2"/>
  </colFields>
  <colItems count="2">
    <i>
      <x/>
    </i>
    <i i="1">
      <x v="1"/>
    </i>
  </colItems>
  <dataFields count="2">
    <dataField name="Sum of Total Gross Margin ($)" fld="15" baseField="0" baseItem="0" numFmtId="165"/>
    <dataField name="Sum of Sea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BD9A1-806E-45E3-A40D-7E3A798C393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D27" firstHeaderRow="0" firstDataRow="1" firstDataCol="1" rowPageCount="1" colPageCount="1"/>
  <pivotFields count="17">
    <pivotField showAll="0"/>
    <pivotField showAll="0"/>
    <pivotField showAll="0"/>
    <pivotField showAll="0"/>
    <pivotField axis="axisRow" showAll="0">
      <items count="7">
        <item x="3"/>
        <item x="5"/>
        <item x="4"/>
        <item x="1"/>
        <item x="0"/>
        <item x="2"/>
        <item t="default"/>
      </items>
    </pivotField>
    <pivotField showAll="0"/>
    <pivotField dataField="1" showAll="0"/>
    <pivotField numFmtId="164" showAll="0"/>
    <pivotField numFmtId="9" showAll="0"/>
    <pivotField numFmtId="164" showAll="0"/>
    <pivotField axis="axisPage" showAll="0">
      <items count="5">
        <item x="3"/>
        <item x="1"/>
        <item x="2"/>
        <item x="0"/>
        <item t="default"/>
      </items>
    </pivotField>
    <pivotField numFmtId="165" showAll="0"/>
    <pivotField numFmtId="165" showAll="0"/>
    <pivotField numFmtId="165" showAll="0"/>
    <pivotField numFmtId="165" showAll="0"/>
    <pivotField dataField="1" numFmtId="165" showAll="0"/>
    <pivotField numFmtId="9" showAll="0"/>
  </pivotFields>
  <rowFields count="1">
    <field x="4"/>
  </rowFields>
  <rowItems count="2">
    <i>
      <x v="5"/>
    </i>
    <i t="grand">
      <x/>
    </i>
  </rowItems>
  <colFields count="1">
    <field x="-2"/>
  </colFields>
  <colItems count="2">
    <i>
      <x/>
    </i>
    <i i="1">
      <x v="1"/>
    </i>
  </colItems>
  <pageFields count="1">
    <pageField fld="10" item="2" hier="-1"/>
  </pageFields>
  <dataFields count="2">
    <dataField name="Sum of Total Gross Margin ($)" fld="15" baseField="0" baseItem="0" numFmtId="165"/>
    <dataField name="Sum of Sea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8C1A2-3F40-4D8A-9CBD-6F9E369AF19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20" firstHeaderRow="1" firstDataRow="1" firstDataCol="1" rowPageCount="1" colPageCount="1"/>
  <pivotFields count="17">
    <pivotField showAll="0"/>
    <pivotField showAll="0"/>
    <pivotField showAll="0"/>
    <pivotField showAll="0"/>
    <pivotField axis="axisRow" showAll="0">
      <items count="7">
        <item x="3"/>
        <item x="5"/>
        <item x="4"/>
        <item x="1"/>
        <item x="0"/>
        <item x="2"/>
        <item t="default"/>
      </items>
    </pivotField>
    <pivotField showAll="0"/>
    <pivotField showAll="0"/>
    <pivotField numFmtId="164" showAll="0"/>
    <pivotField numFmtId="9" showAll="0"/>
    <pivotField numFmtId="164" showAll="0"/>
    <pivotField axis="axisPage" showAll="0">
      <items count="5">
        <item x="3"/>
        <item x="1"/>
        <item x="2"/>
        <item x="0"/>
        <item t="default"/>
      </items>
    </pivotField>
    <pivotField numFmtId="165" showAll="0"/>
    <pivotField numFmtId="165" showAll="0"/>
    <pivotField numFmtId="165" showAll="0"/>
    <pivotField numFmtId="165" showAll="0"/>
    <pivotField dataField="1" numFmtId="165" showAll="0"/>
    <pivotField numFmtId="9" showAll="0"/>
  </pivotFields>
  <rowFields count="1">
    <field x="4"/>
  </rowFields>
  <rowItems count="7">
    <i>
      <x/>
    </i>
    <i>
      <x v="1"/>
    </i>
    <i>
      <x v="2"/>
    </i>
    <i>
      <x v="3"/>
    </i>
    <i>
      <x v="4"/>
    </i>
    <i>
      <x v="5"/>
    </i>
    <i t="grand">
      <x/>
    </i>
  </rowItems>
  <colItems count="1">
    <i/>
  </colItems>
  <pageFields count="1">
    <pageField fld="10" hier="-1"/>
  </pageFields>
  <dataFields count="1">
    <dataField name="Sum of Total Gross Margin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1DC26-2B52-4B31-BF01-D924C52B75E4}" name="Table1" displayName="Table1" ref="A1:Q126" totalsRowShown="0" headerRowDxfId="18" tableBorderDxfId="17">
  <autoFilter ref="A1:Q126" xr:uid="{A4E1DC26-2B52-4B31-BF01-D924C52B75E4}"/>
  <tableColumns count="17">
    <tableColumn id="1" xr3:uid="{E1CCCA7C-D1C4-4BBA-AEE5-20E87852382C}" name="Month" dataDxfId="16"/>
    <tableColumn id="2" xr3:uid="{AD65C003-FFB4-4425-9126-9BA0D07D48CB}" name="Subscription ID" dataDxfId="15"/>
    <tableColumn id="3" xr3:uid="{222F9C28-8B97-4366-866E-48299C5BE58B}" name="Customer ID" dataDxfId="14"/>
    <tableColumn id="4" xr3:uid="{A43252DF-22BE-4216-BDFB-25628A1684F9}" name="Company Name" dataDxfId="13"/>
    <tableColumn id="5" xr3:uid="{F1F8F8BA-078E-4232-BC12-CF7212116DB7}" name="Plan Name" dataDxfId="12"/>
    <tableColumn id="6" xr3:uid="{3661CD3B-D3F5-4F07-BEEE-DCC7DF1B3D60}" name="Billing Cycle" dataDxfId="11"/>
    <tableColumn id="7" xr3:uid="{7DFAB772-6F24-4F81-BAD2-F7F1B3D478D9}" name="Seats" dataDxfId="10"/>
    <tableColumn id="8" xr3:uid="{0FA1899D-B7F8-4E6F-8AF9-630E94FE5359}" name="List Price / Seat" dataDxfId="9"/>
    <tableColumn id="9" xr3:uid="{08AD1E5D-DF53-499E-BC5E-3691FD0B2839}" name="Discount %" dataDxfId="8"/>
    <tableColumn id="10" xr3:uid="{4E963221-2889-4FC8-87B3-BAD57BD907F4}" name="Cost / Seat" dataDxfId="7"/>
    <tableColumn id="11" xr3:uid="{726883BE-A915-41FA-9028-C92FD48E0F6D}" name="Plan Category" dataDxfId="6">
      <calculatedColumnFormula>_xlfn.XLOOKUP(E2, 'Plan Category Mapping'!$B$3:$B$8, 'Plan Category Mapping'!$C$3:$C$8, "N/A")</calculatedColumnFormula>
    </tableColumn>
    <tableColumn id="12" xr3:uid="{10F2F600-790A-4EFD-8E7D-3F9CA9B704D4}" name="Total COGS" dataDxfId="5">
      <calculatedColumnFormula>IF(F2="Annual", J2/12, J2)*G2*(1-I2)</calculatedColumnFormula>
    </tableColumn>
    <tableColumn id="13" xr3:uid="{662C5907-A58A-4F71-8593-A8501874AF51}" name="Total Net Revenue" dataDxfId="4">
      <calculatedColumnFormula>IF(F2="Annual", H2/12, H2)*G2*(1-I2)</calculatedColumnFormula>
    </tableColumn>
    <tableColumn id="18" xr3:uid="{261F29DF-1148-47D3-BB38-297801C0ECB7}" name="Total Gross Revenue" dataDxfId="1">
      <calculatedColumnFormula>IF(F2="Annual", H2/12, H2)*G2</calculatedColumnFormula>
    </tableColumn>
    <tableColumn id="14" xr3:uid="{F1DE0904-D14C-4DE7-ADD4-E3DBB7D6BD19}" name="Total Net Margin" dataDxfId="3">
      <calculatedColumnFormula>M2-L2</calculatedColumnFormula>
    </tableColumn>
    <tableColumn id="17" xr3:uid="{6EFE05D3-B211-4AC0-9C81-90227334B888}" name="Total Gross Margin ($)" dataDxfId="0">
      <calculatedColumnFormula>Table1[[#This Row],[Total Gross Revenue]]-Table1[[#This Row],[Total COGS]]</calculatedColumnFormula>
    </tableColumn>
    <tableColumn id="15" xr3:uid="{CB9988CE-0F8B-48C3-9DA3-7C9F51D75E37}" name="Total Gross Margin (%)" dataDxfId="2" dataCellStyle="Percent">
      <calculatedColumnFormula>O2/M2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A1:B17"/>
  <sheetViews>
    <sheetView topLeftCell="A7" zoomScaleNormal="100" workbookViewId="0">
      <selection activeCell="C38" sqref="C38"/>
    </sheetView>
  </sheetViews>
  <sheetFormatPr defaultColWidth="8.6328125" defaultRowHeight="14.5" x14ac:dyDescent="0.35"/>
  <cols>
    <col min="1" max="1" width="2" customWidth="1"/>
    <col min="2" max="2" width="80" customWidth="1"/>
  </cols>
  <sheetData>
    <row r="1" spans="1:2" ht="36" customHeight="1" x14ac:dyDescent="0.35">
      <c r="A1" s="23" t="s">
        <v>132</v>
      </c>
      <c r="B1" s="22"/>
    </row>
    <row r="2" spans="1:2" ht="21.75" customHeight="1" x14ac:dyDescent="0.35">
      <c r="A2" s="28" t="s">
        <v>133</v>
      </c>
      <c r="B2" s="22"/>
    </row>
    <row r="4" spans="1:2" x14ac:dyDescent="0.35">
      <c r="A4" s="27" t="s">
        <v>134</v>
      </c>
      <c r="B4" s="22"/>
    </row>
    <row r="5" spans="1:2" ht="69.75" customHeight="1" x14ac:dyDescent="0.35">
      <c r="A5" s="30" t="s">
        <v>135</v>
      </c>
      <c r="B5" s="22"/>
    </row>
    <row r="7" spans="1:2" x14ac:dyDescent="0.35">
      <c r="A7" s="29" t="s">
        <v>136</v>
      </c>
      <c r="B7" s="22"/>
    </row>
    <row r="8" spans="1:2" ht="30" customHeight="1" x14ac:dyDescent="0.35">
      <c r="A8" s="25" t="s">
        <v>137</v>
      </c>
      <c r="B8" s="22"/>
    </row>
    <row r="10" spans="1:2" x14ac:dyDescent="0.35">
      <c r="A10" s="29" t="s">
        <v>138</v>
      </c>
      <c r="B10" s="22"/>
    </row>
    <row r="11" spans="1:2" x14ac:dyDescent="0.35">
      <c r="A11" s="26" t="s">
        <v>139</v>
      </c>
      <c r="B11" s="22"/>
    </row>
    <row r="12" spans="1:2" x14ac:dyDescent="0.35">
      <c r="A12" s="26" t="s">
        <v>140</v>
      </c>
      <c r="B12" s="22"/>
    </row>
    <row r="13" spans="1:2" x14ac:dyDescent="0.35">
      <c r="A13" s="26" t="s">
        <v>141</v>
      </c>
      <c r="B13" s="22"/>
    </row>
    <row r="14" spans="1:2" x14ac:dyDescent="0.35">
      <c r="A14" s="26" t="s">
        <v>142</v>
      </c>
      <c r="B14" s="22"/>
    </row>
    <row r="15" spans="1:2" x14ac:dyDescent="0.35">
      <c r="A15" s="26" t="s">
        <v>143</v>
      </c>
      <c r="B15" s="22"/>
    </row>
    <row r="17" spans="1:2" x14ac:dyDescent="0.35">
      <c r="A17" s="24" t="s">
        <v>144</v>
      </c>
      <c r="B17" s="22"/>
    </row>
  </sheetData>
  <mergeCells count="13">
    <mergeCell ref="A1:B1"/>
    <mergeCell ref="A17:B17"/>
    <mergeCell ref="A8:B8"/>
    <mergeCell ref="A12:B12"/>
    <mergeCell ref="A4:B4"/>
    <mergeCell ref="A2:B2"/>
    <mergeCell ref="A15:B15"/>
    <mergeCell ref="A7:B7"/>
    <mergeCell ref="A11:B11"/>
    <mergeCell ref="A10:B10"/>
    <mergeCell ref="A5:B5"/>
    <mergeCell ref="A13:B13"/>
    <mergeCell ref="A14:B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A1:Q126"/>
  <sheetViews>
    <sheetView zoomScaleNormal="100" workbookViewId="0">
      <pane ySplit="1" topLeftCell="A2" activePane="bottomLeft" state="frozen"/>
      <selection pane="bottomLeft" sqref="A1:Q126"/>
    </sheetView>
  </sheetViews>
  <sheetFormatPr defaultColWidth="8.6328125" defaultRowHeight="14.5" x14ac:dyDescent="0.35"/>
  <cols>
    <col min="1" max="1" width="10" customWidth="1"/>
    <col min="2" max="2" width="17" customWidth="1"/>
    <col min="3" max="3" width="14.36328125" customWidth="1"/>
    <col min="4" max="4" width="30" customWidth="1"/>
    <col min="5" max="5" width="22" customWidth="1"/>
    <col min="6" max="6" width="14.08984375" customWidth="1"/>
    <col min="7" max="7" width="8.08984375" customWidth="1"/>
    <col min="8" max="8" width="18" customWidth="1"/>
    <col min="9" max="9" width="13.26953125" customWidth="1"/>
    <col min="10" max="10" width="13" customWidth="1"/>
    <col min="11" max="11" width="15.81640625" customWidth="1"/>
    <col min="12" max="12" width="14" customWidth="1"/>
    <col min="13" max="14" width="16.36328125" customWidth="1"/>
    <col min="15" max="16" width="23.36328125" customWidth="1"/>
    <col min="17" max="17" width="23.90625" customWidth="1"/>
  </cols>
  <sheetData>
    <row r="1" spans="1:17" ht="30" customHeight="1" x14ac:dyDescent="0.35">
      <c r="A1" s="16" t="s">
        <v>0</v>
      </c>
      <c r="B1" s="1" t="s">
        <v>1</v>
      </c>
      <c r="C1" s="1" t="s">
        <v>2</v>
      </c>
      <c r="D1" s="1" t="s">
        <v>3</v>
      </c>
      <c r="E1" s="1" t="s">
        <v>4</v>
      </c>
      <c r="F1" s="1" t="s">
        <v>5</v>
      </c>
      <c r="G1" s="1" t="s">
        <v>6</v>
      </c>
      <c r="H1" s="1" t="s">
        <v>7</v>
      </c>
      <c r="I1" s="1" t="s">
        <v>8</v>
      </c>
      <c r="J1" s="1" t="s">
        <v>9</v>
      </c>
      <c r="K1" s="11" t="s">
        <v>146</v>
      </c>
      <c r="L1" s="11" t="s">
        <v>176</v>
      </c>
      <c r="M1" s="11" t="s">
        <v>184</v>
      </c>
      <c r="N1" s="11" t="s">
        <v>183</v>
      </c>
      <c r="O1" s="11" t="s">
        <v>182</v>
      </c>
      <c r="P1" s="11" t="s">
        <v>174</v>
      </c>
      <c r="Q1" s="11" t="s">
        <v>175</v>
      </c>
    </row>
    <row r="2" spans="1:17" x14ac:dyDescent="0.35">
      <c r="A2" s="17" t="s">
        <v>10</v>
      </c>
      <c r="B2" s="2" t="s">
        <v>11</v>
      </c>
      <c r="C2" s="2" t="s">
        <v>12</v>
      </c>
      <c r="D2" s="3" t="s">
        <v>13</v>
      </c>
      <c r="E2" s="2" t="s">
        <v>14</v>
      </c>
      <c r="F2" s="2" t="s">
        <v>15</v>
      </c>
      <c r="G2" s="2">
        <v>26</v>
      </c>
      <c r="H2" s="4">
        <v>1800</v>
      </c>
      <c r="I2" s="5">
        <v>0</v>
      </c>
      <c r="J2" s="4">
        <v>720</v>
      </c>
      <c r="K2" s="14" t="str">
        <f>_xlfn.XLOOKUP(E2, 'Plan Category Mapping'!$B$3:$B$8, 'Plan Category Mapping'!$C$3:$C$8, "N/A")</f>
        <v>Suite</v>
      </c>
      <c r="L2" s="12">
        <f>IF(F2="Annual", J2/12, J2)*G2*(1-I2)</f>
        <v>1560</v>
      </c>
      <c r="M2" s="12">
        <f>IF(F2="Annual", H2/12, H2)*G2*(1-I2)</f>
        <v>3900</v>
      </c>
      <c r="N2" s="12">
        <f t="shared" ref="N2:N65" si="0">IF(F2="Annual", H2/12, H2)*G2</f>
        <v>3900</v>
      </c>
      <c r="O2" s="12">
        <f>M2-L2</f>
        <v>2340</v>
      </c>
      <c r="P2" s="12">
        <f>Table1[[#This Row],[Total Gross Revenue]]-Table1[[#This Row],[Total COGS]]</f>
        <v>2340</v>
      </c>
      <c r="Q2" s="13">
        <f>O2/M2</f>
        <v>0.6</v>
      </c>
    </row>
    <row r="3" spans="1:17" x14ac:dyDescent="0.35">
      <c r="A3" s="18" t="s">
        <v>10</v>
      </c>
      <c r="B3" s="6" t="s">
        <v>16</v>
      </c>
      <c r="C3" s="6" t="s">
        <v>17</v>
      </c>
      <c r="D3" s="7" t="s">
        <v>18</v>
      </c>
      <c r="E3" s="6" t="s">
        <v>19</v>
      </c>
      <c r="F3" s="6" t="s">
        <v>20</v>
      </c>
      <c r="G3" s="6">
        <v>23</v>
      </c>
      <c r="H3" s="8">
        <v>85</v>
      </c>
      <c r="I3" s="9">
        <v>0</v>
      </c>
      <c r="J3" s="8">
        <v>31.5</v>
      </c>
      <c r="K3" s="14" t="str">
        <f>_xlfn.XLOOKUP(E3, 'Plan Category Mapping'!$B$3:$B$8, 'Plan Category Mapping'!$C$3:$C$8, "N/A")</f>
        <v>Marketing</v>
      </c>
      <c r="L3" s="12">
        <f t="shared" ref="L3:L66" si="1">IF(F3="Annual", J3/12, J3)*G3*(1-I3)</f>
        <v>724.5</v>
      </c>
      <c r="M3" s="12">
        <f t="shared" ref="M3:M66" si="2">IF(F3="Annual", H3/12, H3)*G3*(1-I3)</f>
        <v>1955</v>
      </c>
      <c r="N3" s="12">
        <f t="shared" si="0"/>
        <v>1955</v>
      </c>
      <c r="O3" s="12">
        <f t="shared" ref="O3:O66" si="3">M3-L3</f>
        <v>1230.5</v>
      </c>
      <c r="P3" s="12">
        <f>Table1[[#This Row],[Total Gross Revenue]]-Table1[[#This Row],[Total COGS]]</f>
        <v>1230.5</v>
      </c>
      <c r="Q3" s="13">
        <f t="shared" ref="Q3:Q66" si="4">O3/M3</f>
        <v>0.62941176470588234</v>
      </c>
    </row>
    <row r="4" spans="1:17" x14ac:dyDescent="0.35">
      <c r="A4" s="17" t="s">
        <v>10</v>
      </c>
      <c r="B4" s="2" t="s">
        <v>21</v>
      </c>
      <c r="C4" s="2" t="s">
        <v>22</v>
      </c>
      <c r="D4" s="3" t="s">
        <v>23</v>
      </c>
      <c r="E4" s="2" t="s">
        <v>24</v>
      </c>
      <c r="F4" s="2" t="s">
        <v>20</v>
      </c>
      <c r="G4" s="2">
        <v>18</v>
      </c>
      <c r="H4" s="4">
        <v>110</v>
      </c>
      <c r="I4" s="5">
        <v>0</v>
      </c>
      <c r="J4" s="4">
        <v>31</v>
      </c>
      <c r="K4" s="14" t="str">
        <f>_xlfn.XLOOKUP(E4, 'Plan Category Mapping'!$B$3:$B$8, 'Plan Category Mapping'!$C$3:$C$8, "N/A")</f>
        <v>Sales</v>
      </c>
      <c r="L4" s="12">
        <f t="shared" si="1"/>
        <v>558</v>
      </c>
      <c r="M4" s="12">
        <f t="shared" si="2"/>
        <v>1980</v>
      </c>
      <c r="N4" s="12">
        <f t="shared" si="0"/>
        <v>1980</v>
      </c>
      <c r="O4" s="12">
        <f t="shared" si="3"/>
        <v>1422</v>
      </c>
      <c r="P4" s="12">
        <f>Table1[[#This Row],[Total Gross Revenue]]-Table1[[#This Row],[Total COGS]]</f>
        <v>1422</v>
      </c>
      <c r="Q4" s="13">
        <f t="shared" si="4"/>
        <v>0.71818181818181814</v>
      </c>
    </row>
    <row r="5" spans="1:17" x14ac:dyDescent="0.35">
      <c r="A5" s="18" t="s">
        <v>10</v>
      </c>
      <c r="B5" s="6" t="s">
        <v>25</v>
      </c>
      <c r="C5" s="6" t="s">
        <v>26</v>
      </c>
      <c r="D5" s="7" t="s">
        <v>27</v>
      </c>
      <c r="E5" s="6" t="s">
        <v>28</v>
      </c>
      <c r="F5" s="6" t="s">
        <v>15</v>
      </c>
      <c r="G5" s="6">
        <v>31</v>
      </c>
      <c r="H5" s="8">
        <v>2160</v>
      </c>
      <c r="I5" s="9">
        <v>0</v>
      </c>
      <c r="J5" s="8">
        <v>756</v>
      </c>
      <c r="K5" s="14" t="str">
        <f>_xlfn.XLOOKUP(E5, 'Plan Category Mapping'!$B$3:$B$8, 'Plan Category Mapping'!$C$3:$C$8, "N/A")</f>
        <v>Analytics</v>
      </c>
      <c r="L5" s="12">
        <f t="shared" si="1"/>
        <v>1953</v>
      </c>
      <c r="M5" s="12">
        <f t="shared" si="2"/>
        <v>5580</v>
      </c>
      <c r="N5" s="12">
        <f t="shared" si="0"/>
        <v>5580</v>
      </c>
      <c r="O5" s="12">
        <f t="shared" si="3"/>
        <v>3627</v>
      </c>
      <c r="P5" s="12">
        <f>Table1[[#This Row],[Total Gross Revenue]]-Table1[[#This Row],[Total COGS]]</f>
        <v>3627</v>
      </c>
      <c r="Q5" s="13">
        <f t="shared" si="4"/>
        <v>0.65</v>
      </c>
    </row>
    <row r="6" spans="1:17" x14ac:dyDescent="0.35">
      <c r="A6" s="17" t="s">
        <v>10</v>
      </c>
      <c r="B6" s="2" t="s">
        <v>29</v>
      </c>
      <c r="C6" s="2" t="s">
        <v>30</v>
      </c>
      <c r="D6" s="3" t="s">
        <v>31</v>
      </c>
      <c r="E6" s="2" t="s">
        <v>19</v>
      </c>
      <c r="F6" s="2" t="s">
        <v>20</v>
      </c>
      <c r="G6" s="2">
        <v>16</v>
      </c>
      <c r="H6" s="4">
        <v>85</v>
      </c>
      <c r="I6" s="5">
        <v>0</v>
      </c>
      <c r="J6" s="4">
        <v>31.5</v>
      </c>
      <c r="K6" s="14" t="str">
        <f>_xlfn.XLOOKUP(E6, 'Plan Category Mapping'!$B$3:$B$8, 'Plan Category Mapping'!$C$3:$C$8, "N/A")</f>
        <v>Marketing</v>
      </c>
      <c r="L6" s="12">
        <f t="shared" si="1"/>
        <v>504</v>
      </c>
      <c r="M6" s="12">
        <f t="shared" si="2"/>
        <v>1360</v>
      </c>
      <c r="N6" s="12">
        <f t="shared" si="0"/>
        <v>1360</v>
      </c>
      <c r="O6" s="12">
        <f t="shared" si="3"/>
        <v>856</v>
      </c>
      <c r="P6" s="12">
        <f>Table1[[#This Row],[Total Gross Revenue]]-Table1[[#This Row],[Total COGS]]</f>
        <v>856</v>
      </c>
      <c r="Q6" s="13">
        <f t="shared" si="4"/>
        <v>0.62941176470588234</v>
      </c>
    </row>
    <row r="7" spans="1:17" x14ac:dyDescent="0.35">
      <c r="A7" s="18" t="s">
        <v>10</v>
      </c>
      <c r="B7" s="6" t="s">
        <v>32</v>
      </c>
      <c r="C7" s="6" t="s">
        <v>33</v>
      </c>
      <c r="D7" s="7" t="s">
        <v>34</v>
      </c>
      <c r="E7" s="6" t="s">
        <v>14</v>
      </c>
      <c r="F7" s="6" t="s">
        <v>15</v>
      </c>
      <c r="G7" s="6">
        <v>36</v>
      </c>
      <c r="H7" s="8">
        <v>1800</v>
      </c>
      <c r="I7" s="9">
        <v>0</v>
      </c>
      <c r="J7" s="8">
        <v>720</v>
      </c>
      <c r="K7" s="14" t="str">
        <f>_xlfn.XLOOKUP(E7, 'Plan Category Mapping'!$B$3:$B$8, 'Plan Category Mapping'!$C$3:$C$8, "N/A")</f>
        <v>Suite</v>
      </c>
      <c r="L7" s="12">
        <f t="shared" si="1"/>
        <v>2160</v>
      </c>
      <c r="M7" s="12">
        <f t="shared" si="2"/>
        <v>5400</v>
      </c>
      <c r="N7" s="12">
        <f t="shared" si="0"/>
        <v>5400</v>
      </c>
      <c r="O7" s="12">
        <f t="shared" si="3"/>
        <v>3240</v>
      </c>
      <c r="P7" s="12">
        <f>Table1[[#This Row],[Total Gross Revenue]]-Table1[[#This Row],[Total COGS]]</f>
        <v>3240</v>
      </c>
      <c r="Q7" s="13">
        <f t="shared" si="4"/>
        <v>0.6</v>
      </c>
    </row>
    <row r="8" spans="1:17" x14ac:dyDescent="0.35">
      <c r="A8" s="17" t="s">
        <v>10</v>
      </c>
      <c r="B8" s="2" t="s">
        <v>35</v>
      </c>
      <c r="C8" s="2" t="s">
        <v>36</v>
      </c>
      <c r="D8" s="3" t="s">
        <v>37</v>
      </c>
      <c r="E8" s="2" t="s">
        <v>38</v>
      </c>
      <c r="F8" s="2" t="s">
        <v>20</v>
      </c>
      <c r="G8" s="2">
        <v>13</v>
      </c>
      <c r="H8" s="4">
        <v>45</v>
      </c>
      <c r="I8" s="5">
        <v>0</v>
      </c>
      <c r="J8" s="4">
        <v>9</v>
      </c>
      <c r="K8" s="14" t="str">
        <f>_xlfn.XLOOKUP(E8, 'Plan Category Mapping'!$B$3:$B$8, 'Plan Category Mapping'!$C$3:$C$8, "N/A")</f>
        <v>Analytics</v>
      </c>
      <c r="L8" s="12">
        <f t="shared" si="1"/>
        <v>117</v>
      </c>
      <c r="M8" s="12">
        <f t="shared" si="2"/>
        <v>585</v>
      </c>
      <c r="N8" s="12">
        <f t="shared" si="0"/>
        <v>585</v>
      </c>
      <c r="O8" s="12">
        <f t="shared" si="3"/>
        <v>468</v>
      </c>
      <c r="P8" s="12">
        <f>Table1[[#This Row],[Total Gross Revenue]]-Table1[[#This Row],[Total COGS]]</f>
        <v>468</v>
      </c>
      <c r="Q8" s="13">
        <f t="shared" si="4"/>
        <v>0.8</v>
      </c>
    </row>
    <row r="9" spans="1:17" x14ac:dyDescent="0.35">
      <c r="A9" s="18" t="s">
        <v>10</v>
      </c>
      <c r="B9" s="6" t="s">
        <v>39</v>
      </c>
      <c r="C9" s="6" t="s">
        <v>40</v>
      </c>
      <c r="D9" s="7" t="s">
        <v>41</v>
      </c>
      <c r="E9" s="6" t="s">
        <v>24</v>
      </c>
      <c r="F9" s="6" t="s">
        <v>20</v>
      </c>
      <c r="G9" s="6">
        <v>18</v>
      </c>
      <c r="H9" s="8">
        <v>110</v>
      </c>
      <c r="I9" s="9">
        <v>0</v>
      </c>
      <c r="J9" s="8">
        <v>31</v>
      </c>
      <c r="K9" s="14" t="str">
        <f>_xlfn.XLOOKUP(E9, 'Plan Category Mapping'!$B$3:$B$8, 'Plan Category Mapping'!$C$3:$C$8, "N/A")</f>
        <v>Sales</v>
      </c>
      <c r="L9" s="12">
        <f t="shared" si="1"/>
        <v>558</v>
      </c>
      <c r="M9" s="12">
        <f t="shared" si="2"/>
        <v>1980</v>
      </c>
      <c r="N9" s="12">
        <f t="shared" si="0"/>
        <v>1980</v>
      </c>
      <c r="O9" s="12">
        <f t="shared" si="3"/>
        <v>1422</v>
      </c>
      <c r="P9" s="12">
        <f>Table1[[#This Row],[Total Gross Revenue]]-Table1[[#This Row],[Total COGS]]</f>
        <v>1422</v>
      </c>
      <c r="Q9" s="13">
        <f t="shared" si="4"/>
        <v>0.71818181818181814</v>
      </c>
    </row>
    <row r="10" spans="1:17" x14ac:dyDescent="0.35">
      <c r="A10" s="17" t="s">
        <v>10</v>
      </c>
      <c r="B10" s="2" t="s">
        <v>42</v>
      </c>
      <c r="C10" s="2" t="s">
        <v>43</v>
      </c>
      <c r="D10" s="3" t="s">
        <v>44</v>
      </c>
      <c r="E10" s="2" t="s">
        <v>45</v>
      </c>
      <c r="F10" s="2" t="s">
        <v>20</v>
      </c>
      <c r="G10" s="2">
        <v>23</v>
      </c>
      <c r="H10" s="4">
        <v>95</v>
      </c>
      <c r="I10" s="5">
        <v>0</v>
      </c>
      <c r="J10" s="4">
        <v>24</v>
      </c>
      <c r="K10" s="14" t="str">
        <f>_xlfn.XLOOKUP(E10, 'Plan Category Mapping'!$B$3:$B$8, 'Plan Category Mapping'!$C$3:$C$8, "N/A")</f>
        <v>Analytics</v>
      </c>
      <c r="L10" s="12">
        <f t="shared" si="1"/>
        <v>552</v>
      </c>
      <c r="M10" s="12">
        <f t="shared" si="2"/>
        <v>2185</v>
      </c>
      <c r="N10" s="12">
        <f t="shared" si="0"/>
        <v>2185</v>
      </c>
      <c r="O10" s="12">
        <f t="shared" si="3"/>
        <v>1633</v>
      </c>
      <c r="P10" s="12">
        <f>Table1[[#This Row],[Total Gross Revenue]]-Table1[[#This Row],[Total COGS]]</f>
        <v>1633</v>
      </c>
      <c r="Q10" s="13">
        <f t="shared" si="4"/>
        <v>0.74736842105263157</v>
      </c>
    </row>
    <row r="11" spans="1:17" x14ac:dyDescent="0.35">
      <c r="A11" s="18" t="s">
        <v>10</v>
      </c>
      <c r="B11" s="6" t="s">
        <v>46</v>
      </c>
      <c r="C11" s="6" t="s">
        <v>47</v>
      </c>
      <c r="D11" s="7" t="s">
        <v>48</v>
      </c>
      <c r="E11" s="6" t="s">
        <v>38</v>
      </c>
      <c r="F11" s="6" t="s">
        <v>20</v>
      </c>
      <c r="G11" s="6">
        <v>10</v>
      </c>
      <c r="H11" s="8">
        <v>45</v>
      </c>
      <c r="I11" s="9">
        <v>0</v>
      </c>
      <c r="J11" s="8">
        <v>9</v>
      </c>
      <c r="K11" s="14" t="str">
        <f>_xlfn.XLOOKUP(E11, 'Plan Category Mapping'!$B$3:$B$8, 'Plan Category Mapping'!$C$3:$C$8, "N/A")</f>
        <v>Analytics</v>
      </c>
      <c r="L11" s="12">
        <f t="shared" si="1"/>
        <v>90</v>
      </c>
      <c r="M11" s="12">
        <f t="shared" si="2"/>
        <v>450</v>
      </c>
      <c r="N11" s="12">
        <f t="shared" si="0"/>
        <v>450</v>
      </c>
      <c r="O11" s="12">
        <f t="shared" si="3"/>
        <v>360</v>
      </c>
      <c r="P11" s="12">
        <f>Table1[[#This Row],[Total Gross Revenue]]-Table1[[#This Row],[Total COGS]]</f>
        <v>360</v>
      </c>
      <c r="Q11" s="13">
        <f t="shared" si="4"/>
        <v>0.8</v>
      </c>
    </row>
    <row r="12" spans="1:17" x14ac:dyDescent="0.35">
      <c r="A12" s="17" t="s">
        <v>10</v>
      </c>
      <c r="B12" s="2" t="s">
        <v>49</v>
      </c>
      <c r="C12" s="2" t="s">
        <v>50</v>
      </c>
      <c r="D12" s="3" t="s">
        <v>51</v>
      </c>
      <c r="E12" s="2" t="s">
        <v>19</v>
      </c>
      <c r="F12" s="2" t="s">
        <v>20</v>
      </c>
      <c r="G12" s="2">
        <v>28</v>
      </c>
      <c r="H12" s="4">
        <v>85</v>
      </c>
      <c r="I12" s="5">
        <v>0</v>
      </c>
      <c r="J12" s="4">
        <v>31.5</v>
      </c>
      <c r="K12" s="14" t="str">
        <f>_xlfn.XLOOKUP(E12, 'Plan Category Mapping'!$B$3:$B$8, 'Plan Category Mapping'!$C$3:$C$8, "N/A")</f>
        <v>Marketing</v>
      </c>
      <c r="L12" s="12">
        <f t="shared" si="1"/>
        <v>882</v>
      </c>
      <c r="M12" s="12">
        <f t="shared" si="2"/>
        <v>2380</v>
      </c>
      <c r="N12" s="12">
        <f t="shared" si="0"/>
        <v>2380</v>
      </c>
      <c r="O12" s="12">
        <f t="shared" si="3"/>
        <v>1498</v>
      </c>
      <c r="P12" s="12">
        <f>Table1[[#This Row],[Total Gross Revenue]]-Table1[[#This Row],[Total COGS]]</f>
        <v>1498</v>
      </c>
      <c r="Q12" s="13">
        <f t="shared" si="4"/>
        <v>0.62941176470588234</v>
      </c>
    </row>
    <row r="13" spans="1:17" x14ac:dyDescent="0.35">
      <c r="A13" s="18" t="s">
        <v>10</v>
      </c>
      <c r="B13" s="6" t="s">
        <v>52</v>
      </c>
      <c r="C13" s="6" t="s">
        <v>53</v>
      </c>
      <c r="D13" s="7" t="s">
        <v>54</v>
      </c>
      <c r="E13" s="6" t="s">
        <v>45</v>
      </c>
      <c r="F13" s="6" t="s">
        <v>20</v>
      </c>
      <c r="G13" s="6">
        <v>19</v>
      </c>
      <c r="H13" s="8">
        <v>95</v>
      </c>
      <c r="I13" s="9">
        <v>0.1</v>
      </c>
      <c r="J13" s="8">
        <v>24</v>
      </c>
      <c r="K13" s="14" t="str">
        <f>_xlfn.XLOOKUP(E13, 'Plan Category Mapping'!$B$3:$B$8, 'Plan Category Mapping'!$C$3:$C$8, "N/A")</f>
        <v>Analytics</v>
      </c>
      <c r="L13" s="12">
        <f t="shared" si="1"/>
        <v>410.40000000000003</v>
      </c>
      <c r="M13" s="12">
        <f t="shared" si="2"/>
        <v>1624.5</v>
      </c>
      <c r="N13" s="12">
        <f t="shared" si="0"/>
        <v>1805</v>
      </c>
      <c r="O13" s="12">
        <f t="shared" si="3"/>
        <v>1214.0999999999999</v>
      </c>
      <c r="P13" s="12">
        <f>Table1[[#This Row],[Total Gross Revenue]]-Table1[[#This Row],[Total COGS]]</f>
        <v>1394.6</v>
      </c>
      <c r="Q13" s="13">
        <f t="shared" si="4"/>
        <v>0.74736842105263157</v>
      </c>
    </row>
    <row r="14" spans="1:17" x14ac:dyDescent="0.35">
      <c r="A14" s="17" t="s">
        <v>10</v>
      </c>
      <c r="B14" s="2" t="s">
        <v>55</v>
      </c>
      <c r="C14" s="2" t="s">
        <v>56</v>
      </c>
      <c r="D14" s="3" t="s">
        <v>57</v>
      </c>
      <c r="E14" s="2" t="s">
        <v>14</v>
      </c>
      <c r="F14" s="2" t="s">
        <v>15</v>
      </c>
      <c r="G14" s="2">
        <v>42</v>
      </c>
      <c r="H14" s="4">
        <v>1800</v>
      </c>
      <c r="I14" s="5">
        <v>0</v>
      </c>
      <c r="J14" s="4">
        <v>720</v>
      </c>
      <c r="K14" s="14" t="str">
        <f>_xlfn.XLOOKUP(E14, 'Plan Category Mapping'!$B$3:$B$8, 'Plan Category Mapping'!$C$3:$C$8, "N/A")</f>
        <v>Suite</v>
      </c>
      <c r="L14" s="12">
        <f t="shared" si="1"/>
        <v>2520</v>
      </c>
      <c r="M14" s="12">
        <f t="shared" si="2"/>
        <v>6300</v>
      </c>
      <c r="N14" s="12">
        <f t="shared" si="0"/>
        <v>6300</v>
      </c>
      <c r="O14" s="12">
        <f t="shared" si="3"/>
        <v>3780</v>
      </c>
      <c r="P14" s="12">
        <f>Table1[[#This Row],[Total Gross Revenue]]-Table1[[#This Row],[Total COGS]]</f>
        <v>3780</v>
      </c>
      <c r="Q14" s="13">
        <f t="shared" si="4"/>
        <v>0.6</v>
      </c>
    </row>
    <row r="15" spans="1:17" x14ac:dyDescent="0.35">
      <c r="A15" s="18" t="s">
        <v>10</v>
      </c>
      <c r="B15" s="6" t="s">
        <v>58</v>
      </c>
      <c r="C15" s="6" t="s">
        <v>59</v>
      </c>
      <c r="D15" s="7" t="s">
        <v>60</v>
      </c>
      <c r="E15" s="6" t="s">
        <v>38</v>
      </c>
      <c r="F15" s="6" t="s">
        <v>20</v>
      </c>
      <c r="G15" s="6">
        <v>12</v>
      </c>
      <c r="H15" s="8">
        <v>45</v>
      </c>
      <c r="I15" s="9">
        <v>0</v>
      </c>
      <c r="J15" s="8">
        <v>9</v>
      </c>
      <c r="K15" s="14" t="str">
        <f>_xlfn.XLOOKUP(E15, 'Plan Category Mapping'!$B$3:$B$8, 'Plan Category Mapping'!$C$3:$C$8, "N/A")</f>
        <v>Analytics</v>
      </c>
      <c r="L15" s="12">
        <f t="shared" si="1"/>
        <v>108</v>
      </c>
      <c r="M15" s="12">
        <f t="shared" si="2"/>
        <v>540</v>
      </c>
      <c r="N15" s="12">
        <f t="shared" si="0"/>
        <v>540</v>
      </c>
      <c r="O15" s="12">
        <f t="shared" si="3"/>
        <v>432</v>
      </c>
      <c r="P15" s="12">
        <f>Table1[[#This Row],[Total Gross Revenue]]-Table1[[#This Row],[Total COGS]]</f>
        <v>432</v>
      </c>
      <c r="Q15" s="13">
        <f t="shared" si="4"/>
        <v>0.8</v>
      </c>
    </row>
    <row r="16" spans="1:17" x14ac:dyDescent="0.35">
      <c r="A16" s="17" t="s">
        <v>10</v>
      </c>
      <c r="B16" s="2" t="s">
        <v>61</v>
      </c>
      <c r="C16" s="2" t="s">
        <v>62</v>
      </c>
      <c r="D16" s="3" t="s">
        <v>63</v>
      </c>
      <c r="E16" s="2" t="s">
        <v>28</v>
      </c>
      <c r="F16" s="2" t="s">
        <v>20</v>
      </c>
      <c r="G16" s="2">
        <v>35</v>
      </c>
      <c r="H16" s="4">
        <v>180</v>
      </c>
      <c r="I16" s="5">
        <v>0</v>
      </c>
      <c r="J16" s="4">
        <v>63</v>
      </c>
      <c r="K16" s="14" t="str">
        <f>_xlfn.XLOOKUP(E16, 'Plan Category Mapping'!$B$3:$B$8, 'Plan Category Mapping'!$C$3:$C$8, "N/A")</f>
        <v>Analytics</v>
      </c>
      <c r="L16" s="12">
        <f t="shared" si="1"/>
        <v>2205</v>
      </c>
      <c r="M16" s="12">
        <f t="shared" si="2"/>
        <v>6300</v>
      </c>
      <c r="N16" s="12">
        <f t="shared" si="0"/>
        <v>6300</v>
      </c>
      <c r="O16" s="12">
        <f t="shared" si="3"/>
        <v>4095</v>
      </c>
      <c r="P16" s="12">
        <f>Table1[[#This Row],[Total Gross Revenue]]-Table1[[#This Row],[Total COGS]]</f>
        <v>4095</v>
      </c>
      <c r="Q16" s="13">
        <f t="shared" si="4"/>
        <v>0.65</v>
      </c>
    </row>
    <row r="17" spans="1:17" x14ac:dyDescent="0.35">
      <c r="A17" s="18" t="s">
        <v>10</v>
      </c>
      <c r="B17" s="6" t="s">
        <v>64</v>
      </c>
      <c r="C17" s="6" t="s">
        <v>65</v>
      </c>
      <c r="D17" s="7" t="s">
        <v>66</v>
      </c>
      <c r="E17" s="6" t="s">
        <v>19</v>
      </c>
      <c r="F17" s="6" t="s">
        <v>20</v>
      </c>
      <c r="G17" s="6">
        <v>19</v>
      </c>
      <c r="H17" s="8">
        <v>85</v>
      </c>
      <c r="I17" s="9">
        <v>0</v>
      </c>
      <c r="J17" s="8">
        <v>31.5</v>
      </c>
      <c r="K17" s="14" t="str">
        <f>_xlfn.XLOOKUP(E17, 'Plan Category Mapping'!$B$3:$B$8, 'Plan Category Mapping'!$C$3:$C$8, "N/A")</f>
        <v>Marketing</v>
      </c>
      <c r="L17" s="12">
        <f t="shared" si="1"/>
        <v>598.5</v>
      </c>
      <c r="M17" s="12">
        <f t="shared" si="2"/>
        <v>1615</v>
      </c>
      <c r="N17" s="12">
        <f t="shared" si="0"/>
        <v>1615</v>
      </c>
      <c r="O17" s="12">
        <f t="shared" si="3"/>
        <v>1016.5</v>
      </c>
      <c r="P17" s="12">
        <f>Table1[[#This Row],[Total Gross Revenue]]-Table1[[#This Row],[Total COGS]]</f>
        <v>1016.5</v>
      </c>
      <c r="Q17" s="13">
        <f t="shared" si="4"/>
        <v>0.62941176470588234</v>
      </c>
    </row>
    <row r="18" spans="1:17" x14ac:dyDescent="0.35">
      <c r="A18" s="17" t="s">
        <v>10</v>
      </c>
      <c r="B18" s="2" t="s">
        <v>67</v>
      </c>
      <c r="C18" s="2" t="s">
        <v>68</v>
      </c>
      <c r="D18" s="3" t="s">
        <v>69</v>
      </c>
      <c r="E18" s="2" t="s">
        <v>24</v>
      </c>
      <c r="F18" s="2" t="s">
        <v>20</v>
      </c>
      <c r="G18" s="2">
        <v>15</v>
      </c>
      <c r="H18" s="4">
        <v>110</v>
      </c>
      <c r="I18" s="5">
        <v>0</v>
      </c>
      <c r="J18" s="4">
        <v>31</v>
      </c>
      <c r="K18" s="14" t="str">
        <f>_xlfn.XLOOKUP(E18, 'Plan Category Mapping'!$B$3:$B$8, 'Plan Category Mapping'!$C$3:$C$8, "N/A")</f>
        <v>Sales</v>
      </c>
      <c r="L18" s="12">
        <f t="shared" si="1"/>
        <v>465</v>
      </c>
      <c r="M18" s="12">
        <f t="shared" si="2"/>
        <v>1650</v>
      </c>
      <c r="N18" s="12">
        <f t="shared" si="0"/>
        <v>1650</v>
      </c>
      <c r="O18" s="12">
        <f t="shared" si="3"/>
        <v>1185</v>
      </c>
      <c r="P18" s="12">
        <f>Table1[[#This Row],[Total Gross Revenue]]-Table1[[#This Row],[Total COGS]]</f>
        <v>1185</v>
      </c>
      <c r="Q18" s="13">
        <f t="shared" si="4"/>
        <v>0.71818181818181814</v>
      </c>
    </row>
    <row r="19" spans="1:17" x14ac:dyDescent="0.35">
      <c r="A19" s="18" t="s">
        <v>10</v>
      </c>
      <c r="B19" s="6" t="s">
        <v>70</v>
      </c>
      <c r="C19" s="6" t="s">
        <v>71</v>
      </c>
      <c r="D19" s="7" t="s">
        <v>72</v>
      </c>
      <c r="E19" s="6" t="s">
        <v>45</v>
      </c>
      <c r="F19" s="6" t="s">
        <v>20</v>
      </c>
      <c r="G19" s="6">
        <v>25</v>
      </c>
      <c r="H19" s="8">
        <v>95</v>
      </c>
      <c r="I19" s="9">
        <v>0</v>
      </c>
      <c r="J19" s="8">
        <v>24</v>
      </c>
      <c r="K19" s="14" t="str">
        <f>_xlfn.XLOOKUP(E19, 'Plan Category Mapping'!$B$3:$B$8, 'Plan Category Mapping'!$C$3:$C$8, "N/A")</f>
        <v>Analytics</v>
      </c>
      <c r="L19" s="12">
        <f t="shared" si="1"/>
        <v>600</v>
      </c>
      <c r="M19" s="12">
        <f t="shared" si="2"/>
        <v>2375</v>
      </c>
      <c r="N19" s="12">
        <f t="shared" si="0"/>
        <v>2375</v>
      </c>
      <c r="O19" s="12">
        <f t="shared" si="3"/>
        <v>1775</v>
      </c>
      <c r="P19" s="12">
        <f>Table1[[#This Row],[Total Gross Revenue]]-Table1[[#This Row],[Total COGS]]</f>
        <v>1775</v>
      </c>
      <c r="Q19" s="13">
        <f t="shared" si="4"/>
        <v>0.74736842105263157</v>
      </c>
    </row>
    <row r="20" spans="1:17" x14ac:dyDescent="0.35">
      <c r="A20" s="17" t="s">
        <v>10</v>
      </c>
      <c r="B20" s="2" t="s">
        <v>73</v>
      </c>
      <c r="C20" s="2" t="s">
        <v>74</v>
      </c>
      <c r="D20" s="3" t="s">
        <v>75</v>
      </c>
      <c r="E20" s="2" t="s">
        <v>14</v>
      </c>
      <c r="F20" s="2" t="s">
        <v>20</v>
      </c>
      <c r="G20" s="2">
        <v>33</v>
      </c>
      <c r="H20" s="4">
        <v>150</v>
      </c>
      <c r="I20" s="5">
        <v>0</v>
      </c>
      <c r="J20" s="4">
        <v>60</v>
      </c>
      <c r="K20" s="14" t="str">
        <f>_xlfn.XLOOKUP(E20, 'Plan Category Mapping'!$B$3:$B$8, 'Plan Category Mapping'!$C$3:$C$8, "N/A")</f>
        <v>Suite</v>
      </c>
      <c r="L20" s="12">
        <f t="shared" si="1"/>
        <v>1980</v>
      </c>
      <c r="M20" s="12">
        <f t="shared" si="2"/>
        <v>4950</v>
      </c>
      <c r="N20" s="12">
        <f t="shared" si="0"/>
        <v>4950</v>
      </c>
      <c r="O20" s="12">
        <f t="shared" si="3"/>
        <v>2970</v>
      </c>
      <c r="P20" s="12">
        <f>Table1[[#This Row],[Total Gross Revenue]]-Table1[[#This Row],[Total COGS]]</f>
        <v>2970</v>
      </c>
      <c r="Q20" s="13">
        <f t="shared" si="4"/>
        <v>0.6</v>
      </c>
    </row>
    <row r="21" spans="1:17" x14ac:dyDescent="0.35">
      <c r="A21" s="18" t="s">
        <v>10</v>
      </c>
      <c r="B21" s="6" t="s">
        <v>76</v>
      </c>
      <c r="C21" s="6" t="s">
        <v>77</v>
      </c>
      <c r="D21" s="7" t="s">
        <v>78</v>
      </c>
      <c r="E21" s="6" t="s">
        <v>38</v>
      </c>
      <c r="F21" s="6" t="s">
        <v>20</v>
      </c>
      <c r="G21" s="6">
        <v>10</v>
      </c>
      <c r="H21" s="8">
        <v>45</v>
      </c>
      <c r="I21" s="9">
        <v>0</v>
      </c>
      <c r="J21" s="8">
        <v>9</v>
      </c>
      <c r="K21" s="14" t="str">
        <f>_xlfn.XLOOKUP(E21, 'Plan Category Mapping'!$B$3:$B$8, 'Plan Category Mapping'!$C$3:$C$8, "N/A")</f>
        <v>Analytics</v>
      </c>
      <c r="L21" s="12">
        <f t="shared" si="1"/>
        <v>90</v>
      </c>
      <c r="M21" s="12">
        <f t="shared" si="2"/>
        <v>450</v>
      </c>
      <c r="N21" s="12">
        <f t="shared" si="0"/>
        <v>450</v>
      </c>
      <c r="O21" s="12">
        <f t="shared" si="3"/>
        <v>360</v>
      </c>
      <c r="P21" s="12">
        <f>Table1[[#This Row],[Total Gross Revenue]]-Table1[[#This Row],[Total COGS]]</f>
        <v>360</v>
      </c>
      <c r="Q21" s="13">
        <f t="shared" si="4"/>
        <v>0.8</v>
      </c>
    </row>
    <row r="22" spans="1:17" x14ac:dyDescent="0.35">
      <c r="A22" s="17" t="s">
        <v>10</v>
      </c>
      <c r="B22" s="2" t="s">
        <v>79</v>
      </c>
      <c r="C22" s="2" t="s">
        <v>80</v>
      </c>
      <c r="D22" s="3" t="s">
        <v>81</v>
      </c>
      <c r="E22" s="2" t="s">
        <v>19</v>
      </c>
      <c r="F22" s="2" t="s">
        <v>20</v>
      </c>
      <c r="G22" s="2">
        <v>31</v>
      </c>
      <c r="H22" s="4">
        <v>85</v>
      </c>
      <c r="I22" s="5">
        <v>0</v>
      </c>
      <c r="J22" s="4">
        <v>31.5</v>
      </c>
      <c r="K22" s="14" t="str">
        <f>_xlfn.XLOOKUP(E22, 'Plan Category Mapping'!$B$3:$B$8, 'Plan Category Mapping'!$C$3:$C$8, "N/A")</f>
        <v>Marketing</v>
      </c>
      <c r="L22" s="12">
        <f t="shared" si="1"/>
        <v>976.5</v>
      </c>
      <c r="M22" s="12">
        <f t="shared" si="2"/>
        <v>2635</v>
      </c>
      <c r="N22" s="12">
        <f t="shared" si="0"/>
        <v>2635</v>
      </c>
      <c r="O22" s="12">
        <f t="shared" si="3"/>
        <v>1658.5</v>
      </c>
      <c r="P22" s="12">
        <f>Table1[[#This Row],[Total Gross Revenue]]-Table1[[#This Row],[Total COGS]]</f>
        <v>1658.5</v>
      </c>
      <c r="Q22" s="13">
        <f t="shared" si="4"/>
        <v>0.62941176470588234</v>
      </c>
    </row>
    <row r="23" spans="1:17" x14ac:dyDescent="0.35">
      <c r="A23" s="18" t="s">
        <v>10</v>
      </c>
      <c r="B23" s="6" t="s">
        <v>82</v>
      </c>
      <c r="C23" s="6" t="s">
        <v>83</v>
      </c>
      <c r="D23" s="7" t="s">
        <v>84</v>
      </c>
      <c r="E23" s="6" t="s">
        <v>28</v>
      </c>
      <c r="F23" s="6" t="s">
        <v>15</v>
      </c>
      <c r="G23" s="6">
        <v>38</v>
      </c>
      <c r="H23" s="8">
        <v>2160</v>
      </c>
      <c r="I23" s="9">
        <v>0</v>
      </c>
      <c r="J23" s="8">
        <v>756</v>
      </c>
      <c r="K23" s="14" t="str">
        <f>_xlfn.XLOOKUP(E23, 'Plan Category Mapping'!$B$3:$B$8, 'Plan Category Mapping'!$C$3:$C$8, "N/A")</f>
        <v>Analytics</v>
      </c>
      <c r="L23" s="12">
        <f t="shared" si="1"/>
        <v>2394</v>
      </c>
      <c r="M23" s="12">
        <f t="shared" si="2"/>
        <v>6840</v>
      </c>
      <c r="N23" s="12">
        <f t="shared" si="0"/>
        <v>6840</v>
      </c>
      <c r="O23" s="12">
        <f t="shared" si="3"/>
        <v>4446</v>
      </c>
      <c r="P23" s="12">
        <f>Table1[[#This Row],[Total Gross Revenue]]-Table1[[#This Row],[Total COGS]]</f>
        <v>4446</v>
      </c>
      <c r="Q23" s="13">
        <f t="shared" si="4"/>
        <v>0.65</v>
      </c>
    </row>
    <row r="24" spans="1:17" x14ac:dyDescent="0.35">
      <c r="A24" s="17" t="s">
        <v>10</v>
      </c>
      <c r="B24" s="2" t="s">
        <v>85</v>
      </c>
      <c r="C24" s="2" t="s">
        <v>86</v>
      </c>
      <c r="D24" s="3" t="s">
        <v>87</v>
      </c>
      <c r="E24" s="2" t="s">
        <v>45</v>
      </c>
      <c r="F24" s="2" t="s">
        <v>20</v>
      </c>
      <c r="G24" s="2">
        <v>16</v>
      </c>
      <c r="H24" s="4">
        <v>95</v>
      </c>
      <c r="I24" s="5">
        <v>0</v>
      </c>
      <c r="J24" s="4">
        <v>24</v>
      </c>
      <c r="K24" s="14" t="str">
        <f>_xlfn.XLOOKUP(E24, 'Plan Category Mapping'!$B$3:$B$8, 'Plan Category Mapping'!$C$3:$C$8, "N/A")</f>
        <v>Analytics</v>
      </c>
      <c r="L24" s="12">
        <f t="shared" si="1"/>
        <v>384</v>
      </c>
      <c r="M24" s="12">
        <f t="shared" si="2"/>
        <v>1520</v>
      </c>
      <c r="N24" s="12">
        <f t="shared" si="0"/>
        <v>1520</v>
      </c>
      <c r="O24" s="12">
        <f t="shared" si="3"/>
        <v>1136</v>
      </c>
      <c r="P24" s="12">
        <f>Table1[[#This Row],[Total Gross Revenue]]-Table1[[#This Row],[Total COGS]]</f>
        <v>1136</v>
      </c>
      <c r="Q24" s="13">
        <f t="shared" si="4"/>
        <v>0.74736842105263157</v>
      </c>
    </row>
    <row r="25" spans="1:17" x14ac:dyDescent="0.35">
      <c r="A25" s="18" t="s">
        <v>10</v>
      </c>
      <c r="B25" s="6" t="s">
        <v>88</v>
      </c>
      <c r="C25" s="6" t="s">
        <v>89</v>
      </c>
      <c r="D25" s="7" t="s">
        <v>90</v>
      </c>
      <c r="E25" s="6" t="s">
        <v>24</v>
      </c>
      <c r="F25" s="6" t="s">
        <v>20</v>
      </c>
      <c r="G25" s="6">
        <v>28</v>
      </c>
      <c r="H25" s="8">
        <v>110</v>
      </c>
      <c r="I25" s="9">
        <v>0.15</v>
      </c>
      <c r="J25" s="8">
        <v>31</v>
      </c>
      <c r="K25" s="14" t="str">
        <f>_xlfn.XLOOKUP(E25, 'Plan Category Mapping'!$B$3:$B$8, 'Plan Category Mapping'!$C$3:$C$8, "N/A")</f>
        <v>Sales</v>
      </c>
      <c r="L25" s="12">
        <f t="shared" si="1"/>
        <v>737.8</v>
      </c>
      <c r="M25" s="12">
        <f t="shared" si="2"/>
        <v>2618</v>
      </c>
      <c r="N25" s="12">
        <f t="shared" si="0"/>
        <v>3080</v>
      </c>
      <c r="O25" s="12">
        <f t="shared" si="3"/>
        <v>1880.2</v>
      </c>
      <c r="P25" s="12">
        <f>Table1[[#This Row],[Total Gross Revenue]]-Table1[[#This Row],[Total COGS]]</f>
        <v>2342.1999999999998</v>
      </c>
      <c r="Q25" s="13">
        <f t="shared" si="4"/>
        <v>0.71818181818181825</v>
      </c>
    </row>
    <row r="26" spans="1:17" x14ac:dyDescent="0.35">
      <c r="A26" s="17" t="s">
        <v>10</v>
      </c>
      <c r="B26" s="2" t="s">
        <v>91</v>
      </c>
      <c r="C26" s="2" t="s">
        <v>92</v>
      </c>
      <c r="D26" s="3" t="s">
        <v>93</v>
      </c>
      <c r="E26" s="2" t="s">
        <v>38</v>
      </c>
      <c r="F26" s="2" t="s">
        <v>20</v>
      </c>
      <c r="G26" s="2">
        <v>15</v>
      </c>
      <c r="H26" s="4">
        <v>45</v>
      </c>
      <c r="I26" s="5">
        <v>0</v>
      </c>
      <c r="J26" s="4">
        <v>9</v>
      </c>
      <c r="K26" s="14" t="str">
        <f>_xlfn.XLOOKUP(E26, 'Plan Category Mapping'!$B$3:$B$8, 'Plan Category Mapping'!$C$3:$C$8, "N/A")</f>
        <v>Analytics</v>
      </c>
      <c r="L26" s="12">
        <f t="shared" si="1"/>
        <v>135</v>
      </c>
      <c r="M26" s="12">
        <f t="shared" si="2"/>
        <v>675</v>
      </c>
      <c r="N26" s="12">
        <f t="shared" si="0"/>
        <v>675</v>
      </c>
      <c r="O26" s="12">
        <f t="shared" si="3"/>
        <v>540</v>
      </c>
      <c r="P26" s="12">
        <f>Table1[[#This Row],[Total Gross Revenue]]-Table1[[#This Row],[Total COGS]]</f>
        <v>540</v>
      </c>
      <c r="Q26" s="13">
        <f t="shared" si="4"/>
        <v>0.8</v>
      </c>
    </row>
    <row r="27" spans="1:17" x14ac:dyDescent="0.35">
      <c r="A27" s="18" t="s">
        <v>10</v>
      </c>
      <c r="B27" s="6" t="s">
        <v>94</v>
      </c>
      <c r="C27" s="6" t="s">
        <v>95</v>
      </c>
      <c r="D27" s="7" t="s">
        <v>96</v>
      </c>
      <c r="E27" s="6" t="s">
        <v>24</v>
      </c>
      <c r="F27" s="6" t="s">
        <v>20</v>
      </c>
      <c r="G27" s="6">
        <v>16</v>
      </c>
      <c r="H27" s="8">
        <v>110</v>
      </c>
      <c r="I27" s="9">
        <v>0</v>
      </c>
      <c r="J27" s="8">
        <v>31</v>
      </c>
      <c r="K27" s="14" t="str">
        <f>_xlfn.XLOOKUP(E27, 'Plan Category Mapping'!$B$3:$B$8, 'Plan Category Mapping'!$C$3:$C$8, "N/A")</f>
        <v>Sales</v>
      </c>
      <c r="L27" s="12">
        <f t="shared" si="1"/>
        <v>496</v>
      </c>
      <c r="M27" s="12">
        <f t="shared" si="2"/>
        <v>1760</v>
      </c>
      <c r="N27" s="12">
        <f t="shared" si="0"/>
        <v>1760</v>
      </c>
      <c r="O27" s="12">
        <f t="shared" si="3"/>
        <v>1264</v>
      </c>
      <c r="P27" s="12">
        <f>Table1[[#This Row],[Total Gross Revenue]]-Table1[[#This Row],[Total COGS]]</f>
        <v>1264</v>
      </c>
      <c r="Q27" s="13">
        <f t="shared" si="4"/>
        <v>0.71818181818181814</v>
      </c>
    </row>
    <row r="28" spans="1:17" x14ac:dyDescent="0.35">
      <c r="A28" s="17" t="s">
        <v>10</v>
      </c>
      <c r="B28" s="2" t="s">
        <v>97</v>
      </c>
      <c r="C28" s="2" t="s">
        <v>17</v>
      </c>
      <c r="D28" s="3" t="s">
        <v>18</v>
      </c>
      <c r="E28" s="2" t="s">
        <v>24</v>
      </c>
      <c r="F28" s="2" t="s">
        <v>20</v>
      </c>
      <c r="G28" s="2">
        <v>19</v>
      </c>
      <c r="H28" s="4">
        <v>110</v>
      </c>
      <c r="I28" s="5">
        <v>0</v>
      </c>
      <c r="J28" s="4">
        <v>31</v>
      </c>
      <c r="K28" s="14" t="str">
        <f>_xlfn.XLOOKUP(E28, 'Plan Category Mapping'!$B$3:$B$8, 'Plan Category Mapping'!$C$3:$C$8, "N/A")</f>
        <v>Sales</v>
      </c>
      <c r="L28" s="12">
        <f t="shared" si="1"/>
        <v>589</v>
      </c>
      <c r="M28" s="12">
        <f t="shared" si="2"/>
        <v>2090</v>
      </c>
      <c r="N28" s="12">
        <f t="shared" si="0"/>
        <v>2090</v>
      </c>
      <c r="O28" s="12">
        <f t="shared" si="3"/>
        <v>1501</v>
      </c>
      <c r="P28" s="12">
        <f>Table1[[#This Row],[Total Gross Revenue]]-Table1[[#This Row],[Total COGS]]</f>
        <v>1501</v>
      </c>
      <c r="Q28" s="13">
        <f t="shared" si="4"/>
        <v>0.71818181818181814</v>
      </c>
    </row>
    <row r="29" spans="1:17" x14ac:dyDescent="0.35">
      <c r="A29" s="18" t="s">
        <v>10</v>
      </c>
      <c r="B29" s="6" t="s">
        <v>98</v>
      </c>
      <c r="C29" s="6" t="s">
        <v>26</v>
      </c>
      <c r="D29" s="7" t="s">
        <v>27</v>
      </c>
      <c r="E29" s="6" t="s">
        <v>19</v>
      </c>
      <c r="F29" s="6" t="s">
        <v>20</v>
      </c>
      <c r="G29" s="6">
        <v>33</v>
      </c>
      <c r="H29" s="8">
        <v>85</v>
      </c>
      <c r="I29" s="9">
        <v>0</v>
      </c>
      <c r="J29" s="8">
        <v>31.5</v>
      </c>
      <c r="K29" s="14" t="str">
        <f>_xlfn.XLOOKUP(E29, 'Plan Category Mapping'!$B$3:$B$8, 'Plan Category Mapping'!$C$3:$C$8, "N/A")</f>
        <v>Marketing</v>
      </c>
      <c r="L29" s="12">
        <f t="shared" si="1"/>
        <v>1039.5</v>
      </c>
      <c r="M29" s="12">
        <f t="shared" si="2"/>
        <v>2805</v>
      </c>
      <c r="N29" s="12">
        <f t="shared" si="0"/>
        <v>2805</v>
      </c>
      <c r="O29" s="12">
        <f t="shared" si="3"/>
        <v>1765.5</v>
      </c>
      <c r="P29" s="12">
        <f>Table1[[#This Row],[Total Gross Revenue]]-Table1[[#This Row],[Total COGS]]</f>
        <v>1765.5</v>
      </c>
      <c r="Q29" s="13">
        <f t="shared" si="4"/>
        <v>0.62941176470588234</v>
      </c>
    </row>
    <row r="30" spans="1:17" x14ac:dyDescent="0.35">
      <c r="A30" s="17" t="s">
        <v>10</v>
      </c>
      <c r="B30" s="2" t="s">
        <v>99</v>
      </c>
      <c r="C30" s="2" t="s">
        <v>33</v>
      </c>
      <c r="D30" s="3" t="s">
        <v>34</v>
      </c>
      <c r="E30" s="2" t="s">
        <v>45</v>
      </c>
      <c r="F30" s="2" t="s">
        <v>20</v>
      </c>
      <c r="G30" s="2">
        <v>35</v>
      </c>
      <c r="H30" s="4">
        <v>95</v>
      </c>
      <c r="I30" s="5">
        <v>0</v>
      </c>
      <c r="J30" s="4">
        <v>24</v>
      </c>
      <c r="K30" s="14" t="str">
        <f>_xlfn.XLOOKUP(E30, 'Plan Category Mapping'!$B$3:$B$8, 'Plan Category Mapping'!$C$3:$C$8, "N/A")</f>
        <v>Analytics</v>
      </c>
      <c r="L30" s="12">
        <f t="shared" si="1"/>
        <v>840</v>
      </c>
      <c r="M30" s="12">
        <f t="shared" si="2"/>
        <v>3325</v>
      </c>
      <c r="N30" s="12">
        <f t="shared" si="0"/>
        <v>3325</v>
      </c>
      <c r="O30" s="12">
        <f t="shared" si="3"/>
        <v>2485</v>
      </c>
      <c r="P30" s="12">
        <f>Table1[[#This Row],[Total Gross Revenue]]-Table1[[#This Row],[Total COGS]]</f>
        <v>2485</v>
      </c>
      <c r="Q30" s="13">
        <f t="shared" si="4"/>
        <v>0.74736842105263157</v>
      </c>
    </row>
    <row r="31" spans="1:17" x14ac:dyDescent="0.35">
      <c r="A31" s="18" t="s">
        <v>10</v>
      </c>
      <c r="B31" s="6" t="s">
        <v>100</v>
      </c>
      <c r="C31" s="6" t="s">
        <v>53</v>
      </c>
      <c r="D31" s="7" t="s">
        <v>54</v>
      </c>
      <c r="E31" s="6" t="s">
        <v>28</v>
      </c>
      <c r="F31" s="6" t="s">
        <v>20</v>
      </c>
      <c r="G31" s="6">
        <v>20</v>
      </c>
      <c r="H31" s="8">
        <v>180</v>
      </c>
      <c r="I31" s="9">
        <v>0</v>
      </c>
      <c r="J31" s="8">
        <v>63</v>
      </c>
      <c r="K31" s="14" t="str">
        <f>_xlfn.XLOOKUP(E31, 'Plan Category Mapping'!$B$3:$B$8, 'Plan Category Mapping'!$C$3:$C$8, "N/A")</f>
        <v>Analytics</v>
      </c>
      <c r="L31" s="12">
        <f t="shared" si="1"/>
        <v>1260</v>
      </c>
      <c r="M31" s="12">
        <f t="shared" si="2"/>
        <v>3600</v>
      </c>
      <c r="N31" s="12">
        <f t="shared" si="0"/>
        <v>3600</v>
      </c>
      <c r="O31" s="12">
        <f t="shared" si="3"/>
        <v>2340</v>
      </c>
      <c r="P31" s="12">
        <f>Table1[[#This Row],[Total Gross Revenue]]-Table1[[#This Row],[Total COGS]]</f>
        <v>2340</v>
      </c>
      <c r="Q31" s="13">
        <f t="shared" si="4"/>
        <v>0.65</v>
      </c>
    </row>
    <row r="32" spans="1:17" x14ac:dyDescent="0.35">
      <c r="A32" s="17" t="s">
        <v>10</v>
      </c>
      <c r="B32" s="2" t="s">
        <v>101</v>
      </c>
      <c r="C32" s="2" t="s">
        <v>43</v>
      </c>
      <c r="D32" s="3" t="s">
        <v>44</v>
      </c>
      <c r="E32" s="2" t="s">
        <v>38</v>
      </c>
      <c r="F32" s="2" t="s">
        <v>20</v>
      </c>
      <c r="G32" s="2">
        <v>19</v>
      </c>
      <c r="H32" s="4">
        <v>45</v>
      </c>
      <c r="I32" s="5">
        <v>0</v>
      </c>
      <c r="J32" s="4">
        <v>9</v>
      </c>
      <c r="K32" s="14" t="str">
        <f>_xlfn.XLOOKUP(E32, 'Plan Category Mapping'!$B$3:$B$8, 'Plan Category Mapping'!$C$3:$C$8, "N/A")</f>
        <v>Analytics</v>
      </c>
      <c r="L32" s="12">
        <f t="shared" si="1"/>
        <v>171</v>
      </c>
      <c r="M32" s="12">
        <f t="shared" si="2"/>
        <v>855</v>
      </c>
      <c r="N32" s="12">
        <f t="shared" si="0"/>
        <v>855</v>
      </c>
      <c r="O32" s="12">
        <f t="shared" si="3"/>
        <v>684</v>
      </c>
      <c r="P32" s="12">
        <f>Table1[[#This Row],[Total Gross Revenue]]-Table1[[#This Row],[Total COGS]]</f>
        <v>684</v>
      </c>
      <c r="Q32" s="13">
        <f t="shared" si="4"/>
        <v>0.8</v>
      </c>
    </row>
    <row r="33" spans="1:17" x14ac:dyDescent="0.35">
      <c r="A33" s="18" t="s">
        <v>10</v>
      </c>
      <c r="B33" s="6" t="s">
        <v>102</v>
      </c>
      <c r="C33" s="6" t="s">
        <v>30</v>
      </c>
      <c r="D33" s="7" t="s">
        <v>31</v>
      </c>
      <c r="E33" s="6" t="s">
        <v>38</v>
      </c>
      <c r="F33" s="6" t="s">
        <v>20</v>
      </c>
      <c r="G33" s="6">
        <v>15</v>
      </c>
      <c r="H33" s="8">
        <v>45</v>
      </c>
      <c r="I33" s="9">
        <v>0.12</v>
      </c>
      <c r="J33" s="8">
        <v>9</v>
      </c>
      <c r="K33" s="14" t="str">
        <f>_xlfn.XLOOKUP(E33, 'Plan Category Mapping'!$B$3:$B$8, 'Plan Category Mapping'!$C$3:$C$8, "N/A")</f>
        <v>Analytics</v>
      </c>
      <c r="L33" s="12">
        <f t="shared" si="1"/>
        <v>118.8</v>
      </c>
      <c r="M33" s="12">
        <f t="shared" si="2"/>
        <v>594</v>
      </c>
      <c r="N33" s="12">
        <f t="shared" si="0"/>
        <v>675</v>
      </c>
      <c r="O33" s="12">
        <f t="shared" si="3"/>
        <v>475.2</v>
      </c>
      <c r="P33" s="12">
        <f>Table1[[#This Row],[Total Gross Revenue]]-Table1[[#This Row],[Total COGS]]</f>
        <v>556.20000000000005</v>
      </c>
      <c r="Q33" s="13">
        <f t="shared" si="4"/>
        <v>0.79999999999999993</v>
      </c>
    </row>
    <row r="34" spans="1:17" x14ac:dyDescent="0.35">
      <c r="A34" s="17" t="s">
        <v>10</v>
      </c>
      <c r="B34" s="2" t="s">
        <v>103</v>
      </c>
      <c r="C34" s="2" t="s">
        <v>12</v>
      </c>
      <c r="D34" s="3" t="s">
        <v>13</v>
      </c>
      <c r="E34" s="2" t="s">
        <v>45</v>
      </c>
      <c r="F34" s="2" t="s">
        <v>15</v>
      </c>
      <c r="G34" s="2">
        <v>22</v>
      </c>
      <c r="H34" s="4">
        <v>1140</v>
      </c>
      <c r="I34" s="5">
        <v>0.05</v>
      </c>
      <c r="J34" s="4">
        <v>288</v>
      </c>
      <c r="K34" s="14" t="str">
        <f>_xlfn.XLOOKUP(E34, 'Plan Category Mapping'!$B$3:$B$8, 'Plan Category Mapping'!$C$3:$C$8, "N/A")</f>
        <v>Analytics</v>
      </c>
      <c r="L34" s="12">
        <f t="shared" si="1"/>
        <v>501.59999999999997</v>
      </c>
      <c r="M34" s="12">
        <f t="shared" si="2"/>
        <v>1985.5</v>
      </c>
      <c r="N34" s="12">
        <f t="shared" si="0"/>
        <v>2090</v>
      </c>
      <c r="O34" s="12">
        <f t="shared" si="3"/>
        <v>1483.9</v>
      </c>
      <c r="P34" s="12">
        <f>Table1[[#This Row],[Total Gross Revenue]]-Table1[[#This Row],[Total COGS]]</f>
        <v>1588.4</v>
      </c>
      <c r="Q34" s="13">
        <f t="shared" si="4"/>
        <v>0.74736842105263157</v>
      </c>
    </row>
    <row r="35" spans="1:17" x14ac:dyDescent="0.35">
      <c r="A35" s="18" t="s">
        <v>10</v>
      </c>
      <c r="B35" s="6" t="s">
        <v>104</v>
      </c>
      <c r="C35" s="6" t="s">
        <v>22</v>
      </c>
      <c r="D35" s="7" t="s">
        <v>23</v>
      </c>
      <c r="E35" s="6" t="s">
        <v>28</v>
      </c>
      <c r="F35" s="6" t="s">
        <v>20</v>
      </c>
      <c r="G35" s="6">
        <v>26</v>
      </c>
      <c r="H35" s="8">
        <v>180</v>
      </c>
      <c r="I35" s="9">
        <v>0</v>
      </c>
      <c r="J35" s="8">
        <v>63</v>
      </c>
      <c r="K35" s="14" t="str">
        <f>_xlfn.XLOOKUP(E35, 'Plan Category Mapping'!$B$3:$B$8, 'Plan Category Mapping'!$C$3:$C$8, "N/A")</f>
        <v>Analytics</v>
      </c>
      <c r="L35" s="12">
        <f t="shared" si="1"/>
        <v>1638</v>
      </c>
      <c r="M35" s="12">
        <f t="shared" si="2"/>
        <v>4680</v>
      </c>
      <c r="N35" s="12">
        <f t="shared" si="0"/>
        <v>4680</v>
      </c>
      <c r="O35" s="12">
        <f t="shared" si="3"/>
        <v>3042</v>
      </c>
      <c r="P35" s="12">
        <f>Table1[[#This Row],[Total Gross Revenue]]-Table1[[#This Row],[Total COGS]]</f>
        <v>3042</v>
      </c>
      <c r="Q35" s="13">
        <f t="shared" si="4"/>
        <v>0.65</v>
      </c>
    </row>
    <row r="36" spans="1:17" x14ac:dyDescent="0.35">
      <c r="A36" s="17" t="s">
        <v>10</v>
      </c>
      <c r="B36" s="2" t="s">
        <v>105</v>
      </c>
      <c r="C36" s="2" t="s">
        <v>56</v>
      </c>
      <c r="D36" s="3" t="s">
        <v>57</v>
      </c>
      <c r="E36" s="2" t="s">
        <v>19</v>
      </c>
      <c r="F36" s="2" t="s">
        <v>20</v>
      </c>
      <c r="G36" s="2">
        <v>38</v>
      </c>
      <c r="H36" s="4">
        <v>85</v>
      </c>
      <c r="I36" s="5">
        <v>0</v>
      </c>
      <c r="J36" s="4">
        <v>31.5</v>
      </c>
      <c r="K36" s="14" t="str">
        <f>_xlfn.XLOOKUP(E36, 'Plan Category Mapping'!$B$3:$B$8, 'Plan Category Mapping'!$C$3:$C$8, "N/A")</f>
        <v>Marketing</v>
      </c>
      <c r="L36" s="12">
        <f t="shared" si="1"/>
        <v>1197</v>
      </c>
      <c r="M36" s="12">
        <f t="shared" si="2"/>
        <v>3230</v>
      </c>
      <c r="N36" s="12">
        <f t="shared" si="0"/>
        <v>3230</v>
      </c>
      <c r="O36" s="12">
        <f t="shared" si="3"/>
        <v>2033</v>
      </c>
      <c r="P36" s="12">
        <f>Table1[[#This Row],[Total Gross Revenue]]-Table1[[#This Row],[Total COGS]]</f>
        <v>2033</v>
      </c>
      <c r="Q36" s="13">
        <f t="shared" si="4"/>
        <v>0.62941176470588234</v>
      </c>
    </row>
    <row r="37" spans="1:17" x14ac:dyDescent="0.35">
      <c r="A37" s="18" t="s">
        <v>10</v>
      </c>
      <c r="B37" s="6" t="s">
        <v>106</v>
      </c>
      <c r="C37" s="6" t="s">
        <v>71</v>
      </c>
      <c r="D37" s="7" t="s">
        <v>72</v>
      </c>
      <c r="E37" s="6" t="s">
        <v>14</v>
      </c>
      <c r="F37" s="6" t="s">
        <v>20</v>
      </c>
      <c r="G37" s="6">
        <v>28</v>
      </c>
      <c r="H37" s="8">
        <v>150</v>
      </c>
      <c r="I37" s="9">
        <v>0</v>
      </c>
      <c r="J37" s="8">
        <v>60</v>
      </c>
      <c r="K37" s="14" t="str">
        <f>_xlfn.XLOOKUP(E37, 'Plan Category Mapping'!$B$3:$B$8, 'Plan Category Mapping'!$C$3:$C$8, "N/A")</f>
        <v>Suite</v>
      </c>
      <c r="L37" s="12">
        <f t="shared" si="1"/>
        <v>1680</v>
      </c>
      <c r="M37" s="12">
        <f t="shared" si="2"/>
        <v>4200</v>
      </c>
      <c r="N37" s="12">
        <f t="shared" si="0"/>
        <v>4200</v>
      </c>
      <c r="O37" s="12">
        <f t="shared" si="3"/>
        <v>2520</v>
      </c>
      <c r="P37" s="12">
        <f>Table1[[#This Row],[Total Gross Revenue]]-Table1[[#This Row],[Total COGS]]</f>
        <v>2520</v>
      </c>
      <c r="Q37" s="13">
        <f t="shared" si="4"/>
        <v>0.6</v>
      </c>
    </row>
    <row r="38" spans="1:17" x14ac:dyDescent="0.35">
      <c r="A38" s="17" t="s">
        <v>10</v>
      </c>
      <c r="B38" s="2" t="s">
        <v>107</v>
      </c>
      <c r="C38" s="2" t="s">
        <v>108</v>
      </c>
      <c r="D38" s="3" t="s">
        <v>109</v>
      </c>
      <c r="E38" s="2" t="s">
        <v>19</v>
      </c>
      <c r="F38" s="2" t="s">
        <v>20</v>
      </c>
      <c r="G38" s="2">
        <v>22</v>
      </c>
      <c r="H38" s="4">
        <v>85</v>
      </c>
      <c r="I38" s="5">
        <v>0</v>
      </c>
      <c r="J38" s="4">
        <v>31.5</v>
      </c>
      <c r="K38" s="14" t="str">
        <f>_xlfn.XLOOKUP(E38, 'Plan Category Mapping'!$B$3:$B$8, 'Plan Category Mapping'!$C$3:$C$8, "N/A")</f>
        <v>Marketing</v>
      </c>
      <c r="L38" s="12">
        <f t="shared" si="1"/>
        <v>693</v>
      </c>
      <c r="M38" s="12">
        <f t="shared" si="2"/>
        <v>1870</v>
      </c>
      <c r="N38" s="12">
        <f t="shared" si="0"/>
        <v>1870</v>
      </c>
      <c r="O38" s="12">
        <f t="shared" si="3"/>
        <v>1177</v>
      </c>
      <c r="P38" s="12">
        <f>Table1[[#This Row],[Total Gross Revenue]]-Table1[[#This Row],[Total COGS]]</f>
        <v>1177</v>
      </c>
      <c r="Q38" s="13">
        <f t="shared" si="4"/>
        <v>0.62941176470588234</v>
      </c>
    </row>
    <row r="39" spans="1:17" x14ac:dyDescent="0.35">
      <c r="A39" s="18" t="s">
        <v>10</v>
      </c>
      <c r="B39" s="6" t="s">
        <v>110</v>
      </c>
      <c r="C39" s="6" t="s">
        <v>65</v>
      </c>
      <c r="D39" s="7" t="s">
        <v>66</v>
      </c>
      <c r="E39" s="6" t="s">
        <v>24</v>
      </c>
      <c r="F39" s="6" t="s">
        <v>20</v>
      </c>
      <c r="G39" s="6">
        <v>16</v>
      </c>
      <c r="H39" s="8">
        <v>110</v>
      </c>
      <c r="I39" s="9">
        <v>0</v>
      </c>
      <c r="J39" s="8">
        <v>31</v>
      </c>
      <c r="K39" s="14" t="str">
        <f>_xlfn.XLOOKUP(E39, 'Plan Category Mapping'!$B$3:$B$8, 'Plan Category Mapping'!$C$3:$C$8, "N/A")</f>
        <v>Sales</v>
      </c>
      <c r="L39" s="12">
        <f t="shared" si="1"/>
        <v>496</v>
      </c>
      <c r="M39" s="12">
        <f t="shared" si="2"/>
        <v>1760</v>
      </c>
      <c r="N39" s="12">
        <f t="shared" si="0"/>
        <v>1760</v>
      </c>
      <c r="O39" s="12">
        <f t="shared" si="3"/>
        <v>1264</v>
      </c>
      <c r="P39" s="12">
        <f>Table1[[#This Row],[Total Gross Revenue]]-Table1[[#This Row],[Total COGS]]</f>
        <v>1264</v>
      </c>
      <c r="Q39" s="13">
        <f t="shared" si="4"/>
        <v>0.71818181818181814</v>
      </c>
    </row>
    <row r="40" spans="1:17" x14ac:dyDescent="0.35">
      <c r="A40" s="17" t="s">
        <v>111</v>
      </c>
      <c r="B40" s="2" t="s">
        <v>11</v>
      </c>
      <c r="C40" s="2" t="s">
        <v>12</v>
      </c>
      <c r="D40" s="3" t="s">
        <v>13</v>
      </c>
      <c r="E40" s="2" t="s">
        <v>14</v>
      </c>
      <c r="F40" s="2" t="s">
        <v>15</v>
      </c>
      <c r="G40" s="2">
        <v>26</v>
      </c>
      <c r="H40" s="4">
        <v>1800</v>
      </c>
      <c r="I40" s="5">
        <v>0</v>
      </c>
      <c r="J40" s="4">
        <v>720</v>
      </c>
      <c r="K40" s="14" t="str">
        <f>_xlfn.XLOOKUP(E40, 'Plan Category Mapping'!$B$3:$B$8, 'Plan Category Mapping'!$C$3:$C$8, "N/A")</f>
        <v>Suite</v>
      </c>
      <c r="L40" s="12">
        <f t="shared" si="1"/>
        <v>1560</v>
      </c>
      <c r="M40" s="12">
        <f t="shared" si="2"/>
        <v>3900</v>
      </c>
      <c r="N40" s="12">
        <f t="shared" si="0"/>
        <v>3900</v>
      </c>
      <c r="O40" s="12">
        <f t="shared" si="3"/>
        <v>2340</v>
      </c>
      <c r="P40" s="12">
        <f>Table1[[#This Row],[Total Gross Revenue]]-Table1[[#This Row],[Total COGS]]</f>
        <v>2340</v>
      </c>
      <c r="Q40" s="13">
        <f t="shared" si="4"/>
        <v>0.6</v>
      </c>
    </row>
    <row r="41" spans="1:17" x14ac:dyDescent="0.35">
      <c r="A41" s="18" t="s">
        <v>111</v>
      </c>
      <c r="B41" s="6" t="s">
        <v>16</v>
      </c>
      <c r="C41" s="6" t="s">
        <v>17</v>
      </c>
      <c r="D41" s="7" t="s">
        <v>18</v>
      </c>
      <c r="E41" s="6" t="s">
        <v>19</v>
      </c>
      <c r="F41" s="6" t="s">
        <v>20</v>
      </c>
      <c r="G41" s="6">
        <v>23</v>
      </c>
      <c r="H41" s="8">
        <v>85</v>
      </c>
      <c r="I41" s="9">
        <v>0</v>
      </c>
      <c r="J41" s="8">
        <v>31.5</v>
      </c>
      <c r="K41" s="14" t="str">
        <f>_xlfn.XLOOKUP(E41, 'Plan Category Mapping'!$B$3:$B$8, 'Plan Category Mapping'!$C$3:$C$8, "N/A")</f>
        <v>Marketing</v>
      </c>
      <c r="L41" s="12">
        <f t="shared" si="1"/>
        <v>724.5</v>
      </c>
      <c r="M41" s="12">
        <f t="shared" si="2"/>
        <v>1955</v>
      </c>
      <c r="N41" s="12">
        <f t="shared" si="0"/>
        <v>1955</v>
      </c>
      <c r="O41" s="12">
        <f t="shared" si="3"/>
        <v>1230.5</v>
      </c>
      <c r="P41" s="12">
        <f>Table1[[#This Row],[Total Gross Revenue]]-Table1[[#This Row],[Total COGS]]</f>
        <v>1230.5</v>
      </c>
      <c r="Q41" s="13">
        <f t="shared" si="4"/>
        <v>0.62941176470588234</v>
      </c>
    </row>
    <row r="42" spans="1:17" x14ac:dyDescent="0.35">
      <c r="A42" s="17" t="s">
        <v>111</v>
      </c>
      <c r="B42" s="2" t="s">
        <v>21</v>
      </c>
      <c r="C42" s="2" t="s">
        <v>22</v>
      </c>
      <c r="D42" s="3" t="s">
        <v>23</v>
      </c>
      <c r="E42" s="2" t="s">
        <v>24</v>
      </c>
      <c r="F42" s="2" t="s">
        <v>20</v>
      </c>
      <c r="G42" s="2">
        <v>18</v>
      </c>
      <c r="H42" s="4">
        <v>110</v>
      </c>
      <c r="I42" s="5">
        <v>0</v>
      </c>
      <c r="J42" s="4">
        <v>31</v>
      </c>
      <c r="K42" s="14" t="str">
        <f>_xlfn.XLOOKUP(E42, 'Plan Category Mapping'!$B$3:$B$8, 'Plan Category Mapping'!$C$3:$C$8, "N/A")</f>
        <v>Sales</v>
      </c>
      <c r="L42" s="12">
        <f t="shared" si="1"/>
        <v>558</v>
      </c>
      <c r="M42" s="12">
        <f t="shared" si="2"/>
        <v>1980</v>
      </c>
      <c r="N42" s="12">
        <f t="shared" si="0"/>
        <v>1980</v>
      </c>
      <c r="O42" s="12">
        <f t="shared" si="3"/>
        <v>1422</v>
      </c>
      <c r="P42" s="12">
        <f>Table1[[#This Row],[Total Gross Revenue]]-Table1[[#This Row],[Total COGS]]</f>
        <v>1422</v>
      </c>
      <c r="Q42" s="13">
        <f t="shared" si="4"/>
        <v>0.71818181818181814</v>
      </c>
    </row>
    <row r="43" spans="1:17" x14ac:dyDescent="0.35">
      <c r="A43" s="18" t="s">
        <v>111</v>
      </c>
      <c r="B43" s="6" t="s">
        <v>25</v>
      </c>
      <c r="C43" s="6" t="s">
        <v>26</v>
      </c>
      <c r="D43" s="7" t="s">
        <v>27</v>
      </c>
      <c r="E43" s="6" t="s">
        <v>28</v>
      </c>
      <c r="F43" s="6" t="s">
        <v>15</v>
      </c>
      <c r="G43" s="6">
        <v>31</v>
      </c>
      <c r="H43" s="8">
        <v>2160</v>
      </c>
      <c r="I43" s="9">
        <v>0</v>
      </c>
      <c r="J43" s="8">
        <v>756</v>
      </c>
      <c r="K43" s="14" t="str">
        <f>_xlfn.XLOOKUP(E43, 'Plan Category Mapping'!$B$3:$B$8, 'Plan Category Mapping'!$C$3:$C$8, "N/A")</f>
        <v>Analytics</v>
      </c>
      <c r="L43" s="12">
        <f t="shared" si="1"/>
        <v>1953</v>
      </c>
      <c r="M43" s="12">
        <f t="shared" si="2"/>
        <v>5580</v>
      </c>
      <c r="N43" s="12">
        <f t="shared" si="0"/>
        <v>5580</v>
      </c>
      <c r="O43" s="12">
        <f t="shared" si="3"/>
        <v>3627</v>
      </c>
      <c r="P43" s="12">
        <f>Table1[[#This Row],[Total Gross Revenue]]-Table1[[#This Row],[Total COGS]]</f>
        <v>3627</v>
      </c>
      <c r="Q43" s="13">
        <f t="shared" si="4"/>
        <v>0.65</v>
      </c>
    </row>
    <row r="44" spans="1:17" x14ac:dyDescent="0.35">
      <c r="A44" s="17" t="s">
        <v>111</v>
      </c>
      <c r="B44" s="2" t="s">
        <v>29</v>
      </c>
      <c r="C44" s="2" t="s">
        <v>30</v>
      </c>
      <c r="D44" s="3" t="s">
        <v>31</v>
      </c>
      <c r="E44" s="2" t="s">
        <v>19</v>
      </c>
      <c r="F44" s="2" t="s">
        <v>20</v>
      </c>
      <c r="G44" s="2">
        <v>16</v>
      </c>
      <c r="H44" s="4">
        <v>85</v>
      </c>
      <c r="I44" s="5">
        <v>0</v>
      </c>
      <c r="J44" s="4">
        <v>31.5</v>
      </c>
      <c r="K44" s="14" t="str">
        <f>_xlfn.XLOOKUP(E44, 'Plan Category Mapping'!$B$3:$B$8, 'Plan Category Mapping'!$C$3:$C$8, "N/A")</f>
        <v>Marketing</v>
      </c>
      <c r="L44" s="12">
        <f t="shared" si="1"/>
        <v>504</v>
      </c>
      <c r="M44" s="12">
        <f t="shared" si="2"/>
        <v>1360</v>
      </c>
      <c r="N44" s="12">
        <f t="shared" si="0"/>
        <v>1360</v>
      </c>
      <c r="O44" s="12">
        <f t="shared" si="3"/>
        <v>856</v>
      </c>
      <c r="P44" s="12">
        <f>Table1[[#This Row],[Total Gross Revenue]]-Table1[[#This Row],[Total COGS]]</f>
        <v>856</v>
      </c>
      <c r="Q44" s="13">
        <f t="shared" si="4"/>
        <v>0.62941176470588234</v>
      </c>
    </row>
    <row r="45" spans="1:17" x14ac:dyDescent="0.35">
      <c r="A45" s="18" t="s">
        <v>111</v>
      </c>
      <c r="B45" s="6" t="s">
        <v>32</v>
      </c>
      <c r="C45" s="6" t="s">
        <v>33</v>
      </c>
      <c r="D45" s="7" t="s">
        <v>34</v>
      </c>
      <c r="E45" s="6" t="s">
        <v>14</v>
      </c>
      <c r="F45" s="6" t="s">
        <v>15</v>
      </c>
      <c r="G45" s="6">
        <v>36</v>
      </c>
      <c r="H45" s="8">
        <v>1800</v>
      </c>
      <c r="I45" s="9">
        <v>0</v>
      </c>
      <c r="J45" s="8">
        <v>720</v>
      </c>
      <c r="K45" s="14" t="str">
        <f>_xlfn.XLOOKUP(E45, 'Plan Category Mapping'!$B$3:$B$8, 'Plan Category Mapping'!$C$3:$C$8, "N/A")</f>
        <v>Suite</v>
      </c>
      <c r="L45" s="12">
        <f t="shared" si="1"/>
        <v>2160</v>
      </c>
      <c r="M45" s="12">
        <f t="shared" si="2"/>
        <v>5400</v>
      </c>
      <c r="N45" s="12">
        <f t="shared" si="0"/>
        <v>5400</v>
      </c>
      <c r="O45" s="12">
        <f t="shared" si="3"/>
        <v>3240</v>
      </c>
      <c r="P45" s="12">
        <f>Table1[[#This Row],[Total Gross Revenue]]-Table1[[#This Row],[Total COGS]]</f>
        <v>3240</v>
      </c>
      <c r="Q45" s="13">
        <f t="shared" si="4"/>
        <v>0.6</v>
      </c>
    </row>
    <row r="46" spans="1:17" x14ac:dyDescent="0.35">
      <c r="A46" s="17" t="s">
        <v>111</v>
      </c>
      <c r="B46" s="2" t="s">
        <v>35</v>
      </c>
      <c r="C46" s="2" t="s">
        <v>36</v>
      </c>
      <c r="D46" s="3" t="s">
        <v>37</v>
      </c>
      <c r="E46" s="2" t="s">
        <v>38</v>
      </c>
      <c r="F46" s="2" t="s">
        <v>20</v>
      </c>
      <c r="G46" s="2">
        <v>13</v>
      </c>
      <c r="H46" s="4">
        <v>45</v>
      </c>
      <c r="I46" s="5">
        <v>0</v>
      </c>
      <c r="J46" s="4">
        <v>9</v>
      </c>
      <c r="K46" s="14" t="str">
        <f>_xlfn.XLOOKUP(E46, 'Plan Category Mapping'!$B$3:$B$8, 'Plan Category Mapping'!$C$3:$C$8, "N/A")</f>
        <v>Analytics</v>
      </c>
      <c r="L46" s="12">
        <f t="shared" si="1"/>
        <v>117</v>
      </c>
      <c r="M46" s="12">
        <f t="shared" si="2"/>
        <v>585</v>
      </c>
      <c r="N46" s="12">
        <f t="shared" si="0"/>
        <v>585</v>
      </c>
      <c r="O46" s="12">
        <f t="shared" si="3"/>
        <v>468</v>
      </c>
      <c r="P46" s="12">
        <f>Table1[[#This Row],[Total Gross Revenue]]-Table1[[#This Row],[Total COGS]]</f>
        <v>468</v>
      </c>
      <c r="Q46" s="13">
        <f t="shared" si="4"/>
        <v>0.8</v>
      </c>
    </row>
    <row r="47" spans="1:17" x14ac:dyDescent="0.35">
      <c r="A47" s="18" t="s">
        <v>111</v>
      </c>
      <c r="B47" s="6" t="s">
        <v>39</v>
      </c>
      <c r="C47" s="6" t="s">
        <v>40</v>
      </c>
      <c r="D47" s="7" t="s">
        <v>41</v>
      </c>
      <c r="E47" s="6" t="s">
        <v>24</v>
      </c>
      <c r="F47" s="6" t="s">
        <v>20</v>
      </c>
      <c r="G47" s="6">
        <v>18</v>
      </c>
      <c r="H47" s="8">
        <v>110</v>
      </c>
      <c r="I47" s="9">
        <v>0</v>
      </c>
      <c r="J47" s="8">
        <v>31</v>
      </c>
      <c r="K47" s="14" t="str">
        <f>_xlfn.XLOOKUP(E47, 'Plan Category Mapping'!$B$3:$B$8, 'Plan Category Mapping'!$C$3:$C$8, "N/A")</f>
        <v>Sales</v>
      </c>
      <c r="L47" s="12">
        <f t="shared" si="1"/>
        <v>558</v>
      </c>
      <c r="M47" s="12">
        <f t="shared" si="2"/>
        <v>1980</v>
      </c>
      <c r="N47" s="12">
        <f t="shared" si="0"/>
        <v>1980</v>
      </c>
      <c r="O47" s="12">
        <f t="shared" si="3"/>
        <v>1422</v>
      </c>
      <c r="P47" s="12">
        <f>Table1[[#This Row],[Total Gross Revenue]]-Table1[[#This Row],[Total COGS]]</f>
        <v>1422</v>
      </c>
      <c r="Q47" s="13">
        <f t="shared" si="4"/>
        <v>0.71818181818181814</v>
      </c>
    </row>
    <row r="48" spans="1:17" x14ac:dyDescent="0.35">
      <c r="A48" s="17" t="s">
        <v>111</v>
      </c>
      <c r="B48" s="2" t="s">
        <v>42</v>
      </c>
      <c r="C48" s="2" t="s">
        <v>43</v>
      </c>
      <c r="D48" s="3" t="s">
        <v>44</v>
      </c>
      <c r="E48" s="2" t="s">
        <v>45</v>
      </c>
      <c r="F48" s="2" t="s">
        <v>20</v>
      </c>
      <c r="G48" s="2">
        <v>23</v>
      </c>
      <c r="H48" s="4">
        <v>95</v>
      </c>
      <c r="I48" s="5">
        <v>0</v>
      </c>
      <c r="J48" s="4">
        <v>24</v>
      </c>
      <c r="K48" s="14" t="str">
        <f>_xlfn.XLOOKUP(E48, 'Plan Category Mapping'!$B$3:$B$8, 'Plan Category Mapping'!$C$3:$C$8, "N/A")</f>
        <v>Analytics</v>
      </c>
      <c r="L48" s="12">
        <f t="shared" si="1"/>
        <v>552</v>
      </c>
      <c r="M48" s="12">
        <f t="shared" si="2"/>
        <v>2185</v>
      </c>
      <c r="N48" s="12">
        <f t="shared" si="0"/>
        <v>2185</v>
      </c>
      <c r="O48" s="12">
        <f t="shared" si="3"/>
        <v>1633</v>
      </c>
      <c r="P48" s="12">
        <f>Table1[[#This Row],[Total Gross Revenue]]-Table1[[#This Row],[Total COGS]]</f>
        <v>1633</v>
      </c>
      <c r="Q48" s="13">
        <f t="shared" si="4"/>
        <v>0.74736842105263157</v>
      </c>
    </row>
    <row r="49" spans="1:17" x14ac:dyDescent="0.35">
      <c r="A49" s="18" t="s">
        <v>111</v>
      </c>
      <c r="B49" s="6" t="s">
        <v>49</v>
      </c>
      <c r="C49" s="6" t="s">
        <v>50</v>
      </c>
      <c r="D49" s="7" t="s">
        <v>51</v>
      </c>
      <c r="E49" s="6" t="s">
        <v>19</v>
      </c>
      <c r="F49" s="6" t="s">
        <v>20</v>
      </c>
      <c r="G49" s="6">
        <v>28</v>
      </c>
      <c r="H49" s="8">
        <v>85</v>
      </c>
      <c r="I49" s="9">
        <v>0</v>
      </c>
      <c r="J49" s="8">
        <v>31.5</v>
      </c>
      <c r="K49" s="14" t="str">
        <f>_xlfn.XLOOKUP(E49, 'Plan Category Mapping'!$B$3:$B$8, 'Plan Category Mapping'!$C$3:$C$8, "N/A")</f>
        <v>Marketing</v>
      </c>
      <c r="L49" s="12">
        <f t="shared" si="1"/>
        <v>882</v>
      </c>
      <c r="M49" s="12">
        <f t="shared" si="2"/>
        <v>2380</v>
      </c>
      <c r="N49" s="12">
        <f t="shared" si="0"/>
        <v>2380</v>
      </c>
      <c r="O49" s="12">
        <f t="shared" si="3"/>
        <v>1498</v>
      </c>
      <c r="P49" s="12">
        <f>Table1[[#This Row],[Total Gross Revenue]]-Table1[[#This Row],[Total COGS]]</f>
        <v>1498</v>
      </c>
      <c r="Q49" s="13">
        <f t="shared" si="4"/>
        <v>0.62941176470588234</v>
      </c>
    </row>
    <row r="50" spans="1:17" x14ac:dyDescent="0.35">
      <c r="A50" s="17" t="s">
        <v>111</v>
      </c>
      <c r="B50" s="2" t="s">
        <v>52</v>
      </c>
      <c r="C50" s="2" t="s">
        <v>53</v>
      </c>
      <c r="D50" s="3" t="s">
        <v>54</v>
      </c>
      <c r="E50" s="2" t="s">
        <v>45</v>
      </c>
      <c r="F50" s="2" t="s">
        <v>20</v>
      </c>
      <c r="G50" s="2">
        <v>19</v>
      </c>
      <c r="H50" s="4">
        <v>95</v>
      </c>
      <c r="I50" s="5">
        <v>0.1</v>
      </c>
      <c r="J50" s="4">
        <v>24</v>
      </c>
      <c r="K50" s="14" t="str">
        <f>_xlfn.XLOOKUP(E50, 'Plan Category Mapping'!$B$3:$B$8, 'Plan Category Mapping'!$C$3:$C$8, "N/A")</f>
        <v>Analytics</v>
      </c>
      <c r="L50" s="12">
        <f t="shared" si="1"/>
        <v>410.40000000000003</v>
      </c>
      <c r="M50" s="12">
        <f t="shared" si="2"/>
        <v>1624.5</v>
      </c>
      <c r="N50" s="12">
        <f t="shared" si="0"/>
        <v>1805</v>
      </c>
      <c r="O50" s="12">
        <f t="shared" si="3"/>
        <v>1214.0999999999999</v>
      </c>
      <c r="P50" s="12">
        <f>Table1[[#This Row],[Total Gross Revenue]]-Table1[[#This Row],[Total COGS]]</f>
        <v>1394.6</v>
      </c>
      <c r="Q50" s="13">
        <f t="shared" si="4"/>
        <v>0.74736842105263157</v>
      </c>
    </row>
    <row r="51" spans="1:17" x14ac:dyDescent="0.35">
      <c r="A51" s="18" t="s">
        <v>111</v>
      </c>
      <c r="B51" s="6" t="s">
        <v>55</v>
      </c>
      <c r="C51" s="6" t="s">
        <v>56</v>
      </c>
      <c r="D51" s="7" t="s">
        <v>57</v>
      </c>
      <c r="E51" s="6" t="s">
        <v>14</v>
      </c>
      <c r="F51" s="6" t="s">
        <v>15</v>
      </c>
      <c r="G51" s="6">
        <v>42</v>
      </c>
      <c r="H51" s="8">
        <v>1800</v>
      </c>
      <c r="I51" s="9">
        <v>0</v>
      </c>
      <c r="J51" s="8">
        <v>720</v>
      </c>
      <c r="K51" s="14" t="str">
        <f>_xlfn.XLOOKUP(E51, 'Plan Category Mapping'!$B$3:$B$8, 'Plan Category Mapping'!$C$3:$C$8, "N/A")</f>
        <v>Suite</v>
      </c>
      <c r="L51" s="12">
        <f t="shared" si="1"/>
        <v>2520</v>
      </c>
      <c r="M51" s="12">
        <f t="shared" si="2"/>
        <v>6300</v>
      </c>
      <c r="N51" s="12">
        <f t="shared" si="0"/>
        <v>6300</v>
      </c>
      <c r="O51" s="12">
        <f t="shared" si="3"/>
        <v>3780</v>
      </c>
      <c r="P51" s="12">
        <f>Table1[[#This Row],[Total Gross Revenue]]-Table1[[#This Row],[Total COGS]]</f>
        <v>3780</v>
      </c>
      <c r="Q51" s="13">
        <f t="shared" si="4"/>
        <v>0.6</v>
      </c>
    </row>
    <row r="52" spans="1:17" x14ac:dyDescent="0.35">
      <c r="A52" s="17" t="s">
        <v>111</v>
      </c>
      <c r="B52" s="2" t="s">
        <v>58</v>
      </c>
      <c r="C52" s="2" t="s">
        <v>59</v>
      </c>
      <c r="D52" s="3" t="s">
        <v>60</v>
      </c>
      <c r="E52" s="2" t="s">
        <v>38</v>
      </c>
      <c r="F52" s="2" t="s">
        <v>20</v>
      </c>
      <c r="G52" s="2">
        <v>12</v>
      </c>
      <c r="H52" s="4">
        <v>45</v>
      </c>
      <c r="I52" s="5">
        <v>0</v>
      </c>
      <c r="J52" s="4">
        <v>9</v>
      </c>
      <c r="K52" s="14" t="str">
        <f>_xlfn.XLOOKUP(E52, 'Plan Category Mapping'!$B$3:$B$8, 'Plan Category Mapping'!$C$3:$C$8, "N/A")</f>
        <v>Analytics</v>
      </c>
      <c r="L52" s="12">
        <f t="shared" si="1"/>
        <v>108</v>
      </c>
      <c r="M52" s="12">
        <f t="shared" si="2"/>
        <v>540</v>
      </c>
      <c r="N52" s="12">
        <f t="shared" si="0"/>
        <v>540</v>
      </c>
      <c r="O52" s="12">
        <f t="shared" si="3"/>
        <v>432</v>
      </c>
      <c r="P52" s="12">
        <f>Table1[[#This Row],[Total Gross Revenue]]-Table1[[#This Row],[Total COGS]]</f>
        <v>432</v>
      </c>
      <c r="Q52" s="13">
        <f t="shared" si="4"/>
        <v>0.8</v>
      </c>
    </row>
    <row r="53" spans="1:17" x14ac:dyDescent="0.35">
      <c r="A53" s="18" t="s">
        <v>111</v>
      </c>
      <c r="B53" s="6" t="s">
        <v>61</v>
      </c>
      <c r="C53" s="6" t="s">
        <v>62</v>
      </c>
      <c r="D53" s="7" t="s">
        <v>63</v>
      </c>
      <c r="E53" s="6" t="s">
        <v>28</v>
      </c>
      <c r="F53" s="6" t="s">
        <v>20</v>
      </c>
      <c r="G53" s="6">
        <v>35</v>
      </c>
      <c r="H53" s="8">
        <v>180</v>
      </c>
      <c r="I53" s="9">
        <v>0</v>
      </c>
      <c r="J53" s="8">
        <v>63</v>
      </c>
      <c r="K53" s="14" t="str">
        <f>_xlfn.XLOOKUP(E53, 'Plan Category Mapping'!$B$3:$B$8, 'Plan Category Mapping'!$C$3:$C$8, "N/A")</f>
        <v>Analytics</v>
      </c>
      <c r="L53" s="12">
        <f t="shared" si="1"/>
        <v>2205</v>
      </c>
      <c r="M53" s="12">
        <f t="shared" si="2"/>
        <v>6300</v>
      </c>
      <c r="N53" s="12">
        <f t="shared" si="0"/>
        <v>6300</v>
      </c>
      <c r="O53" s="12">
        <f t="shared" si="3"/>
        <v>4095</v>
      </c>
      <c r="P53" s="12">
        <f>Table1[[#This Row],[Total Gross Revenue]]-Table1[[#This Row],[Total COGS]]</f>
        <v>4095</v>
      </c>
      <c r="Q53" s="13">
        <f t="shared" si="4"/>
        <v>0.65</v>
      </c>
    </row>
    <row r="54" spans="1:17" x14ac:dyDescent="0.35">
      <c r="A54" s="17" t="s">
        <v>111</v>
      </c>
      <c r="B54" s="2" t="s">
        <v>64</v>
      </c>
      <c r="C54" s="2" t="s">
        <v>65</v>
      </c>
      <c r="D54" s="3" t="s">
        <v>66</v>
      </c>
      <c r="E54" s="2" t="s">
        <v>19</v>
      </c>
      <c r="F54" s="2" t="s">
        <v>20</v>
      </c>
      <c r="G54" s="2">
        <v>19</v>
      </c>
      <c r="H54" s="4">
        <v>85</v>
      </c>
      <c r="I54" s="5">
        <v>0</v>
      </c>
      <c r="J54" s="4">
        <v>31.5</v>
      </c>
      <c r="K54" s="14" t="str">
        <f>_xlfn.XLOOKUP(E54, 'Plan Category Mapping'!$B$3:$B$8, 'Plan Category Mapping'!$C$3:$C$8, "N/A")</f>
        <v>Marketing</v>
      </c>
      <c r="L54" s="12">
        <f t="shared" si="1"/>
        <v>598.5</v>
      </c>
      <c r="M54" s="12">
        <f t="shared" si="2"/>
        <v>1615</v>
      </c>
      <c r="N54" s="12">
        <f t="shared" si="0"/>
        <v>1615</v>
      </c>
      <c r="O54" s="12">
        <f t="shared" si="3"/>
        <v>1016.5</v>
      </c>
      <c r="P54" s="12">
        <f>Table1[[#This Row],[Total Gross Revenue]]-Table1[[#This Row],[Total COGS]]</f>
        <v>1016.5</v>
      </c>
      <c r="Q54" s="13">
        <f t="shared" si="4"/>
        <v>0.62941176470588234</v>
      </c>
    </row>
    <row r="55" spans="1:17" x14ac:dyDescent="0.35">
      <c r="A55" s="18" t="s">
        <v>111</v>
      </c>
      <c r="B55" s="6" t="s">
        <v>67</v>
      </c>
      <c r="C55" s="6" t="s">
        <v>68</v>
      </c>
      <c r="D55" s="7" t="s">
        <v>69</v>
      </c>
      <c r="E55" s="6" t="s">
        <v>24</v>
      </c>
      <c r="F55" s="6" t="s">
        <v>20</v>
      </c>
      <c r="G55" s="6">
        <v>15</v>
      </c>
      <c r="H55" s="8">
        <v>110</v>
      </c>
      <c r="I55" s="9">
        <v>0</v>
      </c>
      <c r="J55" s="8">
        <v>31</v>
      </c>
      <c r="K55" s="14" t="str">
        <f>_xlfn.XLOOKUP(E55, 'Plan Category Mapping'!$B$3:$B$8, 'Plan Category Mapping'!$C$3:$C$8, "N/A")</f>
        <v>Sales</v>
      </c>
      <c r="L55" s="12">
        <f t="shared" si="1"/>
        <v>465</v>
      </c>
      <c r="M55" s="12">
        <f t="shared" si="2"/>
        <v>1650</v>
      </c>
      <c r="N55" s="12">
        <f t="shared" si="0"/>
        <v>1650</v>
      </c>
      <c r="O55" s="12">
        <f t="shared" si="3"/>
        <v>1185</v>
      </c>
      <c r="P55" s="12">
        <f>Table1[[#This Row],[Total Gross Revenue]]-Table1[[#This Row],[Total COGS]]</f>
        <v>1185</v>
      </c>
      <c r="Q55" s="13">
        <f t="shared" si="4"/>
        <v>0.71818181818181814</v>
      </c>
    </row>
    <row r="56" spans="1:17" x14ac:dyDescent="0.35">
      <c r="A56" s="17" t="s">
        <v>111</v>
      </c>
      <c r="B56" s="2" t="s">
        <v>70</v>
      </c>
      <c r="C56" s="2" t="s">
        <v>71</v>
      </c>
      <c r="D56" s="3" t="s">
        <v>72</v>
      </c>
      <c r="E56" s="2" t="s">
        <v>45</v>
      </c>
      <c r="F56" s="2" t="s">
        <v>20</v>
      </c>
      <c r="G56" s="2">
        <v>25</v>
      </c>
      <c r="H56" s="4">
        <v>95</v>
      </c>
      <c r="I56" s="5">
        <v>0</v>
      </c>
      <c r="J56" s="4">
        <v>24</v>
      </c>
      <c r="K56" s="14" t="str">
        <f>_xlfn.XLOOKUP(E56, 'Plan Category Mapping'!$B$3:$B$8, 'Plan Category Mapping'!$C$3:$C$8, "N/A")</f>
        <v>Analytics</v>
      </c>
      <c r="L56" s="12">
        <f t="shared" si="1"/>
        <v>600</v>
      </c>
      <c r="M56" s="12">
        <f t="shared" si="2"/>
        <v>2375</v>
      </c>
      <c r="N56" s="12">
        <f t="shared" si="0"/>
        <v>2375</v>
      </c>
      <c r="O56" s="12">
        <f t="shared" si="3"/>
        <v>1775</v>
      </c>
      <c r="P56" s="12">
        <f>Table1[[#This Row],[Total Gross Revenue]]-Table1[[#This Row],[Total COGS]]</f>
        <v>1775</v>
      </c>
      <c r="Q56" s="13">
        <f t="shared" si="4"/>
        <v>0.74736842105263157</v>
      </c>
    </row>
    <row r="57" spans="1:17" x14ac:dyDescent="0.35">
      <c r="A57" s="18" t="s">
        <v>111</v>
      </c>
      <c r="B57" s="6" t="s">
        <v>73</v>
      </c>
      <c r="C57" s="6" t="s">
        <v>74</v>
      </c>
      <c r="D57" s="7" t="s">
        <v>75</v>
      </c>
      <c r="E57" s="6" t="s">
        <v>14</v>
      </c>
      <c r="F57" s="6" t="s">
        <v>20</v>
      </c>
      <c r="G57" s="6">
        <v>33</v>
      </c>
      <c r="H57" s="8">
        <v>150</v>
      </c>
      <c r="I57" s="9">
        <v>0</v>
      </c>
      <c r="J57" s="8">
        <v>60</v>
      </c>
      <c r="K57" s="14" t="str">
        <f>_xlfn.XLOOKUP(E57, 'Plan Category Mapping'!$B$3:$B$8, 'Plan Category Mapping'!$C$3:$C$8, "N/A")</f>
        <v>Suite</v>
      </c>
      <c r="L57" s="12">
        <f t="shared" si="1"/>
        <v>1980</v>
      </c>
      <c r="M57" s="12">
        <f t="shared" si="2"/>
        <v>4950</v>
      </c>
      <c r="N57" s="12">
        <f t="shared" si="0"/>
        <v>4950</v>
      </c>
      <c r="O57" s="12">
        <f t="shared" si="3"/>
        <v>2970</v>
      </c>
      <c r="P57" s="12">
        <f>Table1[[#This Row],[Total Gross Revenue]]-Table1[[#This Row],[Total COGS]]</f>
        <v>2970</v>
      </c>
      <c r="Q57" s="13">
        <f t="shared" si="4"/>
        <v>0.6</v>
      </c>
    </row>
    <row r="58" spans="1:17" x14ac:dyDescent="0.35">
      <c r="A58" s="17" t="s">
        <v>111</v>
      </c>
      <c r="B58" s="2" t="s">
        <v>76</v>
      </c>
      <c r="C58" s="2" t="s">
        <v>77</v>
      </c>
      <c r="D58" s="3" t="s">
        <v>78</v>
      </c>
      <c r="E58" s="2" t="s">
        <v>38</v>
      </c>
      <c r="F58" s="2" t="s">
        <v>20</v>
      </c>
      <c r="G58" s="2">
        <v>10</v>
      </c>
      <c r="H58" s="4">
        <v>45</v>
      </c>
      <c r="I58" s="5">
        <v>0</v>
      </c>
      <c r="J58" s="4">
        <v>9</v>
      </c>
      <c r="K58" s="14" t="str">
        <f>_xlfn.XLOOKUP(E58, 'Plan Category Mapping'!$B$3:$B$8, 'Plan Category Mapping'!$C$3:$C$8, "N/A")</f>
        <v>Analytics</v>
      </c>
      <c r="L58" s="12">
        <f t="shared" si="1"/>
        <v>90</v>
      </c>
      <c r="M58" s="12">
        <f t="shared" si="2"/>
        <v>450</v>
      </c>
      <c r="N58" s="12">
        <f t="shared" si="0"/>
        <v>450</v>
      </c>
      <c r="O58" s="12">
        <f t="shared" si="3"/>
        <v>360</v>
      </c>
      <c r="P58" s="12">
        <f>Table1[[#This Row],[Total Gross Revenue]]-Table1[[#This Row],[Total COGS]]</f>
        <v>360</v>
      </c>
      <c r="Q58" s="13">
        <f t="shared" si="4"/>
        <v>0.8</v>
      </c>
    </row>
    <row r="59" spans="1:17" x14ac:dyDescent="0.35">
      <c r="A59" s="18" t="s">
        <v>111</v>
      </c>
      <c r="B59" s="6" t="s">
        <v>79</v>
      </c>
      <c r="C59" s="6" t="s">
        <v>80</v>
      </c>
      <c r="D59" s="7" t="s">
        <v>81</v>
      </c>
      <c r="E59" s="6" t="s">
        <v>19</v>
      </c>
      <c r="F59" s="6" t="s">
        <v>20</v>
      </c>
      <c r="G59" s="6">
        <v>31</v>
      </c>
      <c r="H59" s="8">
        <v>85</v>
      </c>
      <c r="I59" s="9">
        <v>0</v>
      </c>
      <c r="J59" s="8">
        <v>31.5</v>
      </c>
      <c r="K59" s="14" t="str">
        <f>_xlfn.XLOOKUP(E59, 'Plan Category Mapping'!$B$3:$B$8, 'Plan Category Mapping'!$C$3:$C$8, "N/A")</f>
        <v>Marketing</v>
      </c>
      <c r="L59" s="12">
        <f t="shared" si="1"/>
        <v>976.5</v>
      </c>
      <c r="M59" s="12">
        <f t="shared" si="2"/>
        <v>2635</v>
      </c>
      <c r="N59" s="12">
        <f t="shared" si="0"/>
        <v>2635</v>
      </c>
      <c r="O59" s="12">
        <f t="shared" si="3"/>
        <v>1658.5</v>
      </c>
      <c r="P59" s="12">
        <f>Table1[[#This Row],[Total Gross Revenue]]-Table1[[#This Row],[Total COGS]]</f>
        <v>1658.5</v>
      </c>
      <c r="Q59" s="13">
        <f t="shared" si="4"/>
        <v>0.62941176470588234</v>
      </c>
    </row>
    <row r="60" spans="1:17" x14ac:dyDescent="0.35">
      <c r="A60" s="17" t="s">
        <v>111</v>
      </c>
      <c r="B60" s="2" t="s">
        <v>82</v>
      </c>
      <c r="C60" s="2" t="s">
        <v>83</v>
      </c>
      <c r="D60" s="3" t="s">
        <v>84</v>
      </c>
      <c r="E60" s="2" t="s">
        <v>28</v>
      </c>
      <c r="F60" s="2" t="s">
        <v>15</v>
      </c>
      <c r="G60" s="2">
        <v>38</v>
      </c>
      <c r="H60" s="4">
        <v>2160</v>
      </c>
      <c r="I60" s="5">
        <v>0</v>
      </c>
      <c r="J60" s="4">
        <v>756</v>
      </c>
      <c r="K60" s="14" t="str">
        <f>_xlfn.XLOOKUP(E60, 'Plan Category Mapping'!$B$3:$B$8, 'Plan Category Mapping'!$C$3:$C$8, "N/A")</f>
        <v>Analytics</v>
      </c>
      <c r="L60" s="12">
        <f t="shared" si="1"/>
        <v>2394</v>
      </c>
      <c r="M60" s="12">
        <f t="shared" si="2"/>
        <v>6840</v>
      </c>
      <c r="N60" s="12">
        <f t="shared" si="0"/>
        <v>6840</v>
      </c>
      <c r="O60" s="12">
        <f t="shared" si="3"/>
        <v>4446</v>
      </c>
      <c r="P60" s="12">
        <f>Table1[[#This Row],[Total Gross Revenue]]-Table1[[#This Row],[Total COGS]]</f>
        <v>4446</v>
      </c>
      <c r="Q60" s="13">
        <f t="shared" si="4"/>
        <v>0.65</v>
      </c>
    </row>
    <row r="61" spans="1:17" x14ac:dyDescent="0.35">
      <c r="A61" s="18" t="s">
        <v>111</v>
      </c>
      <c r="B61" s="6" t="s">
        <v>85</v>
      </c>
      <c r="C61" s="6" t="s">
        <v>86</v>
      </c>
      <c r="D61" s="7" t="s">
        <v>87</v>
      </c>
      <c r="E61" s="6" t="s">
        <v>45</v>
      </c>
      <c r="F61" s="6" t="s">
        <v>20</v>
      </c>
      <c r="G61" s="6">
        <v>16</v>
      </c>
      <c r="H61" s="8">
        <v>95</v>
      </c>
      <c r="I61" s="9">
        <v>0</v>
      </c>
      <c r="J61" s="8">
        <v>24</v>
      </c>
      <c r="K61" s="14" t="str">
        <f>_xlfn.XLOOKUP(E61, 'Plan Category Mapping'!$B$3:$B$8, 'Plan Category Mapping'!$C$3:$C$8, "N/A")</f>
        <v>Analytics</v>
      </c>
      <c r="L61" s="12">
        <f t="shared" si="1"/>
        <v>384</v>
      </c>
      <c r="M61" s="12">
        <f t="shared" si="2"/>
        <v>1520</v>
      </c>
      <c r="N61" s="12">
        <f t="shared" si="0"/>
        <v>1520</v>
      </c>
      <c r="O61" s="12">
        <f t="shared" si="3"/>
        <v>1136</v>
      </c>
      <c r="P61" s="12">
        <f>Table1[[#This Row],[Total Gross Revenue]]-Table1[[#This Row],[Total COGS]]</f>
        <v>1136</v>
      </c>
      <c r="Q61" s="13">
        <f t="shared" si="4"/>
        <v>0.74736842105263157</v>
      </c>
    </row>
    <row r="62" spans="1:17" x14ac:dyDescent="0.35">
      <c r="A62" s="17" t="s">
        <v>111</v>
      </c>
      <c r="B62" s="2" t="s">
        <v>88</v>
      </c>
      <c r="C62" s="2" t="s">
        <v>89</v>
      </c>
      <c r="D62" s="3" t="s">
        <v>90</v>
      </c>
      <c r="E62" s="2" t="s">
        <v>24</v>
      </c>
      <c r="F62" s="2" t="s">
        <v>20</v>
      </c>
      <c r="G62" s="2">
        <v>28</v>
      </c>
      <c r="H62" s="4">
        <v>110</v>
      </c>
      <c r="I62" s="5">
        <v>0.15</v>
      </c>
      <c r="J62" s="4">
        <v>31</v>
      </c>
      <c r="K62" s="14" t="str">
        <f>_xlfn.XLOOKUP(E62, 'Plan Category Mapping'!$B$3:$B$8, 'Plan Category Mapping'!$C$3:$C$8, "N/A")</f>
        <v>Sales</v>
      </c>
      <c r="L62" s="12">
        <f t="shared" si="1"/>
        <v>737.8</v>
      </c>
      <c r="M62" s="12">
        <f t="shared" si="2"/>
        <v>2618</v>
      </c>
      <c r="N62" s="12">
        <f t="shared" si="0"/>
        <v>3080</v>
      </c>
      <c r="O62" s="12">
        <f t="shared" si="3"/>
        <v>1880.2</v>
      </c>
      <c r="P62" s="12">
        <f>Table1[[#This Row],[Total Gross Revenue]]-Table1[[#This Row],[Total COGS]]</f>
        <v>2342.1999999999998</v>
      </c>
      <c r="Q62" s="13">
        <f t="shared" si="4"/>
        <v>0.71818181818181825</v>
      </c>
    </row>
    <row r="63" spans="1:17" x14ac:dyDescent="0.35">
      <c r="A63" s="18" t="s">
        <v>111</v>
      </c>
      <c r="B63" s="6" t="s">
        <v>91</v>
      </c>
      <c r="C63" s="6" t="s">
        <v>92</v>
      </c>
      <c r="D63" s="7" t="s">
        <v>93</v>
      </c>
      <c r="E63" s="6" t="s">
        <v>38</v>
      </c>
      <c r="F63" s="6" t="s">
        <v>20</v>
      </c>
      <c r="G63" s="6">
        <v>15</v>
      </c>
      <c r="H63" s="8">
        <v>45</v>
      </c>
      <c r="I63" s="9">
        <v>0</v>
      </c>
      <c r="J63" s="8">
        <v>9</v>
      </c>
      <c r="K63" s="14" t="str">
        <f>_xlfn.XLOOKUP(E63, 'Plan Category Mapping'!$B$3:$B$8, 'Plan Category Mapping'!$C$3:$C$8, "N/A")</f>
        <v>Analytics</v>
      </c>
      <c r="L63" s="12">
        <f t="shared" si="1"/>
        <v>135</v>
      </c>
      <c r="M63" s="12">
        <f t="shared" si="2"/>
        <v>675</v>
      </c>
      <c r="N63" s="12">
        <f t="shared" si="0"/>
        <v>675</v>
      </c>
      <c r="O63" s="12">
        <f t="shared" si="3"/>
        <v>540</v>
      </c>
      <c r="P63" s="12">
        <f>Table1[[#This Row],[Total Gross Revenue]]-Table1[[#This Row],[Total COGS]]</f>
        <v>540</v>
      </c>
      <c r="Q63" s="13">
        <f t="shared" si="4"/>
        <v>0.8</v>
      </c>
    </row>
    <row r="64" spans="1:17" x14ac:dyDescent="0.35">
      <c r="A64" s="17" t="s">
        <v>111</v>
      </c>
      <c r="B64" s="2" t="s">
        <v>112</v>
      </c>
      <c r="C64" s="2" t="s">
        <v>113</v>
      </c>
      <c r="D64" s="3" t="s">
        <v>114</v>
      </c>
      <c r="E64" s="2" t="s">
        <v>19</v>
      </c>
      <c r="F64" s="2" t="s">
        <v>20</v>
      </c>
      <c r="G64" s="2">
        <v>22</v>
      </c>
      <c r="H64" s="4">
        <v>85</v>
      </c>
      <c r="I64" s="5">
        <v>0</v>
      </c>
      <c r="J64" s="4">
        <v>31.5</v>
      </c>
      <c r="K64" s="14" t="str">
        <f>_xlfn.XLOOKUP(E64, 'Plan Category Mapping'!$B$3:$B$8, 'Plan Category Mapping'!$C$3:$C$8, "N/A")</f>
        <v>Marketing</v>
      </c>
      <c r="L64" s="12">
        <f t="shared" si="1"/>
        <v>693</v>
      </c>
      <c r="M64" s="12">
        <f t="shared" si="2"/>
        <v>1870</v>
      </c>
      <c r="N64" s="12">
        <f t="shared" si="0"/>
        <v>1870</v>
      </c>
      <c r="O64" s="12">
        <f t="shared" si="3"/>
        <v>1177</v>
      </c>
      <c r="P64" s="12">
        <f>Table1[[#This Row],[Total Gross Revenue]]-Table1[[#This Row],[Total COGS]]</f>
        <v>1177</v>
      </c>
      <c r="Q64" s="13">
        <f t="shared" si="4"/>
        <v>0.62941176470588234</v>
      </c>
    </row>
    <row r="65" spans="1:17" x14ac:dyDescent="0.35">
      <c r="A65" s="18" t="s">
        <v>111</v>
      </c>
      <c r="B65" s="6" t="s">
        <v>115</v>
      </c>
      <c r="C65" s="6" t="s">
        <v>116</v>
      </c>
      <c r="D65" s="7" t="s">
        <v>117</v>
      </c>
      <c r="E65" s="6" t="s">
        <v>45</v>
      </c>
      <c r="F65" s="6" t="s">
        <v>20</v>
      </c>
      <c r="G65" s="6">
        <v>20</v>
      </c>
      <c r="H65" s="8">
        <v>95</v>
      </c>
      <c r="I65" s="9">
        <v>0</v>
      </c>
      <c r="J65" s="8">
        <v>24</v>
      </c>
      <c r="K65" s="14" t="str">
        <f>_xlfn.XLOOKUP(E65, 'Plan Category Mapping'!$B$3:$B$8, 'Plan Category Mapping'!$C$3:$C$8, "N/A")</f>
        <v>Analytics</v>
      </c>
      <c r="L65" s="12">
        <f t="shared" si="1"/>
        <v>480</v>
      </c>
      <c r="M65" s="12">
        <f t="shared" si="2"/>
        <v>1900</v>
      </c>
      <c r="N65" s="12">
        <f t="shared" si="0"/>
        <v>1900</v>
      </c>
      <c r="O65" s="12">
        <f t="shared" si="3"/>
        <v>1420</v>
      </c>
      <c r="P65" s="12">
        <f>Table1[[#This Row],[Total Gross Revenue]]-Table1[[#This Row],[Total COGS]]</f>
        <v>1420</v>
      </c>
      <c r="Q65" s="13">
        <f t="shared" si="4"/>
        <v>0.74736842105263157</v>
      </c>
    </row>
    <row r="66" spans="1:17" x14ac:dyDescent="0.35">
      <c r="A66" s="17" t="s">
        <v>111</v>
      </c>
      <c r="B66" s="2" t="s">
        <v>94</v>
      </c>
      <c r="C66" s="2" t="s">
        <v>95</v>
      </c>
      <c r="D66" s="3" t="s">
        <v>96</v>
      </c>
      <c r="E66" s="2" t="s">
        <v>24</v>
      </c>
      <c r="F66" s="2" t="s">
        <v>20</v>
      </c>
      <c r="G66" s="2">
        <v>16</v>
      </c>
      <c r="H66" s="4">
        <v>110</v>
      </c>
      <c r="I66" s="5">
        <v>0</v>
      </c>
      <c r="J66" s="4">
        <v>31</v>
      </c>
      <c r="K66" s="14" t="str">
        <f>_xlfn.XLOOKUP(E66, 'Plan Category Mapping'!$B$3:$B$8, 'Plan Category Mapping'!$C$3:$C$8, "N/A")</f>
        <v>Sales</v>
      </c>
      <c r="L66" s="12">
        <f t="shared" si="1"/>
        <v>496</v>
      </c>
      <c r="M66" s="12">
        <f t="shared" si="2"/>
        <v>1760</v>
      </c>
      <c r="N66" s="12">
        <f t="shared" ref="N66:N126" si="5">IF(F66="Annual", H66/12, H66)*G66</f>
        <v>1760</v>
      </c>
      <c r="O66" s="12">
        <f t="shared" si="3"/>
        <v>1264</v>
      </c>
      <c r="P66" s="12">
        <f>Table1[[#This Row],[Total Gross Revenue]]-Table1[[#This Row],[Total COGS]]</f>
        <v>1264</v>
      </c>
      <c r="Q66" s="13">
        <f t="shared" si="4"/>
        <v>0.71818181818181814</v>
      </c>
    </row>
    <row r="67" spans="1:17" x14ac:dyDescent="0.35">
      <c r="A67" s="18" t="s">
        <v>111</v>
      </c>
      <c r="B67" s="6" t="s">
        <v>97</v>
      </c>
      <c r="C67" s="6" t="s">
        <v>17</v>
      </c>
      <c r="D67" s="7" t="s">
        <v>18</v>
      </c>
      <c r="E67" s="6" t="s">
        <v>24</v>
      </c>
      <c r="F67" s="6" t="s">
        <v>20</v>
      </c>
      <c r="G67" s="6">
        <v>19</v>
      </c>
      <c r="H67" s="8">
        <v>110</v>
      </c>
      <c r="I67" s="9">
        <v>0</v>
      </c>
      <c r="J67" s="8">
        <v>31</v>
      </c>
      <c r="K67" s="14" t="str">
        <f>_xlfn.XLOOKUP(E67, 'Plan Category Mapping'!$B$3:$B$8, 'Plan Category Mapping'!$C$3:$C$8, "N/A")</f>
        <v>Sales</v>
      </c>
      <c r="L67" s="12">
        <f t="shared" ref="L67:L126" si="6">IF(F67="Annual", J67/12, J67)*G67*(1-I67)</f>
        <v>589</v>
      </c>
      <c r="M67" s="12">
        <f t="shared" ref="M67:M126" si="7">IF(F67="Annual", H67/12, H67)*G67*(1-I67)</f>
        <v>2090</v>
      </c>
      <c r="N67" s="12">
        <f t="shared" si="5"/>
        <v>2090</v>
      </c>
      <c r="O67" s="12">
        <f t="shared" ref="O67:O126" si="8">M67-L67</f>
        <v>1501</v>
      </c>
      <c r="P67" s="12">
        <f>Table1[[#This Row],[Total Gross Revenue]]-Table1[[#This Row],[Total COGS]]</f>
        <v>1501</v>
      </c>
      <c r="Q67" s="13">
        <f t="shared" ref="Q67:Q126" si="9">O67/M67</f>
        <v>0.71818181818181814</v>
      </c>
    </row>
    <row r="68" spans="1:17" x14ac:dyDescent="0.35">
      <c r="A68" s="17" t="s">
        <v>111</v>
      </c>
      <c r="B68" s="2" t="s">
        <v>98</v>
      </c>
      <c r="C68" s="2" t="s">
        <v>26</v>
      </c>
      <c r="D68" s="3" t="s">
        <v>27</v>
      </c>
      <c r="E68" s="2" t="s">
        <v>19</v>
      </c>
      <c r="F68" s="2" t="s">
        <v>20</v>
      </c>
      <c r="G68" s="2">
        <v>33</v>
      </c>
      <c r="H68" s="4">
        <v>85</v>
      </c>
      <c r="I68" s="5">
        <v>0</v>
      </c>
      <c r="J68" s="4">
        <v>31.5</v>
      </c>
      <c r="K68" s="14" t="str">
        <f>_xlfn.XLOOKUP(E68, 'Plan Category Mapping'!$B$3:$B$8, 'Plan Category Mapping'!$C$3:$C$8, "N/A")</f>
        <v>Marketing</v>
      </c>
      <c r="L68" s="12">
        <f t="shared" si="6"/>
        <v>1039.5</v>
      </c>
      <c r="M68" s="12">
        <f t="shared" si="7"/>
        <v>2805</v>
      </c>
      <c r="N68" s="12">
        <f t="shared" si="5"/>
        <v>2805</v>
      </c>
      <c r="O68" s="12">
        <f t="shared" si="8"/>
        <v>1765.5</v>
      </c>
      <c r="P68" s="12">
        <f>Table1[[#This Row],[Total Gross Revenue]]-Table1[[#This Row],[Total COGS]]</f>
        <v>1765.5</v>
      </c>
      <c r="Q68" s="13">
        <f t="shared" si="9"/>
        <v>0.62941176470588234</v>
      </c>
    </row>
    <row r="69" spans="1:17" x14ac:dyDescent="0.35">
      <c r="A69" s="18" t="s">
        <v>111</v>
      </c>
      <c r="B69" s="6" t="s">
        <v>99</v>
      </c>
      <c r="C69" s="6" t="s">
        <v>33</v>
      </c>
      <c r="D69" s="7" t="s">
        <v>34</v>
      </c>
      <c r="E69" s="6" t="s">
        <v>45</v>
      </c>
      <c r="F69" s="6" t="s">
        <v>20</v>
      </c>
      <c r="G69" s="6">
        <v>35</v>
      </c>
      <c r="H69" s="8">
        <v>95</v>
      </c>
      <c r="I69" s="9">
        <v>0</v>
      </c>
      <c r="J69" s="8">
        <v>24</v>
      </c>
      <c r="K69" s="14" t="str">
        <f>_xlfn.XLOOKUP(E69, 'Plan Category Mapping'!$B$3:$B$8, 'Plan Category Mapping'!$C$3:$C$8, "N/A")</f>
        <v>Analytics</v>
      </c>
      <c r="L69" s="12">
        <f t="shared" si="6"/>
        <v>840</v>
      </c>
      <c r="M69" s="12">
        <f t="shared" si="7"/>
        <v>3325</v>
      </c>
      <c r="N69" s="12">
        <f t="shared" si="5"/>
        <v>3325</v>
      </c>
      <c r="O69" s="12">
        <f t="shared" si="8"/>
        <v>2485</v>
      </c>
      <c r="P69" s="12">
        <f>Table1[[#This Row],[Total Gross Revenue]]-Table1[[#This Row],[Total COGS]]</f>
        <v>2485</v>
      </c>
      <c r="Q69" s="13">
        <f t="shared" si="9"/>
        <v>0.74736842105263157</v>
      </c>
    </row>
    <row r="70" spans="1:17" x14ac:dyDescent="0.35">
      <c r="A70" s="17" t="s">
        <v>111</v>
      </c>
      <c r="B70" s="2" t="s">
        <v>118</v>
      </c>
      <c r="C70" s="2" t="s">
        <v>36</v>
      </c>
      <c r="D70" s="3" t="s">
        <v>37</v>
      </c>
      <c r="E70" s="2" t="s">
        <v>19</v>
      </c>
      <c r="F70" s="2" t="s">
        <v>20</v>
      </c>
      <c r="G70" s="2">
        <v>13</v>
      </c>
      <c r="H70" s="4">
        <v>85</v>
      </c>
      <c r="I70" s="5">
        <v>0</v>
      </c>
      <c r="J70" s="4">
        <v>31.5</v>
      </c>
      <c r="K70" s="14" t="str">
        <f>_xlfn.XLOOKUP(E70, 'Plan Category Mapping'!$B$3:$B$8, 'Plan Category Mapping'!$C$3:$C$8, "N/A")</f>
        <v>Marketing</v>
      </c>
      <c r="L70" s="12">
        <f t="shared" si="6"/>
        <v>409.5</v>
      </c>
      <c r="M70" s="12">
        <f t="shared" si="7"/>
        <v>1105</v>
      </c>
      <c r="N70" s="12">
        <f t="shared" si="5"/>
        <v>1105</v>
      </c>
      <c r="O70" s="12">
        <f t="shared" si="8"/>
        <v>695.5</v>
      </c>
      <c r="P70" s="12">
        <f>Table1[[#This Row],[Total Gross Revenue]]-Table1[[#This Row],[Total COGS]]</f>
        <v>695.5</v>
      </c>
      <c r="Q70" s="13">
        <f t="shared" si="9"/>
        <v>0.62941176470588234</v>
      </c>
    </row>
    <row r="71" spans="1:17" x14ac:dyDescent="0.35">
      <c r="A71" s="18" t="s">
        <v>111</v>
      </c>
      <c r="B71" s="6" t="s">
        <v>100</v>
      </c>
      <c r="C71" s="6" t="s">
        <v>53</v>
      </c>
      <c r="D71" s="7" t="s">
        <v>54</v>
      </c>
      <c r="E71" s="6" t="s">
        <v>28</v>
      </c>
      <c r="F71" s="6" t="s">
        <v>20</v>
      </c>
      <c r="G71" s="6">
        <v>20</v>
      </c>
      <c r="H71" s="8">
        <v>180</v>
      </c>
      <c r="I71" s="9">
        <v>0</v>
      </c>
      <c r="J71" s="8">
        <v>63</v>
      </c>
      <c r="K71" s="14" t="str">
        <f>_xlfn.XLOOKUP(E71, 'Plan Category Mapping'!$B$3:$B$8, 'Plan Category Mapping'!$C$3:$C$8, "N/A")</f>
        <v>Analytics</v>
      </c>
      <c r="L71" s="12">
        <f t="shared" si="6"/>
        <v>1260</v>
      </c>
      <c r="M71" s="12">
        <f t="shared" si="7"/>
        <v>3600</v>
      </c>
      <c r="N71" s="12">
        <f t="shared" si="5"/>
        <v>3600</v>
      </c>
      <c r="O71" s="12">
        <f t="shared" si="8"/>
        <v>2340</v>
      </c>
      <c r="P71" s="12">
        <f>Table1[[#This Row],[Total Gross Revenue]]-Table1[[#This Row],[Total COGS]]</f>
        <v>2340</v>
      </c>
      <c r="Q71" s="13">
        <f t="shared" si="9"/>
        <v>0.65</v>
      </c>
    </row>
    <row r="72" spans="1:17" x14ac:dyDescent="0.35">
      <c r="A72" s="17" t="s">
        <v>111</v>
      </c>
      <c r="B72" s="2" t="s">
        <v>101</v>
      </c>
      <c r="C72" s="2" t="s">
        <v>43</v>
      </c>
      <c r="D72" s="3" t="s">
        <v>44</v>
      </c>
      <c r="E72" s="2" t="s">
        <v>38</v>
      </c>
      <c r="F72" s="2" t="s">
        <v>20</v>
      </c>
      <c r="G72" s="2">
        <v>19</v>
      </c>
      <c r="H72" s="4">
        <v>45</v>
      </c>
      <c r="I72" s="5">
        <v>0</v>
      </c>
      <c r="J72" s="4">
        <v>9</v>
      </c>
      <c r="K72" s="14" t="str">
        <f>_xlfn.XLOOKUP(E72, 'Plan Category Mapping'!$B$3:$B$8, 'Plan Category Mapping'!$C$3:$C$8, "N/A")</f>
        <v>Analytics</v>
      </c>
      <c r="L72" s="12">
        <f t="shared" si="6"/>
        <v>171</v>
      </c>
      <c r="M72" s="12">
        <f t="shared" si="7"/>
        <v>855</v>
      </c>
      <c r="N72" s="12">
        <f t="shared" si="5"/>
        <v>855</v>
      </c>
      <c r="O72" s="12">
        <f t="shared" si="8"/>
        <v>684</v>
      </c>
      <c r="P72" s="12">
        <f>Table1[[#This Row],[Total Gross Revenue]]-Table1[[#This Row],[Total COGS]]</f>
        <v>684</v>
      </c>
      <c r="Q72" s="13">
        <f t="shared" si="9"/>
        <v>0.8</v>
      </c>
    </row>
    <row r="73" spans="1:17" x14ac:dyDescent="0.35">
      <c r="A73" s="18" t="s">
        <v>111</v>
      </c>
      <c r="B73" s="6" t="s">
        <v>102</v>
      </c>
      <c r="C73" s="6" t="s">
        <v>30</v>
      </c>
      <c r="D73" s="7" t="s">
        <v>31</v>
      </c>
      <c r="E73" s="6" t="s">
        <v>38</v>
      </c>
      <c r="F73" s="6" t="s">
        <v>20</v>
      </c>
      <c r="G73" s="6">
        <v>15</v>
      </c>
      <c r="H73" s="8">
        <v>45</v>
      </c>
      <c r="I73" s="9">
        <v>0.12</v>
      </c>
      <c r="J73" s="8">
        <v>9</v>
      </c>
      <c r="K73" s="14" t="str">
        <f>_xlfn.XLOOKUP(E73, 'Plan Category Mapping'!$B$3:$B$8, 'Plan Category Mapping'!$C$3:$C$8, "N/A")</f>
        <v>Analytics</v>
      </c>
      <c r="L73" s="12">
        <f t="shared" si="6"/>
        <v>118.8</v>
      </c>
      <c r="M73" s="12">
        <f t="shared" si="7"/>
        <v>594</v>
      </c>
      <c r="N73" s="12">
        <f t="shared" si="5"/>
        <v>675</v>
      </c>
      <c r="O73" s="12">
        <f t="shared" si="8"/>
        <v>475.2</v>
      </c>
      <c r="P73" s="12">
        <f>Table1[[#This Row],[Total Gross Revenue]]-Table1[[#This Row],[Total COGS]]</f>
        <v>556.20000000000005</v>
      </c>
      <c r="Q73" s="13">
        <f t="shared" si="9"/>
        <v>0.79999999999999993</v>
      </c>
    </row>
    <row r="74" spans="1:17" x14ac:dyDescent="0.35">
      <c r="A74" s="17" t="s">
        <v>111</v>
      </c>
      <c r="B74" s="2" t="s">
        <v>119</v>
      </c>
      <c r="C74" s="2" t="s">
        <v>50</v>
      </c>
      <c r="D74" s="3" t="s">
        <v>51</v>
      </c>
      <c r="E74" s="2" t="s">
        <v>24</v>
      </c>
      <c r="F74" s="2" t="s">
        <v>20</v>
      </c>
      <c r="G74" s="2">
        <v>23</v>
      </c>
      <c r="H74" s="4">
        <v>110</v>
      </c>
      <c r="I74" s="5">
        <v>0</v>
      </c>
      <c r="J74" s="4">
        <v>31</v>
      </c>
      <c r="K74" s="14" t="str">
        <f>_xlfn.XLOOKUP(E74, 'Plan Category Mapping'!$B$3:$B$8, 'Plan Category Mapping'!$C$3:$C$8, "N/A")</f>
        <v>Sales</v>
      </c>
      <c r="L74" s="12">
        <f t="shared" si="6"/>
        <v>713</v>
      </c>
      <c r="M74" s="12">
        <f t="shared" si="7"/>
        <v>2530</v>
      </c>
      <c r="N74" s="12">
        <f t="shared" si="5"/>
        <v>2530</v>
      </c>
      <c r="O74" s="12">
        <f t="shared" si="8"/>
        <v>1817</v>
      </c>
      <c r="P74" s="12">
        <f>Table1[[#This Row],[Total Gross Revenue]]-Table1[[#This Row],[Total COGS]]</f>
        <v>1817</v>
      </c>
      <c r="Q74" s="13">
        <f t="shared" si="9"/>
        <v>0.71818181818181814</v>
      </c>
    </row>
    <row r="75" spans="1:17" x14ac:dyDescent="0.35">
      <c r="A75" s="18" t="s">
        <v>111</v>
      </c>
      <c r="B75" s="6" t="s">
        <v>103</v>
      </c>
      <c r="C75" s="6" t="s">
        <v>12</v>
      </c>
      <c r="D75" s="7" t="s">
        <v>13</v>
      </c>
      <c r="E75" s="6" t="s">
        <v>45</v>
      </c>
      <c r="F75" s="6" t="s">
        <v>15</v>
      </c>
      <c r="G75" s="6">
        <v>22</v>
      </c>
      <c r="H75" s="8">
        <v>1140</v>
      </c>
      <c r="I75" s="9">
        <v>0.05</v>
      </c>
      <c r="J75" s="8">
        <v>288</v>
      </c>
      <c r="K75" s="14" t="str">
        <f>_xlfn.XLOOKUP(E75, 'Plan Category Mapping'!$B$3:$B$8, 'Plan Category Mapping'!$C$3:$C$8, "N/A")</f>
        <v>Analytics</v>
      </c>
      <c r="L75" s="12">
        <f t="shared" si="6"/>
        <v>501.59999999999997</v>
      </c>
      <c r="M75" s="12">
        <f t="shared" si="7"/>
        <v>1985.5</v>
      </c>
      <c r="N75" s="12">
        <f t="shared" si="5"/>
        <v>2090</v>
      </c>
      <c r="O75" s="12">
        <f t="shared" si="8"/>
        <v>1483.9</v>
      </c>
      <c r="P75" s="12">
        <f>Table1[[#This Row],[Total Gross Revenue]]-Table1[[#This Row],[Total COGS]]</f>
        <v>1588.4</v>
      </c>
      <c r="Q75" s="13">
        <f t="shared" si="9"/>
        <v>0.74736842105263157</v>
      </c>
    </row>
    <row r="76" spans="1:17" x14ac:dyDescent="0.35">
      <c r="A76" s="17" t="s">
        <v>111</v>
      </c>
      <c r="B76" s="2" t="s">
        <v>104</v>
      </c>
      <c r="C76" s="2" t="s">
        <v>22</v>
      </c>
      <c r="D76" s="3" t="s">
        <v>23</v>
      </c>
      <c r="E76" s="2" t="s">
        <v>28</v>
      </c>
      <c r="F76" s="2" t="s">
        <v>20</v>
      </c>
      <c r="G76" s="2">
        <v>26</v>
      </c>
      <c r="H76" s="4">
        <v>180</v>
      </c>
      <c r="I76" s="5">
        <v>0</v>
      </c>
      <c r="J76" s="4">
        <v>63</v>
      </c>
      <c r="K76" s="14" t="str">
        <f>_xlfn.XLOOKUP(E76, 'Plan Category Mapping'!$B$3:$B$8, 'Plan Category Mapping'!$C$3:$C$8, "N/A")</f>
        <v>Analytics</v>
      </c>
      <c r="L76" s="12">
        <f t="shared" si="6"/>
        <v>1638</v>
      </c>
      <c r="M76" s="12">
        <f t="shared" si="7"/>
        <v>4680</v>
      </c>
      <c r="N76" s="12">
        <f t="shared" si="5"/>
        <v>4680</v>
      </c>
      <c r="O76" s="12">
        <f t="shared" si="8"/>
        <v>3042</v>
      </c>
      <c r="P76" s="12">
        <f>Table1[[#This Row],[Total Gross Revenue]]-Table1[[#This Row],[Total COGS]]</f>
        <v>3042</v>
      </c>
      <c r="Q76" s="13">
        <f t="shared" si="9"/>
        <v>0.65</v>
      </c>
    </row>
    <row r="77" spans="1:17" x14ac:dyDescent="0.35">
      <c r="A77" s="18" t="s">
        <v>111</v>
      </c>
      <c r="B77" s="6" t="s">
        <v>105</v>
      </c>
      <c r="C77" s="6" t="s">
        <v>56</v>
      </c>
      <c r="D77" s="7" t="s">
        <v>57</v>
      </c>
      <c r="E77" s="6" t="s">
        <v>19</v>
      </c>
      <c r="F77" s="6" t="s">
        <v>20</v>
      </c>
      <c r="G77" s="6">
        <v>38</v>
      </c>
      <c r="H77" s="8">
        <v>85</v>
      </c>
      <c r="I77" s="9">
        <v>0</v>
      </c>
      <c r="J77" s="8">
        <v>31.5</v>
      </c>
      <c r="K77" s="14" t="str">
        <f>_xlfn.XLOOKUP(E77, 'Plan Category Mapping'!$B$3:$B$8, 'Plan Category Mapping'!$C$3:$C$8, "N/A")</f>
        <v>Marketing</v>
      </c>
      <c r="L77" s="12">
        <f t="shared" si="6"/>
        <v>1197</v>
      </c>
      <c r="M77" s="12">
        <f t="shared" si="7"/>
        <v>3230</v>
      </c>
      <c r="N77" s="12">
        <f t="shared" si="5"/>
        <v>3230</v>
      </c>
      <c r="O77" s="12">
        <f t="shared" si="8"/>
        <v>2033</v>
      </c>
      <c r="P77" s="12">
        <f>Table1[[#This Row],[Total Gross Revenue]]-Table1[[#This Row],[Total COGS]]</f>
        <v>2033</v>
      </c>
      <c r="Q77" s="13">
        <f t="shared" si="9"/>
        <v>0.62941176470588234</v>
      </c>
    </row>
    <row r="78" spans="1:17" x14ac:dyDescent="0.35">
      <c r="A78" s="17" t="s">
        <v>111</v>
      </c>
      <c r="B78" s="2" t="s">
        <v>106</v>
      </c>
      <c r="C78" s="2" t="s">
        <v>71</v>
      </c>
      <c r="D78" s="3" t="s">
        <v>72</v>
      </c>
      <c r="E78" s="2" t="s">
        <v>14</v>
      </c>
      <c r="F78" s="2" t="s">
        <v>20</v>
      </c>
      <c r="G78" s="2">
        <v>28</v>
      </c>
      <c r="H78" s="4">
        <v>150</v>
      </c>
      <c r="I78" s="5">
        <v>0</v>
      </c>
      <c r="J78" s="4">
        <v>60</v>
      </c>
      <c r="K78" s="14" t="str">
        <f>_xlfn.XLOOKUP(E78, 'Plan Category Mapping'!$B$3:$B$8, 'Plan Category Mapping'!$C$3:$C$8, "N/A")</f>
        <v>Suite</v>
      </c>
      <c r="L78" s="12">
        <f t="shared" si="6"/>
        <v>1680</v>
      </c>
      <c r="M78" s="12">
        <f t="shared" si="7"/>
        <v>4200</v>
      </c>
      <c r="N78" s="12">
        <f t="shared" si="5"/>
        <v>4200</v>
      </c>
      <c r="O78" s="12">
        <f t="shared" si="8"/>
        <v>2520</v>
      </c>
      <c r="P78" s="12">
        <f>Table1[[#This Row],[Total Gross Revenue]]-Table1[[#This Row],[Total COGS]]</f>
        <v>2520</v>
      </c>
      <c r="Q78" s="13">
        <f t="shared" si="9"/>
        <v>0.6</v>
      </c>
    </row>
    <row r="79" spans="1:17" x14ac:dyDescent="0.35">
      <c r="A79" s="18" t="s">
        <v>111</v>
      </c>
      <c r="B79" s="6" t="s">
        <v>107</v>
      </c>
      <c r="C79" s="6" t="s">
        <v>108</v>
      </c>
      <c r="D79" s="7" t="s">
        <v>109</v>
      </c>
      <c r="E79" s="6" t="s">
        <v>19</v>
      </c>
      <c r="F79" s="6" t="s">
        <v>20</v>
      </c>
      <c r="G79" s="6">
        <v>22</v>
      </c>
      <c r="H79" s="8">
        <v>85</v>
      </c>
      <c r="I79" s="9">
        <v>0</v>
      </c>
      <c r="J79" s="8">
        <v>31.5</v>
      </c>
      <c r="K79" s="14" t="str">
        <f>_xlfn.XLOOKUP(E79, 'Plan Category Mapping'!$B$3:$B$8, 'Plan Category Mapping'!$C$3:$C$8, "N/A")</f>
        <v>Marketing</v>
      </c>
      <c r="L79" s="12">
        <f t="shared" si="6"/>
        <v>693</v>
      </c>
      <c r="M79" s="12">
        <f t="shared" si="7"/>
        <v>1870</v>
      </c>
      <c r="N79" s="12">
        <f t="shared" si="5"/>
        <v>1870</v>
      </c>
      <c r="O79" s="12">
        <f t="shared" si="8"/>
        <v>1177</v>
      </c>
      <c r="P79" s="12">
        <f>Table1[[#This Row],[Total Gross Revenue]]-Table1[[#This Row],[Total COGS]]</f>
        <v>1177</v>
      </c>
      <c r="Q79" s="13">
        <f t="shared" si="9"/>
        <v>0.62941176470588234</v>
      </c>
    </row>
    <row r="80" spans="1:17" x14ac:dyDescent="0.35">
      <c r="A80" s="17" t="s">
        <v>111</v>
      </c>
      <c r="B80" s="2" t="s">
        <v>110</v>
      </c>
      <c r="C80" s="2" t="s">
        <v>65</v>
      </c>
      <c r="D80" s="3" t="s">
        <v>66</v>
      </c>
      <c r="E80" s="2" t="s">
        <v>24</v>
      </c>
      <c r="F80" s="2" t="s">
        <v>20</v>
      </c>
      <c r="G80" s="2">
        <v>16</v>
      </c>
      <c r="H80" s="4">
        <v>110</v>
      </c>
      <c r="I80" s="5">
        <v>0</v>
      </c>
      <c r="J80" s="4">
        <v>31</v>
      </c>
      <c r="K80" s="14" t="str">
        <f>_xlfn.XLOOKUP(E80, 'Plan Category Mapping'!$B$3:$B$8, 'Plan Category Mapping'!$C$3:$C$8, "N/A")</f>
        <v>Sales</v>
      </c>
      <c r="L80" s="12">
        <f t="shared" si="6"/>
        <v>496</v>
      </c>
      <c r="M80" s="12">
        <f t="shared" si="7"/>
        <v>1760</v>
      </c>
      <c r="N80" s="12">
        <f t="shared" si="5"/>
        <v>1760</v>
      </c>
      <c r="O80" s="12">
        <f t="shared" si="8"/>
        <v>1264</v>
      </c>
      <c r="P80" s="12">
        <f>Table1[[#This Row],[Total Gross Revenue]]-Table1[[#This Row],[Total COGS]]</f>
        <v>1264</v>
      </c>
      <c r="Q80" s="13">
        <f t="shared" si="9"/>
        <v>0.71818181818181814</v>
      </c>
    </row>
    <row r="81" spans="1:17" x14ac:dyDescent="0.35">
      <c r="A81" s="18" t="s">
        <v>120</v>
      </c>
      <c r="B81" s="6" t="s">
        <v>11</v>
      </c>
      <c r="C81" s="6" t="s">
        <v>12</v>
      </c>
      <c r="D81" s="7" t="s">
        <v>13</v>
      </c>
      <c r="E81" s="6" t="s">
        <v>14</v>
      </c>
      <c r="F81" s="6" t="s">
        <v>15</v>
      </c>
      <c r="G81" s="6">
        <v>26</v>
      </c>
      <c r="H81" s="8">
        <v>1800</v>
      </c>
      <c r="I81" s="9">
        <v>0</v>
      </c>
      <c r="J81" s="8">
        <v>720</v>
      </c>
      <c r="K81" s="14" t="str">
        <f>_xlfn.XLOOKUP(E81, 'Plan Category Mapping'!$B$3:$B$8, 'Plan Category Mapping'!$C$3:$C$8, "N/A")</f>
        <v>Suite</v>
      </c>
      <c r="L81" s="12">
        <f t="shared" si="6"/>
        <v>1560</v>
      </c>
      <c r="M81" s="12">
        <f t="shared" si="7"/>
        <v>3900</v>
      </c>
      <c r="N81" s="12">
        <f t="shared" si="5"/>
        <v>3900</v>
      </c>
      <c r="O81" s="12">
        <f t="shared" si="8"/>
        <v>2340</v>
      </c>
      <c r="P81" s="12">
        <f>Table1[[#This Row],[Total Gross Revenue]]-Table1[[#This Row],[Total COGS]]</f>
        <v>2340</v>
      </c>
      <c r="Q81" s="13">
        <f t="shared" si="9"/>
        <v>0.6</v>
      </c>
    </row>
    <row r="82" spans="1:17" x14ac:dyDescent="0.35">
      <c r="A82" s="17" t="s">
        <v>120</v>
      </c>
      <c r="B82" s="2" t="s">
        <v>16</v>
      </c>
      <c r="C82" s="2" t="s">
        <v>17</v>
      </c>
      <c r="D82" s="3" t="s">
        <v>18</v>
      </c>
      <c r="E82" s="2" t="s">
        <v>19</v>
      </c>
      <c r="F82" s="2" t="s">
        <v>20</v>
      </c>
      <c r="G82" s="2">
        <v>23</v>
      </c>
      <c r="H82" s="4">
        <v>85</v>
      </c>
      <c r="I82" s="5">
        <v>0</v>
      </c>
      <c r="J82" s="4">
        <v>31.5</v>
      </c>
      <c r="K82" s="14" t="str">
        <f>_xlfn.XLOOKUP(E82, 'Plan Category Mapping'!$B$3:$B$8, 'Plan Category Mapping'!$C$3:$C$8, "N/A")</f>
        <v>Marketing</v>
      </c>
      <c r="L82" s="12">
        <f t="shared" si="6"/>
        <v>724.5</v>
      </c>
      <c r="M82" s="12">
        <f t="shared" si="7"/>
        <v>1955</v>
      </c>
      <c r="N82" s="12">
        <f t="shared" si="5"/>
        <v>1955</v>
      </c>
      <c r="O82" s="12">
        <f t="shared" si="8"/>
        <v>1230.5</v>
      </c>
      <c r="P82" s="12">
        <f>Table1[[#This Row],[Total Gross Revenue]]-Table1[[#This Row],[Total COGS]]</f>
        <v>1230.5</v>
      </c>
      <c r="Q82" s="13">
        <f t="shared" si="9"/>
        <v>0.62941176470588234</v>
      </c>
    </row>
    <row r="83" spans="1:17" x14ac:dyDescent="0.35">
      <c r="A83" s="18" t="s">
        <v>120</v>
      </c>
      <c r="B83" s="6" t="s">
        <v>21</v>
      </c>
      <c r="C83" s="6" t="s">
        <v>22</v>
      </c>
      <c r="D83" s="7" t="s">
        <v>23</v>
      </c>
      <c r="E83" s="6" t="s">
        <v>24</v>
      </c>
      <c r="F83" s="6" t="s">
        <v>20</v>
      </c>
      <c r="G83" s="6">
        <v>18</v>
      </c>
      <c r="H83" s="8">
        <v>110</v>
      </c>
      <c r="I83" s="9">
        <v>0</v>
      </c>
      <c r="J83" s="8">
        <v>31</v>
      </c>
      <c r="K83" s="14" t="str">
        <f>_xlfn.XLOOKUP(E83, 'Plan Category Mapping'!$B$3:$B$8, 'Plan Category Mapping'!$C$3:$C$8, "N/A")</f>
        <v>Sales</v>
      </c>
      <c r="L83" s="12">
        <f t="shared" si="6"/>
        <v>558</v>
      </c>
      <c r="M83" s="12">
        <f t="shared" si="7"/>
        <v>1980</v>
      </c>
      <c r="N83" s="12">
        <f t="shared" si="5"/>
        <v>1980</v>
      </c>
      <c r="O83" s="12">
        <f t="shared" si="8"/>
        <v>1422</v>
      </c>
      <c r="P83" s="12">
        <f>Table1[[#This Row],[Total Gross Revenue]]-Table1[[#This Row],[Total COGS]]</f>
        <v>1422</v>
      </c>
      <c r="Q83" s="13">
        <f t="shared" si="9"/>
        <v>0.71818181818181814</v>
      </c>
    </row>
    <row r="84" spans="1:17" x14ac:dyDescent="0.35">
      <c r="A84" s="17" t="s">
        <v>120</v>
      </c>
      <c r="B84" s="2" t="s">
        <v>25</v>
      </c>
      <c r="C84" s="2" t="s">
        <v>26</v>
      </c>
      <c r="D84" s="3" t="s">
        <v>27</v>
      </c>
      <c r="E84" s="2" t="s">
        <v>28</v>
      </c>
      <c r="F84" s="2" t="s">
        <v>15</v>
      </c>
      <c r="G84" s="2">
        <v>31</v>
      </c>
      <c r="H84" s="4">
        <v>2160</v>
      </c>
      <c r="I84" s="5">
        <v>0</v>
      </c>
      <c r="J84" s="4">
        <v>756</v>
      </c>
      <c r="K84" s="14" t="str">
        <f>_xlfn.XLOOKUP(E84, 'Plan Category Mapping'!$B$3:$B$8, 'Plan Category Mapping'!$C$3:$C$8, "N/A")</f>
        <v>Analytics</v>
      </c>
      <c r="L84" s="12">
        <f t="shared" si="6"/>
        <v>1953</v>
      </c>
      <c r="M84" s="12">
        <f t="shared" si="7"/>
        <v>5580</v>
      </c>
      <c r="N84" s="12">
        <f t="shared" si="5"/>
        <v>5580</v>
      </c>
      <c r="O84" s="12">
        <f t="shared" si="8"/>
        <v>3627</v>
      </c>
      <c r="P84" s="12">
        <f>Table1[[#This Row],[Total Gross Revenue]]-Table1[[#This Row],[Total COGS]]</f>
        <v>3627</v>
      </c>
      <c r="Q84" s="13">
        <f t="shared" si="9"/>
        <v>0.65</v>
      </c>
    </row>
    <row r="85" spans="1:17" x14ac:dyDescent="0.35">
      <c r="A85" s="18" t="s">
        <v>120</v>
      </c>
      <c r="B85" s="6" t="s">
        <v>29</v>
      </c>
      <c r="C85" s="6" t="s">
        <v>30</v>
      </c>
      <c r="D85" s="7" t="s">
        <v>31</v>
      </c>
      <c r="E85" s="6" t="s">
        <v>19</v>
      </c>
      <c r="F85" s="6" t="s">
        <v>20</v>
      </c>
      <c r="G85" s="6">
        <v>16</v>
      </c>
      <c r="H85" s="8">
        <v>85</v>
      </c>
      <c r="I85" s="9">
        <v>0</v>
      </c>
      <c r="J85" s="8">
        <v>31.5</v>
      </c>
      <c r="K85" s="14" t="str">
        <f>_xlfn.XLOOKUP(E85, 'Plan Category Mapping'!$B$3:$B$8, 'Plan Category Mapping'!$C$3:$C$8, "N/A")</f>
        <v>Marketing</v>
      </c>
      <c r="L85" s="12">
        <f t="shared" si="6"/>
        <v>504</v>
      </c>
      <c r="M85" s="12">
        <f t="shared" si="7"/>
        <v>1360</v>
      </c>
      <c r="N85" s="12">
        <f t="shared" si="5"/>
        <v>1360</v>
      </c>
      <c r="O85" s="12">
        <f t="shared" si="8"/>
        <v>856</v>
      </c>
      <c r="P85" s="12">
        <f>Table1[[#This Row],[Total Gross Revenue]]-Table1[[#This Row],[Total COGS]]</f>
        <v>856</v>
      </c>
      <c r="Q85" s="13">
        <f t="shared" si="9"/>
        <v>0.62941176470588234</v>
      </c>
    </row>
    <row r="86" spans="1:17" x14ac:dyDescent="0.35">
      <c r="A86" s="17" t="s">
        <v>120</v>
      </c>
      <c r="B86" s="2" t="s">
        <v>32</v>
      </c>
      <c r="C86" s="2" t="s">
        <v>33</v>
      </c>
      <c r="D86" s="3" t="s">
        <v>34</v>
      </c>
      <c r="E86" s="2" t="s">
        <v>14</v>
      </c>
      <c r="F86" s="2" t="s">
        <v>15</v>
      </c>
      <c r="G86" s="2">
        <v>36</v>
      </c>
      <c r="H86" s="4">
        <v>1800</v>
      </c>
      <c r="I86" s="5">
        <v>0</v>
      </c>
      <c r="J86" s="4">
        <v>720</v>
      </c>
      <c r="K86" s="14" t="str">
        <f>_xlfn.XLOOKUP(E86, 'Plan Category Mapping'!$B$3:$B$8, 'Plan Category Mapping'!$C$3:$C$8, "N/A")</f>
        <v>Suite</v>
      </c>
      <c r="L86" s="12">
        <f t="shared" si="6"/>
        <v>2160</v>
      </c>
      <c r="M86" s="12">
        <f t="shared" si="7"/>
        <v>5400</v>
      </c>
      <c r="N86" s="12">
        <f t="shared" si="5"/>
        <v>5400</v>
      </c>
      <c r="O86" s="12">
        <f t="shared" si="8"/>
        <v>3240</v>
      </c>
      <c r="P86" s="12">
        <f>Table1[[#This Row],[Total Gross Revenue]]-Table1[[#This Row],[Total COGS]]</f>
        <v>3240</v>
      </c>
      <c r="Q86" s="13">
        <f t="shared" si="9"/>
        <v>0.6</v>
      </c>
    </row>
    <row r="87" spans="1:17" x14ac:dyDescent="0.35">
      <c r="A87" s="18" t="s">
        <v>120</v>
      </c>
      <c r="B87" s="6" t="s">
        <v>35</v>
      </c>
      <c r="C87" s="6" t="s">
        <v>36</v>
      </c>
      <c r="D87" s="7" t="s">
        <v>37</v>
      </c>
      <c r="E87" s="6" t="s">
        <v>38</v>
      </c>
      <c r="F87" s="6" t="s">
        <v>20</v>
      </c>
      <c r="G87" s="6">
        <v>13</v>
      </c>
      <c r="H87" s="8">
        <v>45</v>
      </c>
      <c r="I87" s="9">
        <v>0</v>
      </c>
      <c r="J87" s="8">
        <v>9</v>
      </c>
      <c r="K87" s="14" t="str">
        <f>_xlfn.XLOOKUP(E87, 'Plan Category Mapping'!$B$3:$B$8, 'Plan Category Mapping'!$C$3:$C$8, "N/A")</f>
        <v>Analytics</v>
      </c>
      <c r="L87" s="12">
        <f t="shared" si="6"/>
        <v>117</v>
      </c>
      <c r="M87" s="12">
        <f t="shared" si="7"/>
        <v>585</v>
      </c>
      <c r="N87" s="12">
        <f t="shared" si="5"/>
        <v>585</v>
      </c>
      <c r="O87" s="12">
        <f t="shared" si="8"/>
        <v>468</v>
      </c>
      <c r="P87" s="12">
        <f>Table1[[#This Row],[Total Gross Revenue]]-Table1[[#This Row],[Total COGS]]</f>
        <v>468</v>
      </c>
      <c r="Q87" s="13">
        <f t="shared" si="9"/>
        <v>0.8</v>
      </c>
    </row>
    <row r="88" spans="1:17" x14ac:dyDescent="0.35">
      <c r="A88" s="17" t="s">
        <v>120</v>
      </c>
      <c r="B88" s="2" t="s">
        <v>39</v>
      </c>
      <c r="C88" s="2" t="s">
        <v>40</v>
      </c>
      <c r="D88" s="3" t="s">
        <v>41</v>
      </c>
      <c r="E88" s="2" t="s">
        <v>24</v>
      </c>
      <c r="F88" s="2" t="s">
        <v>20</v>
      </c>
      <c r="G88" s="2">
        <v>18</v>
      </c>
      <c r="H88" s="4">
        <v>110</v>
      </c>
      <c r="I88" s="5">
        <v>0</v>
      </c>
      <c r="J88" s="4">
        <v>31</v>
      </c>
      <c r="K88" s="14" t="str">
        <f>_xlfn.XLOOKUP(E88, 'Plan Category Mapping'!$B$3:$B$8, 'Plan Category Mapping'!$C$3:$C$8, "N/A")</f>
        <v>Sales</v>
      </c>
      <c r="L88" s="12">
        <f t="shared" si="6"/>
        <v>558</v>
      </c>
      <c r="M88" s="12">
        <f t="shared" si="7"/>
        <v>1980</v>
      </c>
      <c r="N88" s="12">
        <f t="shared" si="5"/>
        <v>1980</v>
      </c>
      <c r="O88" s="12">
        <f t="shared" si="8"/>
        <v>1422</v>
      </c>
      <c r="P88" s="12">
        <f>Table1[[#This Row],[Total Gross Revenue]]-Table1[[#This Row],[Total COGS]]</f>
        <v>1422</v>
      </c>
      <c r="Q88" s="13">
        <f t="shared" si="9"/>
        <v>0.71818181818181814</v>
      </c>
    </row>
    <row r="89" spans="1:17" x14ac:dyDescent="0.35">
      <c r="A89" s="18" t="s">
        <v>120</v>
      </c>
      <c r="B89" s="6" t="s">
        <v>42</v>
      </c>
      <c r="C89" s="6" t="s">
        <v>43</v>
      </c>
      <c r="D89" s="7" t="s">
        <v>44</v>
      </c>
      <c r="E89" s="6" t="s">
        <v>45</v>
      </c>
      <c r="F89" s="6" t="s">
        <v>20</v>
      </c>
      <c r="G89" s="6">
        <v>23</v>
      </c>
      <c r="H89" s="8">
        <v>95</v>
      </c>
      <c r="I89" s="9">
        <v>0</v>
      </c>
      <c r="J89" s="8">
        <v>24</v>
      </c>
      <c r="K89" s="14" t="str">
        <f>_xlfn.XLOOKUP(E89, 'Plan Category Mapping'!$B$3:$B$8, 'Plan Category Mapping'!$C$3:$C$8, "N/A")</f>
        <v>Analytics</v>
      </c>
      <c r="L89" s="12">
        <f t="shared" si="6"/>
        <v>552</v>
      </c>
      <c r="M89" s="12">
        <f t="shared" si="7"/>
        <v>2185</v>
      </c>
      <c r="N89" s="12">
        <f t="shared" si="5"/>
        <v>2185</v>
      </c>
      <c r="O89" s="12">
        <f t="shared" si="8"/>
        <v>1633</v>
      </c>
      <c r="P89" s="12">
        <f>Table1[[#This Row],[Total Gross Revenue]]-Table1[[#This Row],[Total COGS]]</f>
        <v>1633</v>
      </c>
      <c r="Q89" s="13">
        <f t="shared" si="9"/>
        <v>0.74736842105263157</v>
      </c>
    </row>
    <row r="90" spans="1:17" x14ac:dyDescent="0.35">
      <c r="A90" s="17" t="s">
        <v>120</v>
      </c>
      <c r="B90" s="2" t="s">
        <v>49</v>
      </c>
      <c r="C90" s="2" t="s">
        <v>50</v>
      </c>
      <c r="D90" s="3" t="s">
        <v>51</v>
      </c>
      <c r="E90" s="2" t="s">
        <v>19</v>
      </c>
      <c r="F90" s="2" t="s">
        <v>20</v>
      </c>
      <c r="G90" s="2">
        <v>28</v>
      </c>
      <c r="H90" s="4">
        <v>85</v>
      </c>
      <c r="I90" s="5">
        <v>0</v>
      </c>
      <c r="J90" s="4">
        <v>31.5</v>
      </c>
      <c r="K90" s="14" t="str">
        <f>_xlfn.XLOOKUP(E90, 'Plan Category Mapping'!$B$3:$B$8, 'Plan Category Mapping'!$C$3:$C$8, "N/A")</f>
        <v>Marketing</v>
      </c>
      <c r="L90" s="12">
        <f t="shared" si="6"/>
        <v>882</v>
      </c>
      <c r="M90" s="12">
        <f t="shared" si="7"/>
        <v>2380</v>
      </c>
      <c r="N90" s="12">
        <f t="shared" si="5"/>
        <v>2380</v>
      </c>
      <c r="O90" s="12">
        <f t="shared" si="8"/>
        <v>1498</v>
      </c>
      <c r="P90" s="12">
        <f>Table1[[#This Row],[Total Gross Revenue]]-Table1[[#This Row],[Total COGS]]</f>
        <v>1498</v>
      </c>
      <c r="Q90" s="13">
        <f t="shared" si="9"/>
        <v>0.62941176470588234</v>
      </c>
    </row>
    <row r="91" spans="1:17" x14ac:dyDescent="0.35">
      <c r="A91" s="18" t="s">
        <v>120</v>
      </c>
      <c r="B91" s="6" t="s">
        <v>52</v>
      </c>
      <c r="C91" s="6" t="s">
        <v>53</v>
      </c>
      <c r="D91" s="7" t="s">
        <v>54</v>
      </c>
      <c r="E91" s="6" t="s">
        <v>45</v>
      </c>
      <c r="F91" s="6" t="s">
        <v>20</v>
      </c>
      <c r="G91" s="6">
        <v>19</v>
      </c>
      <c r="H91" s="8">
        <v>95</v>
      </c>
      <c r="I91" s="9">
        <v>0.1</v>
      </c>
      <c r="J91" s="8">
        <v>24</v>
      </c>
      <c r="K91" s="14" t="str">
        <f>_xlfn.XLOOKUP(E91, 'Plan Category Mapping'!$B$3:$B$8, 'Plan Category Mapping'!$C$3:$C$8, "N/A")</f>
        <v>Analytics</v>
      </c>
      <c r="L91" s="12">
        <f t="shared" si="6"/>
        <v>410.40000000000003</v>
      </c>
      <c r="M91" s="12">
        <f t="shared" si="7"/>
        <v>1624.5</v>
      </c>
      <c r="N91" s="12">
        <f t="shared" si="5"/>
        <v>1805</v>
      </c>
      <c r="O91" s="12">
        <f t="shared" si="8"/>
        <v>1214.0999999999999</v>
      </c>
      <c r="P91" s="12">
        <f>Table1[[#This Row],[Total Gross Revenue]]-Table1[[#This Row],[Total COGS]]</f>
        <v>1394.6</v>
      </c>
      <c r="Q91" s="13">
        <f t="shared" si="9"/>
        <v>0.74736842105263157</v>
      </c>
    </row>
    <row r="92" spans="1:17" x14ac:dyDescent="0.35">
      <c r="A92" s="17" t="s">
        <v>120</v>
      </c>
      <c r="B92" s="2" t="s">
        <v>55</v>
      </c>
      <c r="C92" s="2" t="s">
        <v>56</v>
      </c>
      <c r="D92" s="3" t="s">
        <v>57</v>
      </c>
      <c r="E92" s="2" t="s">
        <v>14</v>
      </c>
      <c r="F92" s="2" t="s">
        <v>15</v>
      </c>
      <c r="G92" s="2">
        <v>42</v>
      </c>
      <c r="H92" s="4">
        <v>1800</v>
      </c>
      <c r="I92" s="5">
        <v>0</v>
      </c>
      <c r="J92" s="4">
        <v>720</v>
      </c>
      <c r="K92" s="14" t="str">
        <f>_xlfn.XLOOKUP(E92, 'Plan Category Mapping'!$B$3:$B$8, 'Plan Category Mapping'!$C$3:$C$8, "N/A")</f>
        <v>Suite</v>
      </c>
      <c r="L92" s="12">
        <f t="shared" si="6"/>
        <v>2520</v>
      </c>
      <c r="M92" s="12">
        <f t="shared" si="7"/>
        <v>6300</v>
      </c>
      <c r="N92" s="12">
        <f t="shared" si="5"/>
        <v>6300</v>
      </c>
      <c r="O92" s="12">
        <f t="shared" si="8"/>
        <v>3780</v>
      </c>
      <c r="P92" s="12">
        <f>Table1[[#This Row],[Total Gross Revenue]]-Table1[[#This Row],[Total COGS]]</f>
        <v>3780</v>
      </c>
      <c r="Q92" s="13">
        <f t="shared" si="9"/>
        <v>0.6</v>
      </c>
    </row>
    <row r="93" spans="1:17" x14ac:dyDescent="0.35">
      <c r="A93" s="18" t="s">
        <v>120</v>
      </c>
      <c r="B93" s="6" t="s">
        <v>58</v>
      </c>
      <c r="C93" s="6" t="s">
        <v>59</v>
      </c>
      <c r="D93" s="7" t="s">
        <v>60</v>
      </c>
      <c r="E93" s="6" t="s">
        <v>38</v>
      </c>
      <c r="F93" s="6" t="s">
        <v>20</v>
      </c>
      <c r="G93" s="6">
        <v>12</v>
      </c>
      <c r="H93" s="8">
        <v>45</v>
      </c>
      <c r="I93" s="9">
        <v>0</v>
      </c>
      <c r="J93" s="8">
        <v>9</v>
      </c>
      <c r="K93" s="14" t="str">
        <f>_xlfn.XLOOKUP(E93, 'Plan Category Mapping'!$B$3:$B$8, 'Plan Category Mapping'!$C$3:$C$8, "N/A")</f>
        <v>Analytics</v>
      </c>
      <c r="L93" s="12">
        <f t="shared" si="6"/>
        <v>108</v>
      </c>
      <c r="M93" s="12">
        <f t="shared" si="7"/>
        <v>540</v>
      </c>
      <c r="N93" s="12">
        <f t="shared" si="5"/>
        <v>540</v>
      </c>
      <c r="O93" s="12">
        <f t="shared" si="8"/>
        <v>432</v>
      </c>
      <c r="P93" s="12">
        <f>Table1[[#This Row],[Total Gross Revenue]]-Table1[[#This Row],[Total COGS]]</f>
        <v>432</v>
      </c>
      <c r="Q93" s="13">
        <f t="shared" si="9"/>
        <v>0.8</v>
      </c>
    </row>
    <row r="94" spans="1:17" x14ac:dyDescent="0.35">
      <c r="A94" s="17" t="s">
        <v>120</v>
      </c>
      <c r="B94" s="2" t="s">
        <v>61</v>
      </c>
      <c r="C94" s="2" t="s">
        <v>62</v>
      </c>
      <c r="D94" s="3" t="s">
        <v>63</v>
      </c>
      <c r="E94" s="2" t="s">
        <v>28</v>
      </c>
      <c r="F94" s="2" t="s">
        <v>20</v>
      </c>
      <c r="G94" s="2">
        <v>35</v>
      </c>
      <c r="H94" s="4">
        <v>180</v>
      </c>
      <c r="I94" s="5">
        <v>0</v>
      </c>
      <c r="J94" s="4">
        <v>63</v>
      </c>
      <c r="K94" s="14" t="str">
        <f>_xlfn.XLOOKUP(E94, 'Plan Category Mapping'!$B$3:$B$8, 'Plan Category Mapping'!$C$3:$C$8, "N/A")</f>
        <v>Analytics</v>
      </c>
      <c r="L94" s="12">
        <f t="shared" si="6"/>
        <v>2205</v>
      </c>
      <c r="M94" s="12">
        <f t="shared" si="7"/>
        <v>6300</v>
      </c>
      <c r="N94" s="12">
        <f t="shared" si="5"/>
        <v>6300</v>
      </c>
      <c r="O94" s="12">
        <f t="shared" si="8"/>
        <v>4095</v>
      </c>
      <c r="P94" s="12">
        <f>Table1[[#This Row],[Total Gross Revenue]]-Table1[[#This Row],[Total COGS]]</f>
        <v>4095</v>
      </c>
      <c r="Q94" s="13">
        <f t="shared" si="9"/>
        <v>0.65</v>
      </c>
    </row>
    <row r="95" spans="1:17" x14ac:dyDescent="0.35">
      <c r="A95" s="18" t="s">
        <v>120</v>
      </c>
      <c r="B95" s="6" t="s">
        <v>64</v>
      </c>
      <c r="C95" s="6" t="s">
        <v>65</v>
      </c>
      <c r="D95" s="7" t="s">
        <v>66</v>
      </c>
      <c r="E95" s="6" t="s">
        <v>19</v>
      </c>
      <c r="F95" s="6" t="s">
        <v>20</v>
      </c>
      <c r="G95" s="6">
        <v>19</v>
      </c>
      <c r="H95" s="8">
        <v>85</v>
      </c>
      <c r="I95" s="9">
        <v>0</v>
      </c>
      <c r="J95" s="8">
        <v>31.5</v>
      </c>
      <c r="K95" s="14" t="str">
        <f>_xlfn.XLOOKUP(E95, 'Plan Category Mapping'!$B$3:$B$8, 'Plan Category Mapping'!$C$3:$C$8, "N/A")</f>
        <v>Marketing</v>
      </c>
      <c r="L95" s="12">
        <f t="shared" si="6"/>
        <v>598.5</v>
      </c>
      <c r="M95" s="12">
        <f t="shared" si="7"/>
        <v>1615</v>
      </c>
      <c r="N95" s="12">
        <f t="shared" si="5"/>
        <v>1615</v>
      </c>
      <c r="O95" s="12">
        <f t="shared" si="8"/>
        <v>1016.5</v>
      </c>
      <c r="P95" s="12">
        <f>Table1[[#This Row],[Total Gross Revenue]]-Table1[[#This Row],[Total COGS]]</f>
        <v>1016.5</v>
      </c>
      <c r="Q95" s="13">
        <f t="shared" si="9"/>
        <v>0.62941176470588234</v>
      </c>
    </row>
    <row r="96" spans="1:17" x14ac:dyDescent="0.35">
      <c r="A96" s="17" t="s">
        <v>120</v>
      </c>
      <c r="B96" s="2" t="s">
        <v>67</v>
      </c>
      <c r="C96" s="2" t="s">
        <v>68</v>
      </c>
      <c r="D96" s="3" t="s">
        <v>69</v>
      </c>
      <c r="E96" s="2" t="s">
        <v>24</v>
      </c>
      <c r="F96" s="2" t="s">
        <v>20</v>
      </c>
      <c r="G96" s="2">
        <v>15</v>
      </c>
      <c r="H96" s="4">
        <v>110</v>
      </c>
      <c r="I96" s="5">
        <v>0</v>
      </c>
      <c r="J96" s="4">
        <v>31</v>
      </c>
      <c r="K96" s="14" t="str">
        <f>_xlfn.XLOOKUP(E96, 'Plan Category Mapping'!$B$3:$B$8, 'Plan Category Mapping'!$C$3:$C$8, "N/A")</f>
        <v>Sales</v>
      </c>
      <c r="L96" s="12">
        <f t="shared" si="6"/>
        <v>465</v>
      </c>
      <c r="M96" s="12">
        <f t="shared" si="7"/>
        <v>1650</v>
      </c>
      <c r="N96" s="12">
        <f t="shared" si="5"/>
        <v>1650</v>
      </c>
      <c r="O96" s="12">
        <f t="shared" si="8"/>
        <v>1185</v>
      </c>
      <c r="P96" s="12">
        <f>Table1[[#This Row],[Total Gross Revenue]]-Table1[[#This Row],[Total COGS]]</f>
        <v>1185</v>
      </c>
      <c r="Q96" s="13">
        <f t="shared" si="9"/>
        <v>0.71818181818181814</v>
      </c>
    </row>
    <row r="97" spans="1:17" x14ac:dyDescent="0.35">
      <c r="A97" s="18" t="s">
        <v>120</v>
      </c>
      <c r="B97" s="6" t="s">
        <v>70</v>
      </c>
      <c r="C97" s="6" t="s">
        <v>71</v>
      </c>
      <c r="D97" s="7" t="s">
        <v>72</v>
      </c>
      <c r="E97" s="6" t="s">
        <v>45</v>
      </c>
      <c r="F97" s="6" t="s">
        <v>20</v>
      </c>
      <c r="G97" s="6">
        <v>25</v>
      </c>
      <c r="H97" s="8">
        <v>95</v>
      </c>
      <c r="I97" s="9">
        <v>0</v>
      </c>
      <c r="J97" s="8">
        <v>24</v>
      </c>
      <c r="K97" s="14" t="str">
        <f>_xlfn.XLOOKUP(E97, 'Plan Category Mapping'!$B$3:$B$8, 'Plan Category Mapping'!$C$3:$C$8, "N/A")</f>
        <v>Analytics</v>
      </c>
      <c r="L97" s="12">
        <f t="shared" si="6"/>
        <v>600</v>
      </c>
      <c r="M97" s="12">
        <f t="shared" si="7"/>
        <v>2375</v>
      </c>
      <c r="N97" s="12">
        <f t="shared" si="5"/>
        <v>2375</v>
      </c>
      <c r="O97" s="12">
        <f t="shared" si="8"/>
        <v>1775</v>
      </c>
      <c r="P97" s="12">
        <f>Table1[[#This Row],[Total Gross Revenue]]-Table1[[#This Row],[Total COGS]]</f>
        <v>1775</v>
      </c>
      <c r="Q97" s="13">
        <f t="shared" si="9"/>
        <v>0.74736842105263157</v>
      </c>
    </row>
    <row r="98" spans="1:17" x14ac:dyDescent="0.35">
      <c r="A98" s="17" t="s">
        <v>120</v>
      </c>
      <c r="B98" s="2" t="s">
        <v>73</v>
      </c>
      <c r="C98" s="2" t="s">
        <v>74</v>
      </c>
      <c r="D98" s="3" t="s">
        <v>75</v>
      </c>
      <c r="E98" s="2" t="s">
        <v>14</v>
      </c>
      <c r="F98" s="2" t="s">
        <v>20</v>
      </c>
      <c r="G98" s="2">
        <v>33</v>
      </c>
      <c r="H98" s="4">
        <v>150</v>
      </c>
      <c r="I98" s="5">
        <v>0</v>
      </c>
      <c r="J98" s="4">
        <v>60</v>
      </c>
      <c r="K98" s="14" t="str">
        <f>_xlfn.XLOOKUP(E98, 'Plan Category Mapping'!$B$3:$B$8, 'Plan Category Mapping'!$C$3:$C$8, "N/A")</f>
        <v>Suite</v>
      </c>
      <c r="L98" s="12">
        <f t="shared" si="6"/>
        <v>1980</v>
      </c>
      <c r="M98" s="12">
        <f t="shared" si="7"/>
        <v>4950</v>
      </c>
      <c r="N98" s="12">
        <f t="shared" si="5"/>
        <v>4950</v>
      </c>
      <c r="O98" s="12">
        <f t="shared" si="8"/>
        <v>2970</v>
      </c>
      <c r="P98" s="12">
        <f>Table1[[#This Row],[Total Gross Revenue]]-Table1[[#This Row],[Total COGS]]</f>
        <v>2970</v>
      </c>
      <c r="Q98" s="13">
        <f t="shared" si="9"/>
        <v>0.6</v>
      </c>
    </row>
    <row r="99" spans="1:17" x14ac:dyDescent="0.35">
      <c r="A99" s="18" t="s">
        <v>120</v>
      </c>
      <c r="B99" s="6" t="s">
        <v>76</v>
      </c>
      <c r="C99" s="6" t="s">
        <v>77</v>
      </c>
      <c r="D99" s="7" t="s">
        <v>78</v>
      </c>
      <c r="E99" s="6" t="s">
        <v>38</v>
      </c>
      <c r="F99" s="6" t="s">
        <v>20</v>
      </c>
      <c r="G99" s="6">
        <v>10</v>
      </c>
      <c r="H99" s="8">
        <v>45</v>
      </c>
      <c r="I99" s="9">
        <v>0</v>
      </c>
      <c r="J99" s="8">
        <v>9</v>
      </c>
      <c r="K99" s="14" t="str">
        <f>_xlfn.XLOOKUP(E99, 'Plan Category Mapping'!$B$3:$B$8, 'Plan Category Mapping'!$C$3:$C$8, "N/A")</f>
        <v>Analytics</v>
      </c>
      <c r="L99" s="12">
        <f t="shared" si="6"/>
        <v>90</v>
      </c>
      <c r="M99" s="12">
        <f t="shared" si="7"/>
        <v>450</v>
      </c>
      <c r="N99" s="12">
        <f t="shared" si="5"/>
        <v>450</v>
      </c>
      <c r="O99" s="12">
        <f t="shared" si="8"/>
        <v>360</v>
      </c>
      <c r="P99" s="12">
        <f>Table1[[#This Row],[Total Gross Revenue]]-Table1[[#This Row],[Total COGS]]</f>
        <v>360</v>
      </c>
      <c r="Q99" s="13">
        <f t="shared" si="9"/>
        <v>0.8</v>
      </c>
    </row>
    <row r="100" spans="1:17" x14ac:dyDescent="0.35">
      <c r="A100" s="17" t="s">
        <v>120</v>
      </c>
      <c r="B100" s="2" t="s">
        <v>79</v>
      </c>
      <c r="C100" s="2" t="s">
        <v>80</v>
      </c>
      <c r="D100" s="3" t="s">
        <v>81</v>
      </c>
      <c r="E100" s="2" t="s">
        <v>19</v>
      </c>
      <c r="F100" s="2" t="s">
        <v>20</v>
      </c>
      <c r="G100" s="2">
        <v>31</v>
      </c>
      <c r="H100" s="4">
        <v>85</v>
      </c>
      <c r="I100" s="5">
        <v>0</v>
      </c>
      <c r="J100" s="4">
        <v>31.5</v>
      </c>
      <c r="K100" s="14" t="str">
        <f>_xlfn.XLOOKUP(E100, 'Plan Category Mapping'!$B$3:$B$8, 'Plan Category Mapping'!$C$3:$C$8, "N/A")</f>
        <v>Marketing</v>
      </c>
      <c r="L100" s="12">
        <f t="shared" si="6"/>
        <v>976.5</v>
      </c>
      <c r="M100" s="12">
        <f t="shared" si="7"/>
        <v>2635</v>
      </c>
      <c r="N100" s="12">
        <f t="shared" si="5"/>
        <v>2635</v>
      </c>
      <c r="O100" s="12">
        <f t="shared" si="8"/>
        <v>1658.5</v>
      </c>
      <c r="P100" s="12">
        <f>Table1[[#This Row],[Total Gross Revenue]]-Table1[[#This Row],[Total COGS]]</f>
        <v>1658.5</v>
      </c>
      <c r="Q100" s="13">
        <f t="shared" si="9"/>
        <v>0.62941176470588234</v>
      </c>
    </row>
    <row r="101" spans="1:17" x14ac:dyDescent="0.35">
      <c r="A101" s="18" t="s">
        <v>120</v>
      </c>
      <c r="B101" s="6" t="s">
        <v>82</v>
      </c>
      <c r="C101" s="6" t="s">
        <v>83</v>
      </c>
      <c r="D101" s="7" t="s">
        <v>84</v>
      </c>
      <c r="E101" s="6" t="s">
        <v>28</v>
      </c>
      <c r="F101" s="6" t="s">
        <v>15</v>
      </c>
      <c r="G101" s="6">
        <v>38</v>
      </c>
      <c r="H101" s="8">
        <v>2160</v>
      </c>
      <c r="I101" s="9">
        <v>0</v>
      </c>
      <c r="J101" s="8">
        <v>756</v>
      </c>
      <c r="K101" s="14" t="str">
        <f>_xlfn.XLOOKUP(E101, 'Plan Category Mapping'!$B$3:$B$8, 'Plan Category Mapping'!$C$3:$C$8, "N/A")</f>
        <v>Analytics</v>
      </c>
      <c r="L101" s="12">
        <f t="shared" si="6"/>
        <v>2394</v>
      </c>
      <c r="M101" s="12">
        <f t="shared" si="7"/>
        <v>6840</v>
      </c>
      <c r="N101" s="12">
        <f t="shared" si="5"/>
        <v>6840</v>
      </c>
      <c r="O101" s="12">
        <f t="shared" si="8"/>
        <v>4446</v>
      </c>
      <c r="P101" s="12">
        <f>Table1[[#This Row],[Total Gross Revenue]]-Table1[[#This Row],[Total COGS]]</f>
        <v>4446</v>
      </c>
      <c r="Q101" s="13">
        <f t="shared" si="9"/>
        <v>0.65</v>
      </c>
    </row>
    <row r="102" spans="1:17" x14ac:dyDescent="0.35">
      <c r="A102" s="17" t="s">
        <v>120</v>
      </c>
      <c r="B102" s="2" t="s">
        <v>85</v>
      </c>
      <c r="C102" s="2" t="s">
        <v>86</v>
      </c>
      <c r="D102" s="3" t="s">
        <v>87</v>
      </c>
      <c r="E102" s="2" t="s">
        <v>45</v>
      </c>
      <c r="F102" s="2" t="s">
        <v>20</v>
      </c>
      <c r="G102" s="2">
        <v>16</v>
      </c>
      <c r="H102" s="4">
        <v>95</v>
      </c>
      <c r="I102" s="5">
        <v>0</v>
      </c>
      <c r="J102" s="4">
        <v>24</v>
      </c>
      <c r="K102" s="14" t="str">
        <f>_xlfn.XLOOKUP(E102, 'Plan Category Mapping'!$B$3:$B$8, 'Plan Category Mapping'!$C$3:$C$8, "N/A")</f>
        <v>Analytics</v>
      </c>
      <c r="L102" s="12">
        <f t="shared" si="6"/>
        <v>384</v>
      </c>
      <c r="M102" s="12">
        <f t="shared" si="7"/>
        <v>1520</v>
      </c>
      <c r="N102" s="12">
        <f t="shared" si="5"/>
        <v>1520</v>
      </c>
      <c r="O102" s="12">
        <f t="shared" si="8"/>
        <v>1136</v>
      </c>
      <c r="P102" s="12">
        <f>Table1[[#This Row],[Total Gross Revenue]]-Table1[[#This Row],[Total COGS]]</f>
        <v>1136</v>
      </c>
      <c r="Q102" s="13">
        <f t="shared" si="9"/>
        <v>0.74736842105263157</v>
      </c>
    </row>
    <row r="103" spans="1:17" x14ac:dyDescent="0.35">
      <c r="A103" s="18" t="s">
        <v>120</v>
      </c>
      <c r="B103" s="6" t="s">
        <v>88</v>
      </c>
      <c r="C103" s="6" t="s">
        <v>89</v>
      </c>
      <c r="D103" s="7" t="s">
        <v>90</v>
      </c>
      <c r="E103" s="6" t="s">
        <v>24</v>
      </c>
      <c r="F103" s="6" t="s">
        <v>20</v>
      </c>
      <c r="G103" s="6">
        <v>28</v>
      </c>
      <c r="H103" s="8">
        <v>110</v>
      </c>
      <c r="I103" s="9">
        <v>0.15</v>
      </c>
      <c r="J103" s="8">
        <v>31</v>
      </c>
      <c r="K103" s="14" t="str">
        <f>_xlfn.XLOOKUP(E103, 'Plan Category Mapping'!$B$3:$B$8, 'Plan Category Mapping'!$C$3:$C$8, "N/A")</f>
        <v>Sales</v>
      </c>
      <c r="L103" s="12">
        <f t="shared" si="6"/>
        <v>737.8</v>
      </c>
      <c r="M103" s="12">
        <f t="shared" si="7"/>
        <v>2618</v>
      </c>
      <c r="N103" s="12">
        <f t="shared" si="5"/>
        <v>3080</v>
      </c>
      <c r="O103" s="12">
        <f t="shared" si="8"/>
        <v>1880.2</v>
      </c>
      <c r="P103" s="12">
        <f>Table1[[#This Row],[Total Gross Revenue]]-Table1[[#This Row],[Total COGS]]</f>
        <v>2342.1999999999998</v>
      </c>
      <c r="Q103" s="13">
        <f t="shared" si="9"/>
        <v>0.71818181818181825</v>
      </c>
    </row>
    <row r="104" spans="1:17" x14ac:dyDescent="0.35">
      <c r="A104" s="17" t="s">
        <v>120</v>
      </c>
      <c r="B104" s="2" t="s">
        <v>91</v>
      </c>
      <c r="C104" s="2" t="s">
        <v>92</v>
      </c>
      <c r="D104" s="3" t="s">
        <v>93</v>
      </c>
      <c r="E104" s="2" t="s">
        <v>38</v>
      </c>
      <c r="F104" s="2" t="s">
        <v>20</v>
      </c>
      <c r="G104" s="2">
        <v>15</v>
      </c>
      <c r="H104" s="4">
        <v>45</v>
      </c>
      <c r="I104" s="5">
        <v>0</v>
      </c>
      <c r="J104" s="4">
        <v>9</v>
      </c>
      <c r="K104" s="14" t="str">
        <f>_xlfn.XLOOKUP(E104, 'Plan Category Mapping'!$B$3:$B$8, 'Plan Category Mapping'!$C$3:$C$8, "N/A")</f>
        <v>Analytics</v>
      </c>
      <c r="L104" s="12">
        <f t="shared" si="6"/>
        <v>135</v>
      </c>
      <c r="M104" s="12">
        <f t="shared" si="7"/>
        <v>675</v>
      </c>
      <c r="N104" s="12">
        <f t="shared" si="5"/>
        <v>675</v>
      </c>
      <c r="O104" s="12">
        <f t="shared" si="8"/>
        <v>540</v>
      </c>
      <c r="P104" s="12">
        <f>Table1[[#This Row],[Total Gross Revenue]]-Table1[[#This Row],[Total COGS]]</f>
        <v>540</v>
      </c>
      <c r="Q104" s="13">
        <f t="shared" si="9"/>
        <v>0.8</v>
      </c>
    </row>
    <row r="105" spans="1:17" x14ac:dyDescent="0.35">
      <c r="A105" s="18" t="s">
        <v>120</v>
      </c>
      <c r="B105" s="6" t="s">
        <v>112</v>
      </c>
      <c r="C105" s="6" t="s">
        <v>113</v>
      </c>
      <c r="D105" s="7" t="s">
        <v>114</v>
      </c>
      <c r="E105" s="6" t="s">
        <v>19</v>
      </c>
      <c r="F105" s="6" t="s">
        <v>20</v>
      </c>
      <c r="G105" s="6">
        <v>22</v>
      </c>
      <c r="H105" s="8">
        <v>85</v>
      </c>
      <c r="I105" s="9">
        <v>0</v>
      </c>
      <c r="J105" s="8">
        <v>31.5</v>
      </c>
      <c r="K105" s="14" t="str">
        <f>_xlfn.XLOOKUP(E105, 'Plan Category Mapping'!$B$3:$B$8, 'Plan Category Mapping'!$C$3:$C$8, "N/A")</f>
        <v>Marketing</v>
      </c>
      <c r="L105" s="12">
        <f t="shared" si="6"/>
        <v>693</v>
      </c>
      <c r="M105" s="12">
        <f t="shared" si="7"/>
        <v>1870</v>
      </c>
      <c r="N105" s="12">
        <f t="shared" si="5"/>
        <v>1870</v>
      </c>
      <c r="O105" s="12">
        <f t="shared" si="8"/>
        <v>1177</v>
      </c>
      <c r="P105" s="12">
        <f>Table1[[#This Row],[Total Gross Revenue]]-Table1[[#This Row],[Total COGS]]</f>
        <v>1177</v>
      </c>
      <c r="Q105" s="13">
        <f t="shared" si="9"/>
        <v>0.62941176470588234</v>
      </c>
    </row>
    <row r="106" spans="1:17" x14ac:dyDescent="0.35">
      <c r="A106" s="17" t="s">
        <v>120</v>
      </c>
      <c r="B106" s="2" t="s">
        <v>115</v>
      </c>
      <c r="C106" s="2" t="s">
        <v>116</v>
      </c>
      <c r="D106" s="3" t="s">
        <v>117</v>
      </c>
      <c r="E106" s="2" t="s">
        <v>45</v>
      </c>
      <c r="F106" s="2" t="s">
        <v>20</v>
      </c>
      <c r="G106" s="2">
        <v>20</v>
      </c>
      <c r="H106" s="4">
        <v>95</v>
      </c>
      <c r="I106" s="5">
        <v>0</v>
      </c>
      <c r="J106" s="4">
        <v>24</v>
      </c>
      <c r="K106" s="14" t="str">
        <f>_xlfn.XLOOKUP(E106, 'Plan Category Mapping'!$B$3:$B$8, 'Plan Category Mapping'!$C$3:$C$8, "N/A")</f>
        <v>Analytics</v>
      </c>
      <c r="L106" s="12">
        <f t="shared" si="6"/>
        <v>480</v>
      </c>
      <c r="M106" s="12">
        <f t="shared" si="7"/>
        <v>1900</v>
      </c>
      <c r="N106" s="12">
        <f t="shared" si="5"/>
        <v>1900</v>
      </c>
      <c r="O106" s="12">
        <f t="shared" si="8"/>
        <v>1420</v>
      </c>
      <c r="P106" s="12">
        <f>Table1[[#This Row],[Total Gross Revenue]]-Table1[[#This Row],[Total COGS]]</f>
        <v>1420</v>
      </c>
      <c r="Q106" s="13">
        <f t="shared" si="9"/>
        <v>0.74736842105263157</v>
      </c>
    </row>
    <row r="107" spans="1:17" x14ac:dyDescent="0.35">
      <c r="A107" s="18" t="s">
        <v>120</v>
      </c>
      <c r="B107" s="6" t="s">
        <v>121</v>
      </c>
      <c r="C107" s="6" t="s">
        <v>122</v>
      </c>
      <c r="D107" s="7" t="s">
        <v>123</v>
      </c>
      <c r="E107" s="6" t="s">
        <v>14</v>
      </c>
      <c r="F107" s="6" t="s">
        <v>15</v>
      </c>
      <c r="G107" s="6">
        <v>45</v>
      </c>
      <c r="H107" s="8">
        <v>1800</v>
      </c>
      <c r="I107" s="9">
        <v>0</v>
      </c>
      <c r="J107" s="8">
        <v>720</v>
      </c>
      <c r="K107" s="14" t="str">
        <f>_xlfn.XLOOKUP(E107, 'Plan Category Mapping'!$B$3:$B$8, 'Plan Category Mapping'!$C$3:$C$8, "N/A")</f>
        <v>Suite</v>
      </c>
      <c r="L107" s="12">
        <f t="shared" si="6"/>
        <v>2700</v>
      </c>
      <c r="M107" s="12">
        <f t="shared" si="7"/>
        <v>6750</v>
      </c>
      <c r="N107" s="12">
        <f t="shared" si="5"/>
        <v>6750</v>
      </c>
      <c r="O107" s="12">
        <f t="shared" si="8"/>
        <v>4050</v>
      </c>
      <c r="P107" s="12">
        <f>Table1[[#This Row],[Total Gross Revenue]]-Table1[[#This Row],[Total COGS]]</f>
        <v>4050</v>
      </c>
      <c r="Q107" s="13">
        <f t="shared" si="9"/>
        <v>0.6</v>
      </c>
    </row>
    <row r="108" spans="1:17" x14ac:dyDescent="0.35">
      <c r="A108" s="17" t="s">
        <v>120</v>
      </c>
      <c r="B108" s="2" t="s">
        <v>124</v>
      </c>
      <c r="C108" s="2" t="s">
        <v>125</v>
      </c>
      <c r="D108" s="3" t="s">
        <v>126</v>
      </c>
      <c r="E108" s="2" t="s">
        <v>28</v>
      </c>
      <c r="F108" s="2" t="s">
        <v>20</v>
      </c>
      <c r="G108" s="2">
        <v>26</v>
      </c>
      <c r="H108" s="4">
        <v>180</v>
      </c>
      <c r="I108" s="5">
        <v>0</v>
      </c>
      <c r="J108" s="4">
        <v>63</v>
      </c>
      <c r="K108" s="14" t="str">
        <f>_xlfn.XLOOKUP(E108, 'Plan Category Mapping'!$B$3:$B$8, 'Plan Category Mapping'!$C$3:$C$8, "N/A")</f>
        <v>Analytics</v>
      </c>
      <c r="L108" s="12">
        <f t="shared" si="6"/>
        <v>1638</v>
      </c>
      <c r="M108" s="12">
        <f t="shared" si="7"/>
        <v>4680</v>
      </c>
      <c r="N108" s="12">
        <f t="shared" si="5"/>
        <v>4680</v>
      </c>
      <c r="O108" s="12">
        <f t="shared" si="8"/>
        <v>3042</v>
      </c>
      <c r="P108" s="12">
        <f>Table1[[#This Row],[Total Gross Revenue]]-Table1[[#This Row],[Total COGS]]</f>
        <v>3042</v>
      </c>
      <c r="Q108" s="13">
        <f t="shared" si="9"/>
        <v>0.65</v>
      </c>
    </row>
    <row r="109" spans="1:17" x14ac:dyDescent="0.35">
      <c r="A109" s="18" t="s">
        <v>120</v>
      </c>
      <c r="B109" s="6" t="s">
        <v>127</v>
      </c>
      <c r="C109" s="6" t="s">
        <v>128</v>
      </c>
      <c r="D109" s="7" t="s">
        <v>129</v>
      </c>
      <c r="E109" s="6" t="s">
        <v>19</v>
      </c>
      <c r="F109" s="6" t="s">
        <v>20</v>
      </c>
      <c r="G109" s="6">
        <v>25</v>
      </c>
      <c r="H109" s="8">
        <v>85</v>
      </c>
      <c r="I109" s="9">
        <v>0</v>
      </c>
      <c r="J109" s="8">
        <v>31.5</v>
      </c>
      <c r="K109" s="14" t="str">
        <f>_xlfn.XLOOKUP(E109, 'Plan Category Mapping'!$B$3:$B$8, 'Plan Category Mapping'!$C$3:$C$8, "N/A")</f>
        <v>Marketing</v>
      </c>
      <c r="L109" s="12">
        <f t="shared" si="6"/>
        <v>787.5</v>
      </c>
      <c r="M109" s="12">
        <f t="shared" si="7"/>
        <v>2125</v>
      </c>
      <c r="N109" s="12">
        <f t="shared" si="5"/>
        <v>2125</v>
      </c>
      <c r="O109" s="12">
        <f t="shared" si="8"/>
        <v>1337.5</v>
      </c>
      <c r="P109" s="12">
        <f>Table1[[#This Row],[Total Gross Revenue]]-Table1[[#This Row],[Total COGS]]</f>
        <v>1337.5</v>
      </c>
      <c r="Q109" s="13">
        <f t="shared" si="9"/>
        <v>0.62941176470588234</v>
      </c>
    </row>
    <row r="110" spans="1:17" x14ac:dyDescent="0.35">
      <c r="A110" s="17" t="s">
        <v>120</v>
      </c>
      <c r="B110" s="2" t="s">
        <v>94</v>
      </c>
      <c r="C110" s="2" t="s">
        <v>95</v>
      </c>
      <c r="D110" s="3" t="s">
        <v>96</v>
      </c>
      <c r="E110" s="2" t="s">
        <v>24</v>
      </c>
      <c r="F110" s="2" t="s">
        <v>20</v>
      </c>
      <c r="G110" s="2">
        <v>16</v>
      </c>
      <c r="H110" s="4">
        <v>110</v>
      </c>
      <c r="I110" s="5">
        <v>0</v>
      </c>
      <c r="J110" s="4">
        <v>31</v>
      </c>
      <c r="K110" s="14" t="str">
        <f>_xlfn.XLOOKUP(E110, 'Plan Category Mapping'!$B$3:$B$8, 'Plan Category Mapping'!$C$3:$C$8, "N/A")</f>
        <v>Sales</v>
      </c>
      <c r="L110" s="12">
        <f t="shared" si="6"/>
        <v>496</v>
      </c>
      <c r="M110" s="12">
        <f t="shared" si="7"/>
        <v>1760</v>
      </c>
      <c r="N110" s="12">
        <f t="shared" si="5"/>
        <v>1760</v>
      </c>
      <c r="O110" s="12">
        <f t="shared" si="8"/>
        <v>1264</v>
      </c>
      <c r="P110" s="12">
        <f>Table1[[#This Row],[Total Gross Revenue]]-Table1[[#This Row],[Total COGS]]</f>
        <v>1264</v>
      </c>
      <c r="Q110" s="13">
        <f t="shared" si="9"/>
        <v>0.71818181818181814</v>
      </c>
    </row>
    <row r="111" spans="1:17" x14ac:dyDescent="0.35">
      <c r="A111" s="18" t="s">
        <v>120</v>
      </c>
      <c r="B111" s="6" t="s">
        <v>97</v>
      </c>
      <c r="C111" s="6" t="s">
        <v>17</v>
      </c>
      <c r="D111" s="7" t="s">
        <v>18</v>
      </c>
      <c r="E111" s="6" t="s">
        <v>24</v>
      </c>
      <c r="F111" s="6" t="s">
        <v>20</v>
      </c>
      <c r="G111" s="6">
        <v>19</v>
      </c>
      <c r="H111" s="8">
        <v>110</v>
      </c>
      <c r="I111" s="9">
        <v>0</v>
      </c>
      <c r="J111" s="8">
        <v>31</v>
      </c>
      <c r="K111" s="14" t="str">
        <f>_xlfn.XLOOKUP(E111, 'Plan Category Mapping'!$B$3:$B$8, 'Plan Category Mapping'!$C$3:$C$8, "N/A")</f>
        <v>Sales</v>
      </c>
      <c r="L111" s="12">
        <f t="shared" si="6"/>
        <v>589</v>
      </c>
      <c r="M111" s="12">
        <f t="shared" si="7"/>
        <v>2090</v>
      </c>
      <c r="N111" s="12">
        <f t="shared" si="5"/>
        <v>2090</v>
      </c>
      <c r="O111" s="12">
        <f t="shared" si="8"/>
        <v>1501</v>
      </c>
      <c r="P111" s="12">
        <f>Table1[[#This Row],[Total Gross Revenue]]-Table1[[#This Row],[Total COGS]]</f>
        <v>1501</v>
      </c>
      <c r="Q111" s="13">
        <f t="shared" si="9"/>
        <v>0.71818181818181814</v>
      </c>
    </row>
    <row r="112" spans="1:17" x14ac:dyDescent="0.35">
      <c r="A112" s="17" t="s">
        <v>120</v>
      </c>
      <c r="B112" s="2" t="s">
        <v>98</v>
      </c>
      <c r="C112" s="2" t="s">
        <v>26</v>
      </c>
      <c r="D112" s="3" t="s">
        <v>27</v>
      </c>
      <c r="E112" s="2" t="s">
        <v>19</v>
      </c>
      <c r="F112" s="2" t="s">
        <v>20</v>
      </c>
      <c r="G112" s="2">
        <v>33</v>
      </c>
      <c r="H112" s="4">
        <v>85</v>
      </c>
      <c r="I112" s="5">
        <v>0</v>
      </c>
      <c r="J112" s="4">
        <v>31.5</v>
      </c>
      <c r="K112" s="14" t="str">
        <f>_xlfn.XLOOKUP(E112, 'Plan Category Mapping'!$B$3:$B$8, 'Plan Category Mapping'!$C$3:$C$8, "N/A")</f>
        <v>Marketing</v>
      </c>
      <c r="L112" s="12">
        <f t="shared" si="6"/>
        <v>1039.5</v>
      </c>
      <c r="M112" s="12">
        <f t="shared" si="7"/>
        <v>2805</v>
      </c>
      <c r="N112" s="12">
        <f t="shared" si="5"/>
        <v>2805</v>
      </c>
      <c r="O112" s="12">
        <f t="shared" si="8"/>
        <v>1765.5</v>
      </c>
      <c r="P112" s="12">
        <f>Table1[[#This Row],[Total Gross Revenue]]-Table1[[#This Row],[Total COGS]]</f>
        <v>1765.5</v>
      </c>
      <c r="Q112" s="13">
        <f t="shared" si="9"/>
        <v>0.62941176470588234</v>
      </c>
    </row>
    <row r="113" spans="1:17" x14ac:dyDescent="0.35">
      <c r="A113" s="18" t="s">
        <v>120</v>
      </c>
      <c r="B113" s="6" t="s">
        <v>99</v>
      </c>
      <c r="C113" s="6" t="s">
        <v>33</v>
      </c>
      <c r="D113" s="7" t="s">
        <v>34</v>
      </c>
      <c r="E113" s="6" t="s">
        <v>45</v>
      </c>
      <c r="F113" s="6" t="s">
        <v>20</v>
      </c>
      <c r="G113" s="6">
        <v>35</v>
      </c>
      <c r="H113" s="8">
        <v>95</v>
      </c>
      <c r="I113" s="9">
        <v>0</v>
      </c>
      <c r="J113" s="8">
        <v>24</v>
      </c>
      <c r="K113" s="14" t="str">
        <f>_xlfn.XLOOKUP(E113, 'Plan Category Mapping'!$B$3:$B$8, 'Plan Category Mapping'!$C$3:$C$8, "N/A")</f>
        <v>Analytics</v>
      </c>
      <c r="L113" s="12">
        <f t="shared" si="6"/>
        <v>840</v>
      </c>
      <c r="M113" s="12">
        <f t="shared" si="7"/>
        <v>3325</v>
      </c>
      <c r="N113" s="12">
        <f t="shared" si="5"/>
        <v>3325</v>
      </c>
      <c r="O113" s="12">
        <f t="shared" si="8"/>
        <v>2485</v>
      </c>
      <c r="P113" s="12">
        <f>Table1[[#This Row],[Total Gross Revenue]]-Table1[[#This Row],[Total COGS]]</f>
        <v>2485</v>
      </c>
      <c r="Q113" s="13">
        <f t="shared" si="9"/>
        <v>0.74736842105263157</v>
      </c>
    </row>
    <row r="114" spans="1:17" x14ac:dyDescent="0.35">
      <c r="A114" s="17" t="s">
        <v>120</v>
      </c>
      <c r="B114" s="2" t="s">
        <v>118</v>
      </c>
      <c r="C114" s="2" t="s">
        <v>36</v>
      </c>
      <c r="D114" s="3" t="s">
        <v>37</v>
      </c>
      <c r="E114" s="2" t="s">
        <v>19</v>
      </c>
      <c r="F114" s="2" t="s">
        <v>20</v>
      </c>
      <c r="G114" s="2">
        <v>13</v>
      </c>
      <c r="H114" s="4">
        <v>85</v>
      </c>
      <c r="I114" s="5">
        <v>0</v>
      </c>
      <c r="J114" s="4">
        <v>31.5</v>
      </c>
      <c r="K114" s="14" t="str">
        <f>_xlfn.XLOOKUP(E114, 'Plan Category Mapping'!$B$3:$B$8, 'Plan Category Mapping'!$C$3:$C$8, "N/A")</f>
        <v>Marketing</v>
      </c>
      <c r="L114" s="12">
        <f t="shared" si="6"/>
        <v>409.5</v>
      </c>
      <c r="M114" s="12">
        <f t="shared" si="7"/>
        <v>1105</v>
      </c>
      <c r="N114" s="12">
        <f t="shared" si="5"/>
        <v>1105</v>
      </c>
      <c r="O114" s="12">
        <f t="shared" si="8"/>
        <v>695.5</v>
      </c>
      <c r="P114" s="12">
        <f>Table1[[#This Row],[Total Gross Revenue]]-Table1[[#This Row],[Total COGS]]</f>
        <v>695.5</v>
      </c>
      <c r="Q114" s="13">
        <f t="shared" si="9"/>
        <v>0.62941176470588234</v>
      </c>
    </row>
    <row r="115" spans="1:17" x14ac:dyDescent="0.35">
      <c r="A115" s="18" t="s">
        <v>120</v>
      </c>
      <c r="B115" s="6" t="s">
        <v>100</v>
      </c>
      <c r="C115" s="6" t="s">
        <v>53</v>
      </c>
      <c r="D115" s="7" t="s">
        <v>54</v>
      </c>
      <c r="E115" s="6" t="s">
        <v>28</v>
      </c>
      <c r="F115" s="6" t="s">
        <v>20</v>
      </c>
      <c r="G115" s="6">
        <v>20</v>
      </c>
      <c r="H115" s="8">
        <v>180</v>
      </c>
      <c r="I115" s="9">
        <v>0</v>
      </c>
      <c r="J115" s="8">
        <v>63</v>
      </c>
      <c r="K115" s="14" t="str">
        <f>_xlfn.XLOOKUP(E115, 'Plan Category Mapping'!$B$3:$B$8, 'Plan Category Mapping'!$C$3:$C$8, "N/A")</f>
        <v>Analytics</v>
      </c>
      <c r="L115" s="12">
        <f t="shared" si="6"/>
        <v>1260</v>
      </c>
      <c r="M115" s="12">
        <f t="shared" si="7"/>
        <v>3600</v>
      </c>
      <c r="N115" s="12">
        <f t="shared" si="5"/>
        <v>3600</v>
      </c>
      <c r="O115" s="12">
        <f t="shared" si="8"/>
        <v>2340</v>
      </c>
      <c r="P115" s="12">
        <f>Table1[[#This Row],[Total Gross Revenue]]-Table1[[#This Row],[Total COGS]]</f>
        <v>2340</v>
      </c>
      <c r="Q115" s="13">
        <f t="shared" si="9"/>
        <v>0.65</v>
      </c>
    </row>
    <row r="116" spans="1:17" x14ac:dyDescent="0.35">
      <c r="A116" s="17" t="s">
        <v>120</v>
      </c>
      <c r="B116" s="2" t="s">
        <v>101</v>
      </c>
      <c r="C116" s="2" t="s">
        <v>43</v>
      </c>
      <c r="D116" s="3" t="s">
        <v>44</v>
      </c>
      <c r="E116" s="2" t="s">
        <v>38</v>
      </c>
      <c r="F116" s="2" t="s">
        <v>20</v>
      </c>
      <c r="G116" s="2">
        <v>19</v>
      </c>
      <c r="H116" s="4">
        <v>45</v>
      </c>
      <c r="I116" s="5">
        <v>0</v>
      </c>
      <c r="J116" s="4">
        <v>9</v>
      </c>
      <c r="K116" s="14" t="str">
        <f>_xlfn.XLOOKUP(E116, 'Plan Category Mapping'!$B$3:$B$8, 'Plan Category Mapping'!$C$3:$C$8, "N/A")</f>
        <v>Analytics</v>
      </c>
      <c r="L116" s="12">
        <f t="shared" si="6"/>
        <v>171</v>
      </c>
      <c r="M116" s="12">
        <f t="shared" si="7"/>
        <v>855</v>
      </c>
      <c r="N116" s="12">
        <f t="shared" si="5"/>
        <v>855</v>
      </c>
      <c r="O116" s="12">
        <f t="shared" si="8"/>
        <v>684</v>
      </c>
      <c r="P116" s="12">
        <f>Table1[[#This Row],[Total Gross Revenue]]-Table1[[#This Row],[Total COGS]]</f>
        <v>684</v>
      </c>
      <c r="Q116" s="13">
        <f t="shared" si="9"/>
        <v>0.8</v>
      </c>
    </row>
    <row r="117" spans="1:17" x14ac:dyDescent="0.35">
      <c r="A117" s="18" t="s">
        <v>120</v>
      </c>
      <c r="B117" s="6" t="s">
        <v>102</v>
      </c>
      <c r="C117" s="6" t="s">
        <v>30</v>
      </c>
      <c r="D117" s="7" t="s">
        <v>31</v>
      </c>
      <c r="E117" s="6" t="s">
        <v>38</v>
      </c>
      <c r="F117" s="6" t="s">
        <v>20</v>
      </c>
      <c r="G117" s="6">
        <v>15</v>
      </c>
      <c r="H117" s="8">
        <v>45</v>
      </c>
      <c r="I117" s="9">
        <v>0.12</v>
      </c>
      <c r="J117" s="8">
        <v>9</v>
      </c>
      <c r="K117" s="14" t="str">
        <f>_xlfn.XLOOKUP(E117, 'Plan Category Mapping'!$B$3:$B$8, 'Plan Category Mapping'!$C$3:$C$8, "N/A")</f>
        <v>Analytics</v>
      </c>
      <c r="L117" s="12">
        <f t="shared" si="6"/>
        <v>118.8</v>
      </c>
      <c r="M117" s="12">
        <f t="shared" si="7"/>
        <v>594</v>
      </c>
      <c r="N117" s="12">
        <f t="shared" si="5"/>
        <v>675</v>
      </c>
      <c r="O117" s="12">
        <f t="shared" si="8"/>
        <v>475.2</v>
      </c>
      <c r="P117" s="12">
        <f>Table1[[#This Row],[Total Gross Revenue]]-Table1[[#This Row],[Total COGS]]</f>
        <v>556.20000000000005</v>
      </c>
      <c r="Q117" s="13">
        <f t="shared" si="9"/>
        <v>0.79999999999999993</v>
      </c>
    </row>
    <row r="118" spans="1:17" x14ac:dyDescent="0.35">
      <c r="A118" s="17" t="s">
        <v>120</v>
      </c>
      <c r="B118" s="2" t="s">
        <v>119</v>
      </c>
      <c r="C118" s="2" t="s">
        <v>50</v>
      </c>
      <c r="D118" s="3" t="s">
        <v>51</v>
      </c>
      <c r="E118" s="2" t="s">
        <v>24</v>
      </c>
      <c r="F118" s="2" t="s">
        <v>20</v>
      </c>
      <c r="G118" s="2">
        <v>23</v>
      </c>
      <c r="H118" s="4">
        <v>110</v>
      </c>
      <c r="I118" s="5">
        <v>0</v>
      </c>
      <c r="J118" s="4">
        <v>31</v>
      </c>
      <c r="K118" s="14" t="str">
        <f>_xlfn.XLOOKUP(E118, 'Plan Category Mapping'!$B$3:$B$8, 'Plan Category Mapping'!$C$3:$C$8, "N/A")</f>
        <v>Sales</v>
      </c>
      <c r="L118" s="12">
        <f t="shared" si="6"/>
        <v>713</v>
      </c>
      <c r="M118" s="12">
        <f t="shared" si="7"/>
        <v>2530</v>
      </c>
      <c r="N118" s="12">
        <f t="shared" si="5"/>
        <v>2530</v>
      </c>
      <c r="O118" s="12">
        <f t="shared" si="8"/>
        <v>1817</v>
      </c>
      <c r="P118" s="12">
        <f>Table1[[#This Row],[Total Gross Revenue]]-Table1[[#This Row],[Total COGS]]</f>
        <v>1817</v>
      </c>
      <c r="Q118" s="13">
        <f t="shared" si="9"/>
        <v>0.71818181818181814</v>
      </c>
    </row>
    <row r="119" spans="1:17" x14ac:dyDescent="0.35">
      <c r="A119" s="18" t="s">
        <v>120</v>
      </c>
      <c r="B119" s="6" t="s">
        <v>130</v>
      </c>
      <c r="C119" s="6" t="s">
        <v>62</v>
      </c>
      <c r="D119" s="7" t="s">
        <v>63</v>
      </c>
      <c r="E119" s="6" t="s">
        <v>19</v>
      </c>
      <c r="F119" s="6" t="s">
        <v>20</v>
      </c>
      <c r="G119" s="6">
        <v>35</v>
      </c>
      <c r="H119" s="8">
        <v>85</v>
      </c>
      <c r="I119" s="9">
        <v>0</v>
      </c>
      <c r="J119" s="8">
        <v>31.5</v>
      </c>
      <c r="K119" s="14" t="str">
        <f>_xlfn.XLOOKUP(E119, 'Plan Category Mapping'!$B$3:$B$8, 'Plan Category Mapping'!$C$3:$C$8, "N/A")</f>
        <v>Marketing</v>
      </c>
      <c r="L119" s="12">
        <f t="shared" si="6"/>
        <v>1102.5</v>
      </c>
      <c r="M119" s="12">
        <f t="shared" si="7"/>
        <v>2975</v>
      </c>
      <c r="N119" s="12">
        <f t="shared" si="5"/>
        <v>2975</v>
      </c>
      <c r="O119" s="12">
        <f t="shared" si="8"/>
        <v>1872.5</v>
      </c>
      <c r="P119" s="12">
        <f>Table1[[#This Row],[Total Gross Revenue]]-Table1[[#This Row],[Total COGS]]</f>
        <v>1872.5</v>
      </c>
      <c r="Q119" s="13">
        <f t="shared" si="9"/>
        <v>0.62941176470588234</v>
      </c>
    </row>
    <row r="120" spans="1:17" x14ac:dyDescent="0.35">
      <c r="A120" s="17" t="s">
        <v>120</v>
      </c>
      <c r="B120" s="2" t="s">
        <v>103</v>
      </c>
      <c r="C120" s="2" t="s">
        <v>12</v>
      </c>
      <c r="D120" s="3" t="s">
        <v>13</v>
      </c>
      <c r="E120" s="2" t="s">
        <v>45</v>
      </c>
      <c r="F120" s="2" t="s">
        <v>15</v>
      </c>
      <c r="G120" s="2">
        <v>22</v>
      </c>
      <c r="H120" s="4">
        <v>1140</v>
      </c>
      <c r="I120" s="5">
        <v>0.05</v>
      </c>
      <c r="J120" s="4">
        <v>288</v>
      </c>
      <c r="K120" s="14" t="str">
        <f>_xlfn.XLOOKUP(E120, 'Plan Category Mapping'!$B$3:$B$8, 'Plan Category Mapping'!$C$3:$C$8, "N/A")</f>
        <v>Analytics</v>
      </c>
      <c r="L120" s="12">
        <f t="shared" si="6"/>
        <v>501.59999999999997</v>
      </c>
      <c r="M120" s="12">
        <f t="shared" si="7"/>
        <v>1985.5</v>
      </c>
      <c r="N120" s="12">
        <f t="shared" si="5"/>
        <v>2090</v>
      </c>
      <c r="O120" s="12">
        <f t="shared" si="8"/>
        <v>1483.9</v>
      </c>
      <c r="P120" s="12">
        <f>Table1[[#This Row],[Total Gross Revenue]]-Table1[[#This Row],[Total COGS]]</f>
        <v>1588.4</v>
      </c>
      <c r="Q120" s="13">
        <f t="shared" si="9"/>
        <v>0.74736842105263157</v>
      </c>
    </row>
    <row r="121" spans="1:17" x14ac:dyDescent="0.35">
      <c r="A121" s="18" t="s">
        <v>120</v>
      </c>
      <c r="B121" s="6" t="s">
        <v>104</v>
      </c>
      <c r="C121" s="6" t="s">
        <v>22</v>
      </c>
      <c r="D121" s="7" t="s">
        <v>23</v>
      </c>
      <c r="E121" s="6" t="s">
        <v>28</v>
      </c>
      <c r="F121" s="6" t="s">
        <v>20</v>
      </c>
      <c r="G121" s="6">
        <v>26</v>
      </c>
      <c r="H121" s="8">
        <v>180</v>
      </c>
      <c r="I121" s="9">
        <v>0</v>
      </c>
      <c r="J121" s="8">
        <v>63</v>
      </c>
      <c r="K121" s="14" t="str">
        <f>_xlfn.XLOOKUP(E121, 'Plan Category Mapping'!$B$3:$B$8, 'Plan Category Mapping'!$C$3:$C$8, "N/A")</f>
        <v>Analytics</v>
      </c>
      <c r="L121" s="12">
        <f t="shared" si="6"/>
        <v>1638</v>
      </c>
      <c r="M121" s="12">
        <f t="shared" si="7"/>
        <v>4680</v>
      </c>
      <c r="N121" s="12">
        <f t="shared" si="5"/>
        <v>4680</v>
      </c>
      <c r="O121" s="12">
        <f t="shared" si="8"/>
        <v>3042</v>
      </c>
      <c r="P121" s="12">
        <f>Table1[[#This Row],[Total Gross Revenue]]-Table1[[#This Row],[Total COGS]]</f>
        <v>3042</v>
      </c>
      <c r="Q121" s="13">
        <f t="shared" si="9"/>
        <v>0.65</v>
      </c>
    </row>
    <row r="122" spans="1:17" x14ac:dyDescent="0.35">
      <c r="A122" s="17" t="s">
        <v>120</v>
      </c>
      <c r="B122" s="2" t="s">
        <v>105</v>
      </c>
      <c r="C122" s="2" t="s">
        <v>56</v>
      </c>
      <c r="D122" s="3" t="s">
        <v>57</v>
      </c>
      <c r="E122" s="2" t="s">
        <v>19</v>
      </c>
      <c r="F122" s="2" t="s">
        <v>20</v>
      </c>
      <c r="G122" s="2">
        <v>38</v>
      </c>
      <c r="H122" s="4">
        <v>85</v>
      </c>
      <c r="I122" s="5">
        <v>0</v>
      </c>
      <c r="J122" s="4">
        <v>31.5</v>
      </c>
      <c r="K122" s="14" t="str">
        <f>_xlfn.XLOOKUP(E122, 'Plan Category Mapping'!$B$3:$B$8, 'Plan Category Mapping'!$C$3:$C$8, "N/A")</f>
        <v>Marketing</v>
      </c>
      <c r="L122" s="12">
        <f t="shared" si="6"/>
        <v>1197</v>
      </c>
      <c r="M122" s="12">
        <f t="shared" si="7"/>
        <v>3230</v>
      </c>
      <c r="N122" s="12">
        <f t="shared" si="5"/>
        <v>3230</v>
      </c>
      <c r="O122" s="12">
        <f t="shared" si="8"/>
        <v>2033</v>
      </c>
      <c r="P122" s="12">
        <f>Table1[[#This Row],[Total Gross Revenue]]-Table1[[#This Row],[Total COGS]]</f>
        <v>2033</v>
      </c>
      <c r="Q122" s="13">
        <f t="shared" si="9"/>
        <v>0.62941176470588234</v>
      </c>
    </row>
    <row r="123" spans="1:17" x14ac:dyDescent="0.35">
      <c r="A123" s="18" t="s">
        <v>120</v>
      </c>
      <c r="B123" s="6" t="s">
        <v>106</v>
      </c>
      <c r="C123" s="6" t="s">
        <v>71</v>
      </c>
      <c r="D123" s="7" t="s">
        <v>72</v>
      </c>
      <c r="E123" s="6" t="s">
        <v>14</v>
      </c>
      <c r="F123" s="6" t="s">
        <v>20</v>
      </c>
      <c r="G123" s="6">
        <v>28</v>
      </c>
      <c r="H123" s="8">
        <v>150</v>
      </c>
      <c r="I123" s="9">
        <v>0</v>
      </c>
      <c r="J123" s="8">
        <v>60</v>
      </c>
      <c r="K123" s="14" t="str">
        <f>_xlfn.XLOOKUP(E123, 'Plan Category Mapping'!$B$3:$B$8, 'Plan Category Mapping'!$C$3:$C$8, "N/A")</f>
        <v>Suite</v>
      </c>
      <c r="L123" s="12">
        <f t="shared" si="6"/>
        <v>1680</v>
      </c>
      <c r="M123" s="12">
        <f t="shared" si="7"/>
        <v>4200</v>
      </c>
      <c r="N123" s="12">
        <f t="shared" si="5"/>
        <v>4200</v>
      </c>
      <c r="O123" s="12">
        <f t="shared" si="8"/>
        <v>2520</v>
      </c>
      <c r="P123" s="12">
        <f>Table1[[#This Row],[Total Gross Revenue]]-Table1[[#This Row],[Total COGS]]</f>
        <v>2520</v>
      </c>
      <c r="Q123" s="13">
        <f t="shared" si="9"/>
        <v>0.6</v>
      </c>
    </row>
    <row r="124" spans="1:17" x14ac:dyDescent="0.35">
      <c r="A124" s="17" t="s">
        <v>120</v>
      </c>
      <c r="B124" s="2" t="s">
        <v>131</v>
      </c>
      <c r="C124" s="2" t="s">
        <v>80</v>
      </c>
      <c r="D124" s="3" t="s">
        <v>81</v>
      </c>
      <c r="E124" s="2" t="s">
        <v>24</v>
      </c>
      <c r="F124" s="2" t="s">
        <v>20</v>
      </c>
      <c r="G124" s="2">
        <v>26</v>
      </c>
      <c r="H124" s="4">
        <v>110</v>
      </c>
      <c r="I124" s="5">
        <v>0</v>
      </c>
      <c r="J124" s="4">
        <v>31</v>
      </c>
      <c r="K124" s="14" t="str">
        <f>_xlfn.XLOOKUP(E124, 'Plan Category Mapping'!$B$3:$B$8, 'Plan Category Mapping'!$C$3:$C$8, "N/A")</f>
        <v>Sales</v>
      </c>
      <c r="L124" s="12">
        <f t="shared" si="6"/>
        <v>806</v>
      </c>
      <c r="M124" s="12">
        <f t="shared" si="7"/>
        <v>2860</v>
      </c>
      <c r="N124" s="12">
        <f t="shared" si="5"/>
        <v>2860</v>
      </c>
      <c r="O124" s="12">
        <f t="shared" si="8"/>
        <v>2054</v>
      </c>
      <c r="P124" s="12">
        <f>Table1[[#This Row],[Total Gross Revenue]]-Table1[[#This Row],[Total COGS]]</f>
        <v>2054</v>
      </c>
      <c r="Q124" s="13">
        <f t="shared" si="9"/>
        <v>0.71818181818181814</v>
      </c>
    </row>
    <row r="125" spans="1:17" x14ac:dyDescent="0.35">
      <c r="A125" s="18" t="s">
        <v>120</v>
      </c>
      <c r="B125" s="6" t="s">
        <v>107</v>
      </c>
      <c r="C125" s="6" t="s">
        <v>108</v>
      </c>
      <c r="D125" s="7" t="s">
        <v>109</v>
      </c>
      <c r="E125" s="6" t="s">
        <v>19</v>
      </c>
      <c r="F125" s="6" t="s">
        <v>20</v>
      </c>
      <c r="G125" s="6">
        <v>22</v>
      </c>
      <c r="H125" s="8">
        <v>85</v>
      </c>
      <c r="I125" s="9">
        <v>0</v>
      </c>
      <c r="J125" s="8">
        <v>31.5</v>
      </c>
      <c r="K125" s="14" t="str">
        <f>_xlfn.XLOOKUP(E125, 'Plan Category Mapping'!$B$3:$B$8, 'Plan Category Mapping'!$C$3:$C$8, "N/A")</f>
        <v>Marketing</v>
      </c>
      <c r="L125" s="12">
        <f t="shared" si="6"/>
        <v>693</v>
      </c>
      <c r="M125" s="12">
        <f t="shared" si="7"/>
        <v>1870</v>
      </c>
      <c r="N125" s="12">
        <f t="shared" si="5"/>
        <v>1870</v>
      </c>
      <c r="O125" s="12">
        <f t="shared" si="8"/>
        <v>1177</v>
      </c>
      <c r="P125" s="12">
        <f>Table1[[#This Row],[Total Gross Revenue]]-Table1[[#This Row],[Total COGS]]</f>
        <v>1177</v>
      </c>
      <c r="Q125" s="13">
        <f t="shared" si="9"/>
        <v>0.62941176470588234</v>
      </c>
    </row>
    <row r="126" spans="1:17" x14ac:dyDescent="0.35">
      <c r="A126" s="17" t="s">
        <v>120</v>
      </c>
      <c r="B126" s="2" t="s">
        <v>110</v>
      </c>
      <c r="C126" s="2" t="s">
        <v>65</v>
      </c>
      <c r="D126" s="3" t="s">
        <v>66</v>
      </c>
      <c r="E126" s="2" t="s">
        <v>24</v>
      </c>
      <c r="F126" s="2" t="s">
        <v>20</v>
      </c>
      <c r="G126" s="2">
        <v>16</v>
      </c>
      <c r="H126" s="4">
        <v>110</v>
      </c>
      <c r="I126" s="5">
        <v>0</v>
      </c>
      <c r="J126" s="4">
        <v>31</v>
      </c>
      <c r="K126" s="14" t="str">
        <f>_xlfn.XLOOKUP(E126, 'Plan Category Mapping'!$B$3:$B$8, 'Plan Category Mapping'!$C$3:$C$8, "N/A")</f>
        <v>Sales</v>
      </c>
      <c r="L126" s="12">
        <f t="shared" si="6"/>
        <v>496</v>
      </c>
      <c r="M126" s="12">
        <f t="shared" si="7"/>
        <v>1760</v>
      </c>
      <c r="N126" s="12">
        <f t="shared" si="5"/>
        <v>1760</v>
      </c>
      <c r="O126" s="12">
        <f t="shared" si="8"/>
        <v>1264</v>
      </c>
      <c r="P126" s="12">
        <f>Table1[[#This Row],[Total Gross Revenue]]-Table1[[#This Row],[Total COGS]]</f>
        <v>1264</v>
      </c>
      <c r="Q126" s="13">
        <f t="shared" si="9"/>
        <v>0.71818181818181814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B1:C8"/>
  <sheetViews>
    <sheetView zoomScaleNormal="100" workbookViewId="0">
      <selection activeCell="B55" sqref="B55"/>
    </sheetView>
  </sheetViews>
  <sheetFormatPr defaultColWidth="8.6328125" defaultRowHeight="14.5" x14ac:dyDescent="0.35"/>
  <cols>
    <col min="1" max="1" width="3" customWidth="1"/>
    <col min="2" max="2" width="25" customWidth="1"/>
    <col min="3" max="3" width="22" customWidth="1"/>
  </cols>
  <sheetData>
    <row r="1" spans="2:3" ht="31.5" customHeight="1" x14ac:dyDescent="0.35">
      <c r="B1" s="31" t="s">
        <v>145</v>
      </c>
      <c r="C1" s="22"/>
    </row>
    <row r="2" spans="2:3" x14ac:dyDescent="0.35">
      <c r="B2" s="10" t="s">
        <v>4</v>
      </c>
      <c r="C2" s="10" t="s">
        <v>146</v>
      </c>
    </row>
    <row r="3" spans="2:3" x14ac:dyDescent="0.35">
      <c r="B3" s="6" t="s">
        <v>38</v>
      </c>
      <c r="C3" s="6" t="s">
        <v>147</v>
      </c>
    </row>
    <row r="4" spans="2:3" x14ac:dyDescent="0.35">
      <c r="B4" s="2" t="s">
        <v>45</v>
      </c>
      <c r="C4" s="2" t="s">
        <v>147</v>
      </c>
    </row>
    <row r="5" spans="2:3" x14ac:dyDescent="0.35">
      <c r="B5" s="6" t="s">
        <v>28</v>
      </c>
      <c r="C5" s="6" t="s">
        <v>147</v>
      </c>
    </row>
    <row r="6" spans="2:3" x14ac:dyDescent="0.35">
      <c r="B6" s="2" t="s">
        <v>24</v>
      </c>
      <c r="C6" s="2" t="s">
        <v>148</v>
      </c>
    </row>
    <row r="7" spans="2:3" x14ac:dyDescent="0.35">
      <c r="B7" s="6" t="s">
        <v>19</v>
      </c>
      <c r="C7" s="6" t="s">
        <v>149</v>
      </c>
    </row>
    <row r="8" spans="2:3" x14ac:dyDescent="0.35">
      <c r="B8" s="2" t="s">
        <v>14</v>
      </c>
      <c r="C8" s="2" t="s">
        <v>150</v>
      </c>
    </row>
  </sheetData>
  <mergeCells count="1">
    <mergeCell ref="B1:C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3366"/>
  </sheetPr>
  <dimension ref="A1:C53"/>
  <sheetViews>
    <sheetView topLeftCell="A5" zoomScaleNormal="100" workbookViewId="0">
      <selection activeCell="B16" sqref="B16:C16"/>
    </sheetView>
  </sheetViews>
  <sheetFormatPr defaultColWidth="8.6328125" defaultRowHeight="14.5" x14ac:dyDescent="0.35"/>
  <cols>
    <col min="1" max="1" width="2" customWidth="1"/>
    <col min="2" max="2" width="15" customWidth="1"/>
    <col min="3" max="3" width="80" customWidth="1"/>
  </cols>
  <sheetData>
    <row r="1" spans="1:3" ht="31.5" customHeight="1" x14ac:dyDescent="0.4">
      <c r="A1" s="35" t="s">
        <v>151</v>
      </c>
      <c r="B1" s="22"/>
      <c r="C1" s="22"/>
    </row>
    <row r="3" spans="1:3" x14ac:dyDescent="0.35">
      <c r="B3" s="33" t="s">
        <v>152</v>
      </c>
      <c r="C3" s="22"/>
    </row>
    <row r="4" spans="1:3" x14ac:dyDescent="0.35">
      <c r="B4" s="33" t="s">
        <v>153</v>
      </c>
      <c r="C4" s="22"/>
    </row>
    <row r="5" spans="1:3" x14ac:dyDescent="0.35">
      <c r="B5" s="36" t="s">
        <v>154</v>
      </c>
      <c r="C5" s="22"/>
    </row>
    <row r="6" spans="1:3" x14ac:dyDescent="0.35">
      <c r="B6" s="33" t="s">
        <v>155</v>
      </c>
      <c r="C6" s="22"/>
    </row>
    <row r="8" spans="1:3" x14ac:dyDescent="0.35">
      <c r="B8" s="41" t="s">
        <v>156</v>
      </c>
      <c r="C8" s="22"/>
    </row>
    <row r="9" spans="1:3" ht="30" customHeight="1" x14ac:dyDescent="0.35">
      <c r="B9" s="40" t="s">
        <v>157</v>
      </c>
      <c r="C9" s="22"/>
    </row>
    <row r="10" spans="1:3" ht="42" customHeight="1" x14ac:dyDescent="0.35">
      <c r="B10" s="37" t="s">
        <v>158</v>
      </c>
      <c r="C10" s="22"/>
    </row>
    <row r="12" spans="1:3" ht="42" customHeight="1" x14ac:dyDescent="0.35">
      <c r="B12" s="37" t="s">
        <v>159</v>
      </c>
      <c r="C12" s="22"/>
    </row>
    <row r="14" spans="1:3" ht="42" customHeight="1" x14ac:dyDescent="0.35">
      <c r="B14" s="37" t="s">
        <v>160</v>
      </c>
      <c r="C14" s="22"/>
    </row>
    <row r="16" spans="1:3" ht="42" customHeight="1" x14ac:dyDescent="0.35">
      <c r="B16" s="37" t="s">
        <v>161</v>
      </c>
      <c r="C16" s="22"/>
    </row>
    <row r="18" spans="1:3" ht="48" customHeight="1" x14ac:dyDescent="0.35">
      <c r="B18" s="40" t="s">
        <v>162</v>
      </c>
      <c r="C18" s="22"/>
    </row>
    <row r="20" spans="1:3" ht="3.75" customHeight="1" x14ac:dyDescent="0.35">
      <c r="A20" s="38"/>
      <c r="B20" s="22"/>
      <c r="C20" s="22"/>
    </row>
    <row r="21" spans="1:3" ht="31.5" customHeight="1" x14ac:dyDescent="0.4">
      <c r="A21" s="35" t="s">
        <v>151</v>
      </c>
      <c r="B21" s="22"/>
      <c r="C21" s="22"/>
    </row>
    <row r="23" spans="1:3" x14ac:dyDescent="0.35">
      <c r="B23" s="33" t="s">
        <v>163</v>
      </c>
      <c r="C23" s="22"/>
    </row>
    <row r="24" spans="1:3" x14ac:dyDescent="0.35">
      <c r="B24" s="33" t="s">
        <v>164</v>
      </c>
      <c r="C24" s="22"/>
    </row>
    <row r="25" spans="1:3" x14ac:dyDescent="0.35">
      <c r="B25" s="36" t="s">
        <v>154</v>
      </c>
      <c r="C25" s="22"/>
    </row>
    <row r="26" spans="1:3" x14ac:dyDescent="0.35">
      <c r="B26" s="33" t="s">
        <v>165</v>
      </c>
      <c r="C26" s="22"/>
    </row>
    <row r="28" spans="1:3" x14ac:dyDescent="0.35">
      <c r="B28" s="39" t="s">
        <v>166</v>
      </c>
      <c r="C28" s="22"/>
    </row>
    <row r="29" spans="1:3" x14ac:dyDescent="0.35">
      <c r="B29" s="39" t="s">
        <v>167</v>
      </c>
      <c r="C29" s="22"/>
    </row>
    <row r="31" spans="1:3" ht="21.75" customHeight="1" x14ac:dyDescent="0.35">
      <c r="B31" s="32" t="s">
        <v>168</v>
      </c>
      <c r="C31" s="22"/>
    </row>
    <row r="32" spans="1:3" ht="69.75" customHeight="1" x14ac:dyDescent="0.35">
      <c r="B32" s="34" t="s">
        <v>169</v>
      </c>
      <c r="C32" s="22"/>
    </row>
    <row r="33" spans="2:3" x14ac:dyDescent="0.35">
      <c r="B33" s="22"/>
      <c r="C33" s="22"/>
    </row>
    <row r="34" spans="2:3" x14ac:dyDescent="0.35">
      <c r="B34" s="22"/>
      <c r="C34" s="22"/>
    </row>
    <row r="35" spans="2:3" x14ac:dyDescent="0.35">
      <c r="B35" s="22"/>
      <c r="C35" s="22"/>
    </row>
    <row r="37" spans="2:3" ht="21.75" customHeight="1" x14ac:dyDescent="0.35">
      <c r="B37" s="32" t="s">
        <v>170</v>
      </c>
      <c r="C37" s="22"/>
    </row>
    <row r="38" spans="2:3" ht="69.75" customHeight="1" x14ac:dyDescent="0.35">
      <c r="B38" s="34" t="s">
        <v>169</v>
      </c>
      <c r="C38" s="22"/>
    </row>
    <row r="39" spans="2:3" x14ac:dyDescent="0.35">
      <c r="B39" s="22"/>
      <c r="C39" s="22"/>
    </row>
    <row r="40" spans="2:3" x14ac:dyDescent="0.35">
      <c r="B40" s="22"/>
      <c r="C40" s="22"/>
    </row>
    <row r="41" spans="2:3" x14ac:dyDescent="0.35">
      <c r="B41" s="22"/>
      <c r="C41" s="22"/>
    </row>
    <row r="43" spans="2:3" ht="21.75" customHeight="1" x14ac:dyDescent="0.35">
      <c r="B43" s="32" t="s">
        <v>171</v>
      </c>
      <c r="C43" s="22"/>
    </row>
    <row r="44" spans="2:3" ht="69.75" customHeight="1" x14ac:dyDescent="0.35">
      <c r="B44" s="34" t="s">
        <v>169</v>
      </c>
      <c r="C44" s="22"/>
    </row>
    <row r="45" spans="2:3" x14ac:dyDescent="0.35">
      <c r="B45" s="22"/>
      <c r="C45" s="22"/>
    </row>
    <row r="46" spans="2:3" x14ac:dyDescent="0.35">
      <c r="B46" s="22"/>
      <c r="C46" s="22"/>
    </row>
    <row r="47" spans="2:3" x14ac:dyDescent="0.35">
      <c r="B47" s="22"/>
      <c r="C47" s="22"/>
    </row>
    <row r="49" spans="2:3" ht="21.75" customHeight="1" x14ac:dyDescent="0.35">
      <c r="B49" s="32" t="s">
        <v>172</v>
      </c>
      <c r="C49" s="22"/>
    </row>
    <row r="50" spans="2:3" ht="69.75" customHeight="1" x14ac:dyDescent="0.35">
      <c r="B50" s="34" t="s">
        <v>169</v>
      </c>
      <c r="C50" s="22"/>
    </row>
    <row r="51" spans="2:3" x14ac:dyDescent="0.35">
      <c r="B51" s="22"/>
      <c r="C51" s="22"/>
    </row>
    <row r="52" spans="2:3" x14ac:dyDescent="0.35">
      <c r="B52" s="22"/>
      <c r="C52" s="22"/>
    </row>
    <row r="53" spans="2:3" x14ac:dyDescent="0.35">
      <c r="B53" s="22"/>
      <c r="C53" s="22"/>
    </row>
  </sheetData>
  <mergeCells count="28">
    <mergeCell ref="B38:C41"/>
    <mergeCell ref="A21:C21"/>
    <mergeCell ref="B31:C31"/>
    <mergeCell ref="B18:C18"/>
    <mergeCell ref="B8:C8"/>
    <mergeCell ref="B10:C10"/>
    <mergeCell ref="B9:C9"/>
    <mergeCell ref="B32:C35"/>
    <mergeCell ref="B28:C28"/>
    <mergeCell ref="B16:C16"/>
    <mergeCell ref="B25:C25"/>
    <mergeCell ref="B3:C3"/>
    <mergeCell ref="B49:C49"/>
    <mergeCell ref="B6:C6"/>
    <mergeCell ref="B24:C24"/>
    <mergeCell ref="B50:C53"/>
    <mergeCell ref="A1:C1"/>
    <mergeCell ref="B5:C5"/>
    <mergeCell ref="B26:C26"/>
    <mergeCell ref="B4:C4"/>
    <mergeCell ref="B44:C47"/>
    <mergeCell ref="B43:C43"/>
    <mergeCell ref="B12:C12"/>
    <mergeCell ref="B23:C23"/>
    <mergeCell ref="B14:C14"/>
    <mergeCell ref="A20:C20"/>
    <mergeCell ref="B29:C29"/>
    <mergeCell ref="B37:C3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J49"/>
  <sheetViews>
    <sheetView tabSelected="1" zoomScaleNormal="100" workbookViewId="0">
      <selection activeCell="M27" sqref="M27"/>
    </sheetView>
  </sheetViews>
  <sheetFormatPr defaultColWidth="8.6328125" defaultRowHeight="14.5" x14ac:dyDescent="0.35"/>
  <cols>
    <col min="2" max="2" width="12.36328125" bestFit="1" customWidth="1"/>
    <col min="3" max="3" width="23.54296875" customWidth="1"/>
    <col min="4" max="4" width="11.54296875" bestFit="1" customWidth="1"/>
  </cols>
  <sheetData>
    <row r="1" spans="1:10" x14ac:dyDescent="0.35">
      <c r="A1" s="21" t="s">
        <v>173</v>
      </c>
      <c r="B1" s="22"/>
      <c r="C1" s="22"/>
      <c r="D1" s="22"/>
      <c r="E1" s="22"/>
      <c r="F1" s="22"/>
      <c r="G1" s="22"/>
      <c r="H1" s="22"/>
      <c r="I1" s="22"/>
      <c r="J1" s="22"/>
    </row>
    <row r="3" spans="1:10" x14ac:dyDescent="0.35">
      <c r="A3" t="s">
        <v>158</v>
      </c>
    </row>
    <row r="5" spans="1:10" x14ac:dyDescent="0.35">
      <c r="A5" t="s">
        <v>0</v>
      </c>
      <c r="B5" t="s">
        <v>177</v>
      </c>
      <c r="C5" t="s">
        <v>174</v>
      </c>
      <c r="D5" t="s">
        <v>175</v>
      </c>
    </row>
    <row r="6" spans="1:10" x14ac:dyDescent="0.35">
      <c r="A6" s="15">
        <v>45658</v>
      </c>
      <c r="B6" s="12">
        <f>SUMIFS(Subscriptions!$M$2:$M$126, Subscriptions!$A$2:$A$126, Analysis!A6)</f>
        <v>100602</v>
      </c>
      <c r="C6" s="12">
        <f>SUMIFS(Subscriptions!$O$2:$O$126, Subscriptions!$A$2:$A$126, Analysis!A6)</f>
        <v>66619.399999999994</v>
      </c>
      <c r="D6" s="13">
        <f>C6/B6</f>
        <v>0.66220751078507378</v>
      </c>
    </row>
    <row r="7" spans="1:10" x14ac:dyDescent="0.35">
      <c r="A7" s="15">
        <v>45689</v>
      </c>
      <c r="B7" s="12">
        <f>SUMIFS(Subscriptions!$M$2:$M$126, Subscriptions!$A$2:$A$126, Analysis!A7)</f>
        <v>107557</v>
      </c>
      <c r="C7" s="12">
        <f>SUMIFS(Subscriptions!$O$2:$O$126, Subscriptions!$A$2:$A$126, Analysis!A7)</f>
        <v>71368.899999999994</v>
      </c>
      <c r="D7" s="13">
        <f t="shared" ref="D7:D8" si="0">C7/B7</f>
        <v>0.66354491107040914</v>
      </c>
    </row>
    <row r="8" spans="1:10" x14ac:dyDescent="0.35">
      <c r="A8" s="15">
        <v>45717</v>
      </c>
      <c r="B8" s="12">
        <f>SUMIFS(Subscriptions!$M$2:$M$126, Subscriptions!$A$2:$A$126, Analysis!A8)</f>
        <v>126947</v>
      </c>
      <c r="C8" s="12">
        <f>SUMIFS(Subscriptions!$O$2:$O$126, Subscriptions!$A$2:$A$126, Analysis!A8)</f>
        <v>83724.89999999998</v>
      </c>
      <c r="D8" s="13">
        <f t="shared" si="0"/>
        <v>0.65952641653603461</v>
      </c>
    </row>
    <row r="10" spans="1:10" x14ac:dyDescent="0.35">
      <c r="A10" t="s">
        <v>159</v>
      </c>
    </row>
    <row r="11" spans="1:10" x14ac:dyDescent="0.35">
      <c r="B11" s="19" t="s">
        <v>146</v>
      </c>
      <c r="C11" t="s">
        <v>180</v>
      </c>
    </row>
    <row r="13" spans="1:10" x14ac:dyDescent="0.35">
      <c r="B13" s="19" t="s">
        <v>178</v>
      </c>
      <c r="C13" t="s">
        <v>181</v>
      </c>
    </row>
    <row r="14" spans="1:10" x14ac:dyDescent="0.35">
      <c r="B14" s="20" t="s">
        <v>28</v>
      </c>
      <c r="C14" s="12">
        <v>55692</v>
      </c>
    </row>
    <row r="15" spans="1:10" x14ac:dyDescent="0.35">
      <c r="B15" s="20" t="s">
        <v>45</v>
      </c>
      <c r="C15" s="12">
        <v>32876</v>
      </c>
    </row>
    <row r="16" spans="1:10" x14ac:dyDescent="0.35">
      <c r="B16" s="20" t="s">
        <v>38</v>
      </c>
      <c r="C16" s="12">
        <v>9480.6</v>
      </c>
    </row>
    <row r="17" spans="1:4" x14ac:dyDescent="0.35">
      <c r="B17" s="20" t="s">
        <v>19</v>
      </c>
      <c r="C17" s="12">
        <v>40660</v>
      </c>
    </row>
    <row r="18" spans="1:4" x14ac:dyDescent="0.35">
      <c r="B18" s="20" t="s">
        <v>14</v>
      </c>
      <c r="C18" s="12">
        <v>48600</v>
      </c>
    </row>
    <row r="19" spans="1:4" x14ac:dyDescent="0.35">
      <c r="B19" s="20" t="s">
        <v>24</v>
      </c>
      <c r="C19" s="12">
        <v>36888.600000000006</v>
      </c>
    </row>
    <row r="20" spans="1:4" x14ac:dyDescent="0.35">
      <c r="B20" s="20" t="s">
        <v>179</v>
      </c>
      <c r="C20" s="12">
        <v>224197.2</v>
      </c>
    </row>
    <row r="22" spans="1:4" x14ac:dyDescent="0.35">
      <c r="A22" t="s">
        <v>160</v>
      </c>
    </row>
    <row r="23" spans="1:4" x14ac:dyDescent="0.35">
      <c r="B23" s="19" t="s">
        <v>146</v>
      </c>
      <c r="C23" t="s">
        <v>148</v>
      </c>
    </row>
    <row r="24" spans="1:4" x14ac:dyDescent="0.35">
      <c r="B24" s="19"/>
    </row>
    <row r="25" spans="1:4" x14ac:dyDescent="0.35">
      <c r="B25" s="19" t="s">
        <v>178</v>
      </c>
      <c r="C25" t="s">
        <v>181</v>
      </c>
      <c r="D25" t="s">
        <v>186</v>
      </c>
    </row>
    <row r="26" spans="1:4" x14ac:dyDescent="0.35">
      <c r="B26" s="20" t="s">
        <v>24</v>
      </c>
      <c r="C26" s="12">
        <v>36888.6</v>
      </c>
      <c r="D26" s="42">
        <v>462</v>
      </c>
    </row>
    <row r="27" spans="1:4" x14ac:dyDescent="0.35">
      <c r="B27" s="20" t="s">
        <v>179</v>
      </c>
      <c r="C27" s="12">
        <v>36888.6</v>
      </c>
      <c r="D27" s="42">
        <v>462</v>
      </c>
    </row>
    <row r="29" spans="1:4" x14ac:dyDescent="0.35">
      <c r="B29" s="19" t="s">
        <v>178</v>
      </c>
      <c r="C29" t="s">
        <v>181</v>
      </c>
      <c r="D29" t="s">
        <v>186</v>
      </c>
    </row>
    <row r="30" spans="1:4" x14ac:dyDescent="0.35">
      <c r="B30" s="20" t="s">
        <v>147</v>
      </c>
      <c r="C30" s="12">
        <v>98048.599999999991</v>
      </c>
      <c r="D30" s="42">
        <v>1198</v>
      </c>
    </row>
    <row r="31" spans="1:4" x14ac:dyDescent="0.35">
      <c r="B31" s="20" t="s">
        <v>149</v>
      </c>
      <c r="C31" s="12">
        <v>40660</v>
      </c>
      <c r="D31" s="42">
        <v>760</v>
      </c>
    </row>
    <row r="32" spans="1:4" x14ac:dyDescent="0.35">
      <c r="B32" s="20" t="s">
        <v>148</v>
      </c>
      <c r="C32" s="12">
        <v>36888.600000000006</v>
      </c>
      <c r="D32" s="42">
        <v>462</v>
      </c>
    </row>
    <row r="33" spans="1:10" x14ac:dyDescent="0.35">
      <c r="B33" s="20" t="s">
        <v>150</v>
      </c>
      <c r="C33" s="12">
        <v>48600</v>
      </c>
      <c r="D33" s="42">
        <v>540</v>
      </c>
    </row>
    <row r="34" spans="1:10" x14ac:dyDescent="0.35">
      <c r="B34" s="20" t="s">
        <v>179</v>
      </c>
      <c r="C34" s="12">
        <v>224197.19999999998</v>
      </c>
      <c r="D34" s="42">
        <v>2960</v>
      </c>
    </row>
    <row r="36" spans="1:10" x14ac:dyDescent="0.35">
      <c r="A36" t="s">
        <v>161</v>
      </c>
    </row>
    <row r="38" spans="1:10" x14ac:dyDescent="0.35">
      <c r="B38" s="19" t="s">
        <v>178</v>
      </c>
      <c r="C38" t="s">
        <v>185</v>
      </c>
      <c r="D38" t="s">
        <v>186</v>
      </c>
    </row>
    <row r="39" spans="1:10" x14ac:dyDescent="0.35">
      <c r="B39" s="20" t="s">
        <v>147</v>
      </c>
      <c r="C39" s="12">
        <v>96950.599999999991</v>
      </c>
      <c r="D39" s="42">
        <v>1198</v>
      </c>
    </row>
    <row r="40" spans="1:10" x14ac:dyDescent="0.35">
      <c r="B40" s="20" t="s">
        <v>149</v>
      </c>
      <c r="C40" s="12">
        <v>40660</v>
      </c>
      <c r="D40" s="42">
        <v>760</v>
      </c>
    </row>
    <row r="41" spans="1:10" x14ac:dyDescent="0.35">
      <c r="B41" s="20" t="s">
        <v>148</v>
      </c>
      <c r="C41" s="12">
        <v>35502.600000000006</v>
      </c>
      <c r="D41" s="42">
        <v>462</v>
      </c>
    </row>
    <row r="42" spans="1:10" x14ac:dyDescent="0.35">
      <c r="B42" s="20" t="s">
        <v>150</v>
      </c>
      <c r="C42" s="12">
        <v>48600</v>
      </c>
      <c r="D42" s="42">
        <v>540</v>
      </c>
    </row>
    <row r="43" spans="1:10" x14ac:dyDescent="0.35">
      <c r="B43" s="20" t="s">
        <v>179</v>
      </c>
      <c r="C43" s="12">
        <v>221713.19999999998</v>
      </c>
      <c r="D43" s="42">
        <v>2960</v>
      </c>
      <c r="J43" t="s">
        <v>187</v>
      </c>
    </row>
    <row r="45" spans="1:10" x14ac:dyDescent="0.35">
      <c r="B45" s="20" t="s">
        <v>147</v>
      </c>
      <c r="C45" s="12">
        <f>SUMIFS($C$30:$C$33,$B$30:$B$33,B45) - SUMIFS($C$39:$C$42,$B$39:$B$42,B45)</f>
        <v>1098</v>
      </c>
    </row>
    <row r="46" spans="1:10" x14ac:dyDescent="0.35">
      <c r="B46" s="20" t="s">
        <v>149</v>
      </c>
      <c r="C46" s="12">
        <f t="shared" ref="C46:C48" si="1">SUMIFS($C$30:$C$33,$B$30:$B$33,B46) - SUMIFS($C$39:$C$42,$B$39:$B$42,B46)</f>
        <v>0</v>
      </c>
    </row>
    <row r="47" spans="1:10" x14ac:dyDescent="0.35">
      <c r="B47" s="20" t="s">
        <v>148</v>
      </c>
      <c r="C47" s="12">
        <f t="shared" si="1"/>
        <v>1386</v>
      </c>
    </row>
    <row r="48" spans="1:10" x14ac:dyDescent="0.35">
      <c r="B48" s="20" t="s">
        <v>150</v>
      </c>
      <c r="C48" s="12">
        <f t="shared" si="1"/>
        <v>0</v>
      </c>
    </row>
    <row r="49" spans="2:3" x14ac:dyDescent="0.35">
      <c r="B49" s="20" t="s">
        <v>179</v>
      </c>
      <c r="C49" s="12">
        <f>SUM(C45:C48)</f>
        <v>2484</v>
      </c>
    </row>
  </sheetData>
  <mergeCells count="1">
    <mergeCell ref="A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Subscriptions</vt:lpstr>
      <vt:lpstr>Plan Category Mapping</vt:lpstr>
      <vt:lpstr>Email</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cp:revision>0</cp:revision>
  <dcterms:created xsi:type="dcterms:W3CDTF">2026-04-21T04:10:49Z</dcterms:created>
  <dcterms:modified xsi:type="dcterms:W3CDTF">2026-04-23T04:56:40Z</dcterms:modified>
  <dc:language>en-US</dc:language>
</cp:coreProperties>
</file>