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enti\Downloads\idynamics-training\idynamics-analyst-training\iDynamics Close\2026-05 May\"/>
    </mc:Choice>
  </mc:AlternateContent>
  <xr:revisionPtr revIDLastSave="0" documentId="8_{41DCFE4C-C491-4F54-82FB-09A04A6DD266}" xr6:coauthVersionLast="47" xr6:coauthVersionMax="47" xr10:uidLastSave="{00000000-0000-0000-0000-000000000000}"/>
  <bookViews>
    <workbookView xWindow="-36060" yWindow="0" windowWidth="29070" windowHeight="21800" xr2:uid="{2CF21239-E50E-4BCB-B8F8-1F0A1B1E773D}"/>
  </bookViews>
  <sheets>
    <sheet name="subscriptions_2026-05-31" sheetId="2" r:id="rId1"/>
    <sheet name="Sheet1" sheetId="1" r:id="rId2"/>
  </sheets>
  <definedNames>
    <definedName name="ExternalData_1" localSheetId="0" hidden="1">'subscriptions_2026-05-31'!$A$1:$H$57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62" i="2" l="1"/>
  <c r="D63" i="2"/>
  <c r="D61" i="2"/>
  <c r="B63" i="2"/>
  <c r="B62" i="2"/>
  <c r="B6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94A981-5827-4C5C-985E-E944FAE2E5AE}" keepAlive="1" name="Query - subscriptions_2026-05-31" description="Connection to the 'subscriptions_2026-05-31' query in the workbook." type="5" refreshedVersion="8" background="1" saveData="1">
    <dbPr connection="Provider=Microsoft.Mashup.OleDb.1;Data Source=$Workbook$;Location=subscriptions_2026-05-31;Extended Properties=&quot;&quot;" command="SELECT * FROM [subscriptions_2026-05-31]"/>
  </connection>
</connections>
</file>

<file path=xl/sharedStrings.xml><?xml version="1.0" encoding="utf-8"?>
<sst xmlns="http://schemas.openxmlformats.org/spreadsheetml/2006/main" count="237" uniqueCount="122">
  <si>
    <t>subscription_id</t>
  </si>
  <si>
    <t>customer_id</t>
  </si>
  <si>
    <t>plan_name</t>
  </si>
  <si>
    <t>billing_cycle</t>
  </si>
  <si>
    <t>seats</t>
  </si>
  <si>
    <t>price_per_seat</t>
  </si>
  <si>
    <t>discount_percent</t>
  </si>
  <si>
    <t>mrr</t>
  </si>
  <si>
    <t>SUB002</t>
  </si>
  <si>
    <t>CUST002</t>
  </si>
  <si>
    <t>Platform Suite</t>
  </si>
  <si>
    <t>Annual</t>
  </si>
  <si>
    <t>SUB003</t>
  </si>
  <si>
    <t>CUST003</t>
  </si>
  <si>
    <t>Marketing Pro</t>
  </si>
  <si>
    <t>Monthly</t>
  </si>
  <si>
    <t>SUB004</t>
  </si>
  <si>
    <t>CUST004</t>
  </si>
  <si>
    <t>Sales Hub</t>
  </si>
  <si>
    <t>SUB006</t>
  </si>
  <si>
    <t>CUST006</t>
  </si>
  <si>
    <t>Analytics Enterprise</t>
  </si>
  <si>
    <t>SUB007</t>
  </si>
  <si>
    <t>CUST007</t>
  </si>
  <si>
    <t>SUB009</t>
  </si>
  <si>
    <t>CUST009</t>
  </si>
  <si>
    <t>SUB010</t>
  </si>
  <si>
    <t>CUST010</t>
  </si>
  <si>
    <t>Analytics Starter</t>
  </si>
  <si>
    <t>SUB011</t>
  </si>
  <si>
    <t>CUST011</t>
  </si>
  <si>
    <t>SUB012</t>
  </si>
  <si>
    <t>CUST012</t>
  </si>
  <si>
    <t>Analytics Growth</t>
  </si>
  <si>
    <t>SUB014</t>
  </si>
  <si>
    <t>CUST014</t>
  </si>
  <si>
    <t>SUB016</t>
  </si>
  <si>
    <t>CUST016</t>
  </si>
  <si>
    <t>SUB017</t>
  </si>
  <si>
    <t>CUST017</t>
  </si>
  <si>
    <t>SUB018</t>
  </si>
  <si>
    <t>CUST018</t>
  </si>
  <si>
    <t>SUB019</t>
  </si>
  <si>
    <t>CUST019</t>
  </si>
  <si>
    <t>SUB020</t>
  </si>
  <si>
    <t>CUST020</t>
  </si>
  <si>
    <t>SUB022</t>
  </si>
  <si>
    <t>CUST022</t>
  </si>
  <si>
    <t>SUB024</t>
  </si>
  <si>
    <t>CUST024</t>
  </si>
  <si>
    <t>SUB025</t>
  </si>
  <si>
    <t>CUST025</t>
  </si>
  <si>
    <t>SUB027</t>
  </si>
  <si>
    <t>CUST027</t>
  </si>
  <si>
    <t>SUB028</t>
  </si>
  <si>
    <t>CUST028</t>
  </si>
  <si>
    <t>SUB029</t>
  </si>
  <si>
    <t>CUST029</t>
  </si>
  <si>
    <t>SUB030</t>
  </si>
  <si>
    <t>CUST030</t>
  </si>
  <si>
    <t>SUB031</t>
  </si>
  <si>
    <t>CUST031</t>
  </si>
  <si>
    <t>SUB032</t>
  </si>
  <si>
    <t>CUST032</t>
  </si>
  <si>
    <t>SUB033</t>
  </si>
  <si>
    <t>CUST033</t>
  </si>
  <si>
    <t>SUB034</t>
  </si>
  <si>
    <t>CUST034</t>
  </si>
  <si>
    <t>SUB035</t>
  </si>
  <si>
    <t>CUST035</t>
  </si>
  <si>
    <t>SUB036</t>
  </si>
  <si>
    <t>CUST036</t>
  </si>
  <si>
    <t>SUB037</t>
  </si>
  <si>
    <t>CUST037</t>
  </si>
  <si>
    <t>SUB038</t>
  </si>
  <si>
    <t>CUST038</t>
  </si>
  <si>
    <t>SUB039</t>
  </si>
  <si>
    <t>CUST039</t>
  </si>
  <si>
    <t>SUB040</t>
  </si>
  <si>
    <t>CUST040</t>
  </si>
  <si>
    <t>SUB041</t>
  </si>
  <si>
    <t>CUST001</t>
  </si>
  <si>
    <t>SUB042</t>
  </si>
  <si>
    <t>SUB043</t>
  </si>
  <si>
    <t>SUB044</t>
  </si>
  <si>
    <t>SUB046</t>
  </si>
  <si>
    <t>CUST015</t>
  </si>
  <si>
    <t>SUB047</t>
  </si>
  <si>
    <t>SUB048</t>
  </si>
  <si>
    <t>SUB051</t>
  </si>
  <si>
    <t>SUB052</t>
  </si>
  <si>
    <t>SUB053</t>
  </si>
  <si>
    <t>SUB054</t>
  </si>
  <si>
    <t>SUB056</t>
  </si>
  <si>
    <t>SUB057</t>
  </si>
  <si>
    <t>CUST021</t>
  </si>
  <si>
    <t>SUB058</t>
  </si>
  <si>
    <t>SUB059</t>
  </si>
  <si>
    <t>CUST008</t>
  </si>
  <si>
    <t>SUB061</t>
  </si>
  <si>
    <t>CUST013</t>
  </si>
  <si>
    <t>SUB062</t>
  </si>
  <si>
    <t>CUST023</t>
  </si>
  <si>
    <t>SUB063</t>
  </si>
  <si>
    <t>CUST041</t>
  </si>
  <si>
    <t>SUB064</t>
  </si>
  <si>
    <t>CUST042</t>
  </si>
  <si>
    <t>SUB065</t>
  </si>
  <si>
    <t>CUST043</t>
  </si>
  <si>
    <t>SUB066</t>
  </si>
  <si>
    <t>CUST044</t>
  </si>
  <si>
    <t>SUB067</t>
  </si>
  <si>
    <t>CUST045</t>
  </si>
  <si>
    <t>SUB068</t>
  </si>
  <si>
    <t>CUST046</t>
  </si>
  <si>
    <t>SUB069</t>
  </si>
  <si>
    <t>CUST047</t>
  </si>
  <si>
    <t>Total MRR</t>
  </si>
  <si>
    <t>Subscription Count</t>
  </si>
  <si>
    <t>Customer Count</t>
  </si>
  <si>
    <t>SQL 07 Step 6 Total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</si>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</sst>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9DD10CE-080E-4C1B-B50E-94A3D466C1E8}" autoFormatId="16" applyNumberFormats="0" applyBorderFormats="0" applyFontFormats="0" applyPatternFormats="0" applyAlignmentFormats="0" applyWidthHeightFormats="0">
  <queryTableRefresh nextId="9">
    <queryTableFields count="8">
      <queryTableField id="1" name="subscription_id" tableColumnId="1"/>
      <queryTableField id="2" name="customer_id" tableColumnId="2"/>
      <queryTableField id="3" name="plan_name" tableColumnId="3"/>
      <queryTableField id="4" name="billing_cycle" tableColumnId="4"/>
      <queryTableField id="5" name="seats" tableColumnId="5"/>
      <queryTableField id="6" name="price_per_seat" tableColumnId="6"/>
      <queryTableField id="7" name="discount_percent" tableColumnId="7"/>
      <queryTableField id="8" name="mrr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F330A4-9005-4085-9DCE-D01D61CB19DF}" name="subscriptions_2026_05_31" displayName="subscriptions_2026_05_31" ref="A1:H58" tableType="queryTable" totalsRowCount="1">
  <autoFilter ref="A1:H57" xr:uid="{D9F330A4-9005-4085-9DCE-D01D61CB19DF}"/>
  <tableColumns count="8">
    <tableColumn id="1" xr3:uid="{3AFBC4E6-17E3-4612-AA45-5C6E85768C21}" uniqueName="1" name="subscription_id" queryTableFieldId="1" dataDxfId="7" totalsRowDxfId="6"/>
    <tableColumn id="2" xr3:uid="{577AEC8A-0E05-4830-9D7B-6CA6ED67D0E8}" uniqueName="2" name="customer_id" queryTableFieldId="2" dataDxfId="5" totalsRowDxfId="4"/>
    <tableColumn id="3" xr3:uid="{4913D94C-0051-45B6-A682-6376733FE94A}" uniqueName="3" name="plan_name" queryTableFieldId="3" dataDxfId="3" totalsRowDxfId="2"/>
    <tableColumn id="4" xr3:uid="{0E23BF95-39C5-4AE1-AC02-12C9F27883C9}" uniqueName="4" name="billing_cycle" queryTableFieldId="4" dataDxfId="1" totalsRowDxfId="0"/>
    <tableColumn id="5" xr3:uid="{4EBB20FE-E47B-414B-A298-5B2157A92FFC}" uniqueName="5" name="seats" queryTableFieldId="5"/>
    <tableColumn id="6" xr3:uid="{0B1D1D33-429D-4D07-85D8-9C94CC629EF6}" uniqueName="6" name="price_per_seat" queryTableFieldId="6"/>
    <tableColumn id="7" xr3:uid="{3D41DFAB-B62E-4640-A32A-90219DBACF81}" uniqueName="7" name="discount_percent" queryTableFieldId="7"/>
    <tableColumn id="8" xr3:uid="{9B499653-6F48-42C8-B324-9E55FC5AAE56}" uniqueName="8" name="mrr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AA61-8211-4D20-B488-101C4D04036A}">
  <dimension ref="A1:H63"/>
  <sheetViews>
    <sheetView tabSelected="1" workbookViewId="0">
      <selection activeCell="H64" sqref="H64"/>
    </sheetView>
  </sheetViews>
  <sheetFormatPr defaultRowHeight="15" x14ac:dyDescent="0.25"/>
  <cols>
    <col min="1" max="1" width="17.28515625" bestFit="1" customWidth="1"/>
    <col min="2" max="2" width="14.42578125" bestFit="1" customWidth="1"/>
    <col min="3" max="3" width="18.5703125" bestFit="1" customWidth="1"/>
    <col min="4" max="4" width="14.42578125" bestFit="1" customWidth="1"/>
    <col min="5" max="5" width="8.140625" bestFit="1" customWidth="1"/>
    <col min="6" max="6" width="16.5703125" bestFit="1" customWidth="1"/>
    <col min="7" max="7" width="19.140625" bestFit="1" customWidth="1"/>
    <col min="8" max="8" width="7" bestFit="1" customWidth="1"/>
    <col min="11" max="11" width="18" bestFit="1" customWidth="1"/>
    <col min="13" max="13" width="17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26</v>
      </c>
      <c r="F2">
        <v>1800</v>
      </c>
      <c r="G2">
        <v>0</v>
      </c>
      <c r="H2">
        <v>3900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>
        <v>23</v>
      </c>
      <c r="F3">
        <v>85</v>
      </c>
      <c r="G3">
        <v>0</v>
      </c>
      <c r="H3">
        <v>1955</v>
      </c>
    </row>
    <row r="4" spans="1:8" x14ac:dyDescent="0.25">
      <c r="A4" t="s">
        <v>16</v>
      </c>
      <c r="B4" t="s">
        <v>17</v>
      </c>
      <c r="C4" t="s">
        <v>18</v>
      </c>
      <c r="D4" t="s">
        <v>15</v>
      </c>
      <c r="E4">
        <v>18</v>
      </c>
      <c r="F4">
        <v>110</v>
      </c>
      <c r="G4">
        <v>0</v>
      </c>
      <c r="H4">
        <v>1980</v>
      </c>
    </row>
    <row r="5" spans="1:8" x14ac:dyDescent="0.25">
      <c r="A5" t="s">
        <v>19</v>
      </c>
      <c r="B5" t="s">
        <v>20</v>
      </c>
      <c r="C5" t="s">
        <v>21</v>
      </c>
      <c r="D5" t="s">
        <v>11</v>
      </c>
      <c r="E5">
        <v>31</v>
      </c>
      <c r="F5">
        <v>2160</v>
      </c>
      <c r="G5">
        <v>0</v>
      </c>
      <c r="H5">
        <v>5580</v>
      </c>
    </row>
    <row r="6" spans="1:8" x14ac:dyDescent="0.25">
      <c r="A6" t="s">
        <v>22</v>
      </c>
      <c r="B6" t="s">
        <v>23</v>
      </c>
      <c r="C6" t="s">
        <v>14</v>
      </c>
      <c r="D6" t="s">
        <v>15</v>
      </c>
      <c r="E6">
        <v>16</v>
      </c>
      <c r="F6">
        <v>85</v>
      </c>
      <c r="G6">
        <v>0</v>
      </c>
      <c r="H6">
        <v>1360</v>
      </c>
    </row>
    <row r="7" spans="1:8" x14ac:dyDescent="0.25">
      <c r="A7" t="s">
        <v>24</v>
      </c>
      <c r="B7" t="s">
        <v>25</v>
      </c>
      <c r="C7" t="s">
        <v>10</v>
      </c>
      <c r="D7" t="s">
        <v>11</v>
      </c>
      <c r="E7">
        <v>36</v>
      </c>
      <c r="F7">
        <v>1800</v>
      </c>
      <c r="G7">
        <v>0</v>
      </c>
      <c r="H7">
        <v>5400</v>
      </c>
    </row>
    <row r="8" spans="1:8" x14ac:dyDescent="0.25">
      <c r="A8" t="s">
        <v>26</v>
      </c>
      <c r="B8" t="s">
        <v>27</v>
      </c>
      <c r="C8" t="s">
        <v>28</v>
      </c>
      <c r="D8" t="s">
        <v>15</v>
      </c>
      <c r="E8">
        <v>13</v>
      </c>
      <c r="F8">
        <v>45</v>
      </c>
      <c r="G8">
        <v>0</v>
      </c>
      <c r="H8">
        <v>585</v>
      </c>
    </row>
    <row r="9" spans="1:8" x14ac:dyDescent="0.25">
      <c r="A9" t="s">
        <v>29</v>
      </c>
      <c r="B9" t="s">
        <v>30</v>
      </c>
      <c r="C9" t="s">
        <v>18</v>
      </c>
      <c r="D9" t="s">
        <v>15</v>
      </c>
      <c r="E9">
        <v>18</v>
      </c>
      <c r="F9">
        <v>110</v>
      </c>
      <c r="G9">
        <v>0</v>
      </c>
      <c r="H9">
        <v>1980</v>
      </c>
    </row>
    <row r="10" spans="1:8" x14ac:dyDescent="0.25">
      <c r="A10" t="s">
        <v>31</v>
      </c>
      <c r="B10" t="s">
        <v>32</v>
      </c>
      <c r="C10" t="s">
        <v>33</v>
      </c>
      <c r="D10" t="s">
        <v>15</v>
      </c>
      <c r="E10">
        <v>27</v>
      </c>
      <c r="F10">
        <v>95</v>
      </c>
      <c r="G10">
        <v>0</v>
      </c>
      <c r="H10">
        <v>2565</v>
      </c>
    </row>
    <row r="11" spans="1:8" x14ac:dyDescent="0.25">
      <c r="A11" t="s">
        <v>34</v>
      </c>
      <c r="B11" t="s">
        <v>35</v>
      </c>
      <c r="C11" t="s">
        <v>14</v>
      </c>
      <c r="D11" t="s">
        <v>15</v>
      </c>
      <c r="E11">
        <v>28</v>
      </c>
      <c r="F11">
        <v>85</v>
      </c>
      <c r="G11">
        <v>0</v>
      </c>
      <c r="H11">
        <v>2380</v>
      </c>
    </row>
    <row r="12" spans="1:8" x14ac:dyDescent="0.25">
      <c r="A12" t="s">
        <v>36</v>
      </c>
      <c r="B12" t="s">
        <v>37</v>
      </c>
      <c r="C12" t="s">
        <v>10</v>
      </c>
      <c r="D12" t="s">
        <v>11</v>
      </c>
      <c r="E12">
        <v>42</v>
      </c>
      <c r="F12">
        <v>1800</v>
      </c>
      <c r="G12">
        <v>0</v>
      </c>
      <c r="H12">
        <v>6300</v>
      </c>
    </row>
    <row r="13" spans="1:8" x14ac:dyDescent="0.25">
      <c r="A13" t="s">
        <v>38</v>
      </c>
      <c r="B13" t="s">
        <v>39</v>
      </c>
      <c r="C13" t="s">
        <v>28</v>
      </c>
      <c r="D13" t="s">
        <v>15</v>
      </c>
      <c r="E13">
        <v>12</v>
      </c>
      <c r="F13">
        <v>45</v>
      </c>
      <c r="G13">
        <v>0</v>
      </c>
      <c r="H13">
        <v>540</v>
      </c>
    </row>
    <row r="14" spans="1:8" x14ac:dyDescent="0.25">
      <c r="A14" t="s">
        <v>40</v>
      </c>
      <c r="B14" t="s">
        <v>41</v>
      </c>
      <c r="C14" t="s">
        <v>21</v>
      </c>
      <c r="D14" t="s">
        <v>15</v>
      </c>
      <c r="E14">
        <v>35</v>
      </c>
      <c r="F14">
        <v>180</v>
      </c>
      <c r="G14">
        <v>0</v>
      </c>
      <c r="H14">
        <v>6300</v>
      </c>
    </row>
    <row r="15" spans="1:8" x14ac:dyDescent="0.25">
      <c r="A15" t="s">
        <v>42</v>
      </c>
      <c r="B15" t="s">
        <v>43</v>
      </c>
      <c r="C15" t="s">
        <v>14</v>
      </c>
      <c r="D15" t="s">
        <v>15</v>
      </c>
      <c r="E15">
        <v>19</v>
      </c>
      <c r="F15">
        <v>85</v>
      </c>
      <c r="G15">
        <v>0</v>
      </c>
      <c r="H15">
        <v>1615</v>
      </c>
    </row>
    <row r="16" spans="1:8" x14ac:dyDescent="0.25">
      <c r="A16" t="s">
        <v>44</v>
      </c>
      <c r="B16" t="s">
        <v>45</v>
      </c>
      <c r="C16" t="s">
        <v>18</v>
      </c>
      <c r="D16" t="s">
        <v>15</v>
      </c>
      <c r="E16">
        <v>15</v>
      </c>
      <c r="F16">
        <v>110</v>
      </c>
      <c r="G16">
        <v>0</v>
      </c>
      <c r="H16">
        <v>1650</v>
      </c>
    </row>
    <row r="17" spans="1:8" x14ac:dyDescent="0.25">
      <c r="A17" t="s">
        <v>46</v>
      </c>
      <c r="B17" t="s">
        <v>47</v>
      </c>
      <c r="C17" t="s">
        <v>10</v>
      </c>
      <c r="D17" t="s">
        <v>15</v>
      </c>
      <c r="E17">
        <v>33</v>
      </c>
      <c r="F17">
        <v>150</v>
      </c>
      <c r="G17">
        <v>0</v>
      </c>
      <c r="H17">
        <v>4950</v>
      </c>
    </row>
    <row r="18" spans="1:8" x14ac:dyDescent="0.25">
      <c r="A18" t="s">
        <v>48</v>
      </c>
      <c r="B18" t="s">
        <v>49</v>
      </c>
      <c r="C18" t="s">
        <v>14</v>
      </c>
      <c r="D18" t="s">
        <v>15</v>
      </c>
      <c r="E18">
        <v>31</v>
      </c>
      <c r="F18">
        <v>85</v>
      </c>
      <c r="G18">
        <v>0</v>
      </c>
      <c r="H18">
        <v>2635</v>
      </c>
    </row>
    <row r="19" spans="1:8" x14ac:dyDescent="0.25">
      <c r="A19" t="s">
        <v>50</v>
      </c>
      <c r="B19" t="s">
        <v>51</v>
      </c>
      <c r="C19" t="s">
        <v>21</v>
      </c>
      <c r="D19" t="s">
        <v>11</v>
      </c>
      <c r="E19">
        <v>38</v>
      </c>
      <c r="F19">
        <v>2160</v>
      </c>
      <c r="G19">
        <v>0</v>
      </c>
      <c r="H19">
        <v>6840</v>
      </c>
    </row>
    <row r="20" spans="1:8" x14ac:dyDescent="0.25">
      <c r="A20" t="s">
        <v>52</v>
      </c>
      <c r="B20" t="s">
        <v>53</v>
      </c>
      <c r="C20" t="s">
        <v>18</v>
      </c>
      <c r="D20" t="s">
        <v>15</v>
      </c>
      <c r="E20">
        <v>28</v>
      </c>
      <c r="F20">
        <v>110</v>
      </c>
      <c r="G20">
        <v>0</v>
      </c>
      <c r="H20">
        <v>3080</v>
      </c>
    </row>
    <row r="21" spans="1:8" x14ac:dyDescent="0.25">
      <c r="A21" t="s">
        <v>54</v>
      </c>
      <c r="B21" t="s">
        <v>55</v>
      </c>
      <c r="C21" t="s">
        <v>28</v>
      </c>
      <c r="D21" t="s">
        <v>15</v>
      </c>
      <c r="E21">
        <v>15</v>
      </c>
      <c r="F21">
        <v>45</v>
      </c>
      <c r="G21">
        <v>0</v>
      </c>
      <c r="H21">
        <v>675</v>
      </c>
    </row>
    <row r="22" spans="1:8" x14ac:dyDescent="0.25">
      <c r="A22" t="s">
        <v>56</v>
      </c>
      <c r="B22" t="s">
        <v>57</v>
      </c>
      <c r="C22" t="s">
        <v>14</v>
      </c>
      <c r="D22" t="s">
        <v>15</v>
      </c>
      <c r="E22">
        <v>27</v>
      </c>
      <c r="F22">
        <v>85</v>
      </c>
      <c r="G22">
        <v>0</v>
      </c>
      <c r="H22">
        <v>2295</v>
      </c>
    </row>
    <row r="23" spans="1:8" x14ac:dyDescent="0.25">
      <c r="A23" t="s">
        <v>58</v>
      </c>
      <c r="B23" t="s">
        <v>59</v>
      </c>
      <c r="C23" t="s">
        <v>33</v>
      </c>
      <c r="D23" t="s">
        <v>15</v>
      </c>
      <c r="E23">
        <v>20</v>
      </c>
      <c r="F23">
        <v>95</v>
      </c>
      <c r="G23">
        <v>0</v>
      </c>
      <c r="H23">
        <v>1900</v>
      </c>
    </row>
    <row r="24" spans="1:8" x14ac:dyDescent="0.25">
      <c r="A24" t="s">
        <v>60</v>
      </c>
      <c r="B24" t="s">
        <v>61</v>
      </c>
      <c r="C24" t="s">
        <v>10</v>
      </c>
      <c r="D24" t="s">
        <v>11</v>
      </c>
      <c r="E24">
        <v>45</v>
      </c>
      <c r="F24">
        <v>1800</v>
      </c>
      <c r="G24">
        <v>0</v>
      </c>
      <c r="H24">
        <v>6750</v>
      </c>
    </row>
    <row r="25" spans="1:8" x14ac:dyDescent="0.25">
      <c r="A25" t="s">
        <v>62</v>
      </c>
      <c r="B25" t="s">
        <v>63</v>
      </c>
      <c r="C25" t="s">
        <v>21</v>
      </c>
      <c r="D25" t="s">
        <v>15</v>
      </c>
      <c r="E25">
        <v>26</v>
      </c>
      <c r="F25">
        <v>180</v>
      </c>
      <c r="G25">
        <v>0</v>
      </c>
      <c r="H25">
        <v>4680</v>
      </c>
    </row>
    <row r="26" spans="1:8" x14ac:dyDescent="0.25">
      <c r="A26" t="s">
        <v>64</v>
      </c>
      <c r="B26" t="s">
        <v>65</v>
      </c>
      <c r="C26" t="s">
        <v>14</v>
      </c>
      <c r="D26" t="s">
        <v>15</v>
      </c>
      <c r="E26">
        <v>25</v>
      </c>
      <c r="F26">
        <v>85</v>
      </c>
      <c r="G26">
        <v>0</v>
      </c>
      <c r="H26">
        <v>2125</v>
      </c>
    </row>
    <row r="27" spans="1:8" x14ac:dyDescent="0.25">
      <c r="A27" t="s">
        <v>66</v>
      </c>
      <c r="B27" t="s">
        <v>67</v>
      </c>
      <c r="C27" t="s">
        <v>28</v>
      </c>
      <c r="D27" t="s">
        <v>15</v>
      </c>
      <c r="E27">
        <v>16</v>
      </c>
      <c r="F27">
        <v>45</v>
      </c>
      <c r="G27">
        <v>0</v>
      </c>
      <c r="H27">
        <v>720</v>
      </c>
    </row>
    <row r="28" spans="1:8" x14ac:dyDescent="0.25">
      <c r="A28" t="s">
        <v>68</v>
      </c>
      <c r="B28" t="s">
        <v>69</v>
      </c>
      <c r="C28" t="s">
        <v>18</v>
      </c>
      <c r="D28" t="s">
        <v>15</v>
      </c>
      <c r="E28">
        <v>24</v>
      </c>
      <c r="F28">
        <v>110</v>
      </c>
      <c r="G28">
        <v>0</v>
      </c>
      <c r="H28">
        <v>2640</v>
      </c>
    </row>
    <row r="29" spans="1:8" x14ac:dyDescent="0.25">
      <c r="A29" t="s">
        <v>70</v>
      </c>
      <c r="B29" t="s">
        <v>71</v>
      </c>
      <c r="C29" t="s">
        <v>33</v>
      </c>
      <c r="D29" t="s">
        <v>15</v>
      </c>
      <c r="E29">
        <v>18</v>
      </c>
      <c r="F29">
        <v>95</v>
      </c>
      <c r="G29">
        <v>0</v>
      </c>
      <c r="H29">
        <v>1710</v>
      </c>
    </row>
    <row r="30" spans="1:8" x14ac:dyDescent="0.25">
      <c r="A30" t="s">
        <v>72</v>
      </c>
      <c r="B30" t="s">
        <v>73</v>
      </c>
      <c r="C30" t="s">
        <v>10</v>
      </c>
      <c r="D30" t="s">
        <v>15</v>
      </c>
      <c r="E30">
        <v>35</v>
      </c>
      <c r="F30">
        <v>150</v>
      </c>
      <c r="G30">
        <v>0</v>
      </c>
      <c r="H30">
        <v>5250</v>
      </c>
    </row>
    <row r="31" spans="1:8" x14ac:dyDescent="0.25">
      <c r="A31" t="s">
        <v>74</v>
      </c>
      <c r="B31" t="s">
        <v>75</v>
      </c>
      <c r="C31" t="s">
        <v>28</v>
      </c>
      <c r="D31" t="s">
        <v>15</v>
      </c>
      <c r="E31">
        <v>13</v>
      </c>
      <c r="F31">
        <v>45</v>
      </c>
      <c r="G31">
        <v>0</v>
      </c>
      <c r="H31">
        <v>585</v>
      </c>
    </row>
    <row r="32" spans="1:8" x14ac:dyDescent="0.25">
      <c r="A32" t="s">
        <v>76</v>
      </c>
      <c r="B32" t="s">
        <v>77</v>
      </c>
      <c r="C32" t="s">
        <v>14</v>
      </c>
      <c r="D32" t="s">
        <v>15</v>
      </c>
      <c r="E32">
        <v>29</v>
      </c>
      <c r="F32">
        <v>85</v>
      </c>
      <c r="G32">
        <v>0</v>
      </c>
      <c r="H32">
        <v>2465</v>
      </c>
    </row>
    <row r="33" spans="1:8" x14ac:dyDescent="0.25">
      <c r="A33" t="s">
        <v>78</v>
      </c>
      <c r="B33" t="s">
        <v>79</v>
      </c>
      <c r="C33" t="s">
        <v>33</v>
      </c>
      <c r="D33" t="s">
        <v>15</v>
      </c>
      <c r="E33">
        <v>18</v>
      </c>
      <c r="F33">
        <v>95</v>
      </c>
      <c r="G33">
        <v>0</v>
      </c>
      <c r="H33">
        <v>1710</v>
      </c>
    </row>
    <row r="34" spans="1:8" x14ac:dyDescent="0.25">
      <c r="A34" t="s">
        <v>80</v>
      </c>
      <c r="B34" t="s">
        <v>81</v>
      </c>
      <c r="C34" t="s">
        <v>18</v>
      </c>
      <c r="D34" t="s">
        <v>15</v>
      </c>
      <c r="E34">
        <v>16</v>
      </c>
      <c r="F34">
        <v>110</v>
      </c>
      <c r="G34">
        <v>0</v>
      </c>
      <c r="H34">
        <v>1760</v>
      </c>
    </row>
    <row r="35" spans="1:8" x14ac:dyDescent="0.25">
      <c r="A35" t="s">
        <v>82</v>
      </c>
      <c r="B35" t="s">
        <v>13</v>
      </c>
      <c r="C35" t="s">
        <v>18</v>
      </c>
      <c r="D35" t="s">
        <v>15</v>
      </c>
      <c r="E35">
        <v>19</v>
      </c>
      <c r="F35">
        <v>110</v>
      </c>
      <c r="G35">
        <v>0</v>
      </c>
      <c r="H35">
        <v>2090</v>
      </c>
    </row>
    <row r="36" spans="1:8" x14ac:dyDescent="0.25">
      <c r="A36" t="s">
        <v>83</v>
      </c>
      <c r="B36" t="s">
        <v>20</v>
      </c>
      <c r="C36" t="s">
        <v>14</v>
      </c>
      <c r="D36" t="s">
        <v>15</v>
      </c>
      <c r="E36">
        <v>33</v>
      </c>
      <c r="F36">
        <v>85</v>
      </c>
      <c r="G36">
        <v>0</v>
      </c>
      <c r="H36">
        <v>2805</v>
      </c>
    </row>
    <row r="37" spans="1:8" x14ac:dyDescent="0.25">
      <c r="A37" t="s">
        <v>84</v>
      </c>
      <c r="B37" t="s">
        <v>25</v>
      </c>
      <c r="C37" t="s">
        <v>33</v>
      </c>
      <c r="D37" t="s">
        <v>15</v>
      </c>
      <c r="E37">
        <v>35</v>
      </c>
      <c r="F37">
        <v>95</v>
      </c>
      <c r="G37">
        <v>0</v>
      </c>
      <c r="H37">
        <v>3325</v>
      </c>
    </row>
    <row r="38" spans="1:8" x14ac:dyDescent="0.25">
      <c r="A38" t="s">
        <v>85</v>
      </c>
      <c r="B38" t="s">
        <v>86</v>
      </c>
      <c r="C38" t="s">
        <v>21</v>
      </c>
      <c r="D38" t="s">
        <v>15</v>
      </c>
      <c r="E38">
        <v>20</v>
      </c>
      <c r="F38">
        <v>180</v>
      </c>
      <c r="G38">
        <v>0</v>
      </c>
      <c r="H38">
        <v>3600</v>
      </c>
    </row>
    <row r="39" spans="1:8" x14ac:dyDescent="0.25">
      <c r="A39" t="s">
        <v>87</v>
      </c>
      <c r="B39" t="s">
        <v>47</v>
      </c>
      <c r="C39" t="s">
        <v>18</v>
      </c>
      <c r="D39" t="s">
        <v>15</v>
      </c>
      <c r="E39">
        <v>26</v>
      </c>
      <c r="F39">
        <v>110</v>
      </c>
      <c r="G39">
        <v>0</v>
      </c>
      <c r="H39">
        <v>2860</v>
      </c>
    </row>
    <row r="40" spans="1:8" x14ac:dyDescent="0.25">
      <c r="A40" t="s">
        <v>88</v>
      </c>
      <c r="B40" t="s">
        <v>51</v>
      </c>
      <c r="C40" t="s">
        <v>18</v>
      </c>
      <c r="D40" t="s">
        <v>15</v>
      </c>
      <c r="E40">
        <v>36</v>
      </c>
      <c r="F40">
        <v>110</v>
      </c>
      <c r="G40">
        <v>0</v>
      </c>
      <c r="H40">
        <v>3960</v>
      </c>
    </row>
    <row r="41" spans="1:8" x14ac:dyDescent="0.25">
      <c r="A41" t="s">
        <v>89</v>
      </c>
      <c r="B41" t="s">
        <v>35</v>
      </c>
      <c r="C41" t="s">
        <v>18</v>
      </c>
      <c r="D41" t="s">
        <v>15</v>
      </c>
      <c r="E41">
        <v>19</v>
      </c>
      <c r="F41">
        <v>110</v>
      </c>
      <c r="G41">
        <v>0</v>
      </c>
      <c r="H41">
        <v>2090</v>
      </c>
    </row>
    <row r="42" spans="1:8" x14ac:dyDescent="0.25">
      <c r="A42" t="s">
        <v>90</v>
      </c>
      <c r="B42" t="s">
        <v>41</v>
      </c>
      <c r="C42" t="s">
        <v>14</v>
      </c>
      <c r="D42" t="s">
        <v>15</v>
      </c>
      <c r="E42">
        <v>35</v>
      </c>
      <c r="F42">
        <v>85</v>
      </c>
      <c r="G42">
        <v>0</v>
      </c>
      <c r="H42">
        <v>2975</v>
      </c>
    </row>
    <row r="43" spans="1:8" x14ac:dyDescent="0.25">
      <c r="A43" t="s">
        <v>91</v>
      </c>
      <c r="B43" t="s">
        <v>53</v>
      </c>
      <c r="C43" t="s">
        <v>21</v>
      </c>
      <c r="D43" t="s">
        <v>15</v>
      </c>
      <c r="E43">
        <v>31</v>
      </c>
      <c r="F43">
        <v>180</v>
      </c>
      <c r="G43">
        <v>0</v>
      </c>
      <c r="H43">
        <v>5580</v>
      </c>
    </row>
    <row r="44" spans="1:8" x14ac:dyDescent="0.25">
      <c r="A44" t="s">
        <v>92</v>
      </c>
      <c r="B44" t="s">
        <v>9</v>
      </c>
      <c r="C44" t="s">
        <v>33</v>
      </c>
      <c r="D44" t="s">
        <v>11</v>
      </c>
      <c r="E44">
        <v>22</v>
      </c>
      <c r="F44">
        <v>1140</v>
      </c>
      <c r="G44">
        <v>5</v>
      </c>
      <c r="H44">
        <v>1985.5</v>
      </c>
    </row>
    <row r="45" spans="1:8" x14ac:dyDescent="0.25">
      <c r="A45" t="s">
        <v>93</v>
      </c>
      <c r="B45" t="s">
        <v>37</v>
      </c>
      <c r="C45" t="s">
        <v>14</v>
      </c>
      <c r="D45" t="s">
        <v>15</v>
      </c>
      <c r="E45">
        <v>38</v>
      </c>
      <c r="F45">
        <v>85</v>
      </c>
      <c r="G45">
        <v>0</v>
      </c>
      <c r="H45">
        <v>3230</v>
      </c>
    </row>
    <row r="46" spans="1:8" x14ac:dyDescent="0.25">
      <c r="A46" t="s">
        <v>94</v>
      </c>
      <c r="B46" t="s">
        <v>95</v>
      </c>
      <c r="C46" t="s">
        <v>10</v>
      </c>
      <c r="D46" t="s">
        <v>15</v>
      </c>
      <c r="E46">
        <v>28</v>
      </c>
      <c r="F46">
        <v>150</v>
      </c>
      <c r="G46">
        <v>0</v>
      </c>
      <c r="H46">
        <v>4200</v>
      </c>
    </row>
    <row r="47" spans="1:8" x14ac:dyDescent="0.25">
      <c r="A47" t="s">
        <v>96</v>
      </c>
      <c r="B47" t="s">
        <v>49</v>
      </c>
      <c r="C47" t="s">
        <v>18</v>
      </c>
      <c r="D47" t="s">
        <v>15</v>
      </c>
      <c r="E47">
        <v>26</v>
      </c>
      <c r="F47">
        <v>110</v>
      </c>
      <c r="G47">
        <v>0</v>
      </c>
      <c r="H47">
        <v>2860</v>
      </c>
    </row>
    <row r="48" spans="1:8" x14ac:dyDescent="0.25">
      <c r="A48" t="s">
        <v>97</v>
      </c>
      <c r="B48" t="s">
        <v>98</v>
      </c>
      <c r="C48" t="s">
        <v>14</v>
      </c>
      <c r="D48" t="s">
        <v>15</v>
      </c>
      <c r="E48">
        <v>22</v>
      </c>
      <c r="F48">
        <v>85</v>
      </c>
      <c r="G48">
        <v>0</v>
      </c>
      <c r="H48">
        <v>1870</v>
      </c>
    </row>
    <row r="49" spans="1:8" x14ac:dyDescent="0.25">
      <c r="A49" t="s">
        <v>99</v>
      </c>
      <c r="B49" t="s">
        <v>100</v>
      </c>
      <c r="C49" t="s">
        <v>33</v>
      </c>
      <c r="D49" t="s">
        <v>15</v>
      </c>
      <c r="E49">
        <v>12</v>
      </c>
      <c r="F49">
        <v>95</v>
      </c>
      <c r="G49">
        <v>0</v>
      </c>
      <c r="H49">
        <v>1140</v>
      </c>
    </row>
    <row r="50" spans="1:8" x14ac:dyDescent="0.25">
      <c r="A50" t="s">
        <v>101</v>
      </c>
      <c r="B50" t="s">
        <v>102</v>
      </c>
      <c r="C50" t="s">
        <v>14</v>
      </c>
      <c r="D50" t="s">
        <v>15</v>
      </c>
      <c r="E50">
        <v>11</v>
      </c>
      <c r="F50">
        <v>85</v>
      </c>
      <c r="G50">
        <v>0</v>
      </c>
      <c r="H50">
        <v>935</v>
      </c>
    </row>
    <row r="51" spans="1:8" x14ac:dyDescent="0.25">
      <c r="A51" t="s">
        <v>103</v>
      </c>
      <c r="B51" t="s">
        <v>104</v>
      </c>
      <c r="C51" t="s">
        <v>18</v>
      </c>
      <c r="D51" t="s">
        <v>15</v>
      </c>
      <c r="E51">
        <v>28</v>
      </c>
      <c r="F51">
        <v>110</v>
      </c>
      <c r="G51">
        <v>0</v>
      </c>
      <c r="H51">
        <v>3080</v>
      </c>
    </row>
    <row r="52" spans="1:8" x14ac:dyDescent="0.25">
      <c r="A52" t="s">
        <v>105</v>
      </c>
      <c r="B52" t="s">
        <v>106</v>
      </c>
      <c r="C52" t="s">
        <v>33</v>
      </c>
      <c r="D52" t="s">
        <v>15</v>
      </c>
      <c r="E52">
        <v>32</v>
      </c>
      <c r="F52">
        <v>95</v>
      </c>
      <c r="G52">
        <v>0</v>
      </c>
      <c r="H52">
        <v>3040</v>
      </c>
    </row>
    <row r="53" spans="1:8" x14ac:dyDescent="0.25">
      <c r="A53" t="s">
        <v>107</v>
      </c>
      <c r="B53" t="s">
        <v>108</v>
      </c>
      <c r="C53" t="s">
        <v>10</v>
      </c>
      <c r="D53" t="s">
        <v>15</v>
      </c>
      <c r="E53">
        <v>20</v>
      </c>
      <c r="F53">
        <v>150</v>
      </c>
      <c r="G53">
        <v>0</v>
      </c>
      <c r="H53">
        <v>3000</v>
      </c>
    </row>
    <row r="54" spans="1:8" x14ac:dyDescent="0.25">
      <c r="A54" t="s">
        <v>109</v>
      </c>
      <c r="B54" t="s">
        <v>110</v>
      </c>
      <c r="C54" t="s">
        <v>14</v>
      </c>
      <c r="D54" t="s">
        <v>15</v>
      </c>
      <c r="E54">
        <v>18</v>
      </c>
      <c r="F54">
        <v>85</v>
      </c>
      <c r="G54">
        <v>0</v>
      </c>
      <c r="H54">
        <v>1530</v>
      </c>
    </row>
    <row r="55" spans="1:8" x14ac:dyDescent="0.25">
      <c r="A55" t="s">
        <v>111</v>
      </c>
      <c r="B55" t="s">
        <v>112</v>
      </c>
      <c r="C55" t="s">
        <v>33</v>
      </c>
      <c r="D55" t="s">
        <v>15</v>
      </c>
      <c r="E55">
        <v>24</v>
      </c>
      <c r="F55">
        <v>95</v>
      </c>
      <c r="G55">
        <v>0</v>
      </c>
      <c r="H55">
        <v>2280</v>
      </c>
    </row>
    <row r="56" spans="1:8" x14ac:dyDescent="0.25">
      <c r="A56" t="s">
        <v>113</v>
      </c>
      <c r="B56" t="s">
        <v>114</v>
      </c>
      <c r="C56" t="s">
        <v>18</v>
      </c>
      <c r="D56" t="s">
        <v>15</v>
      </c>
      <c r="E56">
        <v>21</v>
      </c>
      <c r="F56">
        <v>110</v>
      </c>
      <c r="G56">
        <v>0</v>
      </c>
      <c r="H56">
        <v>2310</v>
      </c>
    </row>
    <row r="57" spans="1:8" x14ac:dyDescent="0.25">
      <c r="A57" t="s">
        <v>115</v>
      </c>
      <c r="B57" t="s">
        <v>116</v>
      </c>
      <c r="C57" t="s">
        <v>33</v>
      </c>
      <c r="D57" t="s">
        <v>15</v>
      </c>
      <c r="E57">
        <v>26</v>
      </c>
      <c r="F57">
        <v>95</v>
      </c>
      <c r="G57">
        <v>0</v>
      </c>
      <c r="H57">
        <v>2470</v>
      </c>
    </row>
    <row r="60" spans="1:8" x14ac:dyDescent="0.25">
      <c r="C60" t="s">
        <v>120</v>
      </c>
      <c r="D60" t="s">
        <v>121</v>
      </c>
    </row>
    <row r="61" spans="1:8" x14ac:dyDescent="0.25">
      <c r="A61" t="s">
        <v>117</v>
      </c>
      <c r="B61">
        <f>SUM(H2:H57)</f>
        <v>160075.5</v>
      </c>
      <c r="C61">
        <v>160075.5</v>
      </c>
      <c r="D61">
        <f>B61-C61</f>
        <v>0</v>
      </c>
    </row>
    <row r="62" spans="1:8" x14ac:dyDescent="0.25">
      <c r="A62" t="s">
        <v>118</v>
      </c>
      <c r="B62">
        <f>COUNTA(_xlfn.UNIQUE(subscriptions_2026_05_31[subscription_id]))</f>
        <v>56</v>
      </c>
      <c r="C62">
        <v>56</v>
      </c>
      <c r="D62">
        <f t="shared" ref="D62:D63" si="0">B62-C62</f>
        <v>0</v>
      </c>
    </row>
    <row r="63" spans="1:8" x14ac:dyDescent="0.25">
      <c r="A63" t="s">
        <v>119</v>
      </c>
      <c r="B63">
        <f>COUNTA(_xlfn.UNIQUE(subscriptions_2026_05_31[customer_id]))</f>
        <v>45</v>
      </c>
      <c r="C63">
        <v>45</v>
      </c>
      <c r="D63">
        <f t="shared" si="0"/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E7A29-89E0-4227-B39D-8148F168D4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C66820-C4B8-422F-B678-CEAC34297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subscriptions_2026-05-31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Bezrukov</dc:creator>
  <cp:lastModifiedBy>Michael Bezrukov</cp:lastModifiedBy>
  <dcterms:created xsi:type="dcterms:W3CDTF">2026-10-04T17:45:53Z</dcterms:created>
  <dcterms:modified xsi:type="dcterms:W3CDTF">2026-10-04T17:52:51Z</dcterms:modified>
</cp:coreProperties>
</file>