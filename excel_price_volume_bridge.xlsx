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Volume Bridge" sheetId="1" r:id="rId4"/>
    <sheet state="visible" name="billing_jan_2026" sheetId="2" r:id="rId5"/>
    <sheet state="visible" name="billing_feb_2026" sheetId="3" r:id="rId6"/>
    <sheet state="visible" name="bank_statement_jan_2026" sheetId="4" r:id="rId7"/>
    <sheet state="visible" name="bank_statement_feb_2026" sheetId="5" r:id="rId8"/>
    <sheet state="visible" name="Actuals" sheetId="6" r:id="rId9"/>
    <sheet state="visible" name="Billing Reconciliation" sheetId="7" r:id="rId10"/>
    <sheet state="visible" name="Historical Baseline" sheetId="8" r:id="rId11"/>
    <sheet state="visible" name="Forecast Assumptions" sheetId="9" r:id="rId12"/>
    <sheet state="visible" name="Jan 2026 A vs F " sheetId="10" r:id="rId13"/>
    <sheet state="visible" name="Feb 2026 A vs F" sheetId="11" r:id="rId14"/>
    <sheet state="visible" name="Mar 2026 A vs F" sheetId="12" r:id="rId15"/>
    <sheet state="visible" name="2026 Forecast" sheetId="13" r:id="rId16"/>
    <sheet state="visible" name="KPI Tracker" sheetId="14" r:id="rId17"/>
    <sheet state="visible" name="Waterfall Data" sheetId="15" r:id="rId18"/>
    <sheet state="visible" name="Engine" sheetId="16" r:id="rId19"/>
    <sheet state="visible" name="Waterfall" sheetId="17" r:id="rId20"/>
    <sheet state="visible" name="Retention" sheetId="18" r:id="rId21"/>
    <sheet state="visible" name="Unit Economics" sheetId="19" r:id="rId22"/>
    <sheet state="visible" name="Ref" sheetId="20" r:id="rId23"/>
  </sheets>
  <definedNames>
    <definedName hidden="1" localSheetId="2" name="_xlnm._FilterDatabase">billing_feb_2026!$A$1:$S$49</definedName>
  </definedNames>
  <calcPr/>
  <extLst>
    <ext uri="GoogleSheetsCustomDataVersion2">
      <go:sheetsCustomData xmlns:go="http://customooxmlschemas.google.com/" r:id="rId24" roundtripDataChecksum="aNtelZ0LZNfcVszETULh3PtLIP/UGsPIt4Spdke6lp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2">
      <text>
        <t xml:space="preserve">======
ID#AAAB9jjNMqc
Michael Bezrukov    (2026-06-14 19:59:12)
PREDICTION — derived from estimated OpEx. Not sourced from any table.</t>
      </text>
    </comment>
    <comment authorId="0" ref="C32">
      <text>
        <t xml:space="preserve">======
ID#AAAB9jjNMo8
Michael Bezrukov    (2026-06-14 19:59:12)
PREDICTION — derived from estimated OpEx. Not sourced from any table.</t>
      </text>
    </comment>
    <comment authorId="0" ref="B30">
      <text>
        <t xml:space="preserve">======
ID#AAAB9jjNMq0
Michael Bezrukov    (2026-06-14 19:59:12)
PREDICTION — not sourced from any table. Estimated: ~13% of Q1 2024 revenue. G&amp;A for an early-stage company (finance, legal, ops overhead) typically 10-15% of revenue.</t>
      </text>
    </comment>
    <comment authorId="0" ref="D32">
      <text>
        <t xml:space="preserve">======
ID#AAAB9jjNMpM
Michael Bezrukov    (2026-06-14 19:59:12)
PREDICTION — derived from estimated OpEx. Not sourced from any table.</t>
      </text>
    </comment>
    <comment authorId="0" ref="E32">
      <text>
        <t xml:space="preserve">======
ID#AAAB9jjNMpU
Michael Bezrukov    (2026-06-14 19:59:12)
PREDICTION — derived from estimated OpEx. Not sourced from any table.</t>
      </text>
    </comment>
    <comment authorId="0" ref="C30">
      <text>
        <t xml:space="preserve">======
ID#AAAB9jjNMpA
Michael Bezrukov    (2026-06-14 19:59:12)
PREDICTION — not sourced from any table. Estimated: ~12% of Q2 2024 revenue. G&amp;A growing modestly in absolute terms as company adds operational infrastructure.</t>
      </text>
    </comment>
    <comment authorId="0" ref="B28">
      <text>
        <t xml:space="preserve">======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text>
    </comment>
    <comment authorId="0" ref="D30">
      <text>
        <t xml:space="preserve">======
ID#AAAB9jjNMqI
Michael Bezrukov    (2026-06-14 19:59:12)
PREDICTION — not sourced from any table. Estimated: ~11% of Q3 2024 revenue. G&amp;A ratio declining as revenue base grows faster than overhead.</t>
      </text>
    </comment>
    <comment authorId="0" ref="F32">
      <text>
        <t xml:space="preserve">======
ID#AAAB9jjNMoc
Michael Bezrukov    (2026-06-14 19:59:12)
PREDICTION — derived from estimated Total OpEx (R&amp;D + G&amp;A estimated). Not fully sourced from any table.</t>
      </text>
    </comment>
    <comment authorId="0" ref="C28">
      <text>
        <t xml:space="preserve">======
ID#AAAB9jjNMq8
Michael Bezrukov    (2026-06-14 19:59:12)
PREDICTION — not sourced from any table. Estimated: ~27% of Q2 2024 revenue ($107,967). S&amp;M ratio declining as company scales into its go-to-market motion.</t>
      </text>
    </comment>
    <comment authorId="0" ref="G32">
      <text>
        <t xml:space="preserve">======
ID#AAAB9jjNMqs
Michael Bezrukov    (2026-06-14 19:59:12)
PREDICTION — derived from estimated Total OpEx (R&amp;D + G&amp;A estimated). Not fully sourced from any table.</t>
      </text>
    </comment>
    <comment authorId="0" ref="E30">
      <text>
        <t xml:space="preserve">======
ID#AAAB9jjNMqo
Michael Bezrukov    (2026-06-14 19:59:12)
PREDICTION — not sourced from any table. Estimated: ~10% of Q4 2024 revenue. Approaching typical SaaS G&amp;A efficiency at this stage.</t>
      </text>
    </comment>
    <comment authorId="0" ref="D28">
      <text>
        <t xml:space="preserve">======
ID#AAAB9jjNMq4
Michael Bezrukov    (2026-06-14 19:59:12)
PREDICTION — not sourced from any table. Estimated: ~25% of Q3 2024 revenue ($191,126). Continued ramp in absolute spend as customer acquisition accelerates.</t>
      </text>
    </comment>
    <comment authorId="0" ref="H32">
      <text>
        <t xml:space="preserve">======
ID#AAAB9jjNMp8
Michael Bezrukov    (2026-06-14 19:59:12)
PREDICTION — derived from estimated Total OpEx (R&amp;D + G&amp;A estimated). Not fully sourced from any table.</t>
      </text>
    </comment>
    <comment authorId="0" ref="F30">
      <text>
        <t xml:space="preserve">======
ID#AAAB9jjNMpc
Michael Bezrukov    (2026-06-14 19:59:12)
PREDICTION — not sourced from any table. Estimated: ~8% of Q1 2025 revenue ($379,619), stepping up from Q4 2024 G&amp;A ($28,000). G&amp;A is largely fixed overhead growing slowly.</t>
      </text>
    </comment>
    <comment authorId="0" ref="E28">
      <text>
        <t xml:space="preserve">======
ID#AAAB9jjNMqE
Michael Bezrukov    (2026-06-14 19:59:12)
PREDICTION — not sourced from any table. Estimated: ~23% of Q4 2024 revenue ($273,371). Approaching 2025 efficiency levels as the sales motion matures.</t>
      </text>
    </comment>
    <comment authorId="0" ref="G30">
      <text>
        <t xml:space="preserve">======
ID#AAAB9jjNMp0
Michael Bezrukov    (2026-06-14 19:59:12)
PREDICTION — not sourced from any table. Estimated: ~7% of Q2 2025 revenue ($456,344). G&amp;A ratio declining as revenue scales faster than overhead.</t>
      </text>
    </comment>
    <comment authorId="0" ref="I32">
      <text>
        <t xml:space="preserve">======
ID#AAAB9jjNMow
Michael Bezrukov    (2026-06-14 19:59:12)
PREDICTION — derived from estimated Total OpEx (R&amp;D + G&amp;A estimated). Not fully sourced from any table.</t>
      </text>
    </comment>
    <comment authorId="0" ref="H30">
      <text>
        <t xml:space="preserve">======
ID#AAAB9jjNMoQ
Michael Bezrukov    (2026-06-14 19:59:12)
PREDICTION — not sourced from any table. Estimated: ~8% of Q3 2025 revenue ($451,079). Modest absolute increase for ops/finance/legal headcount.</t>
      </text>
    </comment>
    <comment authorId="0" ref="I30">
      <text>
        <t xml:space="preserve">======
ID#AAAB9jjNMoM
Michael Bezrukov    (2026-06-14 19:59:12)
PREDICTION — not sourced from any table. Estimated: ~7% of Q4 2025 revenue ($452,756). Broadly stable G&amp;A in Q4, consistent with cost discipline.</t>
      </text>
    </comment>
    <comment authorId="0" ref="B45">
      <text>
        <t xml:space="preserve">======
ID#AAAB9jjNMoI
Michael Bezrukov    (2026-06-14 19:59:12)
Unit Economics tab, B6 — current snapshot MRR</t>
      </text>
    </comment>
    <comment authorId="0" ref="B33">
      <text>
        <t xml:space="preserve">======
ID#AAAB8I2bhwc
Michael Bezrukov    (2026-06-14 19:59:12)
PREDICTION — derived from estimated EBITDA. Not sourced from any table.</t>
      </text>
    </comment>
    <comment authorId="0" ref="C33">
      <text>
        <t xml:space="preserve">======
ID#AAAB9jjNMqM
Michael Bezrukov    (2026-06-14 19:59:12)
PREDICTION — derived from estimated EBITDA. Not sourced from any table.</t>
      </text>
    </comment>
    <comment authorId="0" ref="D33">
      <text>
        <t xml:space="preserve">======
ID#AAAB9jjNMqA
Michael Bezrukov    (2026-06-14 19:59:12)
PREDICTION — derived from estimated EBITDA. Not sourced from any table.</t>
      </text>
    </comment>
    <comment authorId="0" ref="B31">
      <text>
        <t xml:space="preserve">======
ID#AAAB9jjNMpI
Michael Bezrukov    (2026-06-14 19:59:12)
PREDICTION — derived from estimated S&amp;M + R&amp;D + G&amp;A. Not sourced from any table.</t>
      </text>
    </comment>
    <comment authorId="0" ref="E33">
      <text>
        <t xml:space="preserve">======
ID#AAAB9jjNMpo
Michael Bezrukov    (2026-06-14 19:59:12)
PREDICTION — derived from estimated EBITDA. Not sourced from any table.</t>
      </text>
    </comment>
    <comment authorId="0" ref="C31">
      <text>
        <t xml:space="preserve">======
ID#AAAB9jjNMoo
Michael Bezrukov    (2026-06-14 19:59:12)
PREDICTION — derived from estimated S&amp;M + R&amp;D + G&amp;A. Not sourced from any table.</t>
      </text>
    </comment>
    <comment authorId="0" ref="F33">
      <text>
        <t xml:space="preserve">======
ID#AAAB9jjNMrI
Michael Bezrukov    (2026-06-14 19:59:12)
PREDICTION — derived from estimated EBITDA. Not fully sourced from any table.</t>
      </text>
    </comment>
    <comment authorId="0" ref="B29">
      <text>
        <t xml:space="preserve">======
ID#AAAB9jjNMps
Michael Bezrukov    (2026-06-14 19:59:12)
PREDICTION — not sourced from any table. Estimated: ~24% of Q1 2024 revenue. Early-stage SaaS R&amp;D typically runs 20-30% of revenue; used 24% for Q1 when team is small and product is early.</t>
      </text>
    </comment>
    <comment authorId="0" ref="D31">
      <text>
        <t xml:space="preserve">======
ID#AAAB9jjNMpg
Michael Bezrukov    (2026-06-14 19:59:12)
PREDICTION — derived from estimated S&amp;M + R&amp;D + G&amp;A. Not sourced from any table.</t>
      </text>
    </comment>
    <comment authorId="0" ref="E31">
      <text>
        <t xml:space="preserve">======
ID#AAAB9jjNMqw
Michael Bezrukov    (2026-06-14 19:59:12)
PREDICTION — derived from estimated S&amp;M + R&amp;D + G&amp;A. Not sourced from any table.</t>
      </text>
    </comment>
    <comment authorId="0" ref="C29">
      <text>
        <t xml:space="preserve">======
ID#AAAB9jjNMpQ
Michael Bezrukov    (2026-06-14 19:59:12)
PREDICTION — not sourced from any table. Estimated: ~23% of Q2 2024 revenue. R&amp;D spend growing in absolute terms as engineering team expands but declining as % of revenue.</t>
      </text>
    </comment>
    <comment authorId="0" ref="G33">
      <text>
        <t xml:space="preserve">======
ID#AAAB9jjNMo4
Michael Bezrukov    (2026-06-14 19:59:12)
PREDICTION — derived from estimated EBITDA. Not fully sourced from any table.</t>
      </text>
    </comment>
    <comment authorId="0" ref="F31">
      <text>
        <t xml:space="preserve">======
ID#AAAB9jjNMrE
Michael Bezrukov    (2026-06-14 19:59:12)
PREDICTION — S&amp;M is actual (Unit Economics tab); R&amp;D and G&amp;A are estimated. Not fully sourced from any table.</t>
      </text>
    </comment>
    <comment authorId="0" ref="D29">
      <text>
        <t xml:space="preserve">======
ID#AAAB9jjNMpk
Michael Bezrukov    (2026-06-14 19:59:12)
PREDICTION — not sourced from any table. Estimated: ~22% of Q3 2024 revenue. Product development accelerating alongside customer growth.</t>
      </text>
    </comment>
    <comment authorId="0" ref="H33">
      <text>
        <t xml:space="preserve">======
ID#AAAB9jjNMpE
Michael Bezrukov    (2026-06-14 19:59:12)
PREDICTION — derived from estimated EBITDA. Not fully sourced from any table.</t>
      </text>
    </comment>
    <comment authorId="0" ref="I33">
      <text>
        <t xml:space="preserve">======
ID#AAAB9jjNMos
Michael Bezrukov    (2026-06-14 19:59:12)
PREDICTION — derived from estimated EBITDA. Not fully sourced from any table.</t>
      </text>
    </comment>
    <comment authorId="0" ref="E29">
      <text>
        <t xml:space="preserve">======
ID#AAAB9jjNMoU
Michael Bezrukov    (2026-06-14 19:59:12)
PREDICTION — not sourced from any table. Estimated: ~21% of Q4 2024 revenue. R&amp;D scaling with revenue, consistent with trajectory into 2025.</t>
      </text>
    </comment>
    <comment authorId="0" ref="G31">
      <text>
        <t xml:space="preserve">======
ID#AAAB9jjNMoE
Michael Bezrukov    (2026-06-14 19:59:12)
PREDICTION — S&amp;M is actual (Unit Economics tab); R&amp;D and G&amp;A are estimated. Not fully sourced from any table.</t>
      </text>
    </comment>
    <comment authorId="0" ref="F29">
      <text>
        <t xml:space="preserve">======
ID#AAAB9jjNMrA
Michael Bezrukov    (2026-06-14 19:59:12)
PREDICTION — not sourced from any table. Estimated: ~16% of Q1 2025 revenue ($379,619), stepping up from Q4 2024 R&amp;D ($57,000) as engineering team grows heading into 2025.</t>
      </text>
    </comment>
    <comment authorId="0" ref="H31">
      <text>
        <t xml:space="preserve">======
ID#AAAB9jjNMpY
Michael Bezrukov    (2026-06-14 19:59:12)
PREDICTION — S&amp;M is actual (Unit Economics tab); R&amp;D and G&amp;A are estimated. Not fully sourced from any table.</t>
      </text>
    </comment>
    <comment authorId="0" ref="G29">
      <text>
        <t xml:space="preserve">======
ID#AAAB8I2bhwY
Michael Bezrukov    (2026-06-14 19:59:12)
PREDICTION — not sourced from any table. Estimated: ~15% of Q2 2025 revenue ($456,344). R&amp;D growing in absolute terms as product investment continues.</t>
      </text>
    </comment>
    <comment authorId="0" ref="I31">
      <text>
        <t xml:space="preserve">======
ID#AAAB9jjNMok
Michael Bezrukov    (2026-06-14 19:59:12)
PREDICTION — S&amp;M is actual (Unit Economics tab); R&amp;D and G&amp;A are estimated. Not fully sourced from any table.</t>
      </text>
    </comment>
    <comment authorId="0" ref="H29">
      <text>
        <t xml:space="preserve">======
ID#AAAB9jjNMqQ
Michael Bezrukov    (2026-06-14 19:59:12)
PREDICTION — not sourced from any table. Estimated: ~16% of Q3 2025 revenue ($451,079). Continued product development investment; ratio stable.</t>
      </text>
    </comment>
    <comment authorId="0" ref="I29">
      <text>
        <t xml:space="preserve">======
ID#AAAB9jjNMog
Michael Bezrukov    (2026-06-14 19:59:12)
PREDICTION — not sourced from any table. Estimated: ~14% of Q4 2025 revenue ($452,756). Slight pullback consistent with S&amp;M pattern in Q4.</t>
      </text>
    </comment>
    <comment authorId="0" ref="B44">
      <text>
        <t xml:space="preserve">======
ID#AAAB9jjNMqU
Michael Bezrukov    (2026-06-14 19:59:12)
Waterfall tab, H26 (Dec 2025 closing row)</t>
      </text>
    </comment>
  </commentList>
  <extLst>
    <ext uri="GoogleSheetsCustomDataVersion2">
      <go:sheetsCustomData xmlns:go="http://customooxmlschemas.google.com/" r:id="rId1" roundtripDataSignature="AMtx7mgy3GJawWbmpy6P6gVpM1jQiKhao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ID#AAAB9jjNMqk
Michael Bezrukov    (2026-06-14 19:59:12)
No subscriptions exist before month 1</t>
      </text>
    </comment>
    <comment authorId="0" ref="L20">
      <text>
        <t xml:space="preserve">======
ID#AAAB9jjNMp4
Michael Bezrukov    (2026-06-14 19:59:12)
CUST005 Atlantic Media Corp — sole sub SUB005 cancelled (Price too high)</t>
      </text>
    </comment>
    <comment authorId="0" ref="N20">
      <text>
        <t xml:space="preserve">======
ID#AAAB9jjNMpw
Michael Bezrukov    (2026-06-14 19:59:12)
CUST013 Alberta Tech Innovators — sole sub SUB013 cancelled (Switched to competitor)</t>
      </text>
    </comment>
    <comment authorId="0" ref="A20">
      <text>
        <t xml:space="preserve">======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text>
    </comment>
    <comment authorId="0" ref="A19">
      <text>
        <t xml:space="preserve">======
ID#AAAB9jjNMqg
Michael Bezrukov    (2026-06-14 19:59:12)
Distinct customer count (not subscriptions). Uses Engine helper columns: T (is_new_logo), U (is_logo_churn), V (is_logo_reactivation). Formula: cumulative new logos + cumulative reactivations − cumulative logo churns through end of prior month.</t>
      </text>
    </comment>
    <comment authorId="0" ref="S20">
      <text>
        <t xml:space="preserve">======
ID#AAAB9jjNMrM
Michael Bezrukov    (2026-06-14 19:59:12)
CUST023 Island Media Productions — sole sub SUB023 cancelled (Missing features)</t>
      </text>
    </comment>
    <comment authorId="0" ref="B19">
      <text>
        <t xml:space="preserve">======
ID#AAAB9jjNMo0
Michael Bezrukov    (2026-06-14 19:59:12)
No customers exist before month 1</t>
      </text>
    </comment>
  </commentList>
  <extLst>
    <ext uri="GoogleSheetsCustomDataVersion2">
      <go:sheetsCustomData xmlns:go="http://customooxmlschemas.google.com/" r:id="rId1" roundtripDataSignature="AMtx7mhzIZuwAKzCNSro16H3vqJor5Pzvw=="/>
    </ext>
  </extLst>
</comments>
</file>

<file path=xl/sharedStrings.xml><?xml version="1.0" encoding="utf-8"?>
<sst xmlns="http://schemas.openxmlformats.org/spreadsheetml/2006/main" count="2960" uniqueCount="1121">
  <si>
    <t>Scenario</t>
  </si>
  <si>
    <t>Quantity</t>
  </si>
  <si>
    <t>Price</t>
  </si>
  <si>
    <t>Δ Revenue</t>
  </si>
  <si>
    <t>Volume effect</t>
  </si>
  <si>
    <t>Price effect</t>
  </si>
  <si>
    <t>Dominant driver</t>
  </si>
  <si>
    <t>Northwind Retail:</t>
  </si>
  <si>
    <t>Prior</t>
  </si>
  <si>
    <t>Current</t>
  </si>
  <si>
    <t>Cascade Tools:</t>
  </si>
  <si>
    <t>Riverstone Supply:</t>
  </si>
  <si>
    <t>iDynamics:</t>
  </si>
  <si>
    <t>Prior (Q1 2025)</t>
  </si>
  <si>
    <t>Current (Q1 2026)</t>
  </si>
  <si>
    <t xml:space="preserve">Paragraph 1: </t>
  </si>
  <si>
    <t>Our total increase in revenue during this period was $29,200.</t>
  </si>
  <si>
    <t>This growth stemmed from an increase in volume of $18,000 from adding customers and a $11,200 increase in price.</t>
  </si>
  <si>
    <t>This indicates that our growth primarily comes from additional customers which is a healthy sign.</t>
  </si>
  <si>
    <t xml:space="preserve">This mix indicates that both the volume and price effect are positive and our growth was sustained from each side. </t>
  </si>
  <si>
    <t>The increase in volume means that we continue to grow our market share. The increase in price having a positive effect on revenue indicates that we have pricing power.</t>
  </si>
  <si>
    <t>Paragraph 2:</t>
  </si>
  <si>
    <t xml:space="preserve">Cascade saw an increase in revenue of $2,250 with the only gain coming from the price effect. </t>
  </si>
  <si>
    <t xml:space="preserve">This means that they have pricing power but the revenue increase comes at the cost of 50 customers. </t>
  </si>
  <si>
    <t xml:space="preserve">A price increase of 10% has come at the cost of a 5% decrease in customer base. </t>
  </si>
  <si>
    <t>I would look at the demand in future periods to see the effects of this price increase.</t>
  </si>
  <si>
    <t>Their strategy is to increase the price and lower the cost per unit.</t>
  </si>
  <si>
    <t xml:space="preserve">Based on the revenue delta, we can infer that a 1% price increase will create roughly a 2% decrease in customer base which is healthy. </t>
  </si>
  <si>
    <t>invoice_id</t>
  </si>
  <si>
    <t>invoice_number</t>
  </si>
  <si>
    <t>invoice_date</t>
  </si>
  <si>
    <t>customer_id</t>
  </si>
  <si>
    <t>customer_name</t>
  </si>
  <si>
    <t>subscription_id</t>
  </si>
  <si>
    <t>plan_name</t>
  </si>
  <si>
    <t>billing_cycle</t>
  </si>
  <si>
    <t>period_start</t>
  </si>
  <si>
    <t>period_end</t>
  </si>
  <si>
    <t>seats</t>
  </si>
  <si>
    <t>unit_price_usd</t>
  </si>
  <si>
    <t>subtotal</t>
  </si>
  <si>
    <t>discount_pct</t>
  </si>
  <si>
    <t>discount_amount</t>
  </si>
  <si>
    <t>amount_due_usd</t>
  </si>
  <si>
    <t>status</t>
  </si>
  <si>
    <t>payment_date</t>
  </si>
  <si>
    <t>failure_reason</t>
  </si>
  <si>
    <t>in_20260100001</t>
  </si>
  <si>
    <t>INV-2026-01-0001</t>
  </si>
  <si>
    <t>CUST007</t>
  </si>
  <si>
    <t>Ontario Manufacturing Tech</t>
  </si>
  <si>
    <t>SUB007</t>
  </si>
  <si>
    <t>Marketing Pro</t>
  </si>
  <si>
    <t>Monthly</t>
  </si>
  <si>
    <t>paid</t>
  </si>
  <si>
    <t>in_20260100002</t>
  </si>
  <si>
    <t>INV-2026-01-0002</t>
  </si>
  <si>
    <t>SUB050</t>
  </si>
  <si>
    <t>Analytics Starter</t>
  </si>
  <si>
    <t>in_20260100003</t>
  </si>
  <si>
    <t>INV-2026-01-0003</t>
  </si>
  <si>
    <t>CUST018</t>
  </si>
  <si>
    <t>Vancouver FinTech Labs</t>
  </si>
  <si>
    <t>SUB018</t>
  </si>
  <si>
    <t>Analytics Enterprise</t>
  </si>
  <si>
    <t>in_20260100004</t>
  </si>
  <si>
    <t>INV-2026-01-0004</t>
  </si>
  <si>
    <t>CUST029</t>
  </si>
  <si>
    <t>Halifax Healthcare Tech</t>
  </si>
  <si>
    <t>SUB029</t>
  </si>
  <si>
    <t>in_20260100005</t>
  </si>
  <si>
    <t>INV-2026-01-0005</t>
  </si>
  <si>
    <t>CUST003</t>
  </si>
  <si>
    <t>Maple Healthcare Systems</t>
  </si>
  <si>
    <t>SUB003</t>
  </si>
  <si>
    <t>in_20260100006</t>
  </si>
  <si>
    <t>INV-2026-01-0006</t>
  </si>
  <si>
    <t>CUST006</t>
  </si>
  <si>
    <t>Northern Retail Solutions</t>
  </si>
  <si>
    <t>SUB043</t>
  </si>
  <si>
    <t>in_20260100007</t>
  </si>
  <si>
    <t>INV-2026-01-0007</t>
  </si>
  <si>
    <t>CUST027</t>
  </si>
  <si>
    <t>Pacific Finance Corp</t>
  </si>
  <si>
    <t>SUB053</t>
  </si>
  <si>
    <t>in_20260100008</t>
  </si>
  <si>
    <t>INV-2026-01-0008</t>
  </si>
  <si>
    <t>CUST008</t>
  </si>
  <si>
    <t>Quantum Education Platform</t>
  </si>
  <si>
    <t>SUB059</t>
  </si>
  <si>
    <t>in_20260100009</t>
  </si>
  <si>
    <t>INV-2026-01-0009</t>
  </si>
  <si>
    <t>SUB027</t>
  </si>
  <si>
    <t>Sales Hub</t>
  </si>
  <si>
    <t>in_20260100010</t>
  </si>
  <si>
    <t>INV-2026-01-0010</t>
  </si>
  <si>
    <t>CUST014</t>
  </si>
  <si>
    <t>Toronto Media Group</t>
  </si>
  <si>
    <t>SUB014</t>
  </si>
  <si>
    <t>in_20260100011</t>
  </si>
  <si>
    <t>INV-2026-01-0011</t>
  </si>
  <si>
    <t>CUST010</t>
  </si>
  <si>
    <t>Montreal Finance Hub</t>
  </si>
  <si>
    <t>SUB045</t>
  </si>
  <si>
    <t>in_20260100012</t>
  </si>
  <si>
    <t>INV-2026-01-0012</t>
  </si>
  <si>
    <t>CUST024</t>
  </si>
  <si>
    <t>Western Retail Group</t>
  </si>
  <si>
    <t>SUB058</t>
  </si>
  <si>
    <t>in_20260100013</t>
  </si>
  <si>
    <t>INV-2026-01-0013</t>
  </si>
  <si>
    <t>CUST038</t>
  </si>
  <si>
    <t>Calgary Tech Partners</t>
  </si>
  <si>
    <t>SUB038</t>
  </si>
  <si>
    <t>in_20260100014</t>
  </si>
  <si>
    <t>INV-2026-01-0014</t>
  </si>
  <si>
    <t>CUST012</t>
  </si>
  <si>
    <t>Maritime E-commerce</t>
  </si>
  <si>
    <t>SUB012</t>
  </si>
  <si>
    <t>Analytics Growth</t>
  </si>
  <si>
    <t>in_20260100015</t>
  </si>
  <si>
    <t>INV-2026-01-0015</t>
  </si>
  <si>
    <t>SUB042</t>
  </si>
  <si>
    <t>in_20260100016</t>
  </si>
  <si>
    <t>INV-2026-01-0016</t>
  </si>
  <si>
    <t>SUB051</t>
  </si>
  <si>
    <t>in_20260100017</t>
  </si>
  <si>
    <t>INV-2026-01-0017</t>
  </si>
  <si>
    <t>CUST036</t>
  </si>
  <si>
    <t>Manitoba Finance Group</t>
  </si>
  <si>
    <t>SUB036</t>
  </si>
  <si>
    <t>in_20260100018</t>
  </si>
  <si>
    <t>INV-2026-01-0018</t>
  </si>
  <si>
    <t>CUST016</t>
  </si>
  <si>
    <t>Quebec Manufacturing</t>
  </si>
  <si>
    <t>SUB056</t>
  </si>
  <si>
    <t>in_20260100019</t>
  </si>
  <si>
    <t>INV-2026-01-0019</t>
  </si>
  <si>
    <t>SUB010</t>
  </si>
  <si>
    <t>in_20260100020</t>
  </si>
  <si>
    <t>INV-2026-01-0020</t>
  </si>
  <si>
    <t>CUST034</t>
  </si>
  <si>
    <t>Quebec Education Platform</t>
  </si>
  <si>
    <t>SUB034</t>
  </si>
  <si>
    <t>in_20260100021</t>
  </si>
  <si>
    <t>INV-2026-01-0021</t>
  </si>
  <si>
    <t>CUST001</t>
  </si>
  <si>
    <t>TechVision Solutions</t>
  </si>
  <si>
    <t>SUB041</t>
  </si>
  <si>
    <t>in_20260100022</t>
  </si>
  <si>
    <t>INV-2026-01-0022</t>
  </si>
  <si>
    <t>SUB052</t>
  </si>
  <si>
    <t>in_20260100023</t>
  </si>
  <si>
    <t>INV-2026-01-0023</t>
  </si>
  <si>
    <t>CUST023</t>
  </si>
  <si>
    <t>Island Media Productions</t>
  </si>
  <si>
    <t>SUB062</t>
  </si>
  <si>
    <t>in_20260100024</t>
  </si>
  <si>
    <t>INV-2026-01-0024</t>
  </si>
  <si>
    <t>CUST019</t>
  </si>
  <si>
    <t>Central Healthcare Partners</t>
  </si>
  <si>
    <t>SUB019</t>
  </si>
  <si>
    <t>in_20260100025</t>
  </si>
  <si>
    <t>INV-2026-01-0025</t>
  </si>
  <si>
    <t>CUST030</t>
  </si>
  <si>
    <t>Alberta E-commerce Hub</t>
  </si>
  <si>
    <t>SUB030</t>
  </si>
  <si>
    <t>in_20260100026</t>
  </si>
  <si>
    <t>INV-2026-01-0026</t>
  </si>
  <si>
    <t>CUST032</t>
  </si>
  <si>
    <t>BC Manufacturing Systems</t>
  </si>
  <si>
    <t>SUB032</t>
  </si>
  <si>
    <t>in_20260100027</t>
  </si>
  <si>
    <t>INV-2026-01-0027</t>
  </si>
  <si>
    <t>CUST022</t>
  </si>
  <si>
    <t>Toronto Tech Ventures</t>
  </si>
  <si>
    <t>SUB047</t>
  </si>
  <si>
    <t>in_20260100028</t>
  </si>
  <si>
    <t>INV-2026-01-0028</t>
  </si>
  <si>
    <t>CUST004</t>
  </si>
  <si>
    <t>Prairie Commerce Group</t>
  </si>
  <si>
    <t>SUB004</t>
  </si>
  <si>
    <t>in_20260100029</t>
  </si>
  <si>
    <t>INV-2026-01-0029</t>
  </si>
  <si>
    <t>CUST017</t>
  </si>
  <si>
    <t>Capital Education Tech</t>
  </si>
  <si>
    <t>SUB017</t>
  </si>
  <si>
    <t>in_20260100030</t>
  </si>
  <si>
    <t>INV-2026-01-0030</t>
  </si>
  <si>
    <t>CUST028</t>
  </si>
  <si>
    <t>Prairie SaaS Innovations</t>
  </si>
  <si>
    <t>SUB028</t>
  </si>
  <si>
    <t>failed</t>
  </si>
  <si>
    <t>Insufficient funds</t>
  </si>
  <si>
    <t>in_20260100031</t>
  </si>
  <si>
    <t>INV-2026-01-0031</t>
  </si>
  <si>
    <t>CUST009</t>
  </si>
  <si>
    <t>West Coast Logistics</t>
  </si>
  <si>
    <t>SUB044</t>
  </si>
  <si>
    <t>in_20260100032</t>
  </si>
  <si>
    <t>INV-2026-01-0032</t>
  </si>
  <si>
    <t>CUST013</t>
  </si>
  <si>
    <t>Alberta Tech Innovators</t>
  </si>
  <si>
    <t>SUB061</t>
  </si>
  <si>
    <t>in_20260100033</t>
  </si>
  <si>
    <t>INV-2026-01-0033</t>
  </si>
  <si>
    <t>CUST002</t>
  </si>
  <si>
    <t>Pacific Analytics Inc</t>
  </si>
  <si>
    <t>SUB002</t>
  </si>
  <si>
    <t>Platform Suite</t>
  </si>
  <si>
    <t>Annual</t>
  </si>
  <si>
    <t>in_20260100034</t>
  </si>
  <si>
    <t>INV-2026-01-0034</t>
  </si>
  <si>
    <t>CUST015</t>
  </si>
  <si>
    <t>BC Retail Networks</t>
  </si>
  <si>
    <t>SUB046</t>
  </si>
  <si>
    <t>in_20260100035</t>
  </si>
  <si>
    <t>INV-2026-01-0035</t>
  </si>
  <si>
    <t>CUST025</t>
  </si>
  <si>
    <t>Montreal Manufacturing Pro</t>
  </si>
  <si>
    <t>SUB048</t>
  </si>
  <si>
    <t>in_20260100036</t>
  </si>
  <si>
    <t>INV-2026-01-0036</t>
  </si>
  <si>
    <t>SUB054</t>
  </si>
  <si>
    <t>in_20260100037</t>
  </si>
  <si>
    <t>INV-2026-01-0037</t>
  </si>
  <si>
    <t>CUST026</t>
  </si>
  <si>
    <t>Ontario Education Connect</t>
  </si>
  <si>
    <t>SUB026</t>
  </si>
  <si>
    <t>in_20260100038</t>
  </si>
  <si>
    <t>INV-2026-01-0038</t>
  </si>
  <si>
    <t>CUST039</t>
  </si>
  <si>
    <t>Toronto Commerce Cloud</t>
  </si>
  <si>
    <t>SUB039</t>
  </si>
  <si>
    <t>in_20260100039</t>
  </si>
  <si>
    <t>INV-2026-01-0039</t>
  </si>
  <si>
    <t>SUB024</t>
  </si>
  <si>
    <t>in_20260100040</t>
  </si>
  <si>
    <t>INV-2026-01-0040</t>
  </si>
  <si>
    <t>CUST037</t>
  </si>
  <si>
    <t>Maritime SaaS Ventures</t>
  </si>
  <si>
    <t>SUB037</t>
  </si>
  <si>
    <t>in_20260100041</t>
  </si>
  <si>
    <t>INV-2026-01-0041</t>
  </si>
  <si>
    <t>CUST040</t>
  </si>
  <si>
    <t>BC Education Innovations</t>
  </si>
  <si>
    <t>SUB040</t>
  </si>
  <si>
    <t>in_20260100042</t>
  </si>
  <si>
    <t>INV-2026-01-0042</t>
  </si>
  <si>
    <t>CUST011</t>
  </si>
  <si>
    <t>Prairie Health Connect</t>
  </si>
  <si>
    <t>SUB011</t>
  </si>
  <si>
    <t>in_20260100043</t>
  </si>
  <si>
    <t>INV-2026-01-0043</t>
  </si>
  <si>
    <t>SUB022</t>
  </si>
  <si>
    <t>in_20260100044</t>
  </si>
  <si>
    <t>INV-2026-01-0044</t>
  </si>
  <si>
    <t>CUST035</t>
  </si>
  <si>
    <t>Vancouver Health Systems</t>
  </si>
  <si>
    <t>SUB035</t>
  </si>
  <si>
    <t>in_20260100045</t>
  </si>
  <si>
    <t>INV-2026-01-0045</t>
  </si>
  <si>
    <t>CUST021</t>
  </si>
  <si>
    <t>Calgary Commerce Solutions</t>
  </si>
  <si>
    <t>SUB057</t>
  </si>
  <si>
    <t>in_20260100046</t>
  </si>
  <si>
    <t>INV-2026-01-0046</t>
  </si>
  <si>
    <t>CUST020</t>
  </si>
  <si>
    <t>Atlantic SaaS Systems</t>
  </si>
  <si>
    <t>SUB020</t>
  </si>
  <si>
    <t>in_20260100047</t>
  </si>
  <si>
    <t>INV-2026-01-0047</t>
  </si>
  <si>
    <t>CUST033</t>
  </si>
  <si>
    <t>Ottawa Retail Solutions</t>
  </si>
  <si>
    <t>SUB033</t>
  </si>
  <si>
    <t>in_20260200001</t>
  </si>
  <si>
    <t>INV-2026-02-0001</t>
  </si>
  <si>
    <t>in_20260200002</t>
  </si>
  <si>
    <t>INV-2026-02-0002</t>
  </si>
  <si>
    <t>in_20260200003</t>
  </si>
  <si>
    <t>INV-2026-02-0003</t>
  </si>
  <si>
    <t>in_20260200004</t>
  </si>
  <si>
    <t>INV-2026-02-0004</t>
  </si>
  <si>
    <t>in_20260200005</t>
  </si>
  <si>
    <t>INV-2026-02-0005</t>
  </si>
  <si>
    <t>in_20260200006</t>
  </si>
  <si>
    <t>INV-2026-02-0006</t>
  </si>
  <si>
    <t>in_20260200007</t>
  </si>
  <si>
    <t>INV-2026-02-0007</t>
  </si>
  <si>
    <t>in_20260200008</t>
  </si>
  <si>
    <t>INV-2026-02-0008</t>
  </si>
  <si>
    <t>in_20260200009</t>
  </si>
  <si>
    <t>INV-2026-02-0009</t>
  </si>
  <si>
    <t>in_20260200010</t>
  </si>
  <si>
    <t>INV-2026-02-0010</t>
  </si>
  <si>
    <t>in_20260200011</t>
  </si>
  <si>
    <t>INV-2026-02-0011</t>
  </si>
  <si>
    <t>in_20260200012</t>
  </si>
  <si>
    <t>INV-2026-02-0012</t>
  </si>
  <si>
    <t>in_20260200013</t>
  </si>
  <si>
    <t>INV-2026-02-0013</t>
  </si>
  <si>
    <t>in_20260200014</t>
  </si>
  <si>
    <t>INV-2026-02-0014</t>
  </si>
  <si>
    <t>in_20260200015</t>
  </si>
  <si>
    <t>INV-2026-02-0015</t>
  </si>
  <si>
    <t>in_20260200016</t>
  </si>
  <si>
    <t>INV-2026-02-0016</t>
  </si>
  <si>
    <t>in_20260200017</t>
  </si>
  <si>
    <t>INV-2026-02-0017</t>
  </si>
  <si>
    <t>CUST041</t>
  </si>
  <si>
    <t>Dynamic Retail Solutions</t>
  </si>
  <si>
    <t>SUB063</t>
  </si>
  <si>
    <t>in_20260200018</t>
  </si>
  <si>
    <t>INV-2026-02-0018</t>
  </si>
  <si>
    <t>in_20260200019</t>
  </si>
  <si>
    <t>INV-2026-02-0019</t>
  </si>
  <si>
    <t>in_20260200020</t>
  </si>
  <si>
    <t>INV-2026-02-0020</t>
  </si>
  <si>
    <t>in_20260200021</t>
  </si>
  <si>
    <t>INV-2026-02-0021</t>
  </si>
  <si>
    <t>in_20260200022</t>
  </si>
  <si>
    <t>INV-2026-02-0022</t>
  </si>
  <si>
    <t>in_20260200023</t>
  </si>
  <si>
    <t>INV-2026-02-0023</t>
  </si>
  <si>
    <t>in_20260200024</t>
  </si>
  <si>
    <t>INV-2026-02-0024</t>
  </si>
  <si>
    <t>in_20260200025</t>
  </si>
  <si>
    <t>INV-2026-02-0025</t>
  </si>
  <si>
    <t>in_20260200026</t>
  </si>
  <si>
    <t>INV-2026-02-0026</t>
  </si>
  <si>
    <t>in_20260200027</t>
  </si>
  <si>
    <t>INV-2026-02-0027</t>
  </si>
  <si>
    <t>in_20260200028</t>
  </si>
  <si>
    <t>INV-2026-02-0028</t>
  </si>
  <si>
    <t>in_20260200029</t>
  </si>
  <si>
    <t>INV-2026-02-0029</t>
  </si>
  <si>
    <t>in_20260200030</t>
  </si>
  <si>
    <t>INV-2026-02-0030</t>
  </si>
  <si>
    <t>in_20260200031</t>
  </si>
  <si>
    <t>INV-2026-02-0031</t>
  </si>
  <si>
    <t>in_20260200032</t>
  </si>
  <si>
    <t>INV-2026-02-0032</t>
  </si>
  <si>
    <t>in_20260200033</t>
  </si>
  <si>
    <t>INV-2026-02-0033</t>
  </si>
  <si>
    <t>in_20260200034</t>
  </si>
  <si>
    <t>INV-2026-02-0034</t>
  </si>
  <si>
    <t>CUST042</t>
  </si>
  <si>
    <t>Pacific Coast Analytics</t>
  </si>
  <si>
    <t>SUB064</t>
  </si>
  <si>
    <t>in_20260299001</t>
  </si>
  <si>
    <t>CN-2026-02-0001</t>
  </si>
  <si>
    <t>refunded</t>
  </si>
  <si>
    <t>Prorated refund â€” subscription cancelled 2026-02-20</t>
  </si>
  <si>
    <t>in_20260200035</t>
  </si>
  <si>
    <t>INV-2026-02-0035</t>
  </si>
  <si>
    <t>in_20260200036</t>
  </si>
  <si>
    <t>INV-2026-02-0036</t>
  </si>
  <si>
    <t>in_20260200037</t>
  </si>
  <si>
    <t>INV-2026-02-0037</t>
  </si>
  <si>
    <t>in_20260200038</t>
  </si>
  <si>
    <t>INV-2026-02-0038</t>
  </si>
  <si>
    <t>in_20260200039</t>
  </si>
  <si>
    <t>INV-2026-02-0039</t>
  </si>
  <si>
    <t>in_20260200040</t>
  </si>
  <si>
    <t>INV-2026-02-0040</t>
  </si>
  <si>
    <t>in_20260200041</t>
  </si>
  <si>
    <t>INV-2026-02-0041</t>
  </si>
  <si>
    <t>in_20260200042</t>
  </si>
  <si>
    <t>INV-2026-02-0042</t>
  </si>
  <si>
    <t>in_20260200043</t>
  </si>
  <si>
    <t>INV-2026-02-0043</t>
  </si>
  <si>
    <t>in_20260200044</t>
  </si>
  <si>
    <t>INV-2026-02-0044</t>
  </si>
  <si>
    <t>in_20260200045</t>
  </si>
  <si>
    <t>INV-2026-02-0045</t>
  </si>
  <si>
    <t>in_20260200046</t>
  </si>
  <si>
    <t>INV-2026-02-0046</t>
  </si>
  <si>
    <t>in_20260200047</t>
  </si>
  <si>
    <t>INV-2026-02-0047</t>
  </si>
  <si>
    <t>Account: iDynamics SaaS Inc - Operating</t>
  </si>
  <si>
    <t>Period: January 2026</t>
  </si>
  <si>
    <t>Opening Balance:</t>
  </si>
  <si>
    <t>transaction_date</t>
  </si>
  <si>
    <t>post_date</t>
  </si>
  <si>
    <t>description</t>
  </si>
  <si>
    <t>type</t>
  </si>
  <si>
    <t>amount</t>
  </si>
  <si>
    <t>reference_number</t>
  </si>
  <si>
    <t>running_balance</t>
  </si>
  <si>
    <t>ACH CREDIT â€” ONTARIO MANUFACTURING TECH â€” REF:SUB007</t>
  </si>
  <si>
    <t>Credit</t>
  </si>
  <si>
    <t>TXN-2026-02-0001</t>
  </si>
  <si>
    <t>ACH CREDIT â€” ONTARIO MANUFACTURING TECH â€” REF:SUB050</t>
  </si>
  <si>
    <t>TXN-2026-02-0002</t>
  </si>
  <si>
    <t>ACH CREDIT â€” VANCOUVER FINTECH LABS â€” REF:SUB018</t>
  </si>
  <si>
    <t>TXN-2026-02-0003</t>
  </si>
  <si>
    <t>ACH CREDIT â€” HALIFAX HEALTHCARE TECH â€” REF:SUB029</t>
  </si>
  <si>
    <t>TXN-2026-02-0004</t>
  </si>
  <si>
    <t>ACH CREDIT â€” MAPLE HEALTHCARE SYSTEMS â€” REF:SUB003</t>
  </si>
  <si>
    <t>TXN-2026-02-0005</t>
  </si>
  <si>
    <t>ACH CREDIT â€” NORTHERN RETAIL SOLUTIONS â€” REF:SUB043</t>
  </si>
  <si>
    <t>TXN-2026-02-0006</t>
  </si>
  <si>
    <t>ACH CREDIT â€” PACIFIC FINANCE CORP â€” REF:SUB053</t>
  </si>
  <si>
    <t>TXN-2026-02-0007</t>
  </si>
  <si>
    <t>ACH CREDIT â€” QUANTUM EDUCATION PLATFORM â€” REF:SUB059</t>
  </si>
  <si>
    <t>TXN-2026-02-0008</t>
  </si>
  <si>
    <t>ACH CREDIT â€” PACIFIC FINANCE CORP â€” REF:SUB027</t>
  </si>
  <si>
    <t>TXN-2026-02-0009</t>
  </si>
  <si>
    <t>ACH CREDIT â€” TORONTO MEDIA GROUP â€” REF:SUB014</t>
  </si>
  <si>
    <t>TXN-2026-02-0010</t>
  </si>
  <si>
    <t>ACH CREDIT â€” MONTREAL FINANCE HUB â€” REF:SUB045</t>
  </si>
  <si>
    <t>TXN-2026-02-0011</t>
  </si>
  <si>
    <t>ACH CREDIT â€” WESTERN RETAIL GROUP â€” REF:SUB058</t>
  </si>
  <si>
    <t>TXN-2026-02-0012</t>
  </si>
  <si>
    <t>ACH CREDIT â€” CALGARY TECH PARTNERS â€” REF:SUB038</t>
  </si>
  <si>
    <t>TXN-2026-02-0013</t>
  </si>
  <si>
    <t>ACH CREDIT â€” MARITIME E-COMMERCE â€” REF:SUB012</t>
  </si>
  <si>
    <t>TXN-2026-02-0014</t>
  </si>
  <si>
    <t>ACH CREDIT â€” MAPLE HEALTHCARE SYSTEMS â€” REF:SUB042</t>
  </si>
  <si>
    <t>TXN-2026-02-0015</t>
  </si>
  <si>
    <t>ACH CREDIT â€” TORONTO MEDIA GROUP â€” REF:SUB051</t>
  </si>
  <si>
    <t>TXN-2026-02-0016</t>
  </si>
  <si>
    <t>ACH CREDIT â€” MANITOBA FINANCE GROUP â€” REF:SUB036</t>
  </si>
  <si>
    <t>TXN-2026-02-0017</t>
  </si>
  <si>
    <t>ACH CREDIT â€” QUEBEC MANUFACTURING â€” REF:SUB056</t>
  </si>
  <si>
    <t>TXN-2026-02-0018</t>
  </si>
  <si>
    <t>ACH CREDIT â€” MONTREAL FINANCE HUB â€” REF:SUB010</t>
  </si>
  <si>
    <t>TXN-2026-02-0019</t>
  </si>
  <si>
    <t>ACH CREDIT â€” QUEBEC EDUCATION PLATFORM â€” REF:SUB034</t>
  </si>
  <si>
    <t>TXN-2026-02-0020</t>
  </si>
  <si>
    <t>ACH CREDIT â€” TECHVISION SOLUTIONS â€” REF:SUB041</t>
  </si>
  <si>
    <t>TXN-2026-02-0021</t>
  </si>
  <si>
    <t>ACH CREDIT â€” VANCOUVER FINTECH LABS â€” REF:SUB052</t>
  </si>
  <si>
    <t>TXN-2026-02-0022</t>
  </si>
  <si>
    <t>ACH CREDIT â€” ISLAND MEDIA PRODUCTIONS â€” REF:SUB062</t>
  </si>
  <si>
    <t>TXN-2026-02-0023</t>
  </si>
  <si>
    <t>ACH CREDIT â€” CENTRAL HEALTHCARE PARTNERS â€” REF:SUB019</t>
  </si>
  <si>
    <t>TXN-2026-02-0024</t>
  </si>
  <si>
    <t>ACH CREDIT â€” ALBERTA E-COMMERCE HUB â€” REF:SUB030</t>
  </si>
  <si>
    <t>TXN-2026-02-0025</t>
  </si>
  <si>
    <t>ACH CREDIT â€” BC MANUFACTURING SYSTEMS â€” REF:SUB032</t>
  </si>
  <si>
    <t>TXN-2026-02-0026</t>
  </si>
  <si>
    <t>ACH CREDIT â€” TORONTO TECH VENTURES â€” REF:SUB047</t>
  </si>
  <si>
    <t>TXN-2026-02-0027</t>
  </si>
  <si>
    <t>ACH CREDIT â€” PRAIRIE COMMERCE GROUP â€” REF:SUB004</t>
  </si>
  <si>
    <t>TXN-2026-02-0028</t>
  </si>
  <si>
    <t>ACH CREDIT â€” CAPITAL EDUCATION TECH â€” REF:SUB017</t>
  </si>
  <si>
    <t>TXN-2026-02-0029</t>
  </si>
  <si>
    <t>ACH CREDIT â€” WEST COAST LOGISTICS â€” REF:SUB044</t>
  </si>
  <si>
    <t>TXN-2026-02-0030</t>
  </si>
  <si>
    <t>ACH CREDIT â€” ALBERTA TECH INNOVATORS â€” REF:SUB061</t>
  </si>
  <si>
    <t>TXN-2026-02-0031</t>
  </si>
  <si>
    <t>ACH CREDIT â€” PACIFIC ANALYTICS INC â€” ANNUAL RENEWAL REF:SUB002</t>
  </si>
  <si>
    <t>TXN-2026-02-0032</t>
  </si>
  <si>
    <t>ACH CREDIT â€” BC RETAIL NETWORKS â€” REF:SUB046</t>
  </si>
  <si>
    <t>TXN-2026-02-0033</t>
  </si>
  <si>
    <t>ACH CREDIT â€” MONTREAL MANUFACTURING PRO â€” REF:SUB048</t>
  </si>
  <si>
    <t>TXN-2026-02-0034</t>
  </si>
  <si>
    <t>ACH CREDIT â€” PACIFIC ANALYTICS INC â€” ANNUAL RENEWAL REF:SUB054</t>
  </si>
  <si>
    <t>TXN-2026-02-0035</t>
  </si>
  <si>
    <t>ACH CREDIT â€” ONTARIO EDUCATION CONNECT â€” REF:SUB026</t>
  </si>
  <si>
    <t>TXN-2026-02-0036</t>
  </si>
  <si>
    <t>ACH CREDIT â€” TORONTO COMMERCE CLOUD â€” REF:SUB039</t>
  </si>
  <si>
    <t>TXN-2026-02-0037</t>
  </si>
  <si>
    <t>ACH CREDIT â€” WESTERN RETAIL GROUP â€” REF:SUB024</t>
  </si>
  <si>
    <t>TXN-2026-02-0038</t>
  </si>
  <si>
    <t>ACH CREDIT â€” MARITIME SAAS VENTURES â€” REF:SUB037</t>
  </si>
  <si>
    <t>TXN-2026-02-0039</t>
  </si>
  <si>
    <t>ACH CREDIT â€” BC EDUCATION INNOVATIONS â€” REF:SUB040</t>
  </si>
  <si>
    <t>TXN-2026-02-0040</t>
  </si>
  <si>
    <t>ACH CREDIT â€” PRAIRIE HEALTH CONNECT â€” REF:SUB011</t>
  </si>
  <si>
    <t>TXN-2026-02-0041</t>
  </si>
  <si>
    <t>ACH CREDIT â€” TORONTO TECH VENTURES â€” REF:SUB022</t>
  </si>
  <si>
    <t>TXN-2026-02-0042</t>
  </si>
  <si>
    <t>ACH CREDIT â€” VANCOUVER HEALTH SYSTEMS â€” REF:SUB035</t>
  </si>
  <si>
    <t>TXN-2026-02-0043</t>
  </si>
  <si>
    <t>ACH CREDIT â€” CALGARY COMMERCE SOLUTIONS â€” REF:SUB057</t>
  </si>
  <si>
    <t>TXN-2026-02-0044</t>
  </si>
  <si>
    <t>ACH CREDIT â€” ATLANTIC SAAS SYSTEMS â€” REF:SUB020</t>
  </si>
  <si>
    <t>TXN-2026-02-0045</t>
  </si>
  <si>
    <t>ACH CREDIT â€” OTTAWA RETAIL SOLUTIONS â€” REF:SUB033</t>
  </si>
  <si>
    <t>TXN-2026-02-0046</t>
  </si>
  <si>
    <t>Period: February 2026</t>
  </si>
  <si>
    <t xml:space="preserve">Opening Balance: </t>
  </si>
  <si>
    <t>ACH CREDIT â€” PRAIRIE SAAS INNOVATIONS â€” RETRY REF:SUB028 INV:INV-2026-01-0030</t>
  </si>
  <si>
    <t>ACH CREDIT â€” DYNAMIC RETAIL SOLUTIONS â€” REF:SUB063</t>
  </si>
  <si>
    <t>ACH CREDIT â€” PRAIRIE SAAS INNOVATIONS â€” REF:SUB028</t>
  </si>
  <si>
    <t>ACH CREDIT â€” PACIFIC COAST ANALYTICS â€” REF:SUB064</t>
  </si>
  <si>
    <t>ACH DEBIT â€” REFUND TO ONTARIO MANUFACTURING TECH â€” REF:SUB050 CN-2026-02-0001</t>
  </si>
  <si>
    <t>Debit</t>
  </si>
  <si>
    <t>TXN-2026-02-0047</t>
  </si>
  <si>
    <t>TXN-2026-02-0048</t>
  </si>
  <si>
    <t>TXN-2026-02-0049</t>
  </si>
  <si>
    <t>Metric</t>
  </si>
  <si>
    <t>Opening MRR</t>
  </si>
  <si>
    <t>New MRR</t>
  </si>
  <si>
    <t>Expansion MRR</t>
  </si>
  <si>
    <t>Churned MRR</t>
  </si>
  <si>
    <t>Closing MRR</t>
  </si>
  <si>
    <t>S&amp;M</t>
  </si>
  <si>
    <t>R&amp;D</t>
  </si>
  <si>
    <t>G&amp;A</t>
  </si>
  <si>
    <t>Total OpEx</t>
  </si>
  <si>
    <t>COGS</t>
  </si>
  <si>
    <t>Gross Profit</t>
  </si>
  <si>
    <t>EBITDA</t>
  </si>
  <si>
    <t>New Customers</t>
  </si>
  <si>
    <t>Active Customers</t>
  </si>
  <si>
    <t>Active Subscriptions</t>
  </si>
  <si>
    <t>Legend:</t>
  </si>
  <si>
    <t>INPUT = type here</t>
  </si>
  <si>
    <t>FORMULA = never type here</t>
  </si>
  <si>
    <t>ANCHOR =  one-time historical</t>
  </si>
  <si>
    <t>Jan-26</t>
  </si>
  <si>
    <t>Feb-26</t>
  </si>
  <si>
    <t>MRR</t>
  </si>
  <si>
    <t>Total Invoiced</t>
  </si>
  <si>
    <t>Adjustment: SUB028</t>
  </si>
  <si>
    <t>Total Collected</t>
  </si>
  <si>
    <t>MRR vs Invoiced</t>
  </si>
  <si>
    <t>Invoiced vs Collected</t>
  </si>
  <si>
    <t>Bridge 1: MRR to Invoiced</t>
  </si>
  <si>
    <t>Item</t>
  </si>
  <si>
    <t>_+ Annual billing excess</t>
  </si>
  <si>
    <t>_- Annual MRR with no billing this month</t>
  </si>
  <si>
    <t>Adjustment: SUB050</t>
  </si>
  <si>
    <t>_= Total Invoiced</t>
  </si>
  <si>
    <t>Difference</t>
  </si>
  <si>
    <t>Total</t>
  </si>
  <si>
    <t>Bridge 2: Invoiced to Collected</t>
  </si>
  <si>
    <t xml:space="preserve"> </t>
  </si>
  <si>
    <t>Part 5:</t>
  </si>
  <si>
    <t>The billing file for January shows $2185 for SUB012.</t>
  </si>
  <si>
    <t>The database for January shows $2185 for SUB012.</t>
  </si>
  <si>
    <t xml:space="preserve">The billing file represents a point in time record while the database represents a historical period. </t>
  </si>
  <si>
    <t xml:space="preserve">They share the same number therefore $2185 is the correct number. </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</si>
  <si>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</si>
  <si>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</si>
  <si>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</si>
  <si>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</si>
  <si>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</si>
  <si>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</si>
  <si>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</si>
  <si>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The difference between MRR and cash collected is driven by payment timing. Specifically, the prepayments from Pacific Analytics for SUB002 ($46,800) and SUB054 ($23,826) inflated the total invoiced amount above MRR.</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</si>
  <si>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</si>
  <si>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high due to the previously mentioned annual subscriptions.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</si>
  <si>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</si>
  <si>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</si>
  <si>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</si>
  <si>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</si>
  <si>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</si>
  <si>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</si>
  <si>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Q1 2024</t>
  </si>
  <si>
    <t>Q2 2024</t>
  </si>
  <si>
    <t>Q3 2024</t>
  </si>
  <si>
    <t>Q4 2024</t>
  </si>
  <si>
    <t>Q1 2025</t>
  </si>
  <si>
    <t>Q2 2025</t>
  </si>
  <si>
    <t>Q3 2025</t>
  </si>
  <si>
    <t>Q4 2025</t>
  </si>
  <si>
    <t>Source</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</si>
  <si>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</si>
  <si>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</si>
  <si>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</si>
  <si>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</si>
  <si>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</si>
  <si>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</si>
  <si>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</si>
  <si>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</si>
  <si>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</si>
  <si>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</si>
  <si>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</si>
  <si>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</si>
  <si>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</si>
  <si>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</si>
  <si>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</si>
  <si>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</si>
  <si>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</si>
  <si>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</si>
  <si>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</si>
  <si>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</si>
  <si>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</si>
  <si>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</si>
  <si>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</si>
  <si>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</si>
  <si>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</si>
  <si>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</si>
  <si>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Revenue − COGS</t>
  </si>
  <si>
    <t>Gross Margin %</t>
  </si>
  <si>
    <t>GP / Revenue</t>
  </si>
  <si>
    <t>Accounting data, Unit Economics tab</t>
  </si>
  <si>
    <t>Company cost structure</t>
  </si>
  <si>
    <t>S&amp;M + R&amp;D + G&amp;A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</si>
  <si>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</si>
  <si>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</si>
  <si>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</si>
  <si>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</si>
  <si>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</si>
  <si>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</si>
  <si>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</si>
  <si>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</si>
  <si>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</si>
  <si>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N/A</t>
  </si>
  <si>
    <t>New MRR / New customers</t>
  </si>
  <si>
    <t>CAC (quarterly S&amp;M / new custs)</t>
  </si>
  <si>
    <t>Only meaningful if new custs &gt; 0</t>
  </si>
  <si>
    <t>RECONCILIATION NOTES</t>
  </si>
  <si>
    <t>Dec 2025 closing MRR (this table):</t>
  </si>
  <si>
    <t>Feb 2026 snapshot MRR:</t>
  </si>
  <si>
    <t>Difference:</t>
  </si>
  <si>
    <t>Explanation:</t>
  </si>
  <si>
    <t>Waterfall closing ($150,918.50) exceeds Snapshot ($144,185.50) by $6,733. This gap exists because Snapshot only reflects currently active subscriptions while Waterfall has all movements including churned subs after Dec 2025.</t>
  </si>
  <si>
    <t>Which number are you using as the 2026 opening MRR, and why?</t>
  </si>
  <si>
    <t>Using $150,918.50 (Waterfall tab, Dec 2025 closing MRR, cell H26). This is the complete figure tied to month-by-month movement data.</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</si>
  <si>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</si>
  <si>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</si>
  <si>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</si>
  <si>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</si>
  <si>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</si>
  <si>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</si>
  <si>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</si>
  <si>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</si>
  <si>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</si>
  <si>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</si>
  <si>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</si>
  <si>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</si>
  <si>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</si>
  <si>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</si>
  <si>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</si>
  <si>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</si>
  <si>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</si>
  <si>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</si>
  <si>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</si>
  <si>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</si>
  <si>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</si>
  <si>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</si>
  <si>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</si>
  <si>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</si>
  <si>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</si>
  <si>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</si>
  <si>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</si>
  <si>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</si>
  <si>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</si>
  <si>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MRR Waterfall</t>
  </si>
  <si>
    <t>Actual - Jan 26</t>
  </si>
  <si>
    <t>Forecast - Jan 26</t>
  </si>
  <si>
    <t>$ Variance</t>
  </si>
  <si>
    <t>% Variance</t>
  </si>
  <si>
    <t>F/U</t>
  </si>
  <si>
    <t xml:space="preserve"> - Contraction MRR</t>
  </si>
  <si>
    <t>Closing ARR</t>
  </si>
  <si>
    <t>P&amp;L</t>
  </si>
  <si>
    <t>→ Revenue × (1 − gross margin)</t>
  </si>
  <si>
    <t>→ Revenue − COGS</t>
  </si>
  <si>
    <t>→ GP / Revenue</t>
  </si>
  <si>
    <t>← From Assumptions tab</t>
  </si>
  <si>
    <t>→ Gross Profit − Total OpEx</t>
  </si>
  <si>
    <t>→ EBITDA / Revenue</t>
  </si>
  <si>
    <t>Summary:</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</si>
  <si>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</si>
  <si>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</si>
  <si>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</si>
  <si>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The customers revenue was $1,710 which is 43% less than the planned rate of $3000 per customer.</t>
  </si>
  <si>
    <t>There was no expansion recorded this month versus the expected $715.35.</t>
  </si>
  <si>
    <t>Offsetting this was the lack of churned MRR this month which resulted in a favorable variance of $954.</t>
  </si>
  <si>
    <t>EBITDA of $27,345.65 was 5% lower than the expected $28,781.74. This was driven by the shortfall in Gross Profit due to the Closing MRR being less than anticipated.</t>
  </si>
  <si>
    <t>Operating Expenses were in line with expectation.</t>
  </si>
  <si>
    <t>Currently, Q1 is approximately $6000 less than planned, which could be fixed with a strong performance in February.</t>
  </si>
  <si>
    <t>January 2026 — SaaS KPIs</t>
  </si>
  <si>
    <t>Value</t>
  </si>
  <si>
    <t>Notes</t>
  </si>
  <si>
    <t>From your Jan 31 SQL snapshot</t>
  </si>
  <si>
    <t>ARPA</t>
  </si>
  <si>
    <t>Excel 04</t>
  </si>
  <si>
    <t>Gross Margin</t>
  </si>
  <si>
    <t>Already in your P&amp;L</t>
  </si>
  <si>
    <t>GRR</t>
  </si>
  <si>
    <t>Excel 03</t>
  </si>
  <si>
    <t>NRR</t>
  </si>
  <si>
    <t>Quick Ratio</t>
  </si>
  <si>
    <t>N/A — no losses</t>
  </si>
  <si>
    <t xml:space="preserve">Excel 02 </t>
  </si>
  <si>
    <t>S&amp;M (actual)</t>
  </si>
  <si>
    <t>From Lisa's monthly close message</t>
  </si>
  <si>
    <t>CAC — this month</t>
  </si>
  <si>
    <t>Excel 04 — S&amp;M ÷ new customers acquired this month (= 1 new logo Jan)</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</si>
  <si>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</si>
  <si>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</si>
  <si>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</si>
  <si>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</si>
  <si>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</si>
  <si>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</si>
  <si>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</si>
  <si>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</si>
  <si>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</si>
  <si>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Self-Check — KPIs</t>
  </si>
  <si>
    <t>Your value</t>
  </si>
  <si>
    <t>CAC (monthly)</t>
  </si>
  <si>
    <t>Actual - Feb 26</t>
  </si>
  <si>
    <t>Forecast - Feb 26</t>
  </si>
  <si>
    <t>February 2026 — SaaS KPIs</t>
  </si>
  <si>
    <t>vs Jan 2026</t>
  </si>
  <si>
    <t>From your Feb 28 SQL snapshot</t>
  </si>
  <si>
    <t>Excel 02</t>
  </si>
  <si>
    <t>Excel 04 — S&amp;M ÷ new customers acquired this month</t>
  </si>
  <si>
    <t xml:space="preserve">  New customers acquired</t>
  </si>
  <si>
    <t>Enter count of new logos signed in Feb</t>
  </si>
  <si>
    <t>CAC — Q1 to date</t>
  </si>
  <si>
    <t>Cumulative S&amp;M ÷ cumulative new customers in Q1 so far</t>
  </si>
  <si>
    <t>Monthly CAC is noisy with small customer counts. Q1 CAC will be the definitive figure after March closes using total Q1 S&amp;M ÷ total Q1 new customers.</t>
  </si>
  <si>
    <t>Formula check</t>
  </si>
  <si>
    <t>February finished with a Closing MRR of $150,306. This is $1,764 above what we expected to have currently and has driven EBITDA to $30,214 which is $235 more than our current forecast and provides a margin of 20.1%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</si>
  <si>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</si>
  <si>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</si>
  <si>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</si>
  <si>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MONTHLY CONFIG</t>
  </si>
  <si>
    <t>Forecast - Mar 26</t>
  </si>
  <si>
    <t>Current month:</t>
  </si>
  <si>
    <t>← change this when creating a new month</t>
  </si>
  <si>
    <t>Prior month tab:</t>
  </si>
  <si>
    <t>Feb 2026 A vs F</t>
  </si>
  <si>
    <t>Month-end date:</t>
  </si>
  <si>
    <t>← formula: last day of current month</t>
  </si>
  <si>
    <t>March 2026 — SaaS KPIs</t>
  </si>
  <si>
    <t>From your Mar 31SQL snapshot</t>
  </si>
  <si>
    <t>From your Mar 31 SQL snapshot</t>
  </si>
  <si>
    <t xml:space="preserve">  </t>
  </si>
  <si>
    <t>Enter count of new logos signed in Mar</t>
  </si>
  <si>
    <t>INDEX(Retention!$B$6:$AZ$6,MATCH($I$2,Retention!$B$4:$AZ$4,0))</t>
  </si>
  <si>
    <t>March closed at $153,686 MRR, bringing Q1 total net new MRR to $10,616, which is a 7.4% gain on the opening value of $143,070.</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</si>
  <si>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</si>
  <si>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</si>
  <si>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</si>
  <si>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Q1 2026 Roll-Up</t>
  </si>
  <si>
    <t>Q1 MRR Summary</t>
  </si>
  <si>
    <t>Movement</t>
  </si>
  <si>
    <t>Q1 Total</t>
  </si>
  <si>
    <t>Q1 Total New MRR</t>
  </si>
  <si>
    <t>Q1 Total Expansion MRR</t>
  </si>
  <si>
    <t>Q1 Total Churned MRR</t>
  </si>
  <si>
    <t>Q1 Net New MRR</t>
  </si>
  <si>
    <t>Q1 Closing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</si>
  <si>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</si>
  <si>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</si>
  <si>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</si>
  <si>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</si>
  <si>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</si>
  <si>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</si>
  <si>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</si>
  <si>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</si>
  <si>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</si>
  <si>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</si>
  <si>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</si>
  <si>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</si>
  <si>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</si>
  <si>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</si>
  <si>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</si>
  <si>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Q1 Commentary:</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</si>
  <si>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</si>
  <si>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</si>
  <si>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</si>
  <si>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</si>
  <si>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</si>
  <si>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</si>
  <si>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</si>
  <si>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</si>
  <si>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</si>
  <si>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</si>
  <si>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</si>
  <si>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</si>
  <si>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</si>
  <si>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</si>
  <si>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</si>
  <si>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 Closing MRR × 12</t>
  </si>
  <si>
    <t>← Opening = Q1</t>
  </si>
  <si>
    <t>← Sums for flows</t>
  </si>
  <si>
    <t>← Q4 closing for balances</t>
  </si>
  <si>
    <t>PROFIT &amp; LOSS</t>
  </si>
  <si>
    <t>→ Closing MRR × 3</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</si>
  <si>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</si>
  <si>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</si>
  <si>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</si>
  <si>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</si>
  <si>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</si>
  <si>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</si>
  <si>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</si>
  <si>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</si>
  <si>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</si>
  <si>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</si>
  <si>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</si>
  <si>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</si>
  <si>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</si>
  <si>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</si>
  <si>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</si>
  <si>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</si>
  <si>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Assumes opening MRR = $143,069.50. Our opening is $150,918.50 (Waterfall tab, Dec 2025 closing).  Same model logic, different starting MRR.</t>
  </si>
  <si>
    <t>Check</t>
  </si>
  <si>
    <t>Expected</t>
  </si>
  <si>
    <t>Your Value</t>
  </si>
  <si>
    <t>Match?</t>
  </si>
  <si>
    <t>Q2 Closing MRR</t>
  </si>
  <si>
    <t>Q3 Closing MRR</t>
  </si>
  <si>
    <t>Q4 Closing MRR</t>
  </si>
  <si>
    <t>FY EBITDA</t>
  </si>
  <si>
    <t>EBITDA Margin</t>
  </si>
  <si>
    <t>Total New Customers</t>
  </si>
  <si>
    <t>CMGR (monthly)</t>
  </si>
  <si>
    <t>KPI Tracker</t>
  </si>
  <si>
    <t>Jan 2026</t>
  </si>
  <si>
    <t>Feb 2026</t>
  </si>
  <si>
    <t>Mar 2026</t>
  </si>
  <si>
    <t>CAC — monthly</t>
  </si>
  <si>
    <t>CAC — trailing Q</t>
  </si>
  <si>
    <t>LTV, LTV:CAC, and CAC Payback appear in the Q1 column only. Monthly figures are too sensitive to single-month churn swings to be meaningful.</t>
  </si>
  <si>
    <t>Month</t>
  </si>
  <si>
    <t>Actual</t>
  </si>
  <si>
    <t>Forecast</t>
  </si>
  <si>
    <t>Variance</t>
  </si>
  <si>
    <t>Contraction MRR</t>
  </si>
  <si>
    <t>event_id</t>
  </si>
  <si>
    <t>company_name</t>
  </si>
  <si>
    <t>region</t>
  </si>
  <si>
    <t>month</t>
  </si>
  <si>
    <t>event_date</t>
  </si>
  <si>
    <t>event_type</t>
  </si>
  <si>
    <t>old_value</t>
  </si>
  <si>
    <t>new_value</t>
  </si>
  <si>
    <t>field_changed</t>
  </si>
  <si>
    <t>reason</t>
  </si>
  <si>
    <t>price_per_seat</t>
  </si>
  <si>
    <t>discount_percent</t>
  </si>
  <si>
    <t>movement</t>
  </si>
  <si>
    <t>mrr_delta</t>
  </si>
  <si>
    <t>is_new_logo</t>
  </si>
  <si>
    <t>is_logo_churn</t>
  </si>
  <si>
    <t>is_logo_reactivation</t>
  </si>
  <si>
    <t>EVT001</t>
  </si>
  <si>
    <t>SUB001</t>
  </si>
  <si>
    <t>Eastern Canada</t>
  </si>
  <si>
    <t>created</t>
  </si>
  <si>
    <t>EVT002</t>
  </si>
  <si>
    <t>Western Canada</t>
  </si>
  <si>
    <t>EVT003</t>
  </si>
  <si>
    <t>EVT004</t>
  </si>
  <si>
    <t>EVT005</t>
  </si>
  <si>
    <t>SUB055</t>
  </si>
  <si>
    <t>EVT006</t>
  </si>
  <si>
    <t>SUB005</t>
  </si>
  <si>
    <t>CUST005</t>
  </si>
  <si>
    <t>Atlantic Media Corp</t>
  </si>
  <si>
    <t>EVT007</t>
  </si>
  <si>
    <t>SUB006</t>
  </si>
  <si>
    <t>EVT008</t>
  </si>
  <si>
    <t>EVT009</t>
  </si>
  <si>
    <t>EVT010</t>
  </si>
  <si>
    <t>SUB008</t>
  </si>
  <si>
    <t>EVT011</t>
  </si>
  <si>
    <t>SUB009</t>
  </si>
  <si>
    <t>EVT012</t>
  </si>
  <si>
    <t>EVT013</t>
  </si>
  <si>
    <t>Central Canada</t>
  </si>
  <si>
    <t>EVT014</t>
  </si>
  <si>
    <t>EVT015</t>
  </si>
  <si>
    <t>SUB049</t>
  </si>
  <si>
    <t>EVT016</t>
  </si>
  <si>
    <t>SUB013</t>
  </si>
  <si>
    <t>EVT017</t>
  </si>
  <si>
    <t>EVT018</t>
  </si>
  <si>
    <t>EVT019</t>
  </si>
  <si>
    <t>SUB015</t>
  </si>
  <si>
    <t>EVT020</t>
  </si>
  <si>
    <t>EVT021</t>
  </si>
  <si>
    <t>SUB016</t>
  </si>
  <si>
    <t>EVT022</t>
  </si>
  <si>
    <t>EVT023</t>
  </si>
  <si>
    <t>cancelled</t>
  </si>
  <si>
    <t>active</t>
  </si>
  <si>
    <t>churned</t>
  </si>
  <si>
    <t>Missing features</t>
  </si>
  <si>
    <t>EVT024</t>
  </si>
  <si>
    <t>EVT025</t>
  </si>
  <si>
    <t>EVT026</t>
  </si>
  <si>
    <t>EVT027</t>
  </si>
  <si>
    <t>SUB060</t>
  </si>
  <si>
    <t>EVT028</t>
  </si>
  <si>
    <t>EVT029</t>
  </si>
  <si>
    <t>EVT030</t>
  </si>
  <si>
    <t>SUB021</t>
  </si>
  <si>
    <t>EVT031</t>
  </si>
  <si>
    <t>EVT032</t>
  </si>
  <si>
    <t>EVT033</t>
  </si>
  <si>
    <t>SUB023</t>
  </si>
  <si>
    <t>EVT034</t>
  </si>
  <si>
    <t>Price too high</t>
  </si>
  <si>
    <t>EVT035</t>
  </si>
  <si>
    <t>EVT036</t>
  </si>
  <si>
    <t>SUB025</t>
  </si>
  <si>
    <t>EVT037</t>
  </si>
  <si>
    <t>EVT038</t>
  </si>
  <si>
    <t>EVT039</t>
  </si>
  <si>
    <t>EVT040</t>
  </si>
  <si>
    <t>EVT041</t>
  </si>
  <si>
    <t>EVT042</t>
  </si>
  <si>
    <t>price_change</t>
  </si>
  <si>
    <t>Annual price increase applied at renewal</t>
  </si>
  <si>
    <t>EVT043</t>
  </si>
  <si>
    <t>Switched to competitor</t>
  </si>
  <si>
    <t>EVT044</t>
  </si>
  <si>
    <t>EVT045</t>
  </si>
  <si>
    <t>EVT046</t>
  </si>
  <si>
    <t>EVT047</t>
  </si>
  <si>
    <t>EVT048</t>
  </si>
  <si>
    <t>EVT049</t>
  </si>
  <si>
    <t>EVT050</t>
  </si>
  <si>
    <t>EVT051</t>
  </si>
  <si>
    <t>SUB031</t>
  </si>
  <si>
    <t>CUST031</t>
  </si>
  <si>
    <t>Toronto Digital Media</t>
  </si>
  <si>
    <t>EVT052</t>
  </si>
  <si>
    <t>EVT053</t>
  </si>
  <si>
    <t>plan_downgrade</t>
  </si>
  <si>
    <t>Cost reduction initiative - downgraded to starter tier</t>
  </si>
  <si>
    <t>EVT054</t>
  </si>
  <si>
    <t>EVT055</t>
  </si>
  <si>
    <t>discount_added</t>
  </si>
  <si>
    <t>Annual contract loyalty discount applied</t>
  </si>
  <si>
    <t>EVT056</t>
  </si>
  <si>
    <t>EVT057</t>
  </si>
  <si>
    <t>seats_change</t>
  </si>
  <si>
    <t>Headcount reduction - Q1 restructuring</t>
  </si>
  <si>
    <t>EVT058</t>
  </si>
  <si>
    <t>EVT059</t>
  </si>
  <si>
    <t>EVT060</t>
  </si>
  <si>
    <t>EVT061</t>
  </si>
  <si>
    <t>New hires onboarded - sales team expansion</t>
  </si>
  <si>
    <t>EVT062</t>
  </si>
  <si>
    <t>EVT063</t>
  </si>
  <si>
    <t>EVT064</t>
  </si>
  <si>
    <t>Team expansion - 3 new account managers onboarded</t>
  </si>
  <si>
    <t>EVT065</t>
  </si>
  <si>
    <t>EVT066</t>
  </si>
  <si>
    <t>Returning customer â€” reactivation</t>
  </si>
  <si>
    <t>EVT067</t>
  </si>
  <si>
    <t>EVT068</t>
  </si>
  <si>
    <t>Company downsizing</t>
  </si>
  <si>
    <t>EVT069</t>
  </si>
  <si>
    <t>EVT070</t>
  </si>
  <si>
    <t>Department growth - added analytics sub-team</t>
  </si>
  <si>
    <t>EVT071</t>
  </si>
  <si>
    <t>EVT072</t>
  </si>
  <si>
    <t>EVT073</t>
  </si>
  <si>
    <t>No longer needed</t>
  </si>
  <si>
    <t>EVT074</t>
  </si>
  <si>
    <t>plan_upgrade</t>
  </si>
  <si>
    <t>Growing usage - upgraded for advanced features and higher limits</t>
  </si>
  <si>
    <t>EVT075</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</si>
  <si>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</si>
  <si>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</si>
  <si>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</si>
  <si>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</si>
  <si>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</si>
  <si>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</si>
  <si>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</si>
  <si>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</si>
  <si>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</si>
  <si>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</si>
  <si>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</si>
  <si>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</si>
  <si>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</si>
  <si>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</si>
  <si>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</si>
  <si>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</si>
  <si>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</si>
  <si>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</si>
  <si>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</si>
  <si>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</si>
  <si>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</si>
  <si>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</si>
  <si>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</si>
  <si>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</si>
  <si>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</si>
  <si>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</si>
  <si>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</si>
  <si>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</si>
  <si>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</si>
  <si>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</si>
  <si>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</si>
  <si>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</si>
  <si>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</si>
  <si>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</si>
  <si>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</si>
  <si>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</si>
  <si>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EVT097</t>
  </si>
  <si>
    <t>Poor support</t>
  </si>
  <si>
    <t>EVT098</t>
  </si>
  <si>
    <t>EVT099</t>
  </si>
  <si>
    <t>EVT100</t>
  </si>
  <si>
    <t>SUB065</t>
  </si>
  <si>
    <t>CUST043</t>
  </si>
  <si>
    <t>Atlantic Financial Group</t>
  </si>
  <si>
    <t>EVT101</t>
  </si>
  <si>
    <t>Team expansion</t>
  </si>
  <si>
    <t>MRR Waterfall - January 2024 to February 2026</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</si>
  <si>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</si>
  <si>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</si>
  <si>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</si>
  <si>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</si>
  <si>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</si>
  <si>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</si>
  <si>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</si>
  <si>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</si>
  <si>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</si>
  <si>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</si>
  <si>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</si>
  <si>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</si>
  <si>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</si>
  <si>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</si>
  <si>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</si>
  <si>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</si>
  <si>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</si>
  <si>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</si>
  <si>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</si>
  <si>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</si>
  <si>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</si>
  <si>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</si>
  <si>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</si>
  <si>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</si>
  <si>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</si>
  <si>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</si>
  <si>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</si>
  <si>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</si>
  <si>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</si>
  <si>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</si>
  <si>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</si>
  <si>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</si>
  <si>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</si>
  <si>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</si>
  <si>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</si>
  <si>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</si>
  <si>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</si>
  <si>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Total MRR</t>
  </si>
  <si>
    <t>ARPA (MRR / Active Customers)</t>
  </si>
  <si>
    <t>ARPS (MRR / Active Subscriptions)</t>
  </si>
  <si>
    <t>ARPA by Plan</t>
  </si>
  <si>
    <t>Plan</t>
  </si>
  <si>
    <t>Subscriptions</t>
  </si>
  <si>
    <t>Avg MRR / Subscription</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</si>
  <si>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</si>
  <si>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</si>
  <si>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</si>
  <si>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</si>
  <si>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</si>
  <si>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</si>
  <si>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</si>
  <si>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</si>
  <si>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</si>
  <si>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</si>
  <si>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</si>
  <si>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</si>
  <si>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</si>
  <si>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</si>
  <si>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</si>
  <si>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</si>
  <si>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</si>
  <si>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</si>
  <si>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</si>
  <si>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</si>
  <si>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</si>
  <si>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</si>
  <si>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</si>
  <si>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</si>
  <si>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</si>
  <si>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</si>
  <si>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</si>
  <si>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</si>
  <si>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</si>
  <si>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</si>
  <si>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</si>
  <si>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</si>
  <si>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</si>
  <si>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</si>
  <si>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</si>
  <si>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2025-01</t>
  </si>
  <si>
    <t>2025-02</t>
  </si>
  <si>
    <t>2025-03</t>
  </si>
  <si>
    <t>2025-04</t>
  </si>
  <si>
    <t>2025-05</t>
  </si>
  <si>
    <t>2025-06</t>
  </si>
  <si>
    <t>2025-07</t>
  </si>
  <si>
    <t>2025-08</t>
  </si>
  <si>
    <t>2025-09</t>
  </si>
  <si>
    <t>2025-10</t>
  </si>
  <si>
    <t>2025-11</t>
  </si>
  <si>
    <t>2025-12</t>
  </si>
  <si>
    <t>2026-01</t>
  </si>
  <si>
    <t>2026-02</t>
  </si>
  <si>
    <t>CAC Calculations</t>
  </si>
  <si>
    <t>Period</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</si>
  <si>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</si>
  <si>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</si>
  <si>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</si>
  <si>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</si>
  <si>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</si>
  <si>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</si>
  <si>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</si>
  <si>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</si>
  <si>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</si>
  <si>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</si>
  <si>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</si>
  <si>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</si>
  <si>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</si>
  <si>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</si>
  <si>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</si>
  <si>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</si>
  <si>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</si>
  <si>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</si>
  <si>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</si>
  <si>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</si>
  <si>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monthly_price</t>
  </si>
  <si>
    <t>monthly_cost</t>
  </si>
  <si>
    <t>gross_margin</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</si>
</sst>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7" formatCode="0.00&quot;x&quot;"/>
    <numFmt numFmtId="178" formatCode="0.0"/>
    <numFmt numFmtId="179" formatCode="yyyy/mm"/>
    <numFmt numFmtId="180" formatCode="_(&quot;$&quot;* #,##0_);_(&quot;$&quot;* \(#,##0\);_(&quot;$&quot;* &quot;-&quot;??_);_(@_)"/>
    <numFmt numFmtId="181" formatCode="0.0\x"/>
    <numFmt numFmtId="182" formatCode="0.0&quot; months&quot;"/>
  </numFmts>
  <fonts count="43">
    <font>
      <sz val="11.0"/>
      <color theme="1"/>
      <name val="Calibri"/>
      <scheme val="minor"/>
    </font>
    <font>
      <color theme="1"/>
      <name val="Calibri"/>
      <scheme val="minor"/>
    </font>
    <font>
      <b/>
      <color theme="1"/>
      <name val="Calibri"/>
      <scheme val="minor"/>
    </font>
    <font>
      <color rgb="FFFFFFFF"/>
      <name val="Calibri"/>
      <scheme val="minor"/>
    </font>
    <font>
      <sz val="11.0"/>
      <color theme="1"/>
      <name val="Calibri"/>
    </font>
    <font>
      <b/>
      <sz val="11.0"/>
      <color rgb="FFFFFFFF"/>
      <name val="Calibri"/>
    </font>
    <font>
      <sz val="11.0"/>
      <color rgb="FF0000FF"/>
      <name val="Calibri"/>
    </font>
    <font>
      <sz val="11.0"/>
      <color rgb="FF000000"/>
      <name val="Calibri"/>
    </font>
    <font>
      <b/>
      <sz val="11.0"/>
      <color theme="1"/>
      <name val="Calibri"/>
    </font>
    <font>
      <b/>
      <sz val="11.0"/>
      <color rgb="FF000000"/>
      <name val="Calibri"/>
    </font>
    <font>
      <sz val="11.0"/>
      <color rgb="FFFFFFFF"/>
      <name val="Calibri"/>
    </font>
    <font>
      <b/>
      <sz val="13.0"/>
      <color rgb="FF1F3864"/>
      <name val="Arial"/>
    </font>
    <font>
      <i/>
      <sz val="9.0"/>
      <color rgb="FF666666"/>
      <name val="Arial"/>
    </font>
    <font>
      <b/>
      <sz val="10.0"/>
      <color rgb="FF1F3864"/>
      <name val="Arial"/>
    </font>
    <font>
      <b/>
      <sz val="10.0"/>
      <color rgb="FFFFFFFF"/>
      <name val="Arial"/>
    </font>
    <font>
      <b/>
      <sz val="10.0"/>
      <color theme="1"/>
      <name val="Arial"/>
    </font>
    <font>
      <sz val="10.0"/>
      <color theme="1"/>
      <name val="Arial"/>
    </font>
    <font>
      <i/>
      <sz val="9.0"/>
      <color theme="1"/>
      <name val="Calibri"/>
    </font>
    <font/>
    <font>
      <sz val="10.0"/>
      <color rgb="FFC00000"/>
      <name val="Arial"/>
    </font>
    <font>
      <sz val="10.0"/>
      <color rgb="FF0000FF"/>
      <name val="Arial"/>
    </font>
    <font>
      <b/>
      <i/>
      <sz val="9.0"/>
      <color rgb="FFC00000"/>
      <name val="Arial"/>
    </font>
    <font>
      <b/>
      <sz val="13.0"/>
      <color theme="1"/>
      <name val="Calibri"/>
    </font>
    <font>
      <i/>
      <sz val="11.0"/>
      <color theme="1"/>
      <name val="Calibri"/>
    </font>
    <font>
      <b/>
      <i/>
      <sz val="13.0"/>
      <color theme="1"/>
      <name val="Calibri"/>
    </font>
    <font>
      <b/>
      <sz val="10.0"/>
      <color theme="1"/>
      <name val="Calibri"/>
    </font>
    <font>
      <b/>
      <i/>
      <sz val="9.0"/>
      <color rgb="FF666666"/>
      <name val="Arial"/>
    </font>
    <font>
      <i/>
      <sz val="11.0"/>
      <color rgb="FF666666"/>
      <name val="Calibri"/>
    </font>
    <font>
      <b/>
      <i/>
      <sz val="10.0"/>
      <color rgb="FFFFFFFF"/>
      <name val="Arial"/>
    </font>
    <font>
      <b/>
      <sz val="10.0"/>
      <color rgb="FF0000FF"/>
      <name val="Arial"/>
    </font>
    <font>
      <i/>
      <sz val="10.0"/>
      <color theme="1"/>
      <name val="Arial"/>
    </font>
    <font>
      <sz val="10.0"/>
      <color rgb="FF000000"/>
      <name val="Arial"/>
    </font>
    <font>
      <b/>
      <sz val="11.0"/>
      <color rgb="FF1F3864"/>
      <name val="Calibri"/>
    </font>
    <font>
      <b/>
      <sz val="10.0"/>
      <color rgb="FF000000"/>
      <name val="Arial"/>
    </font>
    <font>
      <b/>
      <sz val="9.0"/>
      <color rgb="FF808080"/>
      <name val="Arial"/>
    </font>
    <font>
      <i/>
      <sz val="9.0"/>
      <color rgb="FFFF0000"/>
      <name val="Arial"/>
    </font>
    <font>
      <b/>
      <sz val="14.0"/>
      <color theme="1"/>
      <name val="Calibri"/>
    </font>
    <font>
      <sz val="11.0"/>
      <color rgb="FFFF0000"/>
      <name val="Calibri"/>
    </font>
    <font>
      <b/>
      <sz val="12.0"/>
      <color theme="1"/>
      <name val="Calibri"/>
    </font>
    <font>
      <sz val="10.0"/>
      <color rgb="FF333333"/>
      <name val="Calibri"/>
    </font>
    <font>
      <b/>
      <sz val="14.0"/>
      <color rgb="FF000000"/>
      <name val="Calibri"/>
    </font>
    <font>
      <b/>
      <sz val="10.0"/>
      <color rgb="FF333333"/>
      <name val="Calibri"/>
    </font>
    <font>
      <sz val="11.0"/>
      <color theme="0"/>
      <name val="Calibri"/>
    </font>
  </fonts>
  <fills count="18">
    <fill>
      <patternFill patternType="none"/>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21">
    <border/>
    <border>
      <left/>
      <right/>
      <top/>
      <bottom/>
    </border>
    <border>
      <bottom style="thin">
        <color rgb="FF1F3864"/>
      </bottom>
    </border>
    <border>
      <left/>
      <right/>
      <top/>
      <bottom style="thin">
        <color rgb="FF1F3864"/>
      </bottom>
    </border>
    <border>
      <top style="thin">
        <color rgb="FF000000"/>
      </top>
      <bottom style="double">
        <color rgb="FF000000"/>
      </bottom>
    </border>
    <border>
      <left/>
      <right/>
      <top style="thin">
        <color rgb="FF000000"/>
      </top>
      <bottom style="double">
        <color rgb="FF000000"/>
      </bottom>
    </border>
    <border>
      <left/>
      <top/>
      <bottom/>
    </border>
    <border>
      <top/>
      <bottom/>
    </border>
    <border>
      <right/>
      <top/>
      <bottom/>
    </border>
    <border>
      <top style="thin">
        <color rgb="FF000000"/>
      </top>
    </border>
    <border>
      <top style="double">
        <color rgb="FF000000"/>
      </top>
    </border>
    <border>
      <left/>
      <right/>
      <top style="double">
        <color rgb="FF000000"/>
      </top>
      <bottom/>
    </border>
    <border>
      <top style="double">
        <color rgb="FF000000"/>
      </top>
      <bottom style="double">
        <color rgb="FF000000"/>
      </bottom>
    </border>
    <border>
      <left style="thin">
        <color rgb="FFFFFFFF"/>
      </left>
      <right/>
      <top style="medium">
        <color rgb="FFFFFFFF"/>
      </top>
      <bottom style="thin">
        <color rgb="FFFFFFFF"/>
      </bottom>
    </border>
    <border>
      <left style="thin">
        <color rgb="FFFFFFFF"/>
      </left>
      <right style="thin">
        <color rgb="FFFFFFFF"/>
      </right>
      <top style="medium">
        <color rgb="FFFFFFFF"/>
      </top>
      <bottom style="thin">
        <color rgb="FFFFFFFF"/>
      </bottom>
    </border>
    <border>
      <left style="thin">
        <color rgb="FFFFFFFF"/>
      </left>
      <right/>
      <top/>
      <bottom/>
    </border>
    <border>
      <left style="thin">
        <color rgb="FFFFFFFF"/>
      </left>
      <right style="thin">
        <color rgb="FFFFFFFF"/>
      </right>
      <top/>
      <bottom/>
    </border>
    <border>
      <left style="thin">
        <color rgb="FFFFFFFF"/>
      </left>
      <right/>
      <top style="thin">
        <color rgb="FFFFFFFF"/>
      </top>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Font="1" applyNumberFormat="1"/>
    <xf borderId="0" fillId="0" fontId="1" numFmtId="0" xfId="0" applyAlignment="1" applyFont="1">
      <alignment horizontal="righ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3" numFmtId="0" xfId="0" applyFont="1"/>
    <xf borderId="0" fillId="0" fontId="1" numFmtId="0" xfId="0" applyFont="1"/>
    <xf borderId="0" fillId="0" fontId="4" numFmtId="14" xfId="0" applyFont="1" applyNumberFormat="1"/>
    <xf borderId="0" fillId="2" fontId="3" numFmtId="0" xfId="0" applyFill="1" applyFont="1"/>
    <xf borderId="0" fillId="3" fontId="1" numFmtId="0" xfId="0" applyFill="1" applyFont="1"/>
    <xf borderId="0" fillId="3" fontId="4" numFmtId="14" xfId="0" applyFont="1" applyNumberFormat="1"/>
    <xf borderId="0" fillId="4" fontId="1" numFmtId="0" xfId="0" applyFill="1" applyFont="1"/>
    <xf borderId="0" fillId="4" fontId="4" numFmtId="14" xfId="0" applyFont="1" applyNumberFormat="1"/>
    <xf borderId="0" fillId="0" fontId="4" numFmtId="4" xfId="0" applyFont="1" applyNumberFormat="1"/>
    <xf borderId="0" fillId="0" fontId="4" numFmtId="165" xfId="0" applyFont="1" applyNumberFormat="1"/>
    <xf borderId="1" fillId="5" fontId="5" numFmtId="0" xfId="0" applyBorder="1" applyFill="1" applyFont="1"/>
    <xf borderId="1" fillId="5" fontId="5" numFmtId="166" xfId="0" applyAlignment="1" applyBorder="1" applyFont="1" applyNumberFormat="1">
      <alignment horizontal="center"/>
    </xf>
    <xf borderId="0" fillId="0" fontId="4" numFmtId="0" xfId="0" applyFont="1"/>
    <xf borderId="1" fillId="6" fontId="6" numFmtId="164" xfId="0" applyBorder="1" applyFill="1" applyFont="1" applyNumberFormat="1"/>
    <xf borderId="1" fillId="7" fontId="7" numFmtId="164" xfId="0" applyBorder="1" applyFill="1" applyFont="1" applyNumberFormat="1"/>
    <xf borderId="1" fillId="8" fontId="6" numFmtId="164" xfId="0" applyBorder="1" applyFill="1" applyFont="1" applyNumberFormat="1"/>
    <xf borderId="2" fillId="0" fontId="8" numFmtId="0" xfId="0" applyBorder="1" applyFont="1"/>
    <xf borderId="3" fillId="7" fontId="9" numFmtId="164" xfId="0" applyBorder="1" applyFont="1" applyNumberFormat="1"/>
    <xf borderId="0" fillId="0" fontId="8" numFmtId="0" xfId="0" applyFont="1"/>
    <xf borderId="1" fillId="7" fontId="9" numFmtId="164" xfId="0" applyBorder="1" applyFont="1" applyNumberFormat="1"/>
    <xf borderId="1" fillId="8" fontId="6" numFmtId="1" xfId="0" applyBorder="1" applyFont="1" applyNumberFormat="1"/>
    <xf borderId="2" fillId="0" fontId="4" numFmtId="0" xfId="0" applyBorder="1" applyFont="1"/>
    <xf borderId="3" fillId="8" fontId="6" numFmtId="1" xfId="0" applyBorder="1" applyFont="1" applyNumberFormat="1"/>
    <xf borderId="1" fillId="8" fontId="6" numFmtId="0" xfId="0" applyBorder="1" applyFont="1"/>
    <xf borderId="1" fillId="7" fontId="7" numFmtId="0" xfId="0" applyBorder="1" applyFont="1"/>
    <xf borderId="1" fillId="6" fontId="6" numFmtId="0" xfId="0" applyBorder="1" applyFont="1"/>
    <xf borderId="0" fillId="0" fontId="10" numFmtId="17" xfId="0" applyFont="1" applyNumberFormat="1"/>
    <xf borderId="0" fillId="0" fontId="1" numFmtId="0" xfId="0" applyAlignment="1" applyFont="1">
      <alignment readingOrder="0"/>
    </xf>
    <xf borderId="0" fillId="0" fontId="4" numFmtId="165" xfId="0" applyAlignment="1" applyFont="1" applyNumberFormat="1">
      <alignment readingOrder="0"/>
    </xf>
    <xf borderId="0" fillId="0" fontId="2" numFmtId="165" xfId="0" applyFont="1" applyNumberFormat="1"/>
    <xf borderId="0" fillId="0" fontId="2" numFmtId="0" xfId="0" applyFont="1"/>
    <xf borderId="0" fillId="0" fontId="8" numFmtId="165" xfId="0" applyFont="1" applyNumberFormat="1"/>
    <xf borderId="0" fillId="0" fontId="1" numFmtId="10" xfId="0" applyFont="1" applyNumberFormat="1"/>
    <xf borderId="0" fillId="0" fontId="11" numFmtId="0" xfId="0" applyFont="1"/>
    <xf borderId="0" fillId="0" fontId="12" numFmtId="0" xfId="0" applyFont="1"/>
    <xf borderId="1" fillId="9" fontId="13" numFmtId="0" xfId="0" applyBorder="1" applyFill="1" applyFont="1"/>
    <xf borderId="1" fillId="9" fontId="4" numFmtId="0" xfId="0" applyBorder="1" applyFont="1"/>
    <xf borderId="1" fillId="5" fontId="14" numFmtId="0" xfId="0" applyAlignment="1" applyBorder="1" applyFont="1">
      <alignment horizontal="center" shrinkToFit="0" vertical="center" wrapText="1"/>
    </xf>
    <xf borderId="1" fillId="10" fontId="15" numFmtId="0" xfId="0" applyBorder="1" applyFill="1" applyFont="1"/>
    <xf borderId="0" fillId="0" fontId="16" numFmtId="0" xfId="0" applyFont="1"/>
    <xf borderId="1" fillId="6" fontId="16" numFmtId="167" xfId="0" applyBorder="1" applyFont="1" applyNumberFormat="1"/>
    <xf borderId="4" fillId="0" fontId="15" numFmtId="0" xfId="0" applyBorder="1" applyFont="1"/>
    <xf borderId="5" fillId="6" fontId="15" numFmtId="167" xfId="0" applyBorder="1" applyFont="1" applyNumberFormat="1"/>
    <xf borderId="0" fillId="0" fontId="4" numFmtId="3" xfId="0" applyFont="1" applyNumberFormat="1"/>
    <xf borderId="0" fillId="0" fontId="1" numFmtId="3" xfId="0" applyFont="1" applyNumberFormat="1"/>
    <xf borderId="1" fillId="6" fontId="4" numFmtId="168" xfId="0" applyBorder="1" applyFont="1" applyNumberFormat="1"/>
    <xf borderId="5" fillId="6" fontId="4" numFmtId="168" xfId="0" applyBorder="1" applyFont="1" applyNumberFormat="1"/>
    <xf borderId="1" fillId="6" fontId="4" numFmtId="169" xfId="0" applyBorder="1" applyFont="1" applyNumberFormat="1"/>
    <xf borderId="1" fillId="6" fontId="4" numFmtId="164" xfId="0" applyBorder="1" applyFont="1" applyNumberFormat="1"/>
    <xf borderId="1" fillId="6" fontId="4" numFmtId="170" xfId="0" applyBorder="1" applyFont="1" applyNumberFormat="1"/>
    <xf borderId="6" fillId="6" fontId="17" numFmtId="0" xfId="0" applyBorder="1" applyFont="1"/>
    <xf borderId="7" fillId="0" fontId="18" numFmtId="0" xfId="0" applyBorder="1" applyFont="1"/>
    <xf borderId="8" fillId="0" fontId="18" numFmtId="0" xfId="0" applyBorder="1" applyFont="1"/>
    <xf borderId="0" fillId="0" fontId="19" numFmtId="0" xfId="0" applyFont="1"/>
    <xf borderId="1" fillId="6" fontId="20" numFmtId="167" xfId="0" applyBorder="1" applyFont="1" applyNumberFormat="1"/>
    <xf borderId="1" fillId="6" fontId="20" numFmtId="3" xfId="0" applyBorder="1" applyFont="1" applyNumberFormat="1"/>
    <xf borderId="0" fillId="0" fontId="20" numFmtId="3" xfId="0" applyFont="1" applyNumberFormat="1"/>
    <xf borderId="0" fillId="0" fontId="20" numFmtId="171" xfId="0" applyFont="1" applyNumberFormat="1"/>
    <xf borderId="0" fillId="0" fontId="20" numFmtId="169" xfId="0" applyFont="1" applyNumberFormat="1"/>
    <xf borderId="0" fillId="0" fontId="21" numFmtId="0" xfId="0" applyFont="1"/>
    <xf borderId="4" fillId="0" fontId="15" numFmtId="171" xfId="0" applyBorder="1" applyFont="1" applyNumberFormat="1"/>
    <xf borderId="1" fillId="5" fontId="14" numFmtId="17" xfId="0" applyAlignment="1" applyBorder="1" applyFont="1" applyNumberFormat="1">
      <alignment horizontal="center" shrinkToFit="0" vertical="center" wrapText="1"/>
    </xf>
    <xf borderId="0" fillId="0" fontId="16" numFmtId="167" xfId="0" applyFont="1" applyNumberFormat="1"/>
    <xf borderId="0" fillId="0" fontId="16" numFmtId="9" xfId="0" applyFont="1" applyNumberFormat="1"/>
    <xf borderId="0" fillId="0" fontId="4" numFmtId="0" xfId="0" applyAlignment="1" applyFont="1">
      <alignment horizontal="center"/>
    </xf>
    <xf borderId="4" fillId="0" fontId="15" numFmtId="167" xfId="0" applyBorder="1" applyFont="1" applyNumberFormat="1"/>
    <xf borderId="4" fillId="0" fontId="15" numFmtId="9" xfId="0" applyBorder="1" applyFont="1" applyNumberFormat="1"/>
    <xf borderId="4" fillId="0" fontId="15" numFmtId="9" xfId="0" applyAlignment="1" applyBorder="1" applyFont="1" applyNumberFormat="1">
      <alignment horizontal="center"/>
    </xf>
    <xf borderId="0" fillId="0" fontId="15" numFmtId="0" xfId="0" applyFont="1"/>
    <xf borderId="0" fillId="0" fontId="4" numFmtId="164" xfId="0" applyFont="1" applyNumberFormat="1"/>
    <xf borderId="0" fillId="0" fontId="4" numFmtId="9" xfId="0" applyFont="1" applyNumberFormat="1"/>
    <xf borderId="0" fillId="0" fontId="8" numFmtId="164" xfId="0" applyFont="1" applyNumberFormat="1"/>
    <xf borderId="0" fillId="0" fontId="22" numFmtId="0" xfId="0" applyFont="1"/>
    <xf borderId="1" fillId="7" fontId="8" numFmtId="0" xfId="0" applyBorder="1" applyFont="1"/>
    <xf borderId="0" fillId="0" fontId="6" numFmtId="0" xfId="0" applyFont="1"/>
    <xf borderId="0" fillId="0" fontId="4" numFmtId="169" xfId="0" applyFont="1" applyNumberFormat="1"/>
    <xf borderId="0" fillId="0" fontId="4" numFmtId="168" xfId="0" applyFont="1" applyNumberFormat="1"/>
    <xf borderId="0" fillId="0" fontId="23" numFmtId="0" xfId="0" applyFont="1"/>
    <xf borderId="0" fillId="0" fontId="24" numFmtId="0" xfId="0" applyFont="1"/>
    <xf borderId="1" fillId="5" fontId="14" numFmtId="0" xfId="0" applyAlignment="1" applyBorder="1" applyFont="1">
      <alignment horizontal="center"/>
    </xf>
    <xf borderId="0" fillId="0" fontId="16" numFmtId="49" xfId="0" applyFont="1" applyNumberFormat="1"/>
    <xf borderId="0" fillId="0" fontId="25" numFmtId="0" xfId="0" applyAlignment="1" applyFont="1">
      <alignment horizontal="center"/>
    </xf>
    <xf borderId="9" fillId="0" fontId="15" numFmtId="0" xfId="0" applyBorder="1" applyFont="1"/>
    <xf borderId="9" fillId="0" fontId="15" numFmtId="167" xfId="0" applyBorder="1" applyFont="1" applyNumberFormat="1"/>
    <xf borderId="9" fillId="0" fontId="15" numFmtId="9" xfId="0" applyBorder="1" applyFont="1" applyNumberFormat="1"/>
    <xf borderId="9" fillId="0" fontId="15" numFmtId="0" xfId="0" applyAlignment="1" applyBorder="1" applyFont="1">
      <alignment horizontal="center"/>
    </xf>
    <xf borderId="10" fillId="0" fontId="15" numFmtId="0" xfId="0" applyBorder="1" applyFont="1"/>
    <xf borderId="10" fillId="0" fontId="15" numFmtId="167" xfId="0" applyBorder="1" applyFont="1" applyNumberFormat="1"/>
    <xf borderId="10" fillId="0" fontId="15" numFmtId="9" xfId="0" applyBorder="1" applyFont="1" applyNumberFormat="1"/>
    <xf borderId="10" fillId="0" fontId="15" numFmtId="0" xfId="0" applyAlignment="1" applyBorder="1" applyFont="1">
      <alignment horizontal="center"/>
    </xf>
    <xf borderId="0" fillId="0" fontId="15" numFmtId="171" xfId="0" applyFont="1" applyNumberFormat="1"/>
    <xf borderId="0" fillId="0" fontId="15" numFmtId="9" xfId="0" applyFont="1" applyNumberFormat="1"/>
    <xf borderId="0" fillId="0" fontId="15" numFmtId="0" xfId="0" applyAlignment="1" applyFont="1">
      <alignment horizontal="center"/>
    </xf>
    <xf borderId="10" fillId="0" fontId="4" numFmtId="0" xfId="0" applyBorder="1" applyFont="1"/>
    <xf borderId="9" fillId="0" fontId="8" numFmtId="164" xfId="0" applyBorder="1" applyFont="1" applyNumberFormat="1"/>
    <xf borderId="9" fillId="0" fontId="4" numFmtId="9" xfId="0" applyBorder="1" applyFont="1" applyNumberFormat="1"/>
    <xf borderId="9" fillId="0" fontId="4" numFmtId="0" xfId="0" applyAlignment="1" applyBorder="1" applyFont="1">
      <alignment horizontal="center"/>
    </xf>
    <xf borderId="11" fillId="8" fontId="4" numFmtId="9" xfId="0" applyBorder="1" applyFont="1" applyNumberFormat="1"/>
    <xf borderId="10" fillId="0" fontId="4" numFmtId="9" xfId="0" applyBorder="1" applyFont="1" applyNumberFormat="1"/>
    <xf borderId="10" fillId="0" fontId="4" numFmtId="0" xfId="0" applyAlignment="1" applyBorder="1" applyFont="1">
      <alignment horizontal="center"/>
    </xf>
    <xf borderId="9" fillId="0" fontId="8" numFmtId="9" xfId="0" applyBorder="1" applyFont="1" applyNumberFormat="1"/>
    <xf borderId="12" fillId="0" fontId="15" numFmtId="0" xfId="0" applyBorder="1" applyFont="1"/>
    <xf borderId="12" fillId="0" fontId="8" numFmtId="164" xfId="0" applyBorder="1" applyFont="1" applyNumberFormat="1"/>
    <xf borderId="12" fillId="0" fontId="8" numFmtId="9" xfId="0" applyBorder="1" applyFont="1" applyNumberFormat="1"/>
    <xf borderId="12" fillId="0" fontId="4" numFmtId="0" xfId="0" applyAlignment="1" applyBorder="1" applyFont="1">
      <alignment horizontal="center"/>
    </xf>
    <xf borderId="0" fillId="0" fontId="26" numFmtId="0" xfId="0" applyFont="1"/>
    <xf borderId="0" fillId="0" fontId="27" numFmtId="0" xfId="0" applyFont="1"/>
    <xf borderId="0" fillId="0" fontId="6" numFmtId="2" xfId="0" applyFont="1" applyNumberFormat="1"/>
    <xf borderId="1" fillId="5" fontId="14" numFmtId="0" xfId="0" applyBorder="1" applyFont="1"/>
    <xf borderId="1" fillId="5" fontId="4" numFmtId="0" xfId="0" applyBorder="1" applyFont="1"/>
    <xf borderId="1" fillId="5" fontId="28" numFmtId="0" xfId="0" applyAlignment="1" applyBorder="1" applyFont="1">
      <alignment horizontal="center"/>
    </xf>
    <xf borderId="1" fillId="8" fontId="29" numFmtId="15" xfId="0" applyBorder="1" applyFont="1" applyNumberFormat="1"/>
    <xf borderId="0" fillId="0" fontId="30" numFmtId="0" xfId="0" applyFont="1"/>
    <xf borderId="1" fillId="8" fontId="29" numFmtId="49" xfId="0" applyBorder="1" applyFont="1" applyNumberFormat="1"/>
    <xf borderId="1" fillId="7" fontId="31" numFmtId="15" xfId="0" applyBorder="1" applyFont="1" applyNumberFormat="1"/>
    <xf borderId="0" fillId="0" fontId="1" numFmtId="164" xfId="0" applyFont="1" applyNumberFormat="1"/>
    <xf borderId="0" fillId="0" fontId="4" numFmtId="172" xfId="0" applyFont="1" applyNumberFormat="1"/>
    <xf borderId="0" fillId="0" fontId="6" numFmtId="1" xfId="0" applyFont="1" applyNumberFormat="1"/>
    <xf borderId="0" fillId="0" fontId="4" numFmtId="1" xfId="0" applyFont="1" applyNumberFormat="1"/>
    <xf borderId="0" fillId="0" fontId="4" numFmtId="10" xfId="0" applyFont="1" applyNumberFormat="1"/>
    <xf borderId="1" fillId="11" fontId="32" numFmtId="0" xfId="0" applyBorder="1" applyFill="1" applyFont="1"/>
    <xf borderId="1" fillId="12" fontId="7" numFmtId="0" xfId="0" applyBorder="1" applyFill="1" applyFont="1"/>
    <xf borderId="1" fillId="12" fontId="9" numFmtId="0" xfId="0" applyBorder="1" applyFont="1"/>
    <xf borderId="1" fillId="12" fontId="33" numFmtId="0" xfId="0" applyBorder="1" applyFont="1"/>
    <xf borderId="0" fillId="0" fontId="16" numFmtId="173" xfId="0" applyFont="1" applyNumberFormat="1"/>
    <xf borderId="0" fillId="0" fontId="15" numFmtId="173" xfId="0" applyFont="1" applyNumberFormat="1"/>
    <xf borderId="0" fillId="0" fontId="4" numFmtId="167" xfId="0" applyFont="1" applyNumberFormat="1"/>
    <xf borderId="0" fillId="0" fontId="16" numFmtId="174" xfId="0" applyFont="1" applyNumberFormat="1"/>
    <xf borderId="0" fillId="0" fontId="4" numFmtId="2" xfId="0" applyFont="1" applyNumberFormat="1"/>
    <xf borderId="0" fillId="0" fontId="34" numFmtId="0" xfId="0" applyFont="1"/>
    <xf borderId="0" fillId="0" fontId="4" numFmtId="171" xfId="0" applyFont="1" applyNumberFormat="1"/>
    <xf borderId="4" fillId="0" fontId="15" numFmtId="175" xfId="0" applyBorder="1" applyFont="1" applyNumberFormat="1"/>
    <xf borderId="1" fillId="10" fontId="13" numFmtId="0" xfId="0" applyBorder="1" applyFont="1"/>
    <xf borderId="1" fillId="10" fontId="4" numFmtId="0" xfId="0" applyBorder="1" applyFont="1"/>
    <xf borderId="0" fillId="0" fontId="35" numFmtId="0" xfId="0" applyFont="1"/>
    <xf borderId="1" fillId="13" fontId="14" numFmtId="0" xfId="0" applyAlignment="1" applyBorder="1" applyFill="1" applyFont="1">
      <alignment horizontal="center" shrinkToFit="0" vertical="center" wrapText="1"/>
    </xf>
    <xf borderId="1" fillId="6" fontId="4" numFmtId="167" xfId="0" applyBorder="1" applyFont="1" applyNumberFormat="1"/>
    <xf borderId="1" fillId="6" fontId="4" numFmtId="0" xfId="0" applyBorder="1" applyFont="1"/>
    <xf borderId="0" fillId="0" fontId="16" numFmtId="169" xfId="0" applyFont="1" applyNumberFormat="1"/>
    <xf borderId="0" fillId="0" fontId="16" numFmtId="3" xfId="0" applyFont="1" applyNumberFormat="1"/>
    <xf borderId="1" fillId="6" fontId="4" numFmtId="3" xfId="0" applyBorder="1" applyFont="1" applyNumberFormat="1"/>
    <xf borderId="0" fillId="0" fontId="36" numFmtId="0" xfId="0" applyFont="1"/>
    <xf borderId="1" fillId="7" fontId="5" numFmtId="0" xfId="0" applyBorder="1" applyFont="1"/>
    <xf borderId="0" fillId="0" fontId="10" numFmtId="176" xfId="0" applyAlignment="1" applyFont="1" applyNumberFormat="1">
      <alignment horizontal="center"/>
    </xf>
    <xf borderId="1" fillId="14" fontId="5" numFmtId="0" xfId="0" applyAlignment="1" applyBorder="1" applyFill="1" applyFont="1">
      <alignment horizontal="center"/>
    </xf>
    <xf borderId="0" fillId="0" fontId="4" numFmtId="164" xfId="0" applyFont="1" applyNumberFormat="1"/>
    <xf borderId="1" fillId="3" fontId="4" numFmtId="164" xfId="0" applyBorder="1" applyFont="1" applyNumberFormat="1"/>
    <xf borderId="0" fillId="0" fontId="4" numFmtId="1" xfId="0" applyFont="1" applyNumberFormat="1"/>
    <xf borderId="0" fillId="0" fontId="1" numFmtId="1" xfId="0" applyFont="1" applyNumberFormat="1"/>
    <xf borderId="1" fillId="15" fontId="4" numFmtId="1" xfId="0" applyBorder="1" applyFill="1" applyFont="1" applyNumberFormat="1"/>
    <xf borderId="0" fillId="0" fontId="4" numFmtId="169" xfId="0" applyFont="1" applyNumberFormat="1"/>
    <xf borderId="1" fillId="15" fontId="4" numFmtId="169" xfId="0" applyBorder="1" applyFont="1" applyNumberFormat="1"/>
    <xf borderId="1" fillId="3" fontId="4" numFmtId="169" xfId="0" applyBorder="1" applyFont="1" applyNumberFormat="1"/>
    <xf borderId="0" fillId="0" fontId="4" numFmtId="0" xfId="0" applyFont="1"/>
    <xf borderId="1" fillId="3" fontId="4" numFmtId="0" xfId="0" applyAlignment="1" applyBorder="1" applyFont="1">
      <alignment horizontal="center"/>
    </xf>
    <xf borderId="0" fillId="0" fontId="4" numFmtId="168" xfId="0" applyFont="1" applyNumberFormat="1"/>
    <xf borderId="1" fillId="15" fontId="4" numFmtId="168" xfId="0" applyBorder="1" applyFont="1" applyNumberFormat="1"/>
    <xf borderId="1" fillId="3" fontId="4" numFmtId="168" xfId="0" applyBorder="1" applyFont="1" applyNumberFormat="1"/>
    <xf borderId="1" fillId="16" fontId="4" numFmtId="0" xfId="0" applyBorder="1" applyFill="1" applyFont="1"/>
    <xf borderId="1" fillId="16" fontId="4" numFmtId="0" xfId="0" applyAlignment="1" applyBorder="1" applyFont="1">
      <alignment horizontal="center"/>
    </xf>
    <xf borderId="1" fillId="16" fontId="23" numFmtId="168" xfId="0" applyAlignment="1" applyBorder="1" applyFont="1" applyNumberFormat="1">
      <alignment horizontal="center"/>
    </xf>
    <xf borderId="1" fillId="16" fontId="23" numFmtId="164" xfId="0" applyAlignment="1" applyBorder="1" applyFont="1" applyNumberFormat="1">
      <alignment horizontal="center"/>
    </xf>
    <xf borderId="1" fillId="16" fontId="23" numFmtId="177" xfId="0" applyAlignment="1" applyBorder="1" applyFont="1" applyNumberFormat="1">
      <alignment horizontal="center"/>
    </xf>
    <xf borderId="1" fillId="16" fontId="23" numFmtId="178" xfId="0" applyAlignment="1" applyBorder="1" applyFont="1" applyNumberFormat="1">
      <alignment horizontal="center"/>
    </xf>
    <xf borderId="6" fillId="16" fontId="23" numFmtId="0" xfId="0" applyAlignment="1" applyBorder="1" applyFont="1">
      <alignment horizontal="center" shrinkToFit="0" wrapText="1"/>
    </xf>
    <xf borderId="0" fillId="0" fontId="4" numFmtId="0" xfId="0" applyAlignment="1" applyFont="1">
      <alignment shrinkToFit="0" wrapText="1"/>
    </xf>
    <xf borderId="0" fillId="0" fontId="4" numFmtId="17" xfId="0" applyAlignment="1" applyFont="1" applyNumberFormat="1">
      <alignment horizontal="left"/>
    </xf>
    <xf borderId="1" fillId="3" fontId="4" numFmtId="0" xfId="0" applyBorder="1" applyFont="1"/>
    <xf borderId="1" fillId="15" fontId="4" numFmtId="0" xfId="0" applyBorder="1" applyFont="1"/>
    <xf borderId="1" fillId="15" fontId="4" numFmtId="164" xfId="0" applyBorder="1" applyFont="1" applyNumberFormat="1"/>
    <xf borderId="13" fillId="3" fontId="7" numFmtId="0" xfId="0" applyBorder="1" applyFont="1"/>
    <xf borderId="14" fillId="3" fontId="7" numFmtId="164" xfId="0" applyBorder="1" applyFont="1" applyNumberFormat="1"/>
    <xf borderId="13" fillId="3" fontId="7" numFmtId="164" xfId="0" applyBorder="1" applyFont="1" applyNumberFormat="1"/>
    <xf borderId="15" fillId="15" fontId="7" numFmtId="0" xfId="0" applyBorder="1" applyFont="1"/>
    <xf borderId="16" fillId="15" fontId="7" numFmtId="164" xfId="0" applyBorder="1" applyFont="1" applyNumberFormat="1"/>
    <xf borderId="15" fillId="15" fontId="7" numFmtId="164" xfId="0" applyBorder="1" applyFont="1" applyNumberFormat="1"/>
    <xf borderId="17" fillId="3" fontId="7" numFmtId="0" xfId="0" applyBorder="1" applyFont="1"/>
    <xf borderId="18" fillId="3" fontId="7" numFmtId="164" xfId="0" applyBorder="1" applyFont="1" applyNumberFormat="1"/>
    <xf borderId="17" fillId="3" fontId="7" numFmtId="164" xfId="0" applyBorder="1" applyFont="1" applyNumberFormat="1"/>
    <xf borderId="17" fillId="15" fontId="7" numFmtId="0" xfId="0" applyBorder="1" applyFont="1"/>
    <xf borderId="18" fillId="15" fontId="7" numFmtId="164" xfId="0" applyBorder="1" applyFont="1" applyNumberFormat="1"/>
    <xf borderId="17" fillId="15" fontId="7" numFmtId="164" xfId="0" applyBorder="1" applyFont="1" applyNumberFormat="1"/>
    <xf borderId="19" fillId="3" fontId="7" numFmtId="0" xfId="0" applyBorder="1" applyFont="1"/>
    <xf borderId="20" fillId="3" fontId="7" numFmtId="164" xfId="0" applyBorder="1" applyFont="1" applyNumberFormat="1"/>
    <xf borderId="19" fillId="3" fontId="7" numFmtId="164" xfId="0" applyBorder="1" applyFont="1" applyNumberFormat="1"/>
    <xf borderId="0" fillId="0" fontId="4" numFmtId="178" xfId="0" applyFont="1" applyNumberFormat="1"/>
    <xf borderId="0" fillId="0" fontId="4" numFmtId="17" xfId="0" applyFont="1" applyNumberFormat="1"/>
    <xf borderId="0" fillId="0" fontId="4" numFmtId="14" xfId="0" applyFont="1" applyNumberFormat="1"/>
    <xf borderId="0" fillId="0" fontId="4" numFmtId="178" xfId="0" applyAlignment="1" applyFont="1" applyNumberFormat="1">
      <alignment horizontal="right"/>
    </xf>
    <xf borderId="0" fillId="0" fontId="4" numFmtId="179" xfId="0" applyFont="1" applyNumberFormat="1"/>
    <xf borderId="0" fillId="0" fontId="4" numFmtId="165" xfId="0" applyFont="1" applyNumberFormat="1"/>
    <xf borderId="0" fillId="0" fontId="37" numFmtId="165" xfId="0" applyFont="1" applyNumberFormat="1"/>
    <xf borderId="0" fillId="0" fontId="38" numFmtId="0" xfId="0" applyFont="1"/>
    <xf borderId="0" fillId="0" fontId="8" numFmtId="166" xfId="0" applyFont="1" applyNumberFormat="1"/>
    <xf borderId="1" fillId="10" fontId="8" numFmtId="0" xfId="0" applyBorder="1" applyFont="1"/>
    <xf borderId="1" fillId="10" fontId="7" numFmtId="3" xfId="0" applyBorder="1" applyFont="1" applyNumberFormat="1"/>
    <xf borderId="1" fillId="10" fontId="4" numFmtId="3" xfId="0" applyBorder="1" applyFont="1" applyNumberFormat="1"/>
    <xf borderId="1" fillId="10" fontId="4" numFmtId="169" xfId="0" applyBorder="1" applyFont="1" applyNumberFormat="1"/>
    <xf borderId="0" fillId="0" fontId="39" numFmtId="0" xfId="0" applyAlignment="1" applyFont="1">
      <alignment shrinkToFit="0" vertical="top" wrapText="1"/>
    </xf>
    <xf borderId="0" fillId="0" fontId="40" numFmtId="0" xfId="0" applyFont="1"/>
    <xf borderId="1" fillId="17" fontId="5" numFmtId="0" xfId="0" applyBorder="1" applyFill="1" applyFont="1"/>
    <xf borderId="1" fillId="17" fontId="4" numFmtId="0" xfId="0" applyBorder="1" applyFont="1"/>
    <xf borderId="0" fillId="0" fontId="9" numFmtId="0" xfId="0" applyFont="1"/>
    <xf borderId="0" fillId="0" fontId="7" numFmtId="3" xfId="0" applyAlignment="1" applyFont="1" applyNumberFormat="1">
      <alignment horizontal="right"/>
    </xf>
    <xf borderId="0" fillId="0" fontId="7" numFmtId="180" xfId="0" applyAlignment="1" applyFont="1" applyNumberFormat="1">
      <alignment horizontal="right"/>
    </xf>
    <xf borderId="0" fillId="0" fontId="7" numFmtId="0" xfId="0" applyFont="1"/>
    <xf borderId="0" fillId="0" fontId="4" numFmtId="3" xfId="0" applyAlignment="1" applyFont="1" applyNumberFormat="1">
      <alignment horizontal="right"/>
    </xf>
    <xf borderId="0" fillId="0" fontId="8" numFmtId="3" xfId="0" applyAlignment="1" applyFont="1" applyNumberFormat="1">
      <alignment horizontal="right"/>
    </xf>
    <xf borderId="0" fillId="0" fontId="8" numFmtId="165" xfId="0" applyFont="1" applyNumberFormat="1"/>
    <xf borderId="0" fillId="0" fontId="7" numFmtId="169" xfId="0" applyAlignment="1" applyFont="1" applyNumberFormat="1">
      <alignment horizontal="right"/>
    </xf>
    <xf borderId="0" fillId="0" fontId="4" numFmtId="180" xfId="0" applyAlignment="1" applyFont="1" applyNumberFormat="1">
      <alignment horizontal="right"/>
    </xf>
    <xf borderId="0" fillId="0" fontId="4" numFmtId="169" xfId="0" applyAlignment="1" applyFont="1" applyNumberFormat="1">
      <alignment horizontal="right"/>
    </xf>
    <xf borderId="0" fillId="0" fontId="7" numFmtId="178" xfId="0" applyAlignment="1" applyFont="1" applyNumberFormat="1">
      <alignment horizontal="right"/>
    </xf>
    <xf borderId="1" fillId="10" fontId="9" numFmtId="0" xfId="0" applyBorder="1" applyFont="1"/>
    <xf borderId="1" fillId="10" fontId="7" numFmtId="180" xfId="0" applyAlignment="1" applyBorder="1" applyFont="1" applyNumberFormat="1">
      <alignment horizontal="right"/>
    </xf>
    <xf borderId="0" fillId="0" fontId="41" numFmtId="0" xfId="0" applyAlignment="1" applyFont="1">
      <alignment shrinkToFit="0" wrapText="1"/>
    </xf>
    <xf borderId="6" fillId="17" fontId="5" numFmtId="0" xfId="0" applyBorder="1" applyFont="1"/>
    <xf borderId="0" fillId="0" fontId="42" numFmtId="0" xfId="0" applyFont="1"/>
    <xf borderId="0" fillId="0" fontId="7" numFmtId="49" xfId="0" applyFont="1" applyNumberFormat="1"/>
    <xf borderId="0" fillId="0" fontId="7" numFmtId="180" xfId="0" applyFont="1" applyNumberFormat="1"/>
    <xf borderId="0" fillId="0" fontId="7" numFmtId="3" xfId="0" applyFont="1" applyNumberFormat="1"/>
    <xf borderId="0" fillId="0" fontId="9" numFmtId="49" xfId="0" applyFont="1" applyNumberFormat="1"/>
    <xf borderId="0" fillId="0" fontId="8" numFmtId="180" xfId="0" applyFont="1" applyNumberFormat="1"/>
    <xf borderId="0" fillId="0" fontId="8" numFmtId="3" xfId="0" applyFont="1" applyNumberFormat="1"/>
    <xf borderId="1" fillId="8" fontId="9" numFmtId="0" xfId="0" applyBorder="1" applyFont="1"/>
    <xf borderId="1" fillId="8" fontId="4" numFmtId="0" xfId="0" applyAlignment="1" applyBorder="1" applyFont="1">
      <alignment horizontal="right"/>
    </xf>
    <xf borderId="1" fillId="8" fontId="7" numFmtId="0" xfId="0" applyBorder="1" applyFont="1"/>
    <xf borderId="1" fillId="10" fontId="7" numFmtId="181" xfId="0" applyAlignment="1" applyBorder="1" applyFont="1" applyNumberFormat="1">
      <alignment horizontal="right"/>
    </xf>
    <xf borderId="1" fillId="10" fontId="7" numFmtId="0" xfId="0" applyBorder="1" applyFont="1"/>
    <xf borderId="0" fillId="0" fontId="7" numFmtId="181" xfId="0" applyAlignment="1" applyFont="1" applyNumberFormat="1">
      <alignment horizontal="right"/>
    </xf>
    <xf borderId="1" fillId="10" fontId="7" numFmtId="182" xfId="0" applyAlignment="1" applyBorder="1" applyFont="1" applyNumberFormat="1">
      <alignment horizontal="right"/>
    </xf>
    <xf borderId="0" fillId="0" fontId="7" numFmtId="182" xfId="0" applyAlignment="1" applyFont="1" applyNumberFormat="1">
      <alignment horizontal="right"/>
    </xf>
    <xf borderId="0" fillId="0" fontId="39" numFmtId="0" xfId="0" applyAlignment="1" applyFont="1">
      <alignment shrinkToFit="0" wrapText="1"/>
    </xf>
    <xf borderId="0" fillId="0" fontId="7" numFmtId="164" xfId="0" applyFont="1" applyNumberFormat="1"/>
    <xf borderId="0" fillId="0" fontId="7" numFmtId="9" xfId="0" applyFont="1" applyNumberForma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theme="0"/>
          <bgColor theme="0"/>
        </patternFill>
      </fill>
      <border/>
    </dxf>
  </dxfs>
  <tableStyles count="12">
    <tableStyle count="3" pivot="0" name="billing_jan_2026-style">
      <tableStyleElement dxfId="1" type="headerRow"/>
      <tableStyleElement dxfId="2" type="firstRowStripe"/>
      <tableStyleElement dxfId="3" type="secondRowStripe"/>
    </tableStyle>
    <tableStyle count="3" pivot="0" name="bank_statement_jan_2026-style">
      <tableStyleElement dxfId="1" type="headerRow"/>
      <tableStyleElement dxfId="2" type="firstRowStripe"/>
      <tableStyleElement dxfId="3" type="secondRowStripe"/>
    </tableStyle>
    <tableStyle count="3" pivot="0" name="bank_statement_feb_2026-style">
      <tableStyleElement dxfId="1" type="headerRow"/>
      <tableStyleElement dxfId="2" type="firstRowStripe"/>
      <tableStyleElement dxfId="3" type="secondRowStripe"/>
    </tableStyle>
    <tableStyle count="3" pivot="0" name="Billing Reconciliation-style">
      <tableStyleElement dxfId="1" type="headerRow"/>
      <tableStyleElement dxfId="2" type="firstRowStripe"/>
      <tableStyleElement dxfId="3" type="secondRowStripe"/>
    </tableStyle>
    <tableStyle count="3" pivot="0" name="Billing Reconciliation-style 2">
      <tableStyleElement dxfId="1" type="headerRow"/>
      <tableStyleElement dxfId="2" type="firstRowStripe"/>
      <tableStyleElement dxfId="3" type="secondRowStripe"/>
    </tableStyle>
    <tableStyle count="3" pivot="0" name="Billing Reconciliation-style 3">
      <tableStyleElement dxfId="1" type="headerRow"/>
      <tableStyleElement dxfId="2" type="firstRowStripe"/>
      <tableStyleElement dxfId="3" type="secondRowStripe"/>
    </tableStyle>
    <tableStyle count="3" pivot="0" name="Billing Reconciliation-style 4">
      <tableStyleElement dxfId="1" type="headerRow"/>
      <tableStyleElement dxfId="2" type="firstRowStripe"/>
      <tableStyleElement dxfId="3" type="secondRowStripe"/>
    </tableStyle>
    <tableStyle count="3" pivot="0" name="Billing Reconciliation-style 5">
      <tableStyleElement dxfId="1" type="headerRow"/>
      <tableStyleElement dxfId="2" type="firstRowStripe"/>
      <tableStyleElement dxfId="3" type="secondRowStripe"/>
    </tableStyle>
    <tableStyle count="3" pivot="0" name="KPI Tracker-style">
      <tableStyleElement dxfId="1" type="headerRow"/>
      <tableStyleElement dxfId="2" type="firstRowStripe"/>
      <tableStyleElement dxfId="3" type="secondRowStripe"/>
    </tableStyle>
    <tableStyle count="3" pivot="0" name="Waterfall Data-style">
      <tableStyleElement dxfId="1" type="headerRow"/>
      <tableStyleElement dxfId="2" type="firstRowStripe"/>
      <tableStyleElement dxfId="3" type="secondRowStripe"/>
    </tableStyle>
    <tableStyle count="3" pivot="0" name="Unit Economics-style">
      <tableStyleElement dxfId="1" type="headerRow"/>
      <tableStyleElement dxfId="3" type="firstRowStripe"/>
      <tableStyleElement dxfId="4" type="secondRowStripe"/>
    </tableStyle>
    <tableStyle count="3" pivot="0" name="Ref-style">
      <tableStyleElement dxfId="1"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48" displayName="Table_1" name="Table_1" id="1">
  <tableColumns count="19">
    <tableColumn name="invoice_id" id="1"/>
    <tableColumn name="invoice_number" id="2"/>
    <tableColumn name="invoice_date" id="3"/>
    <tableColumn name="customer_id" id="4"/>
    <tableColumn name="customer_name" id="5"/>
    <tableColumn name="subscription_id" id="6"/>
    <tableColumn name="plan_name" id="7"/>
    <tableColumn name="billing_cycle" id="8"/>
    <tableColumn name="period_start" id="9"/>
    <tableColumn name="period_end" id="10"/>
    <tableColumn name="seats" id="11"/>
    <tableColumn name="unit_price_usd" id="12"/>
    <tableColumn name="subtotal" id="13"/>
    <tableColumn name="discount_pct" id="14"/>
    <tableColumn name="discount_amount" id="15"/>
    <tableColumn name="amount_due_usd" id="16"/>
    <tableColumn name="status" id="17"/>
    <tableColumn name="payment_date" id="18"/>
    <tableColumn name="failure_reason" id="19"/>
  </tableColumns>
  <tableStyleInfo name="billing_jan_2026-style" showColumnStripes="0" showFirstColumn="1" showLastColumn="1" showRowStripes="1"/>
</table>
</file>

<file path=xl/tables/table2.xml><?xml version="1.0" encoding="utf-8"?>
<table xmlns="http://schemas.openxmlformats.org/spreadsheetml/2006/main" ref="A5:G51" displayName="Table_2" name="Table_2" id="2">
  <tableColumns count="7">
    <tableColumn name="transaction_date" id="1"/>
    <tableColumn name="post_date" id="2"/>
    <tableColumn name="description" id="3"/>
    <tableColumn name="type" id="4"/>
    <tableColumn name="amount" id="5"/>
    <tableColumn name="reference_number" id="6"/>
    <tableColumn name="running_balance" id="7"/>
  </tableColumns>
  <tableStyleInfo name="bank_statement_jan_2026-style" showColumnStripes="0" showFirstColumn="1" showLastColumn="1" showRowStripes="1"/>
</table>
</file>

<file path=xl/tables/table3.xml><?xml version="1.0" encoding="utf-8"?>
<table xmlns="http://schemas.openxmlformats.org/spreadsheetml/2006/main" ref="A5:G54" displayName="Table_3" name="Table_3" id="3">
  <tableColumns count="7">
    <tableColumn name="transaction_date" id="1"/>
    <tableColumn name="post_date" id="2"/>
    <tableColumn name="description" id="3"/>
    <tableColumn name="type" id="4"/>
    <tableColumn name="amount" id="5"/>
    <tableColumn name="reference_number" id="6"/>
    <tableColumn name="running_balance" id="7"/>
  </tableColumns>
  <tableStyleInfo name="bank_statement_feb_2026-style" showColumnStripes="0" showFirstColumn="1" showLastColumn="1" showRowStripes="1"/>
</table>
</file>

<file path=xl/tables/table4.xml><?xml version="1.0" encoding="utf-8"?>
<table xmlns="http://schemas.openxmlformats.org/spreadsheetml/2006/main" ref="A1:C7" displayName="Table_4" name="Table_4" id="4">
  <tableColumns count="3">
    <tableColumn name="Metric" id="1"/>
    <tableColumn name="Jan-26" id="2"/>
    <tableColumn name="Feb-26" id="3"/>
  </tableColumns>
  <tableStyleInfo name="Billing Reconciliation-style" showColumnStripes="0" showFirstColumn="1" showLastColumn="1" showRowStripes="1"/>
</table>
</file>

<file path=xl/tables/table5.xml><?xml version="1.0" encoding="utf-8"?>
<table xmlns="http://schemas.openxmlformats.org/spreadsheetml/2006/main" ref="A10:C16" displayName="Table_5" name="Table_5" id="5">
  <tableColumns count="3">
    <tableColumn name="Item" id="1"/>
    <tableColumn name="Jan-26" id="2"/>
    <tableColumn name="Feb-26" id="3"/>
  </tableColumns>
  <tableStyleInfo name="Billing Reconciliation-style 2" showColumnStripes="0" showFirstColumn="1" showLastColumn="1" showRowStripes="1"/>
</table>
</file>

<file path=xl/tables/table6.xml><?xml version="1.0" encoding="utf-8"?>
<table xmlns="http://schemas.openxmlformats.org/spreadsheetml/2006/main" ref="E10:G17" displayName="Table_6" name="Table_6" id="6">
  <tableColumns count="3">
    <tableColumn name="Item" id="1"/>
    <tableColumn name="Jan-26" id="2"/>
    <tableColumn name="Feb-26" id="3"/>
  </tableColumns>
  <tableStyleInfo name="Billing Reconciliation-style 3" showColumnStripes="0" showFirstColumn="1" showLastColumn="1" showRowStripes="1"/>
</table>
</file>

<file path=xl/tables/table7.xml><?xml version="1.0" encoding="utf-8"?>
<table xmlns="http://schemas.openxmlformats.org/spreadsheetml/2006/main" ref="A19:C23" displayName="Table_7" name="Table_7" id="7">
  <tableColumns count="3">
    <tableColumn name="Item" id="1"/>
    <tableColumn name="Jan-26" id="2"/>
    <tableColumn name="Feb-26" id="3"/>
  </tableColumns>
  <tableStyleInfo name="Billing Reconciliation-style 4" showColumnStripes="0" showFirstColumn="1" showLastColumn="1" showRowStripes="1"/>
</table>
</file>

<file path=xl/tables/table8.xml><?xml version="1.0" encoding="utf-8"?>
<table xmlns="http://schemas.openxmlformats.org/spreadsheetml/2006/main" ref="E19:G24" displayName="Table_8" name="Table_8" id="8">
  <tableColumns count="3">
    <tableColumn name="Item" id="1"/>
    <tableColumn name="Jan-26" id="2"/>
    <tableColumn name="Feb-26" id="3"/>
  </tableColumns>
  <tableStyleInfo name="Billing Reconciliation-style 5" showColumnStripes="0" showFirstColumn="1" showLastColumn="1" showRowStripes="1"/>
</table>
</file>

<file path=xl/tables/table9.xml><?xml version="1.0" encoding="utf-8"?>
<table xmlns="http://schemas.openxmlformats.org/spreadsheetml/2006/main" ref="A3:E16" displayName="Table_9" name="Table_9" id="9">
  <tableColumns count="5">
    <tableColumn name="Metric" id="1"/>
    <tableColumn name="Jan 2026" id="2"/>
    <tableColumn name="Feb 2026" id="3"/>
    <tableColumn name="Mar 2026" id="4"/>
    <tableColumn name="Q1 2026" id="5"/>
  </tableColumns>
  <tableStyleInfo name="KPI Tracker-style" showColumnStripes="0" showFirstColumn="1" showLastColumn="1" showRowStripes="1"/>
</table>
</file>

<file path=xl/tables/table10.xml><?xml version="1.0" encoding="utf-8"?>
<table xmlns="http://schemas.openxmlformats.org/spreadsheetml/2006/main" ref="A1:E22" displayName="Table_10" name="Table_10" id="10">
  <tableColumns count="5">
    <tableColumn name="Month" id="1"/>
    <tableColumn name="Movement" id="2"/>
    <tableColumn name="Actual" id="3"/>
    <tableColumn name="Forecast" id="4"/>
    <tableColumn name="Variance" id="5"/>
  </tableColumns>
  <tableStyleInfo name="Waterfall Data-style" showColumnStripes="0" showFirstColumn="1" showLastColumn="1" showRowStripes="1"/>
</table>
</file>

<file path=xl/tables/table11.xml><?xml version="1.0" encoding="utf-8"?>
<table xmlns="http://schemas.openxmlformats.org/spreadsheetml/2006/main" ref="A66:J80" displayName="Table_11" name="Table_11" id="11">
  <tableColumns count="10">
    <tableColumn name="Month" id="1"/>
    <tableColumn name="Sales Comp" id="2"/>
    <tableColumn name="Marketing Comp" id="3"/>
    <tableColumn name="Paid Ads" id="4"/>
    <tableColumn name="Content &amp; SEO" id="5"/>
    <tableColumn name="Partner Commissions" id="6"/>
    <tableColumn name="Tools &amp; Software" id="7"/>
    <tableColumn name="Events" id="8"/>
    <tableColumn name="Total S&amp;M" id="9"/>
    <tableColumn name="New Customers" id="10"/>
  </tableColumns>
  <tableStyleInfo name="Unit Economics-style" showColumnStripes="0" showFirstColumn="1" showLastColumn="1" showRowStripes="1"/>
</table>
</file>

<file path=xl/tables/table12.xml><?xml version="1.0" encoding="utf-8"?>
<table xmlns="http://schemas.openxmlformats.org/spreadsheetml/2006/main" ref="A1:D7" displayName="Table_12" name="Table_12" id="12">
  <tableColumns count="4">
    <tableColumn name="plan_name" id="1"/>
    <tableColumn name="monthly_price" id="2"/>
    <tableColumn name="monthly_cost" id="3"/>
    <tableColumn name="gross_margin" id="4"/>
  </tableColumns>
  <tableStyleInfo name="Re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8.xml"/><Relationship Id="rId10" Type="http://schemas.openxmlformats.org/officeDocument/2006/relationships/table" Target="../tables/table7.x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8.xml"/><Relationship Id="rId3"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29"/>
  </cols>
  <sheetData>
    <row r="2">
      <c r="A2" s="1" t="s">
        <v>0</v>
      </c>
      <c r="B2" s="1" t="s">
        <v>1</v>
      </c>
      <c r="C2" s="1" t="s">
        <v>2</v>
      </c>
      <c r="D2" s="1" t="s">
        <v>3</v>
      </c>
      <c r="E2" s="1" t="s">
        <v>4</v>
      </c>
      <c r="F2" s="1" t="s">
        <v>5</v>
      </c>
      <c r="G2" s="1" t="s">
        <v>6</v>
      </c>
    </row>
    <row r="3">
      <c r="A3" s="1" t="s">
        <v>7</v>
      </c>
      <c r="C3" s="2"/>
    </row>
    <row r="4">
      <c r="A4" s="3" t="s">
        <v>8</v>
      </c>
      <c r="B4" s="1">
        <v>500.0</v>
      </c>
      <c r="C4" s="4">
        <v>20.0</v>
      </c>
      <c r="D4" s="2">
        <f>E4+F4</f>
        <v>1340</v>
      </c>
      <c r="E4" s="2">
        <f>(B5-B4)*C4</f>
        <v>800</v>
      </c>
      <c r="F4" s="2">
        <f>(C5-C4)*B5</f>
        <v>540</v>
      </c>
      <c r="G4" s="5" t="str">
        <f>if(E4&gt;F4, "Volume", "Price")</f>
        <v>Volume</v>
      </c>
    </row>
    <row r="5">
      <c r="A5" s="3" t="s">
        <v>9</v>
      </c>
      <c r="B5" s="1">
        <v>540.0</v>
      </c>
      <c r="C5" s="4">
        <v>21.0</v>
      </c>
    </row>
    <row r="6">
      <c r="A6" s="1" t="s">
        <v>10</v>
      </c>
      <c r="C6" s="2"/>
    </row>
    <row r="7">
      <c r="A7" s="3" t="s">
        <v>8</v>
      </c>
      <c r="B7" s="1">
        <v>1000.0</v>
      </c>
      <c r="C7" s="4">
        <v>50.0</v>
      </c>
      <c r="D7" s="2">
        <f>E7+F7</f>
        <v>2250</v>
      </c>
      <c r="E7" s="2">
        <f>(B8-B7)*C7</f>
        <v>-2500</v>
      </c>
      <c r="F7" s="2">
        <f>(C8-C7)*B8</f>
        <v>4750</v>
      </c>
      <c r="G7" s="5" t="str">
        <f>if(E7&gt;F7, "Volume", "Price")</f>
        <v>Price</v>
      </c>
    </row>
    <row r="8">
      <c r="A8" s="3" t="s">
        <v>9</v>
      </c>
      <c r="B8" s="1">
        <v>950.0</v>
      </c>
      <c r="C8" s="4">
        <v>55.0</v>
      </c>
    </row>
    <row r="9">
      <c r="A9" s="1" t="s">
        <v>11</v>
      </c>
      <c r="C9" s="2"/>
    </row>
    <row r="10">
      <c r="A10" s="3" t="s">
        <v>8</v>
      </c>
      <c r="B10" s="1">
        <v>2000.0</v>
      </c>
      <c r="C10" s="4">
        <v>8.0</v>
      </c>
      <c r="D10" s="2">
        <f>E10+F10</f>
        <v>2000</v>
      </c>
      <c r="E10" s="2">
        <f>(B11-B10)*C10</f>
        <v>3200</v>
      </c>
      <c r="F10" s="2">
        <f>(C11-C10)*B11</f>
        <v>-1200</v>
      </c>
      <c r="G10" s="5" t="str">
        <f>if(E10&gt;F10, "Volume", "Price")</f>
        <v>Volume</v>
      </c>
    </row>
    <row r="11">
      <c r="A11" s="3" t="s">
        <v>9</v>
      </c>
      <c r="B11" s="1">
        <v>2400.0</v>
      </c>
      <c r="C11" s="4">
        <v>7.5</v>
      </c>
    </row>
    <row r="12">
      <c r="A12" s="1" t="s">
        <v>12</v>
      </c>
      <c r="C12" s="2"/>
    </row>
    <row r="13">
      <c r="A13" s="3" t="s">
        <v>13</v>
      </c>
      <c r="B13" s="1">
        <v>50.0</v>
      </c>
      <c r="C13" s="4">
        <v>3000.0</v>
      </c>
      <c r="D13" s="2">
        <f>E13+F13</f>
        <v>29200</v>
      </c>
      <c r="E13" s="2">
        <f>(B14-B13)*C13</f>
        <v>18000</v>
      </c>
      <c r="F13" s="2">
        <f>(C14-C13)*B14</f>
        <v>11200</v>
      </c>
      <c r="G13" s="5" t="str">
        <f>if(E13&gt;F13, "Volume", "Price")</f>
        <v>Volume</v>
      </c>
    </row>
    <row r="14">
      <c r="A14" s="3" t="s">
        <v>14</v>
      </c>
      <c r="B14" s="1">
        <v>56.0</v>
      </c>
      <c r="C14" s="4">
        <v>3200.0</v>
      </c>
    </row>
    <row r="15">
      <c r="C15" s="2"/>
    </row>
    <row r="16">
      <c r="A16" s="6" t="s">
        <v>15</v>
      </c>
      <c r="C16" s="2"/>
    </row>
    <row r="17">
      <c r="A17" s="1" t="s">
        <v>16</v>
      </c>
      <c r="C17" s="2"/>
    </row>
    <row r="18">
      <c r="A18" s="1" t="s">
        <v>17</v>
      </c>
      <c r="C18" s="2"/>
    </row>
    <row r="19">
      <c r="A19" s="1" t="s">
        <v>18</v>
      </c>
      <c r="C19" s="2"/>
    </row>
    <row r="20">
      <c r="A20" s="1" t="s">
        <v>19</v>
      </c>
      <c r="C20" s="2"/>
    </row>
    <row r="21">
      <c r="A21" s="1" t="s">
        <v>20</v>
      </c>
      <c r="C21" s="2"/>
    </row>
    <row r="22">
      <c r="C22" s="2"/>
    </row>
    <row r="23">
      <c r="A23" s="6" t="s">
        <v>21</v>
      </c>
      <c r="C23" s="2"/>
    </row>
    <row r="24">
      <c r="A24" s="1" t="s">
        <v>22</v>
      </c>
      <c r="C24" s="2"/>
    </row>
    <row r="25">
      <c r="A25" s="1" t="s">
        <v>23</v>
      </c>
      <c r="C25" s="2"/>
    </row>
    <row r="26">
      <c r="A26" s="1" t="s">
        <v>24</v>
      </c>
      <c r="C26" s="2"/>
    </row>
    <row r="27">
      <c r="A27" s="1" t="s">
        <v>25</v>
      </c>
      <c r="C27" s="2"/>
    </row>
    <row r="28">
      <c r="A28" s="1" t="s">
        <v>26</v>
      </c>
      <c r="C28" s="2"/>
    </row>
    <row r="29">
      <c r="A29" s="1" t="s">
        <v>27</v>
      </c>
      <c r="C29" s="2"/>
    </row>
    <row r="30">
      <c r="C30" s="2"/>
    </row>
    <row r="31">
      <c r="C31" s="2"/>
    </row>
    <row r="32">
      <c r="C32" s="2"/>
    </row>
    <row r="33">
      <c r="C33" s="2"/>
    </row>
    <row r="34">
      <c r="C34" s="2"/>
    </row>
    <row r="35">
      <c r="C35" s="2"/>
    </row>
    <row r="36">
      <c r="C36" s="2"/>
    </row>
    <row r="37">
      <c r="C37" s="2"/>
    </row>
    <row r="38">
      <c r="C3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16.29"/>
    <col customWidth="1" min="3" max="3" width="13.43"/>
    <col customWidth="1" min="4" max="4" width="13.29"/>
    <col customWidth="1" min="5" max="5" width="24.43"/>
    <col customWidth="1" min="6" max="6" width="15.57"/>
    <col customWidth="1" min="7" max="7" width="17.0"/>
    <col customWidth="1" min="8" max="8" width="12.71"/>
    <col customWidth="1" min="9" max="9" width="13.29"/>
    <col customWidth="1" min="10" max="10" width="12.43"/>
    <col customWidth="1" min="11" max="11" width="7.14"/>
    <col customWidth="1" min="12" max="12" width="15.29"/>
    <col customWidth="1" min="13" max="13" width="9.86"/>
    <col customWidth="1" min="14" max="14" width="13.57"/>
    <col customWidth="1" min="15" max="16" width="17.57"/>
    <col customWidth="1" min="17" max="17" width="8.0"/>
    <col customWidth="1" min="18" max="18" width="15.14"/>
    <col customWidth="1" min="19" max="19" width="14.86"/>
    <col customWidth="1" min="20" max="26" width="8.71"/>
  </cols>
  <sheetData>
    <row r="1" ht="14.25" customHeight="1">
      <c r="A1" s="7" t="s">
        <v>28</v>
      </c>
      <c r="B1" s="7" t="s">
        <v>29</v>
      </c>
      <c r="C1" s="7" t="s">
        <v>30</v>
      </c>
      <c r="D1" s="7" t="s">
        <v>31</v>
      </c>
      <c r="E1" s="7" t="s">
        <v>32</v>
      </c>
      <c r="F1" s="7" t="s">
        <v>33</v>
      </c>
      <c r="G1" s="7" t="s">
        <v>34</v>
      </c>
      <c r="H1" s="7" t="s">
        <v>35</v>
      </c>
      <c r="I1" s="7" t="s">
        <v>36</v>
      </c>
      <c r="J1" s="7" t="s">
        <v>37</v>
      </c>
      <c r="K1" s="7" t="s">
        <v>38</v>
      </c>
      <c r="L1" s="7" t="s">
        <v>39</v>
      </c>
      <c r="M1" s="7" t="s">
        <v>40</v>
      </c>
      <c r="N1" s="7" t="s">
        <v>41</v>
      </c>
      <c r="O1" s="7" t="s">
        <v>42</v>
      </c>
      <c r="P1" s="7" t="s">
        <v>43</v>
      </c>
      <c r="Q1" s="7" t="s">
        <v>44</v>
      </c>
      <c r="R1" s="7" t="s">
        <v>45</v>
      </c>
      <c r="S1" s="7" t="s">
        <v>46</v>
      </c>
    </row>
    <row r="2" ht="14.25" customHeight="1">
      <c r="A2" s="8" t="s">
        <v>47</v>
      </c>
      <c r="B2" s="8" t="s">
        <v>48</v>
      </c>
      <c r="C2" s="9">
        <v>46023.0</v>
      </c>
      <c r="D2" s="8" t="s">
        <v>49</v>
      </c>
      <c r="E2" s="8" t="s">
        <v>50</v>
      </c>
      <c r="F2" s="8" t="s">
        <v>51</v>
      </c>
      <c r="G2" s="8" t="s">
        <v>52</v>
      </c>
      <c r="H2" s="8" t="s">
        <v>53</v>
      </c>
      <c r="I2" s="9">
        <v>46023.0</v>
      </c>
      <c r="J2" s="9">
        <v>46053.0</v>
      </c>
      <c r="K2" s="8">
        <v>16.0</v>
      </c>
      <c r="L2" s="8">
        <v>85.0</v>
      </c>
      <c r="M2" s="8">
        <v>1360.0</v>
      </c>
      <c r="N2" s="8">
        <v>0.0</v>
      </c>
      <c r="O2" s="8">
        <v>0.0</v>
      </c>
      <c r="P2" s="8">
        <v>1360.0</v>
      </c>
      <c r="Q2" s="8" t="s">
        <v>54</v>
      </c>
      <c r="R2" s="9">
        <v>46023.0</v>
      </c>
      <c r="S2" s="8"/>
    </row>
    <row r="3" ht="14.25" customHeight="1">
      <c r="A3" s="8" t="s">
        <v>55</v>
      </c>
      <c r="B3" s="8" t="s">
        <v>56</v>
      </c>
      <c r="C3" s="9">
        <v>46023.0</v>
      </c>
      <c r="D3" s="8" t="s">
        <v>49</v>
      </c>
      <c r="E3" s="8" t="s">
        <v>50</v>
      </c>
      <c r="F3" s="8" t="s">
        <v>57</v>
      </c>
      <c r="G3" s="8" t="s">
        <v>58</v>
      </c>
      <c r="H3" s="8" t="s">
        <v>53</v>
      </c>
      <c r="I3" s="9">
        <v>46023.0</v>
      </c>
      <c r="J3" s="9">
        <v>46053.0</v>
      </c>
      <c r="K3" s="8">
        <v>15.0</v>
      </c>
      <c r="L3" s="8">
        <v>45.0</v>
      </c>
      <c r="M3" s="8">
        <v>675.0</v>
      </c>
      <c r="N3" s="8">
        <v>12.0</v>
      </c>
      <c r="O3" s="8">
        <v>81.0</v>
      </c>
      <c r="P3" s="8">
        <v>594.0</v>
      </c>
      <c r="Q3" s="8" t="s">
        <v>54</v>
      </c>
      <c r="R3" s="9">
        <v>46023.0</v>
      </c>
      <c r="S3" s="8"/>
    </row>
    <row r="4" ht="14.25" customHeight="1">
      <c r="A4" s="8" t="s">
        <v>59</v>
      </c>
      <c r="B4" s="8" t="s">
        <v>60</v>
      </c>
      <c r="C4" s="9">
        <v>46024.0</v>
      </c>
      <c r="D4" s="8" t="s">
        <v>61</v>
      </c>
      <c r="E4" s="8" t="s">
        <v>62</v>
      </c>
      <c r="F4" s="8" t="s">
        <v>63</v>
      </c>
      <c r="G4" s="8" t="s">
        <v>64</v>
      </c>
      <c r="H4" s="8" t="s">
        <v>53</v>
      </c>
      <c r="I4" s="9">
        <v>46024.0</v>
      </c>
      <c r="J4" s="9">
        <v>46053.0</v>
      </c>
      <c r="K4" s="8">
        <v>35.0</v>
      </c>
      <c r="L4" s="8">
        <v>180.0</v>
      </c>
      <c r="M4" s="8">
        <v>6300.0</v>
      </c>
      <c r="N4" s="8">
        <v>0.0</v>
      </c>
      <c r="O4" s="8">
        <v>0.0</v>
      </c>
      <c r="P4" s="8">
        <v>6300.0</v>
      </c>
      <c r="Q4" s="8" t="s">
        <v>54</v>
      </c>
      <c r="R4" s="9">
        <v>46024.0</v>
      </c>
      <c r="S4" s="8"/>
    </row>
    <row r="5" ht="14.25" customHeight="1">
      <c r="A5" s="8" t="s">
        <v>65</v>
      </c>
      <c r="B5" s="8" t="s">
        <v>66</v>
      </c>
      <c r="C5" s="9">
        <v>46025.0</v>
      </c>
      <c r="D5" s="8" t="s">
        <v>67</v>
      </c>
      <c r="E5" s="8" t="s">
        <v>68</v>
      </c>
      <c r="F5" s="8" t="s">
        <v>69</v>
      </c>
      <c r="G5" s="8" t="s">
        <v>52</v>
      </c>
      <c r="H5" s="8" t="s">
        <v>53</v>
      </c>
      <c r="I5" s="9">
        <v>46025.0</v>
      </c>
      <c r="J5" s="9">
        <v>46053.0</v>
      </c>
      <c r="K5" s="8">
        <v>22.0</v>
      </c>
      <c r="L5" s="8">
        <v>85.0</v>
      </c>
      <c r="M5" s="8">
        <v>1870.0</v>
      </c>
      <c r="N5" s="8">
        <v>0.0</v>
      </c>
      <c r="O5" s="8">
        <v>0.0</v>
      </c>
      <c r="P5" s="8">
        <v>1870.0</v>
      </c>
      <c r="Q5" s="8" t="s">
        <v>54</v>
      </c>
      <c r="R5" s="9">
        <v>46025.0</v>
      </c>
      <c r="S5" s="8"/>
    </row>
    <row r="6" ht="14.25" customHeight="1">
      <c r="A6" s="8" t="s">
        <v>70</v>
      </c>
      <c r="B6" s="8" t="s">
        <v>71</v>
      </c>
      <c r="C6" s="9">
        <v>46027.0</v>
      </c>
      <c r="D6" s="8" t="s">
        <v>72</v>
      </c>
      <c r="E6" s="8" t="s">
        <v>73</v>
      </c>
      <c r="F6" s="8" t="s">
        <v>74</v>
      </c>
      <c r="G6" s="8" t="s">
        <v>52</v>
      </c>
      <c r="H6" s="8" t="s">
        <v>53</v>
      </c>
      <c r="I6" s="9">
        <v>46027.0</v>
      </c>
      <c r="J6" s="9">
        <v>46053.0</v>
      </c>
      <c r="K6" s="8">
        <v>23.0</v>
      </c>
      <c r="L6" s="8">
        <v>85.0</v>
      </c>
      <c r="M6" s="8">
        <v>1955.0</v>
      </c>
      <c r="N6" s="8">
        <v>0.0</v>
      </c>
      <c r="O6" s="8">
        <v>0.0</v>
      </c>
      <c r="P6" s="8">
        <v>1955.0</v>
      </c>
      <c r="Q6" s="8" t="s">
        <v>54</v>
      </c>
      <c r="R6" s="9">
        <v>46027.0</v>
      </c>
      <c r="S6" s="8"/>
    </row>
    <row r="7" ht="14.25" customHeight="1">
      <c r="A7" s="8" t="s">
        <v>75</v>
      </c>
      <c r="B7" s="8" t="s">
        <v>76</v>
      </c>
      <c r="C7" s="9">
        <v>46027.0</v>
      </c>
      <c r="D7" s="8" t="s">
        <v>77</v>
      </c>
      <c r="E7" s="8" t="s">
        <v>78</v>
      </c>
      <c r="F7" s="8" t="s">
        <v>79</v>
      </c>
      <c r="G7" s="8" t="s">
        <v>52</v>
      </c>
      <c r="H7" s="8" t="s">
        <v>53</v>
      </c>
      <c r="I7" s="9">
        <v>46027.0</v>
      </c>
      <c r="J7" s="9">
        <v>46053.0</v>
      </c>
      <c r="K7" s="8">
        <v>33.0</v>
      </c>
      <c r="L7" s="8">
        <v>85.0</v>
      </c>
      <c r="M7" s="8">
        <v>2805.0</v>
      </c>
      <c r="N7" s="8">
        <v>0.0</v>
      </c>
      <c r="O7" s="8">
        <v>0.0</v>
      </c>
      <c r="P7" s="8">
        <v>2805.0</v>
      </c>
      <c r="Q7" s="8" t="s">
        <v>54</v>
      </c>
      <c r="R7" s="9">
        <v>46027.0</v>
      </c>
      <c r="S7" s="8"/>
    </row>
    <row r="8" ht="14.25" customHeight="1">
      <c r="A8" s="8" t="s">
        <v>80</v>
      </c>
      <c r="B8" s="8" t="s">
        <v>81</v>
      </c>
      <c r="C8" s="9">
        <v>46027.0</v>
      </c>
      <c r="D8" s="8" t="s">
        <v>82</v>
      </c>
      <c r="E8" s="8" t="s">
        <v>83</v>
      </c>
      <c r="F8" s="8" t="s">
        <v>84</v>
      </c>
      <c r="G8" s="8" t="s">
        <v>64</v>
      </c>
      <c r="H8" s="8" t="s">
        <v>53</v>
      </c>
      <c r="I8" s="9">
        <v>46027.0</v>
      </c>
      <c r="J8" s="9">
        <v>46053.0</v>
      </c>
      <c r="K8" s="8">
        <v>31.0</v>
      </c>
      <c r="L8" s="8">
        <v>180.0</v>
      </c>
      <c r="M8" s="8">
        <v>5580.0</v>
      </c>
      <c r="N8" s="8">
        <v>0.0</v>
      </c>
      <c r="O8" s="8">
        <v>0.0</v>
      </c>
      <c r="P8" s="8">
        <v>5580.0</v>
      </c>
      <c r="Q8" s="8" t="s">
        <v>54</v>
      </c>
      <c r="R8" s="9">
        <v>46027.0</v>
      </c>
      <c r="S8" s="8"/>
    </row>
    <row r="9" ht="14.25" customHeight="1">
      <c r="A9" s="8" t="s">
        <v>85</v>
      </c>
      <c r="B9" s="8" t="s">
        <v>86</v>
      </c>
      <c r="C9" s="9">
        <v>46027.0</v>
      </c>
      <c r="D9" s="8" t="s">
        <v>87</v>
      </c>
      <c r="E9" s="8" t="s">
        <v>88</v>
      </c>
      <c r="F9" s="8" t="s">
        <v>89</v>
      </c>
      <c r="G9" s="8" t="s">
        <v>52</v>
      </c>
      <c r="H9" s="8" t="s">
        <v>53</v>
      </c>
      <c r="I9" s="9">
        <v>46027.0</v>
      </c>
      <c r="J9" s="9">
        <v>46053.0</v>
      </c>
      <c r="K9" s="8">
        <v>22.0</v>
      </c>
      <c r="L9" s="8">
        <v>85.0</v>
      </c>
      <c r="M9" s="8">
        <v>1870.0</v>
      </c>
      <c r="N9" s="8">
        <v>0.0</v>
      </c>
      <c r="O9" s="8">
        <v>0.0</v>
      </c>
      <c r="P9" s="8">
        <v>1870.0</v>
      </c>
      <c r="Q9" s="8" t="s">
        <v>54</v>
      </c>
      <c r="R9" s="9">
        <v>46027.0</v>
      </c>
      <c r="S9" s="8"/>
    </row>
    <row r="10" ht="14.25" customHeight="1">
      <c r="A10" s="8" t="s">
        <v>90</v>
      </c>
      <c r="B10" s="8" t="s">
        <v>91</v>
      </c>
      <c r="C10" s="9">
        <v>46028.0</v>
      </c>
      <c r="D10" s="8" t="s">
        <v>82</v>
      </c>
      <c r="E10" s="8" t="s">
        <v>83</v>
      </c>
      <c r="F10" s="8" t="s">
        <v>92</v>
      </c>
      <c r="G10" s="8" t="s">
        <v>93</v>
      </c>
      <c r="H10" s="8" t="s">
        <v>53</v>
      </c>
      <c r="I10" s="9">
        <v>46028.0</v>
      </c>
      <c r="J10" s="9">
        <v>46053.0</v>
      </c>
      <c r="K10" s="8">
        <v>28.0</v>
      </c>
      <c r="L10" s="8">
        <v>110.0</v>
      </c>
      <c r="M10" s="8">
        <v>3080.0</v>
      </c>
      <c r="N10" s="8">
        <v>0.0</v>
      </c>
      <c r="O10" s="8">
        <v>0.0</v>
      </c>
      <c r="P10" s="8">
        <v>3080.0</v>
      </c>
      <c r="Q10" s="8" t="s">
        <v>54</v>
      </c>
      <c r="R10" s="9">
        <v>46028.0</v>
      </c>
      <c r="S10" s="8"/>
    </row>
    <row r="11" ht="14.25" customHeight="1">
      <c r="A11" s="8" t="s">
        <v>94</v>
      </c>
      <c r="B11" s="8" t="s">
        <v>95</v>
      </c>
      <c r="C11" s="9">
        <v>46030.0</v>
      </c>
      <c r="D11" s="8" t="s">
        <v>96</v>
      </c>
      <c r="E11" s="8" t="s">
        <v>97</v>
      </c>
      <c r="F11" s="8" t="s">
        <v>98</v>
      </c>
      <c r="G11" s="8" t="s">
        <v>52</v>
      </c>
      <c r="H11" s="8" t="s">
        <v>53</v>
      </c>
      <c r="I11" s="9">
        <v>46030.0</v>
      </c>
      <c r="J11" s="9">
        <v>46053.0</v>
      </c>
      <c r="K11" s="8">
        <v>28.0</v>
      </c>
      <c r="L11" s="8">
        <v>85.0</v>
      </c>
      <c r="M11" s="8">
        <v>2380.0</v>
      </c>
      <c r="N11" s="8">
        <v>0.0</v>
      </c>
      <c r="O11" s="8">
        <v>0.0</v>
      </c>
      <c r="P11" s="8">
        <v>2380.0</v>
      </c>
      <c r="Q11" s="8" t="s">
        <v>54</v>
      </c>
      <c r="R11" s="9">
        <v>46030.0</v>
      </c>
      <c r="S11" s="8"/>
    </row>
    <row r="12" ht="14.25" customHeight="1">
      <c r="A12" s="8" t="s">
        <v>99</v>
      </c>
      <c r="B12" s="8" t="s">
        <v>100</v>
      </c>
      <c r="C12" s="9">
        <v>46030.0</v>
      </c>
      <c r="D12" s="8" t="s">
        <v>101</v>
      </c>
      <c r="E12" s="8" t="s">
        <v>102</v>
      </c>
      <c r="F12" s="8" t="s">
        <v>103</v>
      </c>
      <c r="G12" s="8" t="s">
        <v>52</v>
      </c>
      <c r="H12" s="8" t="s">
        <v>53</v>
      </c>
      <c r="I12" s="9">
        <v>46030.0</v>
      </c>
      <c r="J12" s="9">
        <v>46053.0</v>
      </c>
      <c r="K12" s="8">
        <v>13.0</v>
      </c>
      <c r="L12" s="8">
        <v>85.0</v>
      </c>
      <c r="M12" s="8">
        <v>1105.0</v>
      </c>
      <c r="N12" s="8">
        <v>0.0</v>
      </c>
      <c r="O12" s="8">
        <v>0.0</v>
      </c>
      <c r="P12" s="8">
        <v>1105.0</v>
      </c>
      <c r="Q12" s="8" t="s">
        <v>54</v>
      </c>
      <c r="R12" s="9">
        <v>46030.0</v>
      </c>
      <c r="S12" s="8"/>
    </row>
    <row r="13" ht="14.25" customHeight="1">
      <c r="A13" s="8" t="s">
        <v>104</v>
      </c>
      <c r="B13" s="8" t="s">
        <v>105</v>
      </c>
      <c r="C13" s="9">
        <v>46030.0</v>
      </c>
      <c r="D13" s="8" t="s">
        <v>106</v>
      </c>
      <c r="E13" s="8" t="s">
        <v>107</v>
      </c>
      <c r="F13" s="8" t="s">
        <v>108</v>
      </c>
      <c r="G13" s="8" t="s">
        <v>93</v>
      </c>
      <c r="H13" s="8" t="s">
        <v>53</v>
      </c>
      <c r="I13" s="9">
        <v>46030.0</v>
      </c>
      <c r="J13" s="9">
        <v>46053.0</v>
      </c>
      <c r="K13" s="8">
        <v>26.0</v>
      </c>
      <c r="L13" s="8">
        <v>110.0</v>
      </c>
      <c r="M13" s="8">
        <v>2860.0</v>
      </c>
      <c r="N13" s="8">
        <v>0.0</v>
      </c>
      <c r="O13" s="8">
        <v>0.0</v>
      </c>
      <c r="P13" s="8">
        <v>2860.0</v>
      </c>
      <c r="Q13" s="8" t="s">
        <v>54</v>
      </c>
      <c r="R13" s="9">
        <v>46030.0</v>
      </c>
      <c r="S13" s="8"/>
    </row>
    <row r="14" ht="14.25" customHeight="1">
      <c r="A14" s="8" t="s">
        <v>109</v>
      </c>
      <c r="B14" s="8" t="s">
        <v>110</v>
      </c>
      <c r="C14" s="9">
        <v>46031.0</v>
      </c>
      <c r="D14" s="8" t="s">
        <v>111</v>
      </c>
      <c r="E14" s="8" t="s">
        <v>112</v>
      </c>
      <c r="F14" s="8" t="s">
        <v>113</v>
      </c>
      <c r="G14" s="8" t="s">
        <v>58</v>
      </c>
      <c r="H14" s="8" t="s">
        <v>53</v>
      </c>
      <c r="I14" s="9">
        <v>46031.0</v>
      </c>
      <c r="J14" s="9">
        <v>46053.0</v>
      </c>
      <c r="K14" s="8">
        <v>13.0</v>
      </c>
      <c r="L14" s="8">
        <v>45.0</v>
      </c>
      <c r="M14" s="8">
        <v>585.0</v>
      </c>
      <c r="N14" s="8">
        <v>0.0</v>
      </c>
      <c r="O14" s="8">
        <v>0.0</v>
      </c>
      <c r="P14" s="8">
        <v>585.0</v>
      </c>
      <c r="Q14" s="8" t="s">
        <v>54</v>
      </c>
      <c r="R14" s="9">
        <v>46031.0</v>
      </c>
      <c r="S14" s="8"/>
    </row>
    <row r="15" ht="14.25" customHeight="1">
      <c r="A15" s="8" t="s">
        <v>114</v>
      </c>
      <c r="B15" s="8" t="s">
        <v>115</v>
      </c>
      <c r="C15" s="9">
        <v>46032.0</v>
      </c>
      <c r="D15" s="8" t="s">
        <v>116</v>
      </c>
      <c r="E15" s="8" t="s">
        <v>117</v>
      </c>
      <c r="F15" s="8" t="s">
        <v>118</v>
      </c>
      <c r="G15" s="8" t="s">
        <v>119</v>
      </c>
      <c r="H15" s="8" t="s">
        <v>53</v>
      </c>
      <c r="I15" s="9">
        <v>46032.0</v>
      </c>
      <c r="J15" s="9">
        <v>46053.0</v>
      </c>
      <c r="K15" s="8">
        <v>23.0</v>
      </c>
      <c r="L15" s="8">
        <v>95.0</v>
      </c>
      <c r="M15" s="8">
        <v>2185.0</v>
      </c>
      <c r="N15" s="8">
        <v>0.0</v>
      </c>
      <c r="O15" s="8">
        <v>0.0</v>
      </c>
      <c r="P15" s="8">
        <v>2185.0</v>
      </c>
      <c r="Q15" s="8" t="s">
        <v>54</v>
      </c>
      <c r="R15" s="9">
        <v>46032.0</v>
      </c>
      <c r="S15" s="8"/>
    </row>
    <row r="16" ht="14.25" customHeight="1">
      <c r="A16" s="8" t="s">
        <v>120</v>
      </c>
      <c r="B16" s="8" t="s">
        <v>121</v>
      </c>
      <c r="C16" s="9">
        <v>46032.0</v>
      </c>
      <c r="D16" s="8" t="s">
        <v>72</v>
      </c>
      <c r="E16" s="8" t="s">
        <v>73</v>
      </c>
      <c r="F16" s="8" t="s">
        <v>122</v>
      </c>
      <c r="G16" s="8" t="s">
        <v>93</v>
      </c>
      <c r="H16" s="8" t="s">
        <v>53</v>
      </c>
      <c r="I16" s="9">
        <v>46032.0</v>
      </c>
      <c r="J16" s="9">
        <v>46053.0</v>
      </c>
      <c r="K16" s="8">
        <v>19.0</v>
      </c>
      <c r="L16" s="8">
        <v>110.0</v>
      </c>
      <c r="M16" s="8">
        <v>2090.0</v>
      </c>
      <c r="N16" s="8">
        <v>0.0</v>
      </c>
      <c r="O16" s="8">
        <v>0.0</v>
      </c>
      <c r="P16" s="8">
        <v>2090.0</v>
      </c>
      <c r="Q16" s="8" t="s">
        <v>54</v>
      </c>
      <c r="R16" s="9">
        <v>46032.0</v>
      </c>
      <c r="S16" s="8"/>
    </row>
    <row r="17" ht="14.25" customHeight="1">
      <c r="A17" s="8" t="s">
        <v>123</v>
      </c>
      <c r="B17" s="8" t="s">
        <v>124</v>
      </c>
      <c r="C17" s="9">
        <v>46032.0</v>
      </c>
      <c r="D17" s="8" t="s">
        <v>96</v>
      </c>
      <c r="E17" s="8" t="s">
        <v>97</v>
      </c>
      <c r="F17" s="8" t="s">
        <v>125</v>
      </c>
      <c r="G17" s="8" t="s">
        <v>93</v>
      </c>
      <c r="H17" s="8" t="s">
        <v>53</v>
      </c>
      <c r="I17" s="9">
        <v>46032.0</v>
      </c>
      <c r="J17" s="9">
        <v>46053.0</v>
      </c>
      <c r="K17" s="8">
        <v>23.0</v>
      </c>
      <c r="L17" s="8">
        <v>110.0</v>
      </c>
      <c r="M17" s="8">
        <v>2530.0</v>
      </c>
      <c r="N17" s="8">
        <v>0.0</v>
      </c>
      <c r="O17" s="8">
        <v>0.0</v>
      </c>
      <c r="P17" s="8">
        <v>2530.0</v>
      </c>
      <c r="Q17" s="8" t="s">
        <v>54</v>
      </c>
      <c r="R17" s="9">
        <v>46032.0</v>
      </c>
      <c r="S17" s="8"/>
    </row>
    <row r="18" ht="14.25" customHeight="1">
      <c r="A18" s="8" t="s">
        <v>126</v>
      </c>
      <c r="B18" s="8" t="s">
        <v>127</v>
      </c>
      <c r="C18" s="9">
        <v>46034.0</v>
      </c>
      <c r="D18" s="8" t="s">
        <v>128</v>
      </c>
      <c r="E18" s="8" t="s">
        <v>129</v>
      </c>
      <c r="F18" s="8" t="s">
        <v>130</v>
      </c>
      <c r="G18" s="8" t="s">
        <v>119</v>
      </c>
      <c r="H18" s="8" t="s">
        <v>53</v>
      </c>
      <c r="I18" s="9">
        <v>46034.0</v>
      </c>
      <c r="J18" s="9">
        <v>46053.0</v>
      </c>
      <c r="K18" s="8">
        <v>18.0</v>
      </c>
      <c r="L18" s="8">
        <v>95.0</v>
      </c>
      <c r="M18" s="8">
        <v>1710.0</v>
      </c>
      <c r="N18" s="8">
        <v>0.0</v>
      </c>
      <c r="O18" s="8">
        <v>0.0</v>
      </c>
      <c r="P18" s="8">
        <v>1710.0</v>
      </c>
      <c r="Q18" s="8" t="s">
        <v>54</v>
      </c>
      <c r="R18" s="9">
        <v>46034.0</v>
      </c>
      <c r="S18" s="8"/>
    </row>
    <row r="19" ht="14.25" customHeight="1">
      <c r="A19" s="8" t="s">
        <v>131</v>
      </c>
      <c r="B19" s="8" t="s">
        <v>132</v>
      </c>
      <c r="C19" s="9">
        <v>46034.0</v>
      </c>
      <c r="D19" s="8" t="s">
        <v>133</v>
      </c>
      <c r="E19" s="8" t="s">
        <v>134</v>
      </c>
      <c r="F19" s="8" t="s">
        <v>135</v>
      </c>
      <c r="G19" s="8" t="s">
        <v>52</v>
      </c>
      <c r="H19" s="8" t="s">
        <v>53</v>
      </c>
      <c r="I19" s="9">
        <v>46034.0</v>
      </c>
      <c r="J19" s="9">
        <v>46053.0</v>
      </c>
      <c r="K19" s="8">
        <v>38.0</v>
      </c>
      <c r="L19" s="8">
        <v>85.0</v>
      </c>
      <c r="M19" s="8">
        <v>3230.0</v>
      </c>
      <c r="N19" s="8">
        <v>0.0</v>
      </c>
      <c r="O19" s="8">
        <v>0.0</v>
      </c>
      <c r="P19" s="8">
        <v>3230.0</v>
      </c>
      <c r="Q19" s="8" t="s">
        <v>54</v>
      </c>
      <c r="R19" s="9">
        <v>46034.0</v>
      </c>
      <c r="S19" s="8"/>
    </row>
    <row r="20" ht="14.25" customHeight="1">
      <c r="A20" s="8" t="s">
        <v>136</v>
      </c>
      <c r="B20" s="8" t="s">
        <v>137</v>
      </c>
      <c r="C20" s="9">
        <v>46035.0</v>
      </c>
      <c r="D20" s="8" t="s">
        <v>101</v>
      </c>
      <c r="E20" s="8" t="s">
        <v>102</v>
      </c>
      <c r="F20" s="8" t="s">
        <v>138</v>
      </c>
      <c r="G20" s="8" t="s">
        <v>58</v>
      </c>
      <c r="H20" s="8" t="s">
        <v>53</v>
      </c>
      <c r="I20" s="9">
        <v>46035.0</v>
      </c>
      <c r="J20" s="9">
        <v>46053.0</v>
      </c>
      <c r="K20" s="8">
        <v>13.0</v>
      </c>
      <c r="L20" s="8">
        <v>45.0</v>
      </c>
      <c r="M20" s="8">
        <v>585.0</v>
      </c>
      <c r="N20" s="8">
        <v>0.0</v>
      </c>
      <c r="O20" s="8">
        <v>0.0</v>
      </c>
      <c r="P20" s="8">
        <v>585.0</v>
      </c>
      <c r="Q20" s="8" t="s">
        <v>54</v>
      </c>
      <c r="R20" s="9">
        <v>46035.0</v>
      </c>
      <c r="S20" s="8"/>
    </row>
    <row r="21" ht="14.25" customHeight="1">
      <c r="A21" s="8" t="s">
        <v>139</v>
      </c>
      <c r="B21" s="8" t="s">
        <v>140</v>
      </c>
      <c r="C21" s="9">
        <v>46036.0</v>
      </c>
      <c r="D21" s="8" t="s">
        <v>141</v>
      </c>
      <c r="E21" s="8" t="s">
        <v>142</v>
      </c>
      <c r="F21" s="8" t="s">
        <v>143</v>
      </c>
      <c r="G21" s="8" t="s">
        <v>58</v>
      </c>
      <c r="H21" s="8" t="s">
        <v>53</v>
      </c>
      <c r="I21" s="9">
        <v>46036.0</v>
      </c>
      <c r="J21" s="9">
        <v>46053.0</v>
      </c>
      <c r="K21" s="8">
        <v>16.0</v>
      </c>
      <c r="L21" s="8">
        <v>45.0</v>
      </c>
      <c r="M21" s="8">
        <v>720.0</v>
      </c>
      <c r="N21" s="8">
        <v>0.0</v>
      </c>
      <c r="O21" s="8">
        <v>0.0</v>
      </c>
      <c r="P21" s="8">
        <v>720.0</v>
      </c>
      <c r="Q21" s="8" t="s">
        <v>54</v>
      </c>
      <c r="R21" s="9">
        <v>46036.0</v>
      </c>
      <c r="S21" s="8"/>
    </row>
    <row r="22" ht="14.25" customHeight="1">
      <c r="A22" s="8" t="s">
        <v>144</v>
      </c>
      <c r="B22" s="8" t="s">
        <v>145</v>
      </c>
      <c r="C22" s="9">
        <v>46037.0</v>
      </c>
      <c r="D22" s="8" t="s">
        <v>146</v>
      </c>
      <c r="E22" s="8" t="s">
        <v>147</v>
      </c>
      <c r="F22" s="8" t="s">
        <v>148</v>
      </c>
      <c r="G22" s="8" t="s">
        <v>93</v>
      </c>
      <c r="H22" s="8" t="s">
        <v>53</v>
      </c>
      <c r="I22" s="9">
        <v>46037.0</v>
      </c>
      <c r="J22" s="9">
        <v>46053.0</v>
      </c>
      <c r="K22" s="8">
        <v>16.0</v>
      </c>
      <c r="L22" s="8">
        <v>110.0</v>
      </c>
      <c r="M22" s="8">
        <v>1760.0</v>
      </c>
      <c r="N22" s="8">
        <v>0.0</v>
      </c>
      <c r="O22" s="8">
        <v>0.0</v>
      </c>
      <c r="P22" s="8">
        <v>1760.0</v>
      </c>
      <c r="Q22" s="8" t="s">
        <v>54</v>
      </c>
      <c r="R22" s="9">
        <v>46037.0</v>
      </c>
      <c r="S22" s="8"/>
    </row>
    <row r="23" ht="14.25" customHeight="1">
      <c r="A23" s="8" t="s">
        <v>149</v>
      </c>
      <c r="B23" s="8" t="s">
        <v>150</v>
      </c>
      <c r="C23" s="9">
        <v>46037.0</v>
      </c>
      <c r="D23" s="8" t="s">
        <v>61</v>
      </c>
      <c r="E23" s="8" t="s">
        <v>62</v>
      </c>
      <c r="F23" s="8" t="s">
        <v>151</v>
      </c>
      <c r="G23" s="8" t="s">
        <v>52</v>
      </c>
      <c r="H23" s="8" t="s">
        <v>53</v>
      </c>
      <c r="I23" s="9">
        <v>46037.0</v>
      </c>
      <c r="J23" s="9">
        <v>46053.0</v>
      </c>
      <c r="K23" s="8">
        <v>35.0</v>
      </c>
      <c r="L23" s="8">
        <v>85.0</v>
      </c>
      <c r="M23" s="8">
        <v>2975.0</v>
      </c>
      <c r="N23" s="8">
        <v>0.0</v>
      </c>
      <c r="O23" s="8">
        <v>0.0</v>
      </c>
      <c r="P23" s="8">
        <v>2975.0</v>
      </c>
      <c r="Q23" s="8" t="s">
        <v>54</v>
      </c>
      <c r="R23" s="9">
        <v>46037.0</v>
      </c>
      <c r="S23" s="8"/>
    </row>
    <row r="24" ht="14.25" customHeight="1">
      <c r="A24" s="8" t="s">
        <v>152</v>
      </c>
      <c r="B24" s="8" t="s">
        <v>153</v>
      </c>
      <c r="C24" s="9">
        <v>46037.0</v>
      </c>
      <c r="D24" s="8" t="s">
        <v>154</v>
      </c>
      <c r="E24" s="8" t="s">
        <v>155</v>
      </c>
      <c r="F24" s="8" t="s">
        <v>156</v>
      </c>
      <c r="G24" s="8" t="s">
        <v>52</v>
      </c>
      <c r="H24" s="8" t="s">
        <v>53</v>
      </c>
      <c r="I24" s="9">
        <v>46037.0</v>
      </c>
      <c r="J24" s="9">
        <v>46053.0</v>
      </c>
      <c r="K24" s="8">
        <v>11.0</v>
      </c>
      <c r="L24" s="8">
        <v>85.0</v>
      </c>
      <c r="M24" s="8">
        <v>935.0</v>
      </c>
      <c r="N24" s="8">
        <v>0.0</v>
      </c>
      <c r="O24" s="8">
        <v>0.0</v>
      </c>
      <c r="P24" s="8">
        <v>935.0</v>
      </c>
      <c r="Q24" s="8" t="s">
        <v>54</v>
      </c>
      <c r="R24" s="9">
        <v>46037.0</v>
      </c>
      <c r="S24" s="8"/>
    </row>
    <row r="25" ht="14.25" customHeight="1">
      <c r="A25" s="8" t="s">
        <v>157</v>
      </c>
      <c r="B25" s="8" t="s">
        <v>158</v>
      </c>
      <c r="C25" s="9">
        <v>46038.0</v>
      </c>
      <c r="D25" s="8" t="s">
        <v>159</v>
      </c>
      <c r="E25" s="8" t="s">
        <v>160</v>
      </c>
      <c r="F25" s="8" t="s">
        <v>161</v>
      </c>
      <c r="G25" s="8" t="s">
        <v>52</v>
      </c>
      <c r="H25" s="8" t="s">
        <v>53</v>
      </c>
      <c r="I25" s="9">
        <v>46038.0</v>
      </c>
      <c r="J25" s="9">
        <v>46053.0</v>
      </c>
      <c r="K25" s="8">
        <v>19.0</v>
      </c>
      <c r="L25" s="8">
        <v>85.0</v>
      </c>
      <c r="M25" s="8">
        <v>1615.0</v>
      </c>
      <c r="N25" s="8">
        <v>0.0</v>
      </c>
      <c r="O25" s="8">
        <v>0.0</v>
      </c>
      <c r="P25" s="8">
        <v>1615.0</v>
      </c>
      <c r="Q25" s="8" t="s">
        <v>54</v>
      </c>
      <c r="R25" s="9">
        <v>46038.0</v>
      </c>
      <c r="S25" s="8"/>
    </row>
    <row r="26" ht="14.25" customHeight="1">
      <c r="A26" s="8" t="s">
        <v>162</v>
      </c>
      <c r="B26" s="8" t="s">
        <v>163</v>
      </c>
      <c r="C26" s="9">
        <v>46039.0</v>
      </c>
      <c r="D26" s="8" t="s">
        <v>164</v>
      </c>
      <c r="E26" s="8" t="s">
        <v>165</v>
      </c>
      <c r="F26" s="8" t="s">
        <v>166</v>
      </c>
      <c r="G26" s="8" t="s">
        <v>119</v>
      </c>
      <c r="H26" s="8" t="s">
        <v>53</v>
      </c>
      <c r="I26" s="9">
        <v>46039.0</v>
      </c>
      <c r="J26" s="9">
        <v>46053.0</v>
      </c>
      <c r="K26" s="8">
        <v>20.0</v>
      </c>
      <c r="L26" s="8">
        <v>95.0</v>
      </c>
      <c r="M26" s="8">
        <v>1900.0</v>
      </c>
      <c r="N26" s="8">
        <v>0.0</v>
      </c>
      <c r="O26" s="8">
        <v>0.0</v>
      </c>
      <c r="P26" s="8">
        <v>1900.0</v>
      </c>
      <c r="Q26" s="8" t="s">
        <v>54</v>
      </c>
      <c r="R26" s="9">
        <v>46039.0</v>
      </c>
      <c r="S26" s="8"/>
    </row>
    <row r="27" ht="14.25" customHeight="1">
      <c r="A27" s="8" t="s">
        <v>167</v>
      </c>
      <c r="B27" s="8" t="s">
        <v>168</v>
      </c>
      <c r="C27" s="9">
        <v>46039.0</v>
      </c>
      <c r="D27" s="8" t="s">
        <v>169</v>
      </c>
      <c r="E27" s="8" t="s">
        <v>170</v>
      </c>
      <c r="F27" s="8" t="s">
        <v>171</v>
      </c>
      <c r="G27" s="8" t="s">
        <v>64</v>
      </c>
      <c r="H27" s="8" t="s">
        <v>53</v>
      </c>
      <c r="I27" s="9">
        <v>46039.0</v>
      </c>
      <c r="J27" s="9">
        <v>46053.0</v>
      </c>
      <c r="K27" s="8">
        <v>26.0</v>
      </c>
      <c r="L27" s="8">
        <v>180.0</v>
      </c>
      <c r="M27" s="8">
        <v>4680.0</v>
      </c>
      <c r="N27" s="8">
        <v>0.0</v>
      </c>
      <c r="O27" s="8">
        <v>0.0</v>
      </c>
      <c r="P27" s="8">
        <v>4680.0</v>
      </c>
      <c r="Q27" s="8" t="s">
        <v>54</v>
      </c>
      <c r="R27" s="9">
        <v>46039.0</v>
      </c>
      <c r="S27" s="8"/>
    </row>
    <row r="28" ht="14.25" customHeight="1">
      <c r="A28" s="8" t="s">
        <v>172</v>
      </c>
      <c r="B28" s="8" t="s">
        <v>173</v>
      </c>
      <c r="C28" s="9">
        <v>46040.0</v>
      </c>
      <c r="D28" s="8" t="s">
        <v>174</v>
      </c>
      <c r="E28" s="8" t="s">
        <v>175</v>
      </c>
      <c r="F28" s="8" t="s">
        <v>176</v>
      </c>
      <c r="G28" s="8" t="s">
        <v>93</v>
      </c>
      <c r="H28" s="8" t="s">
        <v>53</v>
      </c>
      <c r="I28" s="9">
        <v>46040.0</v>
      </c>
      <c r="J28" s="9">
        <v>46053.0</v>
      </c>
      <c r="K28" s="8">
        <v>26.0</v>
      </c>
      <c r="L28" s="8">
        <v>110.0</v>
      </c>
      <c r="M28" s="8">
        <v>2860.0</v>
      </c>
      <c r="N28" s="8">
        <v>0.0</v>
      </c>
      <c r="O28" s="8">
        <v>0.0</v>
      </c>
      <c r="P28" s="8">
        <v>2860.0</v>
      </c>
      <c r="Q28" s="8" t="s">
        <v>54</v>
      </c>
      <c r="R28" s="9">
        <v>46040.0</v>
      </c>
      <c r="S28" s="8"/>
    </row>
    <row r="29" ht="14.25" customHeight="1">
      <c r="A29" s="8" t="s">
        <v>177</v>
      </c>
      <c r="B29" s="8" t="s">
        <v>178</v>
      </c>
      <c r="C29" s="9">
        <v>46041.0</v>
      </c>
      <c r="D29" s="8" t="s">
        <v>179</v>
      </c>
      <c r="E29" s="8" t="s">
        <v>180</v>
      </c>
      <c r="F29" s="8" t="s">
        <v>181</v>
      </c>
      <c r="G29" s="8" t="s">
        <v>93</v>
      </c>
      <c r="H29" s="8" t="s">
        <v>53</v>
      </c>
      <c r="I29" s="9">
        <v>46041.0</v>
      </c>
      <c r="J29" s="9">
        <v>46053.0</v>
      </c>
      <c r="K29" s="8">
        <v>18.0</v>
      </c>
      <c r="L29" s="8">
        <v>110.0</v>
      </c>
      <c r="M29" s="8">
        <v>1980.0</v>
      </c>
      <c r="N29" s="8">
        <v>0.0</v>
      </c>
      <c r="O29" s="8">
        <v>0.0</v>
      </c>
      <c r="P29" s="8">
        <v>1980.0</v>
      </c>
      <c r="Q29" s="8" t="s">
        <v>54</v>
      </c>
      <c r="R29" s="9">
        <v>46041.0</v>
      </c>
      <c r="S29" s="8"/>
    </row>
    <row r="30" ht="14.25" customHeight="1">
      <c r="A30" s="8" t="s">
        <v>182</v>
      </c>
      <c r="B30" s="8" t="s">
        <v>183</v>
      </c>
      <c r="C30" s="9">
        <v>46041.0</v>
      </c>
      <c r="D30" s="8" t="s">
        <v>184</v>
      </c>
      <c r="E30" s="8" t="s">
        <v>185</v>
      </c>
      <c r="F30" s="8" t="s">
        <v>186</v>
      </c>
      <c r="G30" s="8" t="s">
        <v>58</v>
      </c>
      <c r="H30" s="8" t="s">
        <v>53</v>
      </c>
      <c r="I30" s="9">
        <v>46041.0</v>
      </c>
      <c r="J30" s="9">
        <v>46053.0</v>
      </c>
      <c r="K30" s="8">
        <v>12.0</v>
      </c>
      <c r="L30" s="8">
        <v>45.0</v>
      </c>
      <c r="M30" s="8">
        <v>540.0</v>
      </c>
      <c r="N30" s="8">
        <v>0.0</v>
      </c>
      <c r="O30" s="8">
        <v>0.0</v>
      </c>
      <c r="P30" s="8">
        <v>540.0</v>
      </c>
      <c r="Q30" s="8" t="s">
        <v>54</v>
      </c>
      <c r="R30" s="9">
        <v>46041.0</v>
      </c>
      <c r="S30" s="8"/>
    </row>
    <row r="31" ht="14.25" customHeight="1">
      <c r="A31" s="8" t="s">
        <v>187</v>
      </c>
      <c r="B31" s="8" t="s">
        <v>188</v>
      </c>
      <c r="C31" s="9">
        <v>46042.0</v>
      </c>
      <c r="D31" s="8" t="s">
        <v>189</v>
      </c>
      <c r="E31" s="8" t="s">
        <v>190</v>
      </c>
      <c r="F31" s="8" t="s">
        <v>191</v>
      </c>
      <c r="G31" s="8" t="s">
        <v>58</v>
      </c>
      <c r="H31" s="8" t="s">
        <v>53</v>
      </c>
      <c r="I31" s="9">
        <v>46042.0</v>
      </c>
      <c r="J31" s="9">
        <v>46053.0</v>
      </c>
      <c r="K31" s="8">
        <v>15.0</v>
      </c>
      <c r="L31" s="8">
        <v>45.0</v>
      </c>
      <c r="M31" s="8">
        <v>675.0</v>
      </c>
      <c r="N31" s="8">
        <v>0.0</v>
      </c>
      <c r="O31" s="8">
        <v>0.0</v>
      </c>
      <c r="P31" s="8">
        <v>675.0</v>
      </c>
      <c r="Q31" s="8" t="s">
        <v>192</v>
      </c>
      <c r="R31" s="8"/>
      <c r="S31" s="8" t="s">
        <v>193</v>
      </c>
    </row>
    <row r="32" ht="14.25" customHeight="1">
      <c r="A32" s="8" t="s">
        <v>194</v>
      </c>
      <c r="B32" s="8" t="s">
        <v>195</v>
      </c>
      <c r="C32" s="9">
        <v>46042.0</v>
      </c>
      <c r="D32" s="8" t="s">
        <v>196</v>
      </c>
      <c r="E32" s="8" t="s">
        <v>197</v>
      </c>
      <c r="F32" s="8" t="s">
        <v>198</v>
      </c>
      <c r="G32" s="8" t="s">
        <v>119</v>
      </c>
      <c r="H32" s="8" t="s">
        <v>53</v>
      </c>
      <c r="I32" s="9">
        <v>46042.0</v>
      </c>
      <c r="J32" s="9">
        <v>46053.0</v>
      </c>
      <c r="K32" s="8">
        <v>35.0</v>
      </c>
      <c r="L32" s="8">
        <v>95.0</v>
      </c>
      <c r="M32" s="8">
        <v>3325.0</v>
      </c>
      <c r="N32" s="8">
        <v>0.0</v>
      </c>
      <c r="O32" s="8">
        <v>0.0</v>
      </c>
      <c r="P32" s="8">
        <v>3325.0</v>
      </c>
      <c r="Q32" s="8" t="s">
        <v>54</v>
      </c>
      <c r="R32" s="9">
        <v>46042.0</v>
      </c>
      <c r="S32" s="8"/>
    </row>
    <row r="33" ht="14.25" customHeight="1">
      <c r="A33" s="8" t="s">
        <v>199</v>
      </c>
      <c r="B33" s="8" t="s">
        <v>200</v>
      </c>
      <c r="C33" s="9">
        <v>46042.0</v>
      </c>
      <c r="D33" s="8" t="s">
        <v>201</v>
      </c>
      <c r="E33" s="8" t="s">
        <v>202</v>
      </c>
      <c r="F33" s="8" t="s">
        <v>203</v>
      </c>
      <c r="G33" s="8" t="s">
        <v>119</v>
      </c>
      <c r="H33" s="8" t="s">
        <v>53</v>
      </c>
      <c r="I33" s="9">
        <v>46042.0</v>
      </c>
      <c r="J33" s="9">
        <v>46053.0</v>
      </c>
      <c r="K33" s="8">
        <v>12.0</v>
      </c>
      <c r="L33" s="8">
        <v>95.0</v>
      </c>
      <c r="M33" s="8">
        <v>1140.0</v>
      </c>
      <c r="N33" s="8">
        <v>0.0</v>
      </c>
      <c r="O33" s="8">
        <v>0.0</v>
      </c>
      <c r="P33" s="8">
        <v>1140.0</v>
      </c>
      <c r="Q33" s="8" t="s">
        <v>54</v>
      </c>
      <c r="R33" s="9">
        <v>46042.0</v>
      </c>
      <c r="S33" s="8"/>
    </row>
    <row r="34" ht="14.25" customHeight="1">
      <c r="A34" s="8" t="s">
        <v>204</v>
      </c>
      <c r="B34" s="8" t="s">
        <v>205</v>
      </c>
      <c r="C34" s="9">
        <v>46044.0</v>
      </c>
      <c r="D34" s="8" t="s">
        <v>206</v>
      </c>
      <c r="E34" s="8" t="s">
        <v>207</v>
      </c>
      <c r="F34" s="8" t="s">
        <v>208</v>
      </c>
      <c r="G34" s="8" t="s">
        <v>209</v>
      </c>
      <c r="H34" s="8" t="s">
        <v>210</v>
      </c>
      <c r="I34" s="9">
        <v>46044.0</v>
      </c>
      <c r="J34" s="9">
        <v>46408.0</v>
      </c>
      <c r="K34" s="8">
        <v>26.0</v>
      </c>
      <c r="L34" s="8">
        <v>1800.0</v>
      </c>
      <c r="M34" s="8">
        <v>46800.0</v>
      </c>
      <c r="N34" s="8">
        <v>0.0</v>
      </c>
      <c r="O34" s="8">
        <v>0.0</v>
      </c>
      <c r="P34" s="8">
        <v>46800.0</v>
      </c>
      <c r="Q34" s="8" t="s">
        <v>54</v>
      </c>
      <c r="R34" s="9">
        <v>46044.0</v>
      </c>
      <c r="S34" s="8"/>
    </row>
    <row r="35" ht="14.25" customHeight="1">
      <c r="A35" s="8" t="s">
        <v>211</v>
      </c>
      <c r="B35" s="8" t="s">
        <v>212</v>
      </c>
      <c r="C35" s="9">
        <v>46044.0</v>
      </c>
      <c r="D35" s="8" t="s">
        <v>213</v>
      </c>
      <c r="E35" s="8" t="s">
        <v>214</v>
      </c>
      <c r="F35" s="8" t="s">
        <v>215</v>
      </c>
      <c r="G35" s="8" t="s">
        <v>64</v>
      </c>
      <c r="H35" s="8" t="s">
        <v>53</v>
      </c>
      <c r="I35" s="9">
        <v>46044.0</v>
      </c>
      <c r="J35" s="9">
        <v>46053.0</v>
      </c>
      <c r="K35" s="8">
        <v>20.0</v>
      </c>
      <c r="L35" s="8">
        <v>180.0</v>
      </c>
      <c r="M35" s="8">
        <v>3600.0</v>
      </c>
      <c r="N35" s="8">
        <v>0.0</v>
      </c>
      <c r="O35" s="8">
        <v>0.0</v>
      </c>
      <c r="P35" s="8">
        <v>3600.0</v>
      </c>
      <c r="Q35" s="8" t="s">
        <v>54</v>
      </c>
      <c r="R35" s="9">
        <v>46044.0</v>
      </c>
      <c r="S35" s="8"/>
    </row>
    <row r="36" ht="14.25" customHeight="1">
      <c r="A36" s="8" t="s">
        <v>216</v>
      </c>
      <c r="B36" s="8" t="s">
        <v>217</v>
      </c>
      <c r="C36" s="9">
        <v>46044.0</v>
      </c>
      <c r="D36" s="8" t="s">
        <v>218</v>
      </c>
      <c r="E36" s="8" t="s">
        <v>219</v>
      </c>
      <c r="F36" s="8" t="s">
        <v>220</v>
      </c>
      <c r="G36" s="8" t="s">
        <v>93</v>
      </c>
      <c r="H36" s="8" t="s">
        <v>53</v>
      </c>
      <c r="I36" s="9">
        <v>46044.0</v>
      </c>
      <c r="J36" s="9">
        <v>46053.0</v>
      </c>
      <c r="K36" s="8">
        <v>36.0</v>
      </c>
      <c r="L36" s="8">
        <v>110.0</v>
      </c>
      <c r="M36" s="8">
        <v>3960.0</v>
      </c>
      <c r="N36" s="8">
        <v>0.0</v>
      </c>
      <c r="O36" s="8">
        <v>0.0</v>
      </c>
      <c r="P36" s="8">
        <v>3960.0</v>
      </c>
      <c r="Q36" s="8" t="s">
        <v>54</v>
      </c>
      <c r="R36" s="9">
        <v>46044.0</v>
      </c>
      <c r="S36" s="8"/>
    </row>
    <row r="37" ht="14.25" customHeight="1">
      <c r="A37" s="8" t="s">
        <v>221</v>
      </c>
      <c r="B37" s="8" t="s">
        <v>222</v>
      </c>
      <c r="C37" s="9">
        <v>46044.0</v>
      </c>
      <c r="D37" s="8" t="s">
        <v>206</v>
      </c>
      <c r="E37" s="8" t="s">
        <v>207</v>
      </c>
      <c r="F37" s="8" t="s">
        <v>223</v>
      </c>
      <c r="G37" s="8" t="s">
        <v>119</v>
      </c>
      <c r="H37" s="8" t="s">
        <v>210</v>
      </c>
      <c r="I37" s="9">
        <v>46044.0</v>
      </c>
      <c r="J37" s="9">
        <v>46408.0</v>
      </c>
      <c r="K37" s="8">
        <v>22.0</v>
      </c>
      <c r="L37" s="8">
        <v>1140.0</v>
      </c>
      <c r="M37" s="8">
        <v>25080.0</v>
      </c>
      <c r="N37" s="8">
        <v>5.0</v>
      </c>
      <c r="O37" s="8">
        <v>1254.0</v>
      </c>
      <c r="P37" s="8">
        <v>23826.0</v>
      </c>
      <c r="Q37" s="8" t="s">
        <v>54</v>
      </c>
      <c r="R37" s="9">
        <v>46044.0</v>
      </c>
      <c r="S37" s="8"/>
    </row>
    <row r="38" ht="14.25" customHeight="1">
      <c r="A38" s="8" t="s">
        <v>224</v>
      </c>
      <c r="B38" s="8" t="s">
        <v>225</v>
      </c>
      <c r="C38" s="9">
        <v>46045.0</v>
      </c>
      <c r="D38" s="8" t="s">
        <v>226</v>
      </c>
      <c r="E38" s="8" t="s">
        <v>227</v>
      </c>
      <c r="F38" s="8" t="s">
        <v>228</v>
      </c>
      <c r="G38" s="8" t="s">
        <v>119</v>
      </c>
      <c r="H38" s="8" t="s">
        <v>53</v>
      </c>
      <c r="I38" s="9">
        <v>46045.0</v>
      </c>
      <c r="J38" s="9">
        <v>46053.0</v>
      </c>
      <c r="K38" s="8">
        <v>16.0</v>
      </c>
      <c r="L38" s="8">
        <v>95.0</v>
      </c>
      <c r="M38" s="8">
        <v>1520.0</v>
      </c>
      <c r="N38" s="8">
        <v>0.0</v>
      </c>
      <c r="O38" s="8">
        <v>0.0</v>
      </c>
      <c r="P38" s="8">
        <v>1520.0</v>
      </c>
      <c r="Q38" s="8" t="s">
        <v>54</v>
      </c>
      <c r="R38" s="9">
        <v>46045.0</v>
      </c>
      <c r="S38" s="8"/>
    </row>
    <row r="39" ht="14.25" customHeight="1">
      <c r="A39" s="8" t="s">
        <v>229</v>
      </c>
      <c r="B39" s="8" t="s">
        <v>230</v>
      </c>
      <c r="C39" s="9">
        <v>46045.0</v>
      </c>
      <c r="D39" s="8" t="s">
        <v>231</v>
      </c>
      <c r="E39" s="8" t="s">
        <v>232</v>
      </c>
      <c r="F39" s="8" t="s">
        <v>233</v>
      </c>
      <c r="G39" s="8" t="s">
        <v>52</v>
      </c>
      <c r="H39" s="8" t="s">
        <v>53</v>
      </c>
      <c r="I39" s="9">
        <v>46045.0</v>
      </c>
      <c r="J39" s="9">
        <v>46053.0</v>
      </c>
      <c r="K39" s="8">
        <v>29.0</v>
      </c>
      <c r="L39" s="8">
        <v>85.0</v>
      </c>
      <c r="M39" s="8">
        <v>2465.0</v>
      </c>
      <c r="N39" s="8">
        <v>0.0</v>
      </c>
      <c r="O39" s="8">
        <v>0.0</v>
      </c>
      <c r="P39" s="8">
        <v>2465.0</v>
      </c>
      <c r="Q39" s="8" t="s">
        <v>54</v>
      </c>
      <c r="R39" s="9">
        <v>46045.0</v>
      </c>
      <c r="S39" s="8"/>
    </row>
    <row r="40" ht="14.25" customHeight="1">
      <c r="A40" s="8" t="s">
        <v>234</v>
      </c>
      <c r="B40" s="8" t="s">
        <v>235</v>
      </c>
      <c r="C40" s="9">
        <v>46047.0</v>
      </c>
      <c r="D40" s="8" t="s">
        <v>106</v>
      </c>
      <c r="E40" s="8" t="s">
        <v>107</v>
      </c>
      <c r="F40" s="8" t="s">
        <v>236</v>
      </c>
      <c r="G40" s="8" t="s">
        <v>52</v>
      </c>
      <c r="H40" s="8" t="s">
        <v>53</v>
      </c>
      <c r="I40" s="9">
        <v>46047.0</v>
      </c>
      <c r="J40" s="9">
        <v>46053.0</v>
      </c>
      <c r="K40" s="8">
        <v>31.0</v>
      </c>
      <c r="L40" s="8">
        <v>85.0</v>
      </c>
      <c r="M40" s="8">
        <v>2635.0</v>
      </c>
      <c r="N40" s="8">
        <v>0.0</v>
      </c>
      <c r="O40" s="8">
        <v>0.0</v>
      </c>
      <c r="P40" s="8">
        <v>2635.0</v>
      </c>
      <c r="Q40" s="8" t="s">
        <v>54</v>
      </c>
      <c r="R40" s="9">
        <v>46047.0</v>
      </c>
      <c r="S40" s="8"/>
    </row>
    <row r="41" ht="14.25" customHeight="1">
      <c r="A41" s="8" t="s">
        <v>237</v>
      </c>
      <c r="B41" s="8" t="s">
        <v>238</v>
      </c>
      <c r="C41" s="9">
        <v>46048.0</v>
      </c>
      <c r="D41" s="8" t="s">
        <v>239</v>
      </c>
      <c r="E41" s="8" t="s">
        <v>240</v>
      </c>
      <c r="F41" s="8" t="s">
        <v>241</v>
      </c>
      <c r="G41" s="8" t="s">
        <v>209</v>
      </c>
      <c r="H41" s="8" t="s">
        <v>53</v>
      </c>
      <c r="I41" s="9">
        <v>46048.0</v>
      </c>
      <c r="J41" s="9">
        <v>46053.0</v>
      </c>
      <c r="K41" s="8">
        <v>35.0</v>
      </c>
      <c r="L41" s="8">
        <v>150.0</v>
      </c>
      <c r="M41" s="8">
        <v>5250.0</v>
      </c>
      <c r="N41" s="8">
        <v>0.0</v>
      </c>
      <c r="O41" s="8">
        <v>0.0</v>
      </c>
      <c r="P41" s="8">
        <v>5250.0</v>
      </c>
      <c r="Q41" s="8" t="s">
        <v>54</v>
      </c>
      <c r="R41" s="9">
        <v>46048.0</v>
      </c>
      <c r="S41" s="8"/>
    </row>
    <row r="42" ht="14.25" customHeight="1">
      <c r="A42" s="8" t="s">
        <v>242</v>
      </c>
      <c r="B42" s="8" t="s">
        <v>243</v>
      </c>
      <c r="C42" s="9">
        <v>46048.0</v>
      </c>
      <c r="D42" s="8" t="s">
        <v>244</v>
      </c>
      <c r="E42" s="8" t="s">
        <v>245</v>
      </c>
      <c r="F42" s="8" t="s">
        <v>246</v>
      </c>
      <c r="G42" s="8" t="s">
        <v>119</v>
      </c>
      <c r="H42" s="8" t="s">
        <v>53</v>
      </c>
      <c r="I42" s="9">
        <v>46048.0</v>
      </c>
      <c r="J42" s="9">
        <v>46053.0</v>
      </c>
      <c r="K42" s="8">
        <v>18.0</v>
      </c>
      <c r="L42" s="8">
        <v>95.0</v>
      </c>
      <c r="M42" s="8">
        <v>1710.0</v>
      </c>
      <c r="N42" s="8">
        <v>0.0</v>
      </c>
      <c r="O42" s="8">
        <v>0.0</v>
      </c>
      <c r="P42" s="8">
        <v>1710.0</v>
      </c>
      <c r="Q42" s="8" t="s">
        <v>54</v>
      </c>
      <c r="R42" s="9">
        <v>46048.0</v>
      </c>
      <c r="S42" s="8"/>
    </row>
    <row r="43" ht="14.25" customHeight="1">
      <c r="A43" s="8" t="s">
        <v>247</v>
      </c>
      <c r="B43" s="8" t="s">
        <v>248</v>
      </c>
      <c r="C43" s="9">
        <v>46049.0</v>
      </c>
      <c r="D43" s="8" t="s">
        <v>249</v>
      </c>
      <c r="E43" s="8" t="s">
        <v>250</v>
      </c>
      <c r="F43" s="8" t="s">
        <v>251</v>
      </c>
      <c r="G43" s="8" t="s">
        <v>93</v>
      </c>
      <c r="H43" s="8" t="s">
        <v>53</v>
      </c>
      <c r="I43" s="9">
        <v>46049.0</v>
      </c>
      <c r="J43" s="9">
        <v>46053.0</v>
      </c>
      <c r="K43" s="8">
        <v>18.0</v>
      </c>
      <c r="L43" s="8">
        <v>110.0</v>
      </c>
      <c r="M43" s="8">
        <v>1980.0</v>
      </c>
      <c r="N43" s="8">
        <v>0.0</v>
      </c>
      <c r="O43" s="8">
        <v>0.0</v>
      </c>
      <c r="P43" s="8">
        <v>1980.0</v>
      </c>
      <c r="Q43" s="8" t="s">
        <v>54</v>
      </c>
      <c r="R43" s="9">
        <v>46049.0</v>
      </c>
      <c r="S43" s="8"/>
    </row>
    <row r="44" ht="14.25" customHeight="1">
      <c r="A44" s="8" t="s">
        <v>252</v>
      </c>
      <c r="B44" s="8" t="s">
        <v>253</v>
      </c>
      <c r="C44" s="9">
        <v>46050.0</v>
      </c>
      <c r="D44" s="8" t="s">
        <v>174</v>
      </c>
      <c r="E44" s="8" t="s">
        <v>175</v>
      </c>
      <c r="F44" s="8" t="s">
        <v>254</v>
      </c>
      <c r="G44" s="8" t="s">
        <v>209</v>
      </c>
      <c r="H44" s="8" t="s">
        <v>53</v>
      </c>
      <c r="I44" s="9">
        <v>46050.0</v>
      </c>
      <c r="J44" s="9">
        <v>46053.0</v>
      </c>
      <c r="K44" s="8">
        <v>33.0</v>
      </c>
      <c r="L44" s="8">
        <v>150.0</v>
      </c>
      <c r="M44" s="8">
        <v>4950.0</v>
      </c>
      <c r="N44" s="8">
        <v>0.0</v>
      </c>
      <c r="O44" s="8">
        <v>0.0</v>
      </c>
      <c r="P44" s="8">
        <v>4950.0</v>
      </c>
      <c r="Q44" s="8" t="s">
        <v>54</v>
      </c>
      <c r="R44" s="9">
        <v>46050.0</v>
      </c>
      <c r="S44" s="8"/>
    </row>
    <row r="45" ht="14.25" customHeight="1">
      <c r="A45" s="8" t="s">
        <v>255</v>
      </c>
      <c r="B45" s="8" t="s">
        <v>256</v>
      </c>
      <c r="C45" s="9">
        <v>46050.0</v>
      </c>
      <c r="D45" s="8" t="s">
        <v>257</v>
      </c>
      <c r="E45" s="8" t="s">
        <v>258</v>
      </c>
      <c r="F45" s="8" t="s">
        <v>259</v>
      </c>
      <c r="G45" s="8" t="s">
        <v>93</v>
      </c>
      <c r="H45" s="8" t="s">
        <v>53</v>
      </c>
      <c r="I45" s="9">
        <v>46050.0</v>
      </c>
      <c r="J45" s="9">
        <v>46053.0</v>
      </c>
      <c r="K45" s="8">
        <v>20.0</v>
      </c>
      <c r="L45" s="8">
        <v>110.0</v>
      </c>
      <c r="M45" s="8">
        <v>2200.0</v>
      </c>
      <c r="N45" s="8">
        <v>0.0</v>
      </c>
      <c r="O45" s="8">
        <v>0.0</v>
      </c>
      <c r="P45" s="8">
        <v>2200.0</v>
      </c>
      <c r="Q45" s="8" t="s">
        <v>54</v>
      </c>
      <c r="R45" s="9">
        <v>46050.0</v>
      </c>
      <c r="S45" s="8"/>
    </row>
    <row r="46" ht="14.25" customHeight="1">
      <c r="A46" s="8" t="s">
        <v>260</v>
      </c>
      <c r="B46" s="8" t="s">
        <v>261</v>
      </c>
      <c r="C46" s="9">
        <v>46050.0</v>
      </c>
      <c r="D46" s="8" t="s">
        <v>262</v>
      </c>
      <c r="E46" s="8" t="s">
        <v>263</v>
      </c>
      <c r="F46" s="8" t="s">
        <v>264</v>
      </c>
      <c r="G46" s="8" t="s">
        <v>209</v>
      </c>
      <c r="H46" s="8" t="s">
        <v>53</v>
      </c>
      <c r="I46" s="9">
        <v>46050.0</v>
      </c>
      <c r="J46" s="9">
        <v>46053.0</v>
      </c>
      <c r="K46" s="8">
        <v>28.0</v>
      </c>
      <c r="L46" s="8">
        <v>150.0</v>
      </c>
      <c r="M46" s="8">
        <v>4200.0</v>
      </c>
      <c r="N46" s="8">
        <v>0.0</v>
      </c>
      <c r="O46" s="8">
        <v>0.0</v>
      </c>
      <c r="P46" s="8">
        <v>4200.0</v>
      </c>
      <c r="Q46" s="8" t="s">
        <v>54</v>
      </c>
      <c r="R46" s="9">
        <v>46050.0</v>
      </c>
      <c r="S46" s="8"/>
    </row>
    <row r="47" ht="14.25" customHeight="1">
      <c r="A47" s="8" t="s">
        <v>265</v>
      </c>
      <c r="B47" s="8" t="s">
        <v>266</v>
      </c>
      <c r="C47" s="9">
        <v>46052.0</v>
      </c>
      <c r="D47" s="8" t="s">
        <v>267</v>
      </c>
      <c r="E47" s="8" t="s">
        <v>268</v>
      </c>
      <c r="F47" s="8" t="s">
        <v>269</v>
      </c>
      <c r="G47" s="8" t="s">
        <v>93</v>
      </c>
      <c r="H47" s="8" t="s">
        <v>53</v>
      </c>
      <c r="I47" s="9">
        <v>46052.0</v>
      </c>
      <c r="J47" s="9">
        <v>46053.0</v>
      </c>
      <c r="K47" s="8">
        <v>15.0</v>
      </c>
      <c r="L47" s="8">
        <v>110.0</v>
      </c>
      <c r="M47" s="8">
        <v>1650.0</v>
      </c>
      <c r="N47" s="8">
        <v>0.0</v>
      </c>
      <c r="O47" s="8">
        <v>0.0</v>
      </c>
      <c r="P47" s="8">
        <v>1650.0</v>
      </c>
      <c r="Q47" s="8" t="s">
        <v>54</v>
      </c>
      <c r="R47" s="9">
        <v>46052.0</v>
      </c>
      <c r="S47" s="8"/>
    </row>
    <row r="48" ht="14.25" customHeight="1">
      <c r="A48" s="8" t="s">
        <v>270</v>
      </c>
      <c r="B48" s="8" t="s">
        <v>271</v>
      </c>
      <c r="C48" s="9">
        <v>46053.0</v>
      </c>
      <c r="D48" s="8" t="s">
        <v>272</v>
      </c>
      <c r="E48" s="8" t="s">
        <v>273</v>
      </c>
      <c r="F48" s="8" t="s">
        <v>274</v>
      </c>
      <c r="G48" s="8" t="s">
        <v>52</v>
      </c>
      <c r="H48" s="8" t="s">
        <v>53</v>
      </c>
      <c r="I48" s="9">
        <v>46053.0</v>
      </c>
      <c r="J48" s="9">
        <v>46053.0</v>
      </c>
      <c r="K48" s="8">
        <v>25.0</v>
      </c>
      <c r="L48" s="8">
        <v>85.0</v>
      </c>
      <c r="M48" s="8">
        <v>2125.0</v>
      </c>
      <c r="N48" s="8">
        <v>0.0</v>
      </c>
      <c r="O48" s="8">
        <v>0.0</v>
      </c>
      <c r="P48" s="8">
        <v>2125.0</v>
      </c>
      <c r="Q48" s="8" t="s">
        <v>54</v>
      </c>
      <c r="R48" s="9">
        <v>46053.0</v>
      </c>
      <c r="S48" s="8"/>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29"/>
    <col customWidth="1" min="3" max="3" width="13.43"/>
    <col customWidth="1" min="4" max="4" width="13.29"/>
    <col customWidth="1" min="5" max="5" width="24.43"/>
    <col customWidth="1" min="6" max="6" width="15.57"/>
    <col customWidth="1" min="7" max="7" width="17.0"/>
    <col customWidth="1" min="8" max="8" width="12.71"/>
    <col customWidth="1" min="9" max="9" width="13.29"/>
    <col customWidth="1" min="10" max="10" width="12.43"/>
    <col customWidth="1" min="11" max="11" width="7.14"/>
    <col customWidth="1" min="12" max="12" width="15.29"/>
    <col customWidth="1" min="13" max="13" width="9.86"/>
    <col customWidth="1" min="14" max="14" width="13.57"/>
    <col customWidth="1" min="15" max="16" width="17.57"/>
    <col customWidth="1" min="17" max="17" width="8.0"/>
    <col customWidth="1" min="18" max="18" width="15.14"/>
    <col customWidth="1" min="19" max="19" width="14.86"/>
    <col customWidth="1" min="20" max="26" width="8.71"/>
  </cols>
  <sheetData>
    <row r="1" ht="14.25" customHeight="1">
      <c r="A1" s="10" t="s">
        <v>28</v>
      </c>
      <c r="B1" s="10" t="s">
        <v>29</v>
      </c>
      <c r="C1" s="10" t="s">
        <v>30</v>
      </c>
      <c r="D1" s="10" t="s">
        <v>31</v>
      </c>
      <c r="E1" s="10" t="s">
        <v>32</v>
      </c>
      <c r="F1" s="10" t="s">
        <v>33</v>
      </c>
      <c r="G1" s="10" t="s">
        <v>34</v>
      </c>
      <c r="H1" s="10" t="s">
        <v>35</v>
      </c>
      <c r="I1" s="10" t="s">
        <v>36</v>
      </c>
      <c r="J1" s="10" t="s">
        <v>37</v>
      </c>
      <c r="K1" s="10" t="s">
        <v>38</v>
      </c>
      <c r="L1" s="10" t="s">
        <v>39</v>
      </c>
      <c r="M1" s="10" t="s">
        <v>40</v>
      </c>
      <c r="N1" s="10" t="s">
        <v>41</v>
      </c>
      <c r="O1" s="10" t="s">
        <v>42</v>
      </c>
      <c r="P1" s="10" t="s">
        <v>43</v>
      </c>
      <c r="Q1" s="10" t="s">
        <v>44</v>
      </c>
      <c r="R1" s="10" t="s">
        <v>45</v>
      </c>
      <c r="S1" s="10" t="s">
        <v>46</v>
      </c>
    </row>
    <row r="2" ht="14.25" customHeight="1">
      <c r="A2" s="11" t="s">
        <v>275</v>
      </c>
      <c r="B2" s="11" t="s">
        <v>276</v>
      </c>
      <c r="C2" s="12">
        <v>46054.0</v>
      </c>
      <c r="D2" s="11" t="s">
        <v>49</v>
      </c>
      <c r="E2" s="11" t="s">
        <v>50</v>
      </c>
      <c r="F2" s="11" t="s">
        <v>51</v>
      </c>
      <c r="G2" s="11" t="s">
        <v>52</v>
      </c>
      <c r="H2" s="11" t="s">
        <v>53</v>
      </c>
      <c r="I2" s="12">
        <v>46054.0</v>
      </c>
      <c r="J2" s="12">
        <v>46081.0</v>
      </c>
      <c r="K2" s="11">
        <v>16.0</v>
      </c>
      <c r="L2" s="11">
        <v>85.0</v>
      </c>
      <c r="M2" s="11">
        <v>1360.0</v>
      </c>
      <c r="N2" s="11">
        <v>0.0</v>
      </c>
      <c r="O2" s="11">
        <v>0.0</v>
      </c>
      <c r="P2" s="11">
        <v>1360.0</v>
      </c>
      <c r="Q2" s="11" t="s">
        <v>54</v>
      </c>
      <c r="R2" s="12">
        <v>46054.0</v>
      </c>
      <c r="S2" s="11"/>
    </row>
    <row r="3" ht="14.25" customHeight="1">
      <c r="A3" s="13" t="s">
        <v>277</v>
      </c>
      <c r="B3" s="13" t="s">
        <v>278</v>
      </c>
      <c r="C3" s="14">
        <v>46054.0</v>
      </c>
      <c r="D3" s="13" t="s">
        <v>49</v>
      </c>
      <c r="E3" s="13" t="s">
        <v>50</v>
      </c>
      <c r="F3" s="13" t="s">
        <v>57</v>
      </c>
      <c r="G3" s="13" t="s">
        <v>58</v>
      </c>
      <c r="H3" s="13" t="s">
        <v>53</v>
      </c>
      <c r="I3" s="14">
        <v>46054.0</v>
      </c>
      <c r="J3" s="14">
        <v>46081.0</v>
      </c>
      <c r="K3" s="13">
        <v>15.0</v>
      </c>
      <c r="L3" s="13">
        <v>45.0</v>
      </c>
      <c r="M3" s="13">
        <v>675.0</v>
      </c>
      <c r="N3" s="13">
        <v>12.0</v>
      </c>
      <c r="O3" s="13">
        <v>81.0</v>
      </c>
      <c r="P3" s="13">
        <v>594.0</v>
      </c>
      <c r="Q3" s="13" t="s">
        <v>54</v>
      </c>
      <c r="R3" s="14">
        <v>46054.0</v>
      </c>
      <c r="S3" s="13"/>
    </row>
    <row r="4" ht="14.25" customHeight="1">
      <c r="A4" s="11" t="s">
        <v>279</v>
      </c>
      <c r="B4" s="11" t="s">
        <v>280</v>
      </c>
      <c r="C4" s="12">
        <v>46055.0</v>
      </c>
      <c r="D4" s="11" t="s">
        <v>61</v>
      </c>
      <c r="E4" s="11" t="s">
        <v>62</v>
      </c>
      <c r="F4" s="11" t="s">
        <v>63</v>
      </c>
      <c r="G4" s="11" t="s">
        <v>64</v>
      </c>
      <c r="H4" s="11" t="s">
        <v>53</v>
      </c>
      <c r="I4" s="12">
        <v>46055.0</v>
      </c>
      <c r="J4" s="12">
        <v>46081.0</v>
      </c>
      <c r="K4" s="11">
        <v>35.0</v>
      </c>
      <c r="L4" s="11">
        <v>180.0</v>
      </c>
      <c r="M4" s="11">
        <v>6300.0</v>
      </c>
      <c r="N4" s="11">
        <v>0.0</v>
      </c>
      <c r="O4" s="11">
        <v>0.0</v>
      </c>
      <c r="P4" s="11">
        <v>6300.0</v>
      </c>
      <c r="Q4" s="11" t="s">
        <v>54</v>
      </c>
      <c r="R4" s="12">
        <v>46055.0</v>
      </c>
      <c r="S4" s="11"/>
    </row>
    <row r="5" ht="14.25" customHeight="1">
      <c r="A5" s="13" t="s">
        <v>281</v>
      </c>
      <c r="B5" s="13" t="s">
        <v>282</v>
      </c>
      <c r="C5" s="14">
        <v>46056.0</v>
      </c>
      <c r="D5" s="13" t="s">
        <v>67</v>
      </c>
      <c r="E5" s="13" t="s">
        <v>68</v>
      </c>
      <c r="F5" s="13" t="s">
        <v>69</v>
      </c>
      <c r="G5" s="13" t="s">
        <v>52</v>
      </c>
      <c r="H5" s="13" t="s">
        <v>53</v>
      </c>
      <c r="I5" s="14">
        <v>46056.0</v>
      </c>
      <c r="J5" s="14">
        <v>46081.0</v>
      </c>
      <c r="K5" s="13">
        <v>22.0</v>
      </c>
      <c r="L5" s="13">
        <v>85.0</v>
      </c>
      <c r="M5" s="13">
        <v>1870.0</v>
      </c>
      <c r="N5" s="13">
        <v>0.0</v>
      </c>
      <c r="O5" s="13">
        <v>0.0</v>
      </c>
      <c r="P5" s="13">
        <v>1870.0</v>
      </c>
      <c r="Q5" s="13" t="s">
        <v>54</v>
      </c>
      <c r="R5" s="14">
        <v>46056.0</v>
      </c>
      <c r="S5" s="13"/>
    </row>
    <row r="6" ht="14.25" customHeight="1">
      <c r="A6" s="11" t="s">
        <v>283</v>
      </c>
      <c r="B6" s="11" t="s">
        <v>284</v>
      </c>
      <c r="C6" s="12">
        <v>46058.0</v>
      </c>
      <c r="D6" s="11" t="s">
        <v>72</v>
      </c>
      <c r="E6" s="11" t="s">
        <v>73</v>
      </c>
      <c r="F6" s="11" t="s">
        <v>74</v>
      </c>
      <c r="G6" s="11" t="s">
        <v>52</v>
      </c>
      <c r="H6" s="11" t="s">
        <v>53</v>
      </c>
      <c r="I6" s="12">
        <v>46058.0</v>
      </c>
      <c r="J6" s="12">
        <v>46081.0</v>
      </c>
      <c r="K6" s="11">
        <v>23.0</v>
      </c>
      <c r="L6" s="11">
        <v>85.0</v>
      </c>
      <c r="M6" s="11">
        <v>1955.0</v>
      </c>
      <c r="N6" s="11">
        <v>0.0</v>
      </c>
      <c r="O6" s="11">
        <v>0.0</v>
      </c>
      <c r="P6" s="11">
        <v>1955.0</v>
      </c>
      <c r="Q6" s="11" t="s">
        <v>54</v>
      </c>
      <c r="R6" s="12">
        <v>46058.0</v>
      </c>
      <c r="S6" s="11"/>
    </row>
    <row r="7" ht="14.25" customHeight="1">
      <c r="A7" s="13" t="s">
        <v>285</v>
      </c>
      <c r="B7" s="13" t="s">
        <v>286</v>
      </c>
      <c r="C7" s="14">
        <v>46058.0</v>
      </c>
      <c r="D7" s="13" t="s">
        <v>77</v>
      </c>
      <c r="E7" s="13" t="s">
        <v>78</v>
      </c>
      <c r="F7" s="13" t="s">
        <v>79</v>
      </c>
      <c r="G7" s="13" t="s">
        <v>52</v>
      </c>
      <c r="H7" s="13" t="s">
        <v>53</v>
      </c>
      <c r="I7" s="14">
        <v>46058.0</v>
      </c>
      <c r="J7" s="14">
        <v>46081.0</v>
      </c>
      <c r="K7" s="13">
        <v>33.0</v>
      </c>
      <c r="L7" s="13">
        <v>85.0</v>
      </c>
      <c r="M7" s="13">
        <v>2805.0</v>
      </c>
      <c r="N7" s="13">
        <v>0.0</v>
      </c>
      <c r="O7" s="13">
        <v>0.0</v>
      </c>
      <c r="P7" s="13">
        <v>2805.0</v>
      </c>
      <c r="Q7" s="13" t="s">
        <v>54</v>
      </c>
      <c r="R7" s="14">
        <v>46058.0</v>
      </c>
      <c r="S7" s="13"/>
    </row>
    <row r="8" ht="14.25" customHeight="1">
      <c r="A8" s="11" t="s">
        <v>287</v>
      </c>
      <c r="B8" s="11" t="s">
        <v>288</v>
      </c>
      <c r="C8" s="12">
        <v>46058.0</v>
      </c>
      <c r="D8" s="11" t="s">
        <v>82</v>
      </c>
      <c r="E8" s="11" t="s">
        <v>83</v>
      </c>
      <c r="F8" s="11" t="s">
        <v>84</v>
      </c>
      <c r="G8" s="11" t="s">
        <v>64</v>
      </c>
      <c r="H8" s="11" t="s">
        <v>53</v>
      </c>
      <c r="I8" s="12">
        <v>46058.0</v>
      </c>
      <c r="J8" s="12">
        <v>46081.0</v>
      </c>
      <c r="K8" s="11">
        <v>31.0</v>
      </c>
      <c r="L8" s="11">
        <v>180.0</v>
      </c>
      <c r="M8" s="11">
        <v>5580.0</v>
      </c>
      <c r="N8" s="11">
        <v>0.0</v>
      </c>
      <c r="O8" s="11">
        <v>0.0</v>
      </c>
      <c r="P8" s="11">
        <v>5580.0</v>
      </c>
      <c r="Q8" s="11" t="s">
        <v>54</v>
      </c>
      <c r="R8" s="12">
        <v>46058.0</v>
      </c>
      <c r="S8" s="11"/>
    </row>
    <row r="9" ht="14.25" customHeight="1">
      <c r="A9" s="13" t="s">
        <v>289</v>
      </c>
      <c r="B9" s="13" t="s">
        <v>290</v>
      </c>
      <c r="C9" s="14">
        <v>46058.0</v>
      </c>
      <c r="D9" s="13" t="s">
        <v>87</v>
      </c>
      <c r="E9" s="13" t="s">
        <v>88</v>
      </c>
      <c r="F9" s="13" t="s">
        <v>89</v>
      </c>
      <c r="G9" s="13" t="s">
        <v>52</v>
      </c>
      <c r="H9" s="13" t="s">
        <v>53</v>
      </c>
      <c r="I9" s="14">
        <v>46058.0</v>
      </c>
      <c r="J9" s="14">
        <v>46081.0</v>
      </c>
      <c r="K9" s="13">
        <v>22.0</v>
      </c>
      <c r="L9" s="13">
        <v>85.0</v>
      </c>
      <c r="M9" s="13">
        <v>1870.0</v>
      </c>
      <c r="N9" s="13">
        <v>0.0</v>
      </c>
      <c r="O9" s="13">
        <v>0.0</v>
      </c>
      <c r="P9" s="13">
        <v>1870.0</v>
      </c>
      <c r="Q9" s="13" t="s">
        <v>54</v>
      </c>
      <c r="R9" s="14">
        <v>46058.0</v>
      </c>
      <c r="S9" s="13"/>
    </row>
    <row r="10" ht="14.25" customHeight="1">
      <c r="A10" s="11" t="s">
        <v>291</v>
      </c>
      <c r="B10" s="11" t="s">
        <v>292</v>
      </c>
      <c r="C10" s="12">
        <v>46059.0</v>
      </c>
      <c r="D10" s="11" t="s">
        <v>82</v>
      </c>
      <c r="E10" s="11" t="s">
        <v>83</v>
      </c>
      <c r="F10" s="11" t="s">
        <v>92</v>
      </c>
      <c r="G10" s="11" t="s">
        <v>93</v>
      </c>
      <c r="H10" s="11" t="s">
        <v>53</v>
      </c>
      <c r="I10" s="12">
        <v>46059.0</v>
      </c>
      <c r="J10" s="12">
        <v>46081.0</v>
      </c>
      <c r="K10" s="11">
        <v>28.0</v>
      </c>
      <c r="L10" s="11">
        <v>110.0</v>
      </c>
      <c r="M10" s="11">
        <v>3080.0</v>
      </c>
      <c r="N10" s="11">
        <v>0.0</v>
      </c>
      <c r="O10" s="11">
        <v>0.0</v>
      </c>
      <c r="P10" s="11">
        <v>3080.0</v>
      </c>
      <c r="Q10" s="11" t="s">
        <v>54</v>
      </c>
      <c r="R10" s="12">
        <v>46059.0</v>
      </c>
      <c r="S10" s="11"/>
    </row>
    <row r="11" ht="14.25" customHeight="1">
      <c r="A11" s="13" t="s">
        <v>293</v>
      </c>
      <c r="B11" s="13" t="s">
        <v>294</v>
      </c>
      <c r="C11" s="14">
        <v>46061.0</v>
      </c>
      <c r="D11" s="13" t="s">
        <v>96</v>
      </c>
      <c r="E11" s="13" t="s">
        <v>97</v>
      </c>
      <c r="F11" s="13" t="s">
        <v>98</v>
      </c>
      <c r="G11" s="13" t="s">
        <v>52</v>
      </c>
      <c r="H11" s="13" t="s">
        <v>53</v>
      </c>
      <c r="I11" s="14">
        <v>46061.0</v>
      </c>
      <c r="J11" s="14">
        <v>46081.0</v>
      </c>
      <c r="K11" s="13">
        <v>28.0</v>
      </c>
      <c r="L11" s="13">
        <v>85.0</v>
      </c>
      <c r="M11" s="13">
        <v>2380.0</v>
      </c>
      <c r="N11" s="13">
        <v>0.0</v>
      </c>
      <c r="O11" s="13">
        <v>0.0</v>
      </c>
      <c r="P11" s="13">
        <v>2380.0</v>
      </c>
      <c r="Q11" s="13" t="s">
        <v>54</v>
      </c>
      <c r="R11" s="14">
        <v>46061.0</v>
      </c>
      <c r="S11" s="13"/>
    </row>
    <row r="12" ht="14.25" customHeight="1">
      <c r="A12" s="11" t="s">
        <v>295</v>
      </c>
      <c r="B12" s="11" t="s">
        <v>296</v>
      </c>
      <c r="C12" s="12">
        <v>46061.0</v>
      </c>
      <c r="D12" s="11" t="s">
        <v>101</v>
      </c>
      <c r="E12" s="11" t="s">
        <v>102</v>
      </c>
      <c r="F12" s="11" t="s">
        <v>103</v>
      </c>
      <c r="G12" s="11" t="s">
        <v>52</v>
      </c>
      <c r="H12" s="11" t="s">
        <v>53</v>
      </c>
      <c r="I12" s="12">
        <v>46061.0</v>
      </c>
      <c r="J12" s="12">
        <v>46081.0</v>
      </c>
      <c r="K12" s="11">
        <v>13.0</v>
      </c>
      <c r="L12" s="11">
        <v>85.0</v>
      </c>
      <c r="M12" s="11">
        <v>1105.0</v>
      </c>
      <c r="N12" s="11">
        <v>0.0</v>
      </c>
      <c r="O12" s="11">
        <v>0.0</v>
      </c>
      <c r="P12" s="11">
        <v>1105.0</v>
      </c>
      <c r="Q12" s="11" t="s">
        <v>54</v>
      </c>
      <c r="R12" s="12">
        <v>46061.0</v>
      </c>
      <c r="S12" s="11"/>
    </row>
    <row r="13" ht="14.25" customHeight="1">
      <c r="A13" s="13" t="s">
        <v>297</v>
      </c>
      <c r="B13" s="13" t="s">
        <v>298</v>
      </c>
      <c r="C13" s="14">
        <v>46061.0</v>
      </c>
      <c r="D13" s="13" t="s">
        <v>106</v>
      </c>
      <c r="E13" s="13" t="s">
        <v>107</v>
      </c>
      <c r="F13" s="13" t="s">
        <v>108</v>
      </c>
      <c r="G13" s="13" t="s">
        <v>93</v>
      </c>
      <c r="H13" s="13" t="s">
        <v>53</v>
      </c>
      <c r="I13" s="14">
        <v>46061.0</v>
      </c>
      <c r="J13" s="14">
        <v>46081.0</v>
      </c>
      <c r="K13" s="13">
        <v>26.0</v>
      </c>
      <c r="L13" s="13">
        <v>110.0</v>
      </c>
      <c r="M13" s="13">
        <v>2860.0</v>
      </c>
      <c r="N13" s="13">
        <v>0.0</v>
      </c>
      <c r="O13" s="13">
        <v>0.0</v>
      </c>
      <c r="P13" s="13">
        <v>2860.0</v>
      </c>
      <c r="Q13" s="13" t="s">
        <v>54</v>
      </c>
      <c r="R13" s="14">
        <v>46061.0</v>
      </c>
      <c r="S13" s="13"/>
    </row>
    <row r="14" ht="14.25" customHeight="1">
      <c r="A14" s="11" t="s">
        <v>299</v>
      </c>
      <c r="B14" s="11" t="s">
        <v>300</v>
      </c>
      <c r="C14" s="12">
        <v>46062.0</v>
      </c>
      <c r="D14" s="11" t="s">
        <v>111</v>
      </c>
      <c r="E14" s="11" t="s">
        <v>112</v>
      </c>
      <c r="F14" s="11" t="s">
        <v>113</v>
      </c>
      <c r="G14" s="11" t="s">
        <v>58</v>
      </c>
      <c r="H14" s="11" t="s">
        <v>53</v>
      </c>
      <c r="I14" s="12">
        <v>46062.0</v>
      </c>
      <c r="J14" s="12">
        <v>46081.0</v>
      </c>
      <c r="K14" s="11">
        <v>13.0</v>
      </c>
      <c r="L14" s="11">
        <v>45.0</v>
      </c>
      <c r="M14" s="11">
        <v>585.0</v>
      </c>
      <c r="N14" s="11">
        <v>0.0</v>
      </c>
      <c r="O14" s="11">
        <v>0.0</v>
      </c>
      <c r="P14" s="11">
        <v>585.0</v>
      </c>
      <c r="Q14" s="11" t="s">
        <v>54</v>
      </c>
      <c r="R14" s="12">
        <v>46062.0</v>
      </c>
      <c r="S14" s="11"/>
    </row>
    <row r="15" ht="14.25" customHeight="1">
      <c r="A15" s="13" t="s">
        <v>301</v>
      </c>
      <c r="B15" s="13" t="s">
        <v>302</v>
      </c>
      <c r="C15" s="14">
        <v>46063.0</v>
      </c>
      <c r="D15" s="13" t="s">
        <v>116</v>
      </c>
      <c r="E15" s="13" t="s">
        <v>117</v>
      </c>
      <c r="F15" s="13" t="s">
        <v>118</v>
      </c>
      <c r="G15" s="13" t="s">
        <v>119</v>
      </c>
      <c r="H15" s="13" t="s">
        <v>53</v>
      </c>
      <c r="I15" s="14">
        <v>46063.0</v>
      </c>
      <c r="J15" s="14">
        <v>46081.0</v>
      </c>
      <c r="K15" s="13">
        <v>23.0</v>
      </c>
      <c r="L15" s="13">
        <v>95.0</v>
      </c>
      <c r="M15" s="13">
        <v>2185.0</v>
      </c>
      <c r="N15" s="13">
        <v>0.0</v>
      </c>
      <c r="O15" s="13">
        <v>0.0</v>
      </c>
      <c r="P15" s="13">
        <v>2185.0</v>
      </c>
      <c r="Q15" s="13" t="s">
        <v>54</v>
      </c>
      <c r="R15" s="14">
        <v>46063.0</v>
      </c>
      <c r="S15" s="13"/>
    </row>
    <row r="16" ht="14.25" customHeight="1">
      <c r="A16" s="11" t="s">
        <v>303</v>
      </c>
      <c r="B16" s="11" t="s">
        <v>304</v>
      </c>
      <c r="C16" s="12">
        <v>46063.0</v>
      </c>
      <c r="D16" s="11" t="s">
        <v>72</v>
      </c>
      <c r="E16" s="11" t="s">
        <v>73</v>
      </c>
      <c r="F16" s="11" t="s">
        <v>122</v>
      </c>
      <c r="G16" s="11" t="s">
        <v>93</v>
      </c>
      <c r="H16" s="11" t="s">
        <v>53</v>
      </c>
      <c r="I16" s="12">
        <v>46063.0</v>
      </c>
      <c r="J16" s="12">
        <v>46081.0</v>
      </c>
      <c r="K16" s="11">
        <v>19.0</v>
      </c>
      <c r="L16" s="11">
        <v>110.0</v>
      </c>
      <c r="M16" s="11">
        <v>2090.0</v>
      </c>
      <c r="N16" s="11">
        <v>0.0</v>
      </c>
      <c r="O16" s="11">
        <v>0.0</v>
      </c>
      <c r="P16" s="11">
        <v>2090.0</v>
      </c>
      <c r="Q16" s="11" t="s">
        <v>54</v>
      </c>
      <c r="R16" s="12">
        <v>46063.0</v>
      </c>
      <c r="S16" s="11"/>
    </row>
    <row r="17" ht="14.25" customHeight="1">
      <c r="A17" s="13" t="s">
        <v>305</v>
      </c>
      <c r="B17" s="13" t="s">
        <v>306</v>
      </c>
      <c r="C17" s="14">
        <v>46063.0</v>
      </c>
      <c r="D17" s="13" t="s">
        <v>96</v>
      </c>
      <c r="E17" s="13" t="s">
        <v>97</v>
      </c>
      <c r="F17" s="13" t="s">
        <v>125</v>
      </c>
      <c r="G17" s="13" t="s">
        <v>93</v>
      </c>
      <c r="H17" s="13" t="s">
        <v>53</v>
      </c>
      <c r="I17" s="14">
        <v>46063.0</v>
      </c>
      <c r="J17" s="14">
        <v>46081.0</v>
      </c>
      <c r="K17" s="13">
        <v>23.0</v>
      </c>
      <c r="L17" s="13">
        <v>110.0</v>
      </c>
      <c r="M17" s="13">
        <v>2530.0</v>
      </c>
      <c r="N17" s="13">
        <v>0.0</v>
      </c>
      <c r="O17" s="13">
        <v>0.0</v>
      </c>
      <c r="P17" s="13">
        <v>2530.0</v>
      </c>
      <c r="Q17" s="13" t="s">
        <v>54</v>
      </c>
      <c r="R17" s="14">
        <v>46063.0</v>
      </c>
      <c r="S17" s="13"/>
    </row>
    <row r="18" ht="14.25" customHeight="1">
      <c r="A18" s="11" t="s">
        <v>307</v>
      </c>
      <c r="B18" s="11" t="s">
        <v>308</v>
      </c>
      <c r="C18" s="12">
        <v>46063.0</v>
      </c>
      <c r="D18" s="11" t="s">
        <v>309</v>
      </c>
      <c r="E18" s="11" t="s">
        <v>310</v>
      </c>
      <c r="F18" s="11" t="s">
        <v>311</v>
      </c>
      <c r="G18" s="11" t="s">
        <v>93</v>
      </c>
      <c r="H18" s="11" t="s">
        <v>53</v>
      </c>
      <c r="I18" s="12">
        <v>46063.0</v>
      </c>
      <c r="J18" s="12">
        <v>46081.0</v>
      </c>
      <c r="K18" s="11">
        <v>28.0</v>
      </c>
      <c r="L18" s="11">
        <v>110.0</v>
      </c>
      <c r="M18" s="11">
        <v>3080.0</v>
      </c>
      <c r="N18" s="11">
        <v>0.0</v>
      </c>
      <c r="O18" s="11">
        <v>0.0</v>
      </c>
      <c r="P18" s="11">
        <v>3080.0</v>
      </c>
      <c r="Q18" s="11" t="s">
        <v>54</v>
      </c>
      <c r="R18" s="12">
        <v>46063.0</v>
      </c>
      <c r="S18" s="11"/>
    </row>
    <row r="19" ht="14.25" customHeight="1">
      <c r="A19" s="13" t="s">
        <v>312</v>
      </c>
      <c r="B19" s="13" t="s">
        <v>313</v>
      </c>
      <c r="C19" s="14">
        <v>46065.0</v>
      </c>
      <c r="D19" s="13" t="s">
        <v>128</v>
      </c>
      <c r="E19" s="13" t="s">
        <v>129</v>
      </c>
      <c r="F19" s="13" t="s">
        <v>130</v>
      </c>
      <c r="G19" s="13" t="s">
        <v>119</v>
      </c>
      <c r="H19" s="13" t="s">
        <v>53</v>
      </c>
      <c r="I19" s="14">
        <v>46065.0</v>
      </c>
      <c r="J19" s="14">
        <v>46081.0</v>
      </c>
      <c r="K19" s="13">
        <v>18.0</v>
      </c>
      <c r="L19" s="13">
        <v>95.0</v>
      </c>
      <c r="M19" s="13">
        <v>1710.0</v>
      </c>
      <c r="N19" s="13">
        <v>0.0</v>
      </c>
      <c r="O19" s="13">
        <v>0.0</v>
      </c>
      <c r="P19" s="13">
        <v>1710.0</v>
      </c>
      <c r="Q19" s="13" t="s">
        <v>54</v>
      </c>
      <c r="R19" s="14">
        <v>46065.0</v>
      </c>
      <c r="S19" s="13"/>
    </row>
    <row r="20" ht="14.25" customHeight="1">
      <c r="A20" s="11" t="s">
        <v>314</v>
      </c>
      <c r="B20" s="11" t="s">
        <v>315</v>
      </c>
      <c r="C20" s="12">
        <v>46065.0</v>
      </c>
      <c r="D20" s="11" t="s">
        <v>133</v>
      </c>
      <c r="E20" s="11" t="s">
        <v>134</v>
      </c>
      <c r="F20" s="11" t="s">
        <v>135</v>
      </c>
      <c r="G20" s="11" t="s">
        <v>52</v>
      </c>
      <c r="H20" s="11" t="s">
        <v>53</v>
      </c>
      <c r="I20" s="12">
        <v>46065.0</v>
      </c>
      <c r="J20" s="12">
        <v>46081.0</v>
      </c>
      <c r="K20" s="11">
        <v>38.0</v>
      </c>
      <c r="L20" s="11">
        <v>85.0</v>
      </c>
      <c r="M20" s="11">
        <v>3230.0</v>
      </c>
      <c r="N20" s="11">
        <v>0.0</v>
      </c>
      <c r="O20" s="11">
        <v>0.0</v>
      </c>
      <c r="P20" s="11">
        <v>3230.0</v>
      </c>
      <c r="Q20" s="11" t="s">
        <v>54</v>
      </c>
      <c r="R20" s="12">
        <v>46065.0</v>
      </c>
      <c r="S20" s="11"/>
    </row>
    <row r="21" ht="14.25" customHeight="1">
      <c r="A21" s="13" t="s">
        <v>316</v>
      </c>
      <c r="B21" s="13" t="s">
        <v>317</v>
      </c>
      <c r="C21" s="14">
        <v>46066.0</v>
      </c>
      <c r="D21" s="13" t="s">
        <v>101</v>
      </c>
      <c r="E21" s="13" t="s">
        <v>102</v>
      </c>
      <c r="F21" s="13" t="s">
        <v>138</v>
      </c>
      <c r="G21" s="13" t="s">
        <v>58</v>
      </c>
      <c r="H21" s="13" t="s">
        <v>53</v>
      </c>
      <c r="I21" s="14">
        <v>46066.0</v>
      </c>
      <c r="J21" s="14">
        <v>46081.0</v>
      </c>
      <c r="K21" s="13">
        <v>13.0</v>
      </c>
      <c r="L21" s="13">
        <v>45.0</v>
      </c>
      <c r="M21" s="13">
        <v>585.0</v>
      </c>
      <c r="N21" s="13">
        <v>0.0</v>
      </c>
      <c r="O21" s="13">
        <v>0.0</v>
      </c>
      <c r="P21" s="13">
        <v>585.0</v>
      </c>
      <c r="Q21" s="13" t="s">
        <v>54</v>
      </c>
      <c r="R21" s="14">
        <v>46066.0</v>
      </c>
      <c r="S21" s="13"/>
    </row>
    <row r="22" ht="14.25" customHeight="1">
      <c r="A22" s="11" t="s">
        <v>318</v>
      </c>
      <c r="B22" s="11" t="s">
        <v>319</v>
      </c>
      <c r="C22" s="12">
        <v>46067.0</v>
      </c>
      <c r="D22" s="11" t="s">
        <v>141</v>
      </c>
      <c r="E22" s="11" t="s">
        <v>142</v>
      </c>
      <c r="F22" s="11" t="s">
        <v>143</v>
      </c>
      <c r="G22" s="11" t="s">
        <v>58</v>
      </c>
      <c r="H22" s="11" t="s">
        <v>53</v>
      </c>
      <c r="I22" s="12">
        <v>46067.0</v>
      </c>
      <c r="J22" s="12">
        <v>46081.0</v>
      </c>
      <c r="K22" s="11">
        <v>16.0</v>
      </c>
      <c r="L22" s="11">
        <v>45.0</v>
      </c>
      <c r="M22" s="11">
        <v>720.0</v>
      </c>
      <c r="N22" s="11">
        <v>0.0</v>
      </c>
      <c r="O22" s="11">
        <v>0.0</v>
      </c>
      <c r="P22" s="11">
        <v>720.0</v>
      </c>
      <c r="Q22" s="11" t="s">
        <v>54</v>
      </c>
      <c r="R22" s="12">
        <v>46067.0</v>
      </c>
      <c r="S22" s="11"/>
    </row>
    <row r="23" ht="14.25" customHeight="1">
      <c r="A23" s="13" t="s">
        <v>320</v>
      </c>
      <c r="B23" s="13" t="s">
        <v>321</v>
      </c>
      <c r="C23" s="14">
        <v>46068.0</v>
      </c>
      <c r="D23" s="13" t="s">
        <v>146</v>
      </c>
      <c r="E23" s="13" t="s">
        <v>147</v>
      </c>
      <c r="F23" s="13" t="s">
        <v>148</v>
      </c>
      <c r="G23" s="13" t="s">
        <v>93</v>
      </c>
      <c r="H23" s="13" t="s">
        <v>53</v>
      </c>
      <c r="I23" s="14">
        <v>46068.0</v>
      </c>
      <c r="J23" s="14">
        <v>46081.0</v>
      </c>
      <c r="K23" s="13">
        <v>16.0</v>
      </c>
      <c r="L23" s="13">
        <v>110.0</v>
      </c>
      <c r="M23" s="13">
        <v>1760.0</v>
      </c>
      <c r="N23" s="13">
        <v>0.0</v>
      </c>
      <c r="O23" s="13">
        <v>0.0</v>
      </c>
      <c r="P23" s="13">
        <v>1760.0</v>
      </c>
      <c r="Q23" s="13" t="s">
        <v>54</v>
      </c>
      <c r="R23" s="14">
        <v>46068.0</v>
      </c>
      <c r="S23" s="13"/>
    </row>
    <row r="24" ht="14.25" customHeight="1">
      <c r="A24" s="11" t="s">
        <v>322</v>
      </c>
      <c r="B24" s="11" t="s">
        <v>323</v>
      </c>
      <c r="C24" s="12">
        <v>46068.0</v>
      </c>
      <c r="D24" s="11" t="s">
        <v>61</v>
      </c>
      <c r="E24" s="11" t="s">
        <v>62</v>
      </c>
      <c r="F24" s="11" t="s">
        <v>151</v>
      </c>
      <c r="G24" s="11" t="s">
        <v>52</v>
      </c>
      <c r="H24" s="11" t="s">
        <v>53</v>
      </c>
      <c r="I24" s="12">
        <v>46068.0</v>
      </c>
      <c r="J24" s="12">
        <v>46081.0</v>
      </c>
      <c r="K24" s="11">
        <v>35.0</v>
      </c>
      <c r="L24" s="11">
        <v>85.0</v>
      </c>
      <c r="M24" s="11">
        <v>2975.0</v>
      </c>
      <c r="N24" s="11">
        <v>0.0</v>
      </c>
      <c r="O24" s="11">
        <v>0.0</v>
      </c>
      <c r="P24" s="11">
        <v>2975.0</v>
      </c>
      <c r="Q24" s="11" t="s">
        <v>54</v>
      </c>
      <c r="R24" s="12">
        <v>46068.0</v>
      </c>
      <c r="S24" s="11"/>
    </row>
    <row r="25" ht="14.25" customHeight="1">
      <c r="A25" s="13" t="s">
        <v>324</v>
      </c>
      <c r="B25" s="13" t="s">
        <v>325</v>
      </c>
      <c r="C25" s="14">
        <v>46068.0</v>
      </c>
      <c r="D25" s="13" t="s">
        <v>154</v>
      </c>
      <c r="E25" s="13" t="s">
        <v>155</v>
      </c>
      <c r="F25" s="13" t="s">
        <v>156</v>
      </c>
      <c r="G25" s="13" t="s">
        <v>52</v>
      </c>
      <c r="H25" s="13" t="s">
        <v>53</v>
      </c>
      <c r="I25" s="14">
        <v>46068.0</v>
      </c>
      <c r="J25" s="14">
        <v>46081.0</v>
      </c>
      <c r="K25" s="13">
        <v>11.0</v>
      </c>
      <c r="L25" s="13">
        <v>85.0</v>
      </c>
      <c r="M25" s="13">
        <v>935.0</v>
      </c>
      <c r="N25" s="13">
        <v>0.0</v>
      </c>
      <c r="O25" s="13">
        <v>0.0</v>
      </c>
      <c r="P25" s="13">
        <v>935.0</v>
      </c>
      <c r="Q25" s="13" t="s">
        <v>54</v>
      </c>
      <c r="R25" s="14">
        <v>46068.0</v>
      </c>
      <c r="S25" s="13"/>
    </row>
    <row r="26" ht="14.25" customHeight="1">
      <c r="A26" s="11" t="s">
        <v>326</v>
      </c>
      <c r="B26" s="11" t="s">
        <v>327</v>
      </c>
      <c r="C26" s="12">
        <v>46069.0</v>
      </c>
      <c r="D26" s="11" t="s">
        <v>159</v>
      </c>
      <c r="E26" s="11" t="s">
        <v>160</v>
      </c>
      <c r="F26" s="11" t="s">
        <v>161</v>
      </c>
      <c r="G26" s="11" t="s">
        <v>52</v>
      </c>
      <c r="H26" s="11" t="s">
        <v>53</v>
      </c>
      <c r="I26" s="12">
        <v>46069.0</v>
      </c>
      <c r="J26" s="12">
        <v>46081.0</v>
      </c>
      <c r="K26" s="11">
        <v>19.0</v>
      </c>
      <c r="L26" s="11">
        <v>85.0</v>
      </c>
      <c r="M26" s="11">
        <v>1615.0</v>
      </c>
      <c r="N26" s="11">
        <v>0.0</v>
      </c>
      <c r="O26" s="11">
        <v>0.0</v>
      </c>
      <c r="P26" s="11">
        <v>1615.0</v>
      </c>
      <c r="Q26" s="11" t="s">
        <v>54</v>
      </c>
      <c r="R26" s="12">
        <v>46069.0</v>
      </c>
      <c r="S26" s="11"/>
    </row>
    <row r="27" ht="14.25" customHeight="1">
      <c r="A27" s="13" t="s">
        <v>328</v>
      </c>
      <c r="B27" s="13" t="s">
        <v>329</v>
      </c>
      <c r="C27" s="14">
        <v>46070.0</v>
      </c>
      <c r="D27" s="13" t="s">
        <v>164</v>
      </c>
      <c r="E27" s="13" t="s">
        <v>165</v>
      </c>
      <c r="F27" s="13" t="s">
        <v>166</v>
      </c>
      <c r="G27" s="13" t="s">
        <v>119</v>
      </c>
      <c r="H27" s="13" t="s">
        <v>53</v>
      </c>
      <c r="I27" s="14">
        <v>46070.0</v>
      </c>
      <c r="J27" s="14">
        <v>46081.0</v>
      </c>
      <c r="K27" s="13">
        <v>20.0</v>
      </c>
      <c r="L27" s="13">
        <v>95.0</v>
      </c>
      <c r="M27" s="13">
        <v>1900.0</v>
      </c>
      <c r="N27" s="13">
        <v>0.0</v>
      </c>
      <c r="O27" s="13">
        <v>0.0</v>
      </c>
      <c r="P27" s="13">
        <v>1900.0</v>
      </c>
      <c r="Q27" s="13" t="s">
        <v>54</v>
      </c>
      <c r="R27" s="14">
        <v>46070.0</v>
      </c>
      <c r="S27" s="13"/>
    </row>
    <row r="28" ht="14.25" customHeight="1">
      <c r="A28" s="11" t="s">
        <v>330</v>
      </c>
      <c r="B28" s="11" t="s">
        <v>331</v>
      </c>
      <c r="C28" s="12">
        <v>46070.0</v>
      </c>
      <c r="D28" s="11" t="s">
        <v>169</v>
      </c>
      <c r="E28" s="11" t="s">
        <v>170</v>
      </c>
      <c r="F28" s="11" t="s">
        <v>171</v>
      </c>
      <c r="G28" s="11" t="s">
        <v>64</v>
      </c>
      <c r="H28" s="11" t="s">
        <v>53</v>
      </c>
      <c r="I28" s="12">
        <v>46070.0</v>
      </c>
      <c r="J28" s="12">
        <v>46081.0</v>
      </c>
      <c r="K28" s="11">
        <v>26.0</v>
      </c>
      <c r="L28" s="11">
        <v>180.0</v>
      </c>
      <c r="M28" s="11">
        <v>4680.0</v>
      </c>
      <c r="N28" s="11">
        <v>0.0</v>
      </c>
      <c r="O28" s="11">
        <v>0.0</v>
      </c>
      <c r="P28" s="11">
        <v>4680.0</v>
      </c>
      <c r="Q28" s="11" t="s">
        <v>54</v>
      </c>
      <c r="R28" s="12">
        <v>46070.0</v>
      </c>
      <c r="S28" s="11"/>
    </row>
    <row r="29" ht="14.25" customHeight="1">
      <c r="A29" s="13" t="s">
        <v>332</v>
      </c>
      <c r="B29" s="13" t="s">
        <v>333</v>
      </c>
      <c r="C29" s="14">
        <v>46071.0</v>
      </c>
      <c r="D29" s="13" t="s">
        <v>174</v>
      </c>
      <c r="E29" s="13" t="s">
        <v>175</v>
      </c>
      <c r="F29" s="13" t="s">
        <v>176</v>
      </c>
      <c r="G29" s="13" t="s">
        <v>93</v>
      </c>
      <c r="H29" s="13" t="s">
        <v>53</v>
      </c>
      <c r="I29" s="14">
        <v>46071.0</v>
      </c>
      <c r="J29" s="14">
        <v>46081.0</v>
      </c>
      <c r="K29" s="13">
        <v>26.0</v>
      </c>
      <c r="L29" s="13">
        <v>110.0</v>
      </c>
      <c r="M29" s="13">
        <v>2860.0</v>
      </c>
      <c r="N29" s="13">
        <v>0.0</v>
      </c>
      <c r="O29" s="13">
        <v>0.0</v>
      </c>
      <c r="P29" s="13">
        <v>2860.0</v>
      </c>
      <c r="Q29" s="13" t="s">
        <v>54</v>
      </c>
      <c r="R29" s="14">
        <v>46071.0</v>
      </c>
      <c r="S29" s="13"/>
    </row>
    <row r="30" ht="14.25" customHeight="1">
      <c r="A30" s="11" t="s">
        <v>334</v>
      </c>
      <c r="B30" s="11" t="s">
        <v>335</v>
      </c>
      <c r="C30" s="12">
        <v>46072.0</v>
      </c>
      <c r="D30" s="11" t="s">
        <v>179</v>
      </c>
      <c r="E30" s="11" t="s">
        <v>180</v>
      </c>
      <c r="F30" s="11" t="s">
        <v>181</v>
      </c>
      <c r="G30" s="11" t="s">
        <v>93</v>
      </c>
      <c r="H30" s="11" t="s">
        <v>53</v>
      </c>
      <c r="I30" s="12">
        <v>46072.0</v>
      </c>
      <c r="J30" s="12">
        <v>46081.0</v>
      </c>
      <c r="K30" s="11">
        <v>18.0</v>
      </c>
      <c r="L30" s="11">
        <v>110.0</v>
      </c>
      <c r="M30" s="11">
        <v>1980.0</v>
      </c>
      <c r="N30" s="11">
        <v>0.0</v>
      </c>
      <c r="O30" s="11">
        <v>0.0</v>
      </c>
      <c r="P30" s="11">
        <v>1980.0</v>
      </c>
      <c r="Q30" s="11" t="s">
        <v>54</v>
      </c>
      <c r="R30" s="12">
        <v>46072.0</v>
      </c>
      <c r="S30" s="11"/>
    </row>
    <row r="31" ht="14.25" customHeight="1">
      <c r="A31" s="13" t="s">
        <v>336</v>
      </c>
      <c r="B31" s="13" t="s">
        <v>337</v>
      </c>
      <c r="C31" s="14">
        <v>46072.0</v>
      </c>
      <c r="D31" s="13" t="s">
        <v>184</v>
      </c>
      <c r="E31" s="13" t="s">
        <v>185</v>
      </c>
      <c r="F31" s="13" t="s">
        <v>186</v>
      </c>
      <c r="G31" s="13" t="s">
        <v>58</v>
      </c>
      <c r="H31" s="13" t="s">
        <v>53</v>
      </c>
      <c r="I31" s="14">
        <v>46072.0</v>
      </c>
      <c r="J31" s="14">
        <v>46081.0</v>
      </c>
      <c r="K31" s="13">
        <v>12.0</v>
      </c>
      <c r="L31" s="13">
        <v>45.0</v>
      </c>
      <c r="M31" s="13">
        <v>540.0</v>
      </c>
      <c r="N31" s="13">
        <v>0.0</v>
      </c>
      <c r="O31" s="13">
        <v>0.0</v>
      </c>
      <c r="P31" s="13">
        <v>540.0</v>
      </c>
      <c r="Q31" s="13" t="s">
        <v>54</v>
      </c>
      <c r="R31" s="14">
        <v>46072.0</v>
      </c>
      <c r="S31" s="13"/>
    </row>
    <row r="32" ht="14.25" customHeight="1">
      <c r="A32" s="11" t="s">
        <v>338</v>
      </c>
      <c r="B32" s="11" t="s">
        <v>339</v>
      </c>
      <c r="C32" s="12">
        <v>46073.0</v>
      </c>
      <c r="D32" s="11" t="s">
        <v>189</v>
      </c>
      <c r="E32" s="11" t="s">
        <v>190</v>
      </c>
      <c r="F32" s="11" t="s">
        <v>191</v>
      </c>
      <c r="G32" s="11" t="s">
        <v>58</v>
      </c>
      <c r="H32" s="11" t="s">
        <v>53</v>
      </c>
      <c r="I32" s="12">
        <v>46073.0</v>
      </c>
      <c r="J32" s="12">
        <v>46081.0</v>
      </c>
      <c r="K32" s="11">
        <v>15.0</v>
      </c>
      <c r="L32" s="11">
        <v>45.0</v>
      </c>
      <c r="M32" s="11">
        <v>675.0</v>
      </c>
      <c r="N32" s="11">
        <v>0.0</v>
      </c>
      <c r="O32" s="11">
        <v>0.0</v>
      </c>
      <c r="P32" s="11">
        <v>675.0</v>
      </c>
      <c r="Q32" s="11" t="s">
        <v>54</v>
      </c>
      <c r="R32" s="12">
        <v>46073.0</v>
      </c>
      <c r="S32" s="11"/>
    </row>
    <row r="33" ht="14.25" customHeight="1">
      <c r="A33" s="13" t="s">
        <v>340</v>
      </c>
      <c r="B33" s="13" t="s">
        <v>341</v>
      </c>
      <c r="C33" s="14">
        <v>46073.0</v>
      </c>
      <c r="D33" s="13" t="s">
        <v>196</v>
      </c>
      <c r="E33" s="13" t="s">
        <v>197</v>
      </c>
      <c r="F33" s="13" t="s">
        <v>198</v>
      </c>
      <c r="G33" s="13" t="s">
        <v>119</v>
      </c>
      <c r="H33" s="13" t="s">
        <v>53</v>
      </c>
      <c r="I33" s="14">
        <v>46073.0</v>
      </c>
      <c r="J33" s="14">
        <v>46081.0</v>
      </c>
      <c r="K33" s="13">
        <v>35.0</v>
      </c>
      <c r="L33" s="13">
        <v>95.0</v>
      </c>
      <c r="M33" s="13">
        <v>3325.0</v>
      </c>
      <c r="N33" s="13">
        <v>0.0</v>
      </c>
      <c r="O33" s="13">
        <v>0.0</v>
      </c>
      <c r="P33" s="13">
        <v>3325.0</v>
      </c>
      <c r="Q33" s="13" t="s">
        <v>54</v>
      </c>
      <c r="R33" s="14">
        <v>46073.0</v>
      </c>
      <c r="S33" s="13"/>
    </row>
    <row r="34" ht="14.25" customHeight="1">
      <c r="A34" s="11" t="s">
        <v>342</v>
      </c>
      <c r="B34" s="11" t="s">
        <v>343</v>
      </c>
      <c r="C34" s="12">
        <v>46073.0</v>
      </c>
      <c r="D34" s="11" t="s">
        <v>201</v>
      </c>
      <c r="E34" s="11" t="s">
        <v>202</v>
      </c>
      <c r="F34" s="11" t="s">
        <v>203</v>
      </c>
      <c r="G34" s="11" t="s">
        <v>119</v>
      </c>
      <c r="H34" s="11" t="s">
        <v>53</v>
      </c>
      <c r="I34" s="12">
        <v>46073.0</v>
      </c>
      <c r="J34" s="12">
        <v>46081.0</v>
      </c>
      <c r="K34" s="11">
        <v>12.0</v>
      </c>
      <c r="L34" s="11">
        <v>95.0</v>
      </c>
      <c r="M34" s="11">
        <v>1140.0</v>
      </c>
      <c r="N34" s="11">
        <v>0.0</v>
      </c>
      <c r="O34" s="11">
        <v>0.0</v>
      </c>
      <c r="P34" s="11">
        <v>1140.0</v>
      </c>
      <c r="Q34" s="11" t="s">
        <v>54</v>
      </c>
      <c r="R34" s="12">
        <v>46073.0</v>
      </c>
      <c r="S34" s="11"/>
    </row>
    <row r="35" ht="14.25" customHeight="1">
      <c r="A35" s="13" t="s">
        <v>344</v>
      </c>
      <c r="B35" s="13" t="s">
        <v>345</v>
      </c>
      <c r="C35" s="14">
        <v>46073.0</v>
      </c>
      <c r="D35" s="13" t="s">
        <v>346</v>
      </c>
      <c r="E35" s="13" t="s">
        <v>347</v>
      </c>
      <c r="F35" s="13" t="s">
        <v>348</v>
      </c>
      <c r="G35" s="13" t="s">
        <v>119</v>
      </c>
      <c r="H35" s="13" t="s">
        <v>53</v>
      </c>
      <c r="I35" s="14">
        <v>46073.0</v>
      </c>
      <c r="J35" s="14">
        <v>46081.0</v>
      </c>
      <c r="K35" s="13">
        <v>32.0</v>
      </c>
      <c r="L35" s="13">
        <v>95.0</v>
      </c>
      <c r="M35" s="13">
        <v>3040.0</v>
      </c>
      <c r="N35" s="13">
        <v>0.0</v>
      </c>
      <c r="O35" s="13">
        <v>0.0</v>
      </c>
      <c r="P35" s="13">
        <v>3040.0</v>
      </c>
      <c r="Q35" s="13" t="s">
        <v>54</v>
      </c>
      <c r="R35" s="14">
        <v>46073.0</v>
      </c>
      <c r="S35" s="13"/>
    </row>
    <row r="36" ht="14.25" customHeight="1">
      <c r="A36" s="11" t="s">
        <v>349</v>
      </c>
      <c r="B36" s="11" t="s">
        <v>350</v>
      </c>
      <c r="C36" s="12">
        <v>46074.0</v>
      </c>
      <c r="D36" s="11" t="s">
        <v>49</v>
      </c>
      <c r="E36" s="11" t="s">
        <v>50</v>
      </c>
      <c r="F36" s="11" t="s">
        <v>57</v>
      </c>
      <c r="G36" s="11" t="s">
        <v>58</v>
      </c>
      <c r="H36" s="11" t="s">
        <v>53</v>
      </c>
      <c r="I36" s="12">
        <v>46074.0</v>
      </c>
      <c r="J36" s="12">
        <v>46081.0</v>
      </c>
      <c r="K36" s="11">
        <v>15.0</v>
      </c>
      <c r="L36" s="11">
        <v>45.0</v>
      </c>
      <c r="M36" s="11">
        <v>675.0</v>
      </c>
      <c r="N36" s="11">
        <v>12.0</v>
      </c>
      <c r="O36" s="11">
        <v>81.0</v>
      </c>
      <c r="P36" s="11">
        <v>-169.71</v>
      </c>
      <c r="Q36" s="11" t="s">
        <v>351</v>
      </c>
      <c r="R36" s="12">
        <v>46074.0</v>
      </c>
      <c r="S36" s="11" t="s">
        <v>352</v>
      </c>
    </row>
    <row r="37" ht="14.25" customHeight="1">
      <c r="A37" s="13" t="s">
        <v>353</v>
      </c>
      <c r="B37" s="13" t="s">
        <v>354</v>
      </c>
      <c r="C37" s="14">
        <v>46075.0</v>
      </c>
      <c r="D37" s="13" t="s">
        <v>213</v>
      </c>
      <c r="E37" s="13" t="s">
        <v>214</v>
      </c>
      <c r="F37" s="13" t="s">
        <v>215</v>
      </c>
      <c r="G37" s="13" t="s">
        <v>64</v>
      </c>
      <c r="H37" s="13" t="s">
        <v>53</v>
      </c>
      <c r="I37" s="14">
        <v>46075.0</v>
      </c>
      <c r="J37" s="14">
        <v>46081.0</v>
      </c>
      <c r="K37" s="13">
        <v>20.0</v>
      </c>
      <c r="L37" s="13">
        <v>180.0</v>
      </c>
      <c r="M37" s="13">
        <v>3600.0</v>
      </c>
      <c r="N37" s="13">
        <v>0.0</v>
      </c>
      <c r="O37" s="13">
        <v>0.0</v>
      </c>
      <c r="P37" s="13">
        <v>3600.0</v>
      </c>
      <c r="Q37" s="13" t="s">
        <v>54</v>
      </c>
      <c r="R37" s="14">
        <v>46075.0</v>
      </c>
      <c r="S37" s="13"/>
    </row>
    <row r="38" ht="14.25" customHeight="1">
      <c r="A38" s="11" t="s">
        <v>355</v>
      </c>
      <c r="B38" s="11" t="s">
        <v>356</v>
      </c>
      <c r="C38" s="12">
        <v>46075.0</v>
      </c>
      <c r="D38" s="11" t="s">
        <v>218</v>
      </c>
      <c r="E38" s="11" t="s">
        <v>219</v>
      </c>
      <c r="F38" s="11" t="s">
        <v>220</v>
      </c>
      <c r="G38" s="11" t="s">
        <v>93</v>
      </c>
      <c r="H38" s="11" t="s">
        <v>53</v>
      </c>
      <c r="I38" s="12">
        <v>46075.0</v>
      </c>
      <c r="J38" s="12">
        <v>46081.0</v>
      </c>
      <c r="K38" s="11">
        <v>36.0</v>
      </c>
      <c r="L38" s="11">
        <v>110.0</v>
      </c>
      <c r="M38" s="11">
        <v>3960.0</v>
      </c>
      <c r="N38" s="11">
        <v>0.0</v>
      </c>
      <c r="O38" s="11">
        <v>0.0</v>
      </c>
      <c r="P38" s="11">
        <v>3960.0</v>
      </c>
      <c r="Q38" s="11" t="s">
        <v>54</v>
      </c>
      <c r="R38" s="12">
        <v>46075.0</v>
      </c>
      <c r="S38" s="11"/>
    </row>
    <row r="39" ht="14.25" customHeight="1">
      <c r="A39" s="13" t="s">
        <v>357</v>
      </c>
      <c r="B39" s="13" t="s">
        <v>358</v>
      </c>
      <c r="C39" s="14">
        <v>46076.0</v>
      </c>
      <c r="D39" s="13" t="s">
        <v>226</v>
      </c>
      <c r="E39" s="13" t="s">
        <v>227</v>
      </c>
      <c r="F39" s="13" t="s">
        <v>228</v>
      </c>
      <c r="G39" s="13" t="s">
        <v>119</v>
      </c>
      <c r="H39" s="13" t="s">
        <v>53</v>
      </c>
      <c r="I39" s="14">
        <v>46076.0</v>
      </c>
      <c r="J39" s="14">
        <v>46081.0</v>
      </c>
      <c r="K39" s="13">
        <v>16.0</v>
      </c>
      <c r="L39" s="13">
        <v>95.0</v>
      </c>
      <c r="M39" s="13">
        <v>1520.0</v>
      </c>
      <c r="N39" s="13">
        <v>0.0</v>
      </c>
      <c r="O39" s="13">
        <v>0.0</v>
      </c>
      <c r="P39" s="13">
        <v>1520.0</v>
      </c>
      <c r="Q39" s="13" t="s">
        <v>54</v>
      </c>
      <c r="R39" s="14">
        <v>46076.0</v>
      </c>
      <c r="S39" s="13"/>
    </row>
    <row r="40" ht="14.25" customHeight="1">
      <c r="A40" s="11" t="s">
        <v>359</v>
      </c>
      <c r="B40" s="11" t="s">
        <v>360</v>
      </c>
      <c r="C40" s="12">
        <v>46076.0</v>
      </c>
      <c r="D40" s="11" t="s">
        <v>231</v>
      </c>
      <c r="E40" s="11" t="s">
        <v>232</v>
      </c>
      <c r="F40" s="11" t="s">
        <v>233</v>
      </c>
      <c r="G40" s="11" t="s">
        <v>52</v>
      </c>
      <c r="H40" s="11" t="s">
        <v>53</v>
      </c>
      <c r="I40" s="12">
        <v>46076.0</v>
      </c>
      <c r="J40" s="12">
        <v>46081.0</v>
      </c>
      <c r="K40" s="11">
        <v>29.0</v>
      </c>
      <c r="L40" s="11">
        <v>85.0</v>
      </c>
      <c r="M40" s="11">
        <v>2465.0</v>
      </c>
      <c r="N40" s="11">
        <v>0.0</v>
      </c>
      <c r="O40" s="11">
        <v>0.0</v>
      </c>
      <c r="P40" s="11">
        <v>2465.0</v>
      </c>
      <c r="Q40" s="11" t="s">
        <v>54</v>
      </c>
      <c r="R40" s="12">
        <v>46076.0</v>
      </c>
      <c r="S40" s="11"/>
    </row>
    <row r="41" ht="14.25" customHeight="1">
      <c r="A41" s="13" t="s">
        <v>361</v>
      </c>
      <c r="B41" s="13" t="s">
        <v>362</v>
      </c>
      <c r="C41" s="14">
        <v>46078.0</v>
      </c>
      <c r="D41" s="13" t="s">
        <v>106</v>
      </c>
      <c r="E41" s="13" t="s">
        <v>107</v>
      </c>
      <c r="F41" s="13" t="s">
        <v>236</v>
      </c>
      <c r="G41" s="13" t="s">
        <v>52</v>
      </c>
      <c r="H41" s="13" t="s">
        <v>53</v>
      </c>
      <c r="I41" s="14">
        <v>46078.0</v>
      </c>
      <c r="J41" s="14">
        <v>46081.0</v>
      </c>
      <c r="K41" s="13">
        <v>31.0</v>
      </c>
      <c r="L41" s="13">
        <v>85.0</v>
      </c>
      <c r="M41" s="13">
        <v>2635.0</v>
      </c>
      <c r="N41" s="13">
        <v>0.0</v>
      </c>
      <c r="O41" s="13">
        <v>0.0</v>
      </c>
      <c r="P41" s="13">
        <v>2635.0</v>
      </c>
      <c r="Q41" s="13" t="s">
        <v>54</v>
      </c>
      <c r="R41" s="14">
        <v>46078.0</v>
      </c>
      <c r="S41" s="13"/>
    </row>
    <row r="42" ht="14.25" customHeight="1">
      <c r="A42" s="11" t="s">
        <v>363</v>
      </c>
      <c r="B42" s="11" t="s">
        <v>364</v>
      </c>
      <c r="C42" s="12">
        <v>46079.0</v>
      </c>
      <c r="D42" s="11" t="s">
        <v>239</v>
      </c>
      <c r="E42" s="11" t="s">
        <v>240</v>
      </c>
      <c r="F42" s="11" t="s">
        <v>241</v>
      </c>
      <c r="G42" s="11" t="s">
        <v>209</v>
      </c>
      <c r="H42" s="11" t="s">
        <v>53</v>
      </c>
      <c r="I42" s="12">
        <v>46079.0</v>
      </c>
      <c r="J42" s="12">
        <v>46081.0</v>
      </c>
      <c r="K42" s="11">
        <v>35.0</v>
      </c>
      <c r="L42" s="11">
        <v>150.0</v>
      </c>
      <c r="M42" s="11">
        <v>5250.0</v>
      </c>
      <c r="N42" s="11">
        <v>0.0</v>
      </c>
      <c r="O42" s="11">
        <v>0.0</v>
      </c>
      <c r="P42" s="11">
        <v>5250.0</v>
      </c>
      <c r="Q42" s="11" t="s">
        <v>54</v>
      </c>
      <c r="R42" s="12">
        <v>46079.0</v>
      </c>
      <c r="S42" s="11"/>
    </row>
    <row r="43" ht="14.25" customHeight="1">
      <c r="A43" s="13" t="s">
        <v>365</v>
      </c>
      <c r="B43" s="13" t="s">
        <v>366</v>
      </c>
      <c r="C43" s="14">
        <v>46079.0</v>
      </c>
      <c r="D43" s="13" t="s">
        <v>244</v>
      </c>
      <c r="E43" s="13" t="s">
        <v>245</v>
      </c>
      <c r="F43" s="13" t="s">
        <v>246</v>
      </c>
      <c r="G43" s="13" t="s">
        <v>119</v>
      </c>
      <c r="H43" s="13" t="s">
        <v>53</v>
      </c>
      <c r="I43" s="14">
        <v>46079.0</v>
      </c>
      <c r="J43" s="14">
        <v>46081.0</v>
      </c>
      <c r="K43" s="13">
        <v>18.0</v>
      </c>
      <c r="L43" s="13">
        <v>95.0</v>
      </c>
      <c r="M43" s="13">
        <v>1710.0</v>
      </c>
      <c r="N43" s="13">
        <v>0.0</v>
      </c>
      <c r="O43" s="13">
        <v>0.0</v>
      </c>
      <c r="P43" s="13">
        <v>1710.0</v>
      </c>
      <c r="Q43" s="13" t="s">
        <v>54</v>
      </c>
      <c r="R43" s="14">
        <v>46079.0</v>
      </c>
      <c r="S43" s="13"/>
    </row>
    <row r="44" ht="14.25" customHeight="1">
      <c r="A44" s="11" t="s">
        <v>367</v>
      </c>
      <c r="B44" s="11" t="s">
        <v>368</v>
      </c>
      <c r="C44" s="12">
        <v>46080.0</v>
      </c>
      <c r="D44" s="11" t="s">
        <v>249</v>
      </c>
      <c r="E44" s="11" t="s">
        <v>250</v>
      </c>
      <c r="F44" s="11" t="s">
        <v>251</v>
      </c>
      <c r="G44" s="11" t="s">
        <v>93</v>
      </c>
      <c r="H44" s="11" t="s">
        <v>53</v>
      </c>
      <c r="I44" s="12">
        <v>46080.0</v>
      </c>
      <c r="J44" s="12">
        <v>46081.0</v>
      </c>
      <c r="K44" s="11">
        <v>18.0</v>
      </c>
      <c r="L44" s="11">
        <v>110.0</v>
      </c>
      <c r="M44" s="11">
        <v>1980.0</v>
      </c>
      <c r="N44" s="11">
        <v>0.0</v>
      </c>
      <c r="O44" s="11">
        <v>0.0</v>
      </c>
      <c r="P44" s="11">
        <v>1980.0</v>
      </c>
      <c r="Q44" s="11" t="s">
        <v>54</v>
      </c>
      <c r="R44" s="12">
        <v>46080.0</v>
      </c>
      <c r="S44" s="11"/>
    </row>
    <row r="45" ht="14.25" customHeight="1">
      <c r="A45" s="13" t="s">
        <v>369</v>
      </c>
      <c r="B45" s="13" t="s">
        <v>370</v>
      </c>
      <c r="C45" s="14">
        <v>46081.0</v>
      </c>
      <c r="D45" s="13" t="s">
        <v>267</v>
      </c>
      <c r="E45" s="13" t="s">
        <v>268</v>
      </c>
      <c r="F45" s="13" t="s">
        <v>269</v>
      </c>
      <c r="G45" s="13" t="s">
        <v>93</v>
      </c>
      <c r="H45" s="13" t="s">
        <v>53</v>
      </c>
      <c r="I45" s="14">
        <v>46081.0</v>
      </c>
      <c r="J45" s="14">
        <v>46081.0</v>
      </c>
      <c r="K45" s="13">
        <v>15.0</v>
      </c>
      <c r="L45" s="13">
        <v>110.0</v>
      </c>
      <c r="M45" s="13">
        <v>1650.0</v>
      </c>
      <c r="N45" s="13">
        <v>0.0</v>
      </c>
      <c r="O45" s="13">
        <v>0.0</v>
      </c>
      <c r="P45" s="13">
        <v>1650.0</v>
      </c>
      <c r="Q45" s="13" t="s">
        <v>54</v>
      </c>
      <c r="R45" s="14">
        <v>46081.0</v>
      </c>
      <c r="S45" s="13"/>
    </row>
    <row r="46" ht="14.25" customHeight="1">
      <c r="A46" s="11" t="s">
        <v>371</v>
      </c>
      <c r="B46" s="11" t="s">
        <v>372</v>
      </c>
      <c r="C46" s="12">
        <v>46081.0</v>
      </c>
      <c r="D46" s="11" t="s">
        <v>174</v>
      </c>
      <c r="E46" s="11" t="s">
        <v>175</v>
      </c>
      <c r="F46" s="11" t="s">
        <v>254</v>
      </c>
      <c r="G46" s="11" t="s">
        <v>209</v>
      </c>
      <c r="H46" s="11" t="s">
        <v>53</v>
      </c>
      <c r="I46" s="12">
        <v>46081.0</v>
      </c>
      <c r="J46" s="12">
        <v>46081.0</v>
      </c>
      <c r="K46" s="11">
        <v>33.0</v>
      </c>
      <c r="L46" s="11">
        <v>150.0</v>
      </c>
      <c r="M46" s="11">
        <v>4950.0</v>
      </c>
      <c r="N46" s="11">
        <v>0.0</v>
      </c>
      <c r="O46" s="11">
        <v>0.0</v>
      </c>
      <c r="P46" s="11">
        <v>4950.0</v>
      </c>
      <c r="Q46" s="11" t="s">
        <v>54</v>
      </c>
      <c r="R46" s="12">
        <v>46081.0</v>
      </c>
      <c r="S46" s="11"/>
    </row>
    <row r="47" ht="14.25" customHeight="1">
      <c r="A47" s="13" t="s">
        <v>373</v>
      </c>
      <c r="B47" s="13" t="s">
        <v>374</v>
      </c>
      <c r="C47" s="14">
        <v>46081.0</v>
      </c>
      <c r="D47" s="13" t="s">
        <v>272</v>
      </c>
      <c r="E47" s="13" t="s">
        <v>273</v>
      </c>
      <c r="F47" s="13" t="s">
        <v>274</v>
      </c>
      <c r="G47" s="13" t="s">
        <v>52</v>
      </c>
      <c r="H47" s="13" t="s">
        <v>53</v>
      </c>
      <c r="I47" s="14">
        <v>46081.0</v>
      </c>
      <c r="J47" s="14">
        <v>46081.0</v>
      </c>
      <c r="K47" s="13">
        <v>25.0</v>
      </c>
      <c r="L47" s="13">
        <v>85.0</v>
      </c>
      <c r="M47" s="13">
        <v>2125.0</v>
      </c>
      <c r="N47" s="13">
        <v>0.0</v>
      </c>
      <c r="O47" s="13">
        <v>0.0</v>
      </c>
      <c r="P47" s="13">
        <v>2125.0</v>
      </c>
      <c r="Q47" s="13" t="s">
        <v>54</v>
      </c>
      <c r="R47" s="14">
        <v>46081.0</v>
      </c>
      <c r="S47" s="13"/>
    </row>
    <row r="48" ht="14.25" customHeight="1">
      <c r="A48" s="11" t="s">
        <v>375</v>
      </c>
      <c r="B48" s="11" t="s">
        <v>376</v>
      </c>
      <c r="C48" s="12">
        <v>46081.0</v>
      </c>
      <c r="D48" s="11" t="s">
        <v>257</v>
      </c>
      <c r="E48" s="11" t="s">
        <v>258</v>
      </c>
      <c r="F48" s="11" t="s">
        <v>259</v>
      </c>
      <c r="G48" s="11" t="s">
        <v>93</v>
      </c>
      <c r="H48" s="11" t="s">
        <v>53</v>
      </c>
      <c r="I48" s="12">
        <v>46081.0</v>
      </c>
      <c r="J48" s="12">
        <v>46081.0</v>
      </c>
      <c r="K48" s="11">
        <v>20.0</v>
      </c>
      <c r="L48" s="11">
        <v>110.0</v>
      </c>
      <c r="M48" s="11">
        <v>2200.0</v>
      </c>
      <c r="N48" s="11">
        <v>0.0</v>
      </c>
      <c r="O48" s="11">
        <v>0.0</v>
      </c>
      <c r="P48" s="11">
        <v>2200.0</v>
      </c>
      <c r="Q48" s="11" t="s">
        <v>54</v>
      </c>
      <c r="R48" s="12">
        <v>46081.0</v>
      </c>
      <c r="S48" s="11"/>
    </row>
    <row r="49" ht="14.25" customHeight="1">
      <c r="A49" s="13" t="s">
        <v>377</v>
      </c>
      <c r="B49" s="13" t="s">
        <v>378</v>
      </c>
      <c r="C49" s="14">
        <v>46081.0</v>
      </c>
      <c r="D49" s="13" t="s">
        <v>262</v>
      </c>
      <c r="E49" s="13" t="s">
        <v>263</v>
      </c>
      <c r="F49" s="13" t="s">
        <v>264</v>
      </c>
      <c r="G49" s="13" t="s">
        <v>209</v>
      </c>
      <c r="H49" s="13" t="s">
        <v>53</v>
      </c>
      <c r="I49" s="14">
        <v>46081.0</v>
      </c>
      <c r="J49" s="14">
        <v>46081.0</v>
      </c>
      <c r="K49" s="13">
        <v>28.0</v>
      </c>
      <c r="L49" s="13">
        <v>150.0</v>
      </c>
      <c r="M49" s="13">
        <v>4200.0</v>
      </c>
      <c r="N49" s="13">
        <v>0.0</v>
      </c>
      <c r="O49" s="13">
        <v>0.0</v>
      </c>
      <c r="P49" s="13">
        <v>4200.0</v>
      </c>
      <c r="Q49" s="13" t="s">
        <v>54</v>
      </c>
      <c r="R49" s="14">
        <v>46081.0</v>
      </c>
      <c r="S49" s="13"/>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S$49"/>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1.43"/>
    <col customWidth="1" min="3" max="3" width="64.14"/>
    <col customWidth="1" min="4" max="4" width="8.71"/>
    <col customWidth="1" min="5" max="5" width="12.14"/>
    <col customWidth="1" min="6" max="6" width="18.43"/>
    <col customWidth="1" min="7" max="7" width="16.71"/>
    <col customWidth="1" min="8" max="26" width="8.71"/>
  </cols>
  <sheetData>
    <row r="1" ht="14.25" customHeight="1">
      <c r="A1" s="5" t="s">
        <v>379</v>
      </c>
    </row>
    <row r="2" ht="14.25" customHeight="1">
      <c r="A2" s="5" t="s">
        <v>380</v>
      </c>
    </row>
    <row r="3" ht="14.25" customHeight="1">
      <c r="A3" s="5" t="s">
        <v>381</v>
      </c>
      <c r="B3" s="15">
        <v>1250000.0</v>
      </c>
    </row>
    <row r="4" ht="14.25" customHeight="1"/>
    <row r="5" ht="14.25" customHeight="1">
      <c r="A5" s="7" t="s">
        <v>382</v>
      </c>
      <c r="B5" s="7" t="s">
        <v>383</v>
      </c>
      <c r="C5" s="7" t="s">
        <v>384</v>
      </c>
      <c r="D5" s="7" t="s">
        <v>385</v>
      </c>
      <c r="E5" s="7" t="s">
        <v>386</v>
      </c>
      <c r="F5" s="7" t="s">
        <v>387</v>
      </c>
      <c r="G5" s="7" t="s">
        <v>388</v>
      </c>
    </row>
    <row r="6" ht="14.25" customHeight="1">
      <c r="A6" s="9">
        <v>46023.0</v>
      </c>
      <c r="B6" s="9">
        <v>46023.0</v>
      </c>
      <c r="C6" s="8" t="s">
        <v>389</v>
      </c>
      <c r="D6" s="8" t="s">
        <v>390</v>
      </c>
      <c r="E6" s="16">
        <v>1360.0</v>
      </c>
      <c r="F6" s="8" t="s">
        <v>391</v>
      </c>
      <c r="G6" s="16">
        <v>1251360.0</v>
      </c>
    </row>
    <row r="7" ht="14.25" customHeight="1">
      <c r="A7" s="9">
        <v>46023.0</v>
      </c>
      <c r="B7" s="9">
        <v>46023.0</v>
      </c>
      <c r="C7" s="8" t="s">
        <v>392</v>
      </c>
      <c r="D7" s="8" t="s">
        <v>390</v>
      </c>
      <c r="E7" s="16">
        <v>594.0</v>
      </c>
      <c r="F7" s="8" t="s">
        <v>393</v>
      </c>
      <c r="G7" s="16">
        <v>1251954.0</v>
      </c>
    </row>
    <row r="8" ht="14.25" customHeight="1">
      <c r="A8" s="9">
        <v>46024.0</v>
      </c>
      <c r="B8" s="9">
        <v>46024.0</v>
      </c>
      <c r="C8" s="8" t="s">
        <v>394</v>
      </c>
      <c r="D8" s="8" t="s">
        <v>390</v>
      </c>
      <c r="E8" s="16">
        <v>6300.0</v>
      </c>
      <c r="F8" s="8" t="s">
        <v>395</v>
      </c>
      <c r="G8" s="16">
        <v>1258254.0</v>
      </c>
    </row>
    <row r="9" ht="14.25" customHeight="1">
      <c r="A9" s="9">
        <v>46025.0</v>
      </c>
      <c r="B9" s="9">
        <v>46025.0</v>
      </c>
      <c r="C9" s="8" t="s">
        <v>396</v>
      </c>
      <c r="D9" s="8" t="s">
        <v>390</v>
      </c>
      <c r="E9" s="16">
        <v>1870.0</v>
      </c>
      <c r="F9" s="8" t="s">
        <v>397</v>
      </c>
      <c r="G9" s="16">
        <v>1260124.0</v>
      </c>
    </row>
    <row r="10" ht="14.25" customHeight="1">
      <c r="A10" s="9">
        <v>46027.0</v>
      </c>
      <c r="B10" s="9">
        <v>46027.0</v>
      </c>
      <c r="C10" s="8" t="s">
        <v>398</v>
      </c>
      <c r="D10" s="8" t="s">
        <v>390</v>
      </c>
      <c r="E10" s="16">
        <v>1955.0</v>
      </c>
      <c r="F10" s="8" t="s">
        <v>399</v>
      </c>
      <c r="G10" s="16">
        <v>1262079.0</v>
      </c>
    </row>
    <row r="11" ht="14.25" customHeight="1">
      <c r="A11" s="9">
        <v>46027.0</v>
      </c>
      <c r="B11" s="9">
        <v>46027.0</v>
      </c>
      <c r="C11" s="8" t="s">
        <v>400</v>
      </c>
      <c r="D11" s="8" t="s">
        <v>390</v>
      </c>
      <c r="E11" s="16">
        <v>2805.0</v>
      </c>
      <c r="F11" s="8" t="s">
        <v>401</v>
      </c>
      <c r="G11" s="16">
        <v>1264884.0</v>
      </c>
    </row>
    <row r="12" ht="14.25" customHeight="1">
      <c r="A12" s="9">
        <v>46027.0</v>
      </c>
      <c r="B12" s="9">
        <v>46027.0</v>
      </c>
      <c r="C12" s="8" t="s">
        <v>402</v>
      </c>
      <c r="D12" s="8" t="s">
        <v>390</v>
      </c>
      <c r="E12" s="16">
        <v>5580.0</v>
      </c>
      <c r="F12" s="8" t="s">
        <v>403</v>
      </c>
      <c r="G12" s="16">
        <v>1270464.0</v>
      </c>
    </row>
    <row r="13" ht="14.25" customHeight="1">
      <c r="A13" s="9">
        <v>46027.0</v>
      </c>
      <c r="B13" s="9">
        <v>46027.0</v>
      </c>
      <c r="C13" s="8" t="s">
        <v>404</v>
      </c>
      <c r="D13" s="8" t="s">
        <v>390</v>
      </c>
      <c r="E13" s="16">
        <v>1870.0</v>
      </c>
      <c r="F13" s="8" t="s">
        <v>405</v>
      </c>
      <c r="G13" s="16">
        <v>1272334.0</v>
      </c>
    </row>
    <row r="14" ht="14.25" customHeight="1">
      <c r="A14" s="9">
        <v>46028.0</v>
      </c>
      <c r="B14" s="9">
        <v>46028.0</v>
      </c>
      <c r="C14" s="8" t="s">
        <v>406</v>
      </c>
      <c r="D14" s="8" t="s">
        <v>390</v>
      </c>
      <c r="E14" s="16">
        <v>3080.0</v>
      </c>
      <c r="F14" s="8" t="s">
        <v>407</v>
      </c>
      <c r="G14" s="16">
        <v>1275414.0</v>
      </c>
    </row>
    <row r="15" ht="14.25" customHeight="1">
      <c r="A15" s="9">
        <v>46030.0</v>
      </c>
      <c r="B15" s="9">
        <v>46030.0</v>
      </c>
      <c r="C15" s="8" t="s">
        <v>408</v>
      </c>
      <c r="D15" s="8" t="s">
        <v>390</v>
      </c>
      <c r="E15" s="16">
        <v>2380.0</v>
      </c>
      <c r="F15" s="8" t="s">
        <v>409</v>
      </c>
      <c r="G15" s="16">
        <v>1277794.0</v>
      </c>
    </row>
    <row r="16" ht="14.25" customHeight="1">
      <c r="A16" s="9">
        <v>46030.0</v>
      </c>
      <c r="B16" s="9">
        <v>46030.0</v>
      </c>
      <c r="C16" s="8" t="s">
        <v>410</v>
      </c>
      <c r="D16" s="8" t="s">
        <v>390</v>
      </c>
      <c r="E16" s="16">
        <v>1105.0</v>
      </c>
      <c r="F16" s="8" t="s">
        <v>411</v>
      </c>
      <c r="G16" s="16">
        <v>1278899.0</v>
      </c>
    </row>
    <row r="17" ht="14.25" customHeight="1">
      <c r="A17" s="9">
        <v>46030.0</v>
      </c>
      <c r="B17" s="9">
        <v>46030.0</v>
      </c>
      <c r="C17" s="8" t="s">
        <v>412</v>
      </c>
      <c r="D17" s="8" t="s">
        <v>390</v>
      </c>
      <c r="E17" s="16">
        <v>2860.0</v>
      </c>
      <c r="F17" s="8" t="s">
        <v>413</v>
      </c>
      <c r="G17" s="16">
        <v>1281759.0</v>
      </c>
    </row>
    <row r="18" ht="14.25" customHeight="1">
      <c r="A18" s="9">
        <v>46031.0</v>
      </c>
      <c r="B18" s="9">
        <v>46031.0</v>
      </c>
      <c r="C18" s="8" t="s">
        <v>414</v>
      </c>
      <c r="D18" s="8" t="s">
        <v>390</v>
      </c>
      <c r="E18" s="16">
        <v>585.0</v>
      </c>
      <c r="F18" s="8" t="s">
        <v>415</v>
      </c>
      <c r="G18" s="16">
        <v>1282344.0</v>
      </c>
    </row>
    <row r="19" ht="14.25" customHeight="1">
      <c r="A19" s="9">
        <v>46032.0</v>
      </c>
      <c r="B19" s="9">
        <v>46032.0</v>
      </c>
      <c r="C19" s="8" t="s">
        <v>416</v>
      </c>
      <c r="D19" s="8" t="s">
        <v>390</v>
      </c>
      <c r="E19" s="16">
        <v>2185.0</v>
      </c>
      <c r="F19" s="8" t="s">
        <v>417</v>
      </c>
      <c r="G19" s="16">
        <v>1284529.0</v>
      </c>
    </row>
    <row r="20" ht="14.25" customHeight="1">
      <c r="A20" s="9">
        <v>46032.0</v>
      </c>
      <c r="B20" s="9">
        <v>46032.0</v>
      </c>
      <c r="C20" s="8" t="s">
        <v>418</v>
      </c>
      <c r="D20" s="8" t="s">
        <v>390</v>
      </c>
      <c r="E20" s="16">
        <v>2090.0</v>
      </c>
      <c r="F20" s="8" t="s">
        <v>419</v>
      </c>
      <c r="G20" s="16">
        <v>1286619.0</v>
      </c>
    </row>
    <row r="21" ht="14.25" customHeight="1">
      <c r="A21" s="9">
        <v>46032.0</v>
      </c>
      <c r="B21" s="9">
        <v>46032.0</v>
      </c>
      <c r="C21" s="8" t="s">
        <v>420</v>
      </c>
      <c r="D21" s="8" t="s">
        <v>390</v>
      </c>
      <c r="E21" s="16">
        <v>2530.0</v>
      </c>
      <c r="F21" s="8" t="s">
        <v>421</v>
      </c>
      <c r="G21" s="16">
        <v>1289149.0</v>
      </c>
    </row>
    <row r="22" ht="14.25" customHeight="1">
      <c r="A22" s="9">
        <v>46034.0</v>
      </c>
      <c r="B22" s="9">
        <v>46034.0</v>
      </c>
      <c r="C22" s="8" t="s">
        <v>422</v>
      </c>
      <c r="D22" s="8" t="s">
        <v>390</v>
      </c>
      <c r="E22" s="16">
        <v>1710.0</v>
      </c>
      <c r="F22" s="8" t="s">
        <v>423</v>
      </c>
      <c r="G22" s="16">
        <v>1290859.0</v>
      </c>
    </row>
    <row r="23" ht="14.25" customHeight="1">
      <c r="A23" s="9">
        <v>46034.0</v>
      </c>
      <c r="B23" s="9">
        <v>46034.0</v>
      </c>
      <c r="C23" s="8" t="s">
        <v>424</v>
      </c>
      <c r="D23" s="8" t="s">
        <v>390</v>
      </c>
      <c r="E23" s="16">
        <v>3230.0</v>
      </c>
      <c r="F23" s="8" t="s">
        <v>425</v>
      </c>
      <c r="G23" s="16">
        <v>1294089.0</v>
      </c>
    </row>
    <row r="24" ht="14.25" customHeight="1">
      <c r="A24" s="9">
        <v>46035.0</v>
      </c>
      <c r="B24" s="9">
        <v>46035.0</v>
      </c>
      <c r="C24" s="8" t="s">
        <v>426</v>
      </c>
      <c r="D24" s="8" t="s">
        <v>390</v>
      </c>
      <c r="E24" s="16">
        <v>585.0</v>
      </c>
      <c r="F24" s="8" t="s">
        <v>427</v>
      </c>
      <c r="G24" s="16">
        <v>1294674.0</v>
      </c>
    </row>
    <row r="25" ht="14.25" customHeight="1">
      <c r="A25" s="9">
        <v>46036.0</v>
      </c>
      <c r="B25" s="9">
        <v>46036.0</v>
      </c>
      <c r="C25" s="8" t="s">
        <v>428</v>
      </c>
      <c r="D25" s="8" t="s">
        <v>390</v>
      </c>
      <c r="E25" s="16">
        <v>720.0</v>
      </c>
      <c r="F25" s="8" t="s">
        <v>429</v>
      </c>
      <c r="G25" s="16">
        <v>1295394.0</v>
      </c>
    </row>
    <row r="26" ht="14.25" customHeight="1">
      <c r="A26" s="9">
        <v>46037.0</v>
      </c>
      <c r="B26" s="9">
        <v>46037.0</v>
      </c>
      <c r="C26" s="8" t="s">
        <v>430</v>
      </c>
      <c r="D26" s="8" t="s">
        <v>390</v>
      </c>
      <c r="E26" s="16">
        <v>1760.0</v>
      </c>
      <c r="F26" s="8" t="s">
        <v>431</v>
      </c>
      <c r="G26" s="16">
        <v>1297154.0</v>
      </c>
    </row>
    <row r="27" ht="14.25" customHeight="1">
      <c r="A27" s="9">
        <v>46037.0</v>
      </c>
      <c r="B27" s="9">
        <v>46037.0</v>
      </c>
      <c r="C27" s="8" t="s">
        <v>432</v>
      </c>
      <c r="D27" s="8" t="s">
        <v>390</v>
      </c>
      <c r="E27" s="16">
        <v>2975.0</v>
      </c>
      <c r="F27" s="8" t="s">
        <v>433</v>
      </c>
      <c r="G27" s="16">
        <v>1300129.0</v>
      </c>
    </row>
    <row r="28" ht="14.25" customHeight="1">
      <c r="A28" s="9">
        <v>46037.0</v>
      </c>
      <c r="B28" s="9">
        <v>46037.0</v>
      </c>
      <c r="C28" s="8" t="s">
        <v>434</v>
      </c>
      <c r="D28" s="8" t="s">
        <v>390</v>
      </c>
      <c r="E28" s="16">
        <v>935.0</v>
      </c>
      <c r="F28" s="8" t="s">
        <v>435</v>
      </c>
      <c r="G28" s="16">
        <v>1301064.0</v>
      </c>
    </row>
    <row r="29" ht="14.25" customHeight="1">
      <c r="A29" s="9">
        <v>46038.0</v>
      </c>
      <c r="B29" s="9">
        <v>46038.0</v>
      </c>
      <c r="C29" s="8" t="s">
        <v>436</v>
      </c>
      <c r="D29" s="8" t="s">
        <v>390</v>
      </c>
      <c r="E29" s="16">
        <v>1615.0</v>
      </c>
      <c r="F29" s="8" t="s">
        <v>437</v>
      </c>
      <c r="G29" s="16">
        <v>1302679.0</v>
      </c>
    </row>
    <row r="30" ht="14.25" customHeight="1">
      <c r="A30" s="9">
        <v>46039.0</v>
      </c>
      <c r="B30" s="9">
        <v>46039.0</v>
      </c>
      <c r="C30" s="8" t="s">
        <v>438</v>
      </c>
      <c r="D30" s="8" t="s">
        <v>390</v>
      </c>
      <c r="E30" s="16">
        <v>1900.0</v>
      </c>
      <c r="F30" s="8" t="s">
        <v>439</v>
      </c>
      <c r="G30" s="16">
        <v>1304579.0</v>
      </c>
    </row>
    <row r="31" ht="14.25" customHeight="1">
      <c r="A31" s="9">
        <v>46039.0</v>
      </c>
      <c r="B31" s="9">
        <v>46039.0</v>
      </c>
      <c r="C31" s="8" t="s">
        <v>440</v>
      </c>
      <c r="D31" s="8" t="s">
        <v>390</v>
      </c>
      <c r="E31" s="16">
        <v>4680.0</v>
      </c>
      <c r="F31" s="8" t="s">
        <v>441</v>
      </c>
      <c r="G31" s="16">
        <v>1309259.0</v>
      </c>
    </row>
    <row r="32" ht="14.25" customHeight="1">
      <c r="A32" s="9">
        <v>46040.0</v>
      </c>
      <c r="B32" s="9">
        <v>46040.0</v>
      </c>
      <c r="C32" s="8" t="s">
        <v>442</v>
      </c>
      <c r="D32" s="8" t="s">
        <v>390</v>
      </c>
      <c r="E32" s="16">
        <v>2860.0</v>
      </c>
      <c r="F32" s="8" t="s">
        <v>443</v>
      </c>
      <c r="G32" s="16">
        <v>1312119.0</v>
      </c>
    </row>
    <row r="33" ht="14.25" customHeight="1">
      <c r="A33" s="9">
        <v>46041.0</v>
      </c>
      <c r="B33" s="9">
        <v>46041.0</v>
      </c>
      <c r="C33" s="8" t="s">
        <v>444</v>
      </c>
      <c r="D33" s="8" t="s">
        <v>390</v>
      </c>
      <c r="E33" s="16">
        <v>1980.0</v>
      </c>
      <c r="F33" s="8" t="s">
        <v>445</v>
      </c>
      <c r="G33" s="16">
        <v>1314099.0</v>
      </c>
    </row>
    <row r="34" ht="14.25" customHeight="1">
      <c r="A34" s="9">
        <v>46041.0</v>
      </c>
      <c r="B34" s="9">
        <v>46041.0</v>
      </c>
      <c r="C34" s="8" t="s">
        <v>446</v>
      </c>
      <c r="D34" s="8" t="s">
        <v>390</v>
      </c>
      <c r="E34" s="16">
        <v>540.0</v>
      </c>
      <c r="F34" s="8" t="s">
        <v>447</v>
      </c>
      <c r="G34" s="16">
        <v>1314639.0</v>
      </c>
    </row>
    <row r="35" ht="14.25" customHeight="1">
      <c r="A35" s="9">
        <v>46042.0</v>
      </c>
      <c r="B35" s="9">
        <v>46042.0</v>
      </c>
      <c r="C35" s="8" t="s">
        <v>448</v>
      </c>
      <c r="D35" s="8" t="s">
        <v>390</v>
      </c>
      <c r="E35" s="16">
        <v>3325.0</v>
      </c>
      <c r="F35" s="8" t="s">
        <v>449</v>
      </c>
      <c r="G35" s="16">
        <v>1317964.0</v>
      </c>
    </row>
    <row r="36" ht="14.25" customHeight="1">
      <c r="A36" s="9">
        <v>46042.0</v>
      </c>
      <c r="B36" s="9">
        <v>46042.0</v>
      </c>
      <c r="C36" s="8" t="s">
        <v>450</v>
      </c>
      <c r="D36" s="8" t="s">
        <v>390</v>
      </c>
      <c r="E36" s="16">
        <v>1140.0</v>
      </c>
      <c r="F36" s="8" t="s">
        <v>451</v>
      </c>
      <c r="G36" s="16">
        <v>1319104.0</v>
      </c>
    </row>
    <row r="37" ht="14.25" customHeight="1">
      <c r="A37" s="9">
        <v>46044.0</v>
      </c>
      <c r="B37" s="9">
        <v>46044.0</v>
      </c>
      <c r="C37" s="8" t="s">
        <v>452</v>
      </c>
      <c r="D37" s="8" t="s">
        <v>390</v>
      </c>
      <c r="E37" s="16">
        <v>46800.0</v>
      </c>
      <c r="F37" s="8" t="s">
        <v>453</v>
      </c>
      <c r="G37" s="16">
        <v>1365904.0</v>
      </c>
    </row>
    <row r="38" ht="14.25" customHeight="1">
      <c r="A38" s="9">
        <v>46044.0</v>
      </c>
      <c r="B38" s="9">
        <v>46044.0</v>
      </c>
      <c r="C38" s="8" t="s">
        <v>454</v>
      </c>
      <c r="D38" s="8" t="s">
        <v>390</v>
      </c>
      <c r="E38" s="16">
        <v>3600.0</v>
      </c>
      <c r="F38" s="8" t="s">
        <v>455</v>
      </c>
      <c r="G38" s="16">
        <v>1369504.0</v>
      </c>
    </row>
    <row r="39" ht="14.25" customHeight="1">
      <c r="A39" s="9">
        <v>46044.0</v>
      </c>
      <c r="B39" s="9">
        <v>46044.0</v>
      </c>
      <c r="C39" s="8" t="s">
        <v>456</v>
      </c>
      <c r="D39" s="8" t="s">
        <v>390</v>
      </c>
      <c r="E39" s="16">
        <v>3960.0</v>
      </c>
      <c r="F39" s="8" t="s">
        <v>457</v>
      </c>
      <c r="G39" s="16">
        <v>1373464.0</v>
      </c>
    </row>
    <row r="40" ht="14.25" customHeight="1">
      <c r="A40" s="9">
        <v>46044.0</v>
      </c>
      <c r="B40" s="9">
        <v>46044.0</v>
      </c>
      <c r="C40" s="8" t="s">
        <v>458</v>
      </c>
      <c r="D40" s="8" t="s">
        <v>390</v>
      </c>
      <c r="E40" s="16">
        <v>23826.0</v>
      </c>
      <c r="F40" s="8" t="s">
        <v>459</v>
      </c>
      <c r="G40" s="16">
        <v>1397290.0</v>
      </c>
    </row>
    <row r="41" ht="14.25" customHeight="1">
      <c r="A41" s="9">
        <v>46045.0</v>
      </c>
      <c r="B41" s="9">
        <v>46045.0</v>
      </c>
      <c r="C41" s="8" t="s">
        <v>460</v>
      </c>
      <c r="D41" s="8" t="s">
        <v>390</v>
      </c>
      <c r="E41" s="16">
        <v>1520.0</v>
      </c>
      <c r="F41" s="8" t="s">
        <v>461</v>
      </c>
      <c r="G41" s="16">
        <v>1398810.0</v>
      </c>
    </row>
    <row r="42" ht="14.25" customHeight="1">
      <c r="A42" s="9">
        <v>46045.0</v>
      </c>
      <c r="B42" s="9">
        <v>46045.0</v>
      </c>
      <c r="C42" s="8" t="s">
        <v>462</v>
      </c>
      <c r="D42" s="8" t="s">
        <v>390</v>
      </c>
      <c r="E42" s="16">
        <v>2465.0</v>
      </c>
      <c r="F42" s="8" t="s">
        <v>463</v>
      </c>
      <c r="G42" s="16">
        <v>1401275.0</v>
      </c>
    </row>
    <row r="43" ht="14.25" customHeight="1">
      <c r="A43" s="9">
        <v>46047.0</v>
      </c>
      <c r="B43" s="9">
        <v>46047.0</v>
      </c>
      <c r="C43" s="8" t="s">
        <v>464</v>
      </c>
      <c r="D43" s="8" t="s">
        <v>390</v>
      </c>
      <c r="E43" s="16">
        <v>2635.0</v>
      </c>
      <c r="F43" s="8" t="s">
        <v>465</v>
      </c>
      <c r="G43" s="16">
        <v>1403910.0</v>
      </c>
    </row>
    <row r="44" ht="14.25" customHeight="1">
      <c r="A44" s="9">
        <v>46048.0</v>
      </c>
      <c r="B44" s="9">
        <v>46048.0</v>
      </c>
      <c r="C44" s="8" t="s">
        <v>466</v>
      </c>
      <c r="D44" s="8" t="s">
        <v>390</v>
      </c>
      <c r="E44" s="16">
        <v>5250.0</v>
      </c>
      <c r="F44" s="8" t="s">
        <v>467</v>
      </c>
      <c r="G44" s="16">
        <v>1409160.0</v>
      </c>
    </row>
    <row r="45" ht="14.25" customHeight="1">
      <c r="A45" s="9">
        <v>46048.0</v>
      </c>
      <c r="B45" s="9">
        <v>46048.0</v>
      </c>
      <c r="C45" s="8" t="s">
        <v>468</v>
      </c>
      <c r="D45" s="8" t="s">
        <v>390</v>
      </c>
      <c r="E45" s="16">
        <v>1710.0</v>
      </c>
      <c r="F45" s="8" t="s">
        <v>469</v>
      </c>
      <c r="G45" s="16">
        <v>1410870.0</v>
      </c>
    </row>
    <row r="46" ht="14.25" customHeight="1">
      <c r="A46" s="9">
        <v>46049.0</v>
      </c>
      <c r="B46" s="9">
        <v>46049.0</v>
      </c>
      <c r="C46" s="8" t="s">
        <v>470</v>
      </c>
      <c r="D46" s="8" t="s">
        <v>390</v>
      </c>
      <c r="E46" s="16">
        <v>1980.0</v>
      </c>
      <c r="F46" s="8" t="s">
        <v>471</v>
      </c>
      <c r="G46" s="16">
        <v>1412850.0</v>
      </c>
    </row>
    <row r="47" ht="14.25" customHeight="1">
      <c r="A47" s="9">
        <v>46050.0</v>
      </c>
      <c r="B47" s="9">
        <v>46050.0</v>
      </c>
      <c r="C47" s="8" t="s">
        <v>472</v>
      </c>
      <c r="D47" s="8" t="s">
        <v>390</v>
      </c>
      <c r="E47" s="16">
        <v>4950.0</v>
      </c>
      <c r="F47" s="8" t="s">
        <v>473</v>
      </c>
      <c r="G47" s="16">
        <v>1417800.0</v>
      </c>
    </row>
    <row r="48" ht="14.25" customHeight="1">
      <c r="A48" s="9">
        <v>46050.0</v>
      </c>
      <c r="B48" s="9">
        <v>46050.0</v>
      </c>
      <c r="C48" s="8" t="s">
        <v>474</v>
      </c>
      <c r="D48" s="8" t="s">
        <v>390</v>
      </c>
      <c r="E48" s="16">
        <v>2200.0</v>
      </c>
      <c r="F48" s="8" t="s">
        <v>475</v>
      </c>
      <c r="G48" s="16">
        <v>1420000.0</v>
      </c>
    </row>
    <row r="49" ht="14.25" customHeight="1">
      <c r="A49" s="9">
        <v>46050.0</v>
      </c>
      <c r="B49" s="9">
        <v>46050.0</v>
      </c>
      <c r="C49" s="8" t="s">
        <v>476</v>
      </c>
      <c r="D49" s="8" t="s">
        <v>390</v>
      </c>
      <c r="E49" s="16">
        <v>4200.0</v>
      </c>
      <c r="F49" s="8" t="s">
        <v>477</v>
      </c>
      <c r="G49" s="16">
        <v>1424200.0</v>
      </c>
    </row>
    <row r="50" ht="14.25" customHeight="1">
      <c r="A50" s="9">
        <v>46052.0</v>
      </c>
      <c r="B50" s="9">
        <v>46052.0</v>
      </c>
      <c r="C50" s="8" t="s">
        <v>478</v>
      </c>
      <c r="D50" s="8" t="s">
        <v>390</v>
      </c>
      <c r="E50" s="16">
        <v>1650.0</v>
      </c>
      <c r="F50" s="8" t="s">
        <v>479</v>
      </c>
      <c r="G50" s="16">
        <v>1425850.0</v>
      </c>
    </row>
    <row r="51" ht="14.25" customHeight="1">
      <c r="A51" s="9">
        <v>46053.0</v>
      </c>
      <c r="B51" s="9">
        <v>46053.0</v>
      </c>
      <c r="C51" s="8" t="s">
        <v>480</v>
      </c>
      <c r="D51" s="8" t="s">
        <v>390</v>
      </c>
      <c r="E51" s="16">
        <v>2125.0</v>
      </c>
      <c r="F51" s="8" t="s">
        <v>481</v>
      </c>
      <c r="G51" s="16">
        <v>1427975.0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1.43"/>
    <col customWidth="1" min="3" max="3" width="80.43"/>
    <col customWidth="1" min="4" max="4" width="8.71"/>
    <col customWidth="1" min="5" max="5" width="10.14"/>
    <col customWidth="1" min="6" max="6" width="18.43"/>
    <col customWidth="1" min="7" max="7" width="16.71"/>
    <col customWidth="1" min="8" max="26" width="8.71"/>
  </cols>
  <sheetData>
    <row r="1" ht="14.25" customHeight="1">
      <c r="A1" s="5" t="s">
        <v>379</v>
      </c>
    </row>
    <row r="2" ht="14.25" customHeight="1">
      <c r="A2" s="5" t="s">
        <v>482</v>
      </c>
    </row>
    <row r="3" ht="14.25" customHeight="1">
      <c r="A3" s="5" t="s">
        <v>483</v>
      </c>
      <c r="B3" s="15">
        <v>1427945.0</v>
      </c>
    </row>
    <row r="4" ht="14.25" customHeight="1"/>
    <row r="5" ht="14.25" customHeight="1">
      <c r="A5" s="7" t="s">
        <v>382</v>
      </c>
      <c r="B5" s="7" t="s">
        <v>383</v>
      </c>
      <c r="C5" s="7" t="s">
        <v>384</v>
      </c>
      <c r="D5" s="7" t="s">
        <v>385</v>
      </c>
      <c r="E5" s="7" t="s">
        <v>386</v>
      </c>
      <c r="F5" s="7" t="s">
        <v>387</v>
      </c>
      <c r="G5" s="7" t="s">
        <v>388</v>
      </c>
    </row>
    <row r="6" ht="14.25" customHeight="1">
      <c r="A6" s="9">
        <v>46058.0</v>
      </c>
      <c r="B6" s="9">
        <v>46058.0</v>
      </c>
      <c r="C6" s="8" t="s">
        <v>484</v>
      </c>
      <c r="D6" s="8" t="s">
        <v>390</v>
      </c>
      <c r="E6" s="16">
        <v>675.0</v>
      </c>
      <c r="F6" s="8" t="s">
        <v>391</v>
      </c>
      <c r="G6" s="16">
        <v>1428650.0</v>
      </c>
    </row>
    <row r="7" ht="14.25" customHeight="1">
      <c r="A7" s="9">
        <v>46054.0</v>
      </c>
      <c r="B7" s="9">
        <v>46054.0</v>
      </c>
      <c r="C7" s="8" t="s">
        <v>389</v>
      </c>
      <c r="D7" s="8" t="s">
        <v>390</v>
      </c>
      <c r="E7" s="16">
        <v>1360.0</v>
      </c>
      <c r="F7" s="8" t="s">
        <v>393</v>
      </c>
      <c r="G7" s="16">
        <v>1430010.0</v>
      </c>
    </row>
    <row r="8" ht="14.25" customHeight="1">
      <c r="A8" s="9">
        <v>46054.0</v>
      </c>
      <c r="B8" s="9">
        <v>46054.0</v>
      </c>
      <c r="C8" s="8" t="s">
        <v>392</v>
      </c>
      <c r="D8" s="8" t="s">
        <v>390</v>
      </c>
      <c r="E8" s="16">
        <v>594.0</v>
      </c>
      <c r="F8" s="8" t="s">
        <v>395</v>
      </c>
      <c r="G8" s="16">
        <v>1430604.0</v>
      </c>
    </row>
    <row r="9" ht="14.25" customHeight="1">
      <c r="A9" s="9">
        <v>46055.0</v>
      </c>
      <c r="B9" s="9">
        <v>46055.0</v>
      </c>
      <c r="C9" s="8" t="s">
        <v>394</v>
      </c>
      <c r="D9" s="8" t="s">
        <v>390</v>
      </c>
      <c r="E9" s="16">
        <v>6300.0</v>
      </c>
      <c r="F9" s="8" t="s">
        <v>397</v>
      </c>
      <c r="G9" s="16">
        <v>1436904.0</v>
      </c>
    </row>
    <row r="10" ht="14.25" customHeight="1">
      <c r="A10" s="9">
        <v>46056.0</v>
      </c>
      <c r="B10" s="9">
        <v>46056.0</v>
      </c>
      <c r="C10" s="8" t="s">
        <v>396</v>
      </c>
      <c r="D10" s="8" t="s">
        <v>390</v>
      </c>
      <c r="E10" s="16">
        <v>1870.0</v>
      </c>
      <c r="F10" s="8" t="s">
        <v>399</v>
      </c>
      <c r="G10" s="16">
        <v>1438774.0</v>
      </c>
    </row>
    <row r="11" ht="14.25" customHeight="1">
      <c r="A11" s="9">
        <v>46058.0</v>
      </c>
      <c r="B11" s="9">
        <v>46058.0</v>
      </c>
      <c r="C11" s="8" t="s">
        <v>398</v>
      </c>
      <c r="D11" s="8" t="s">
        <v>390</v>
      </c>
      <c r="E11" s="16">
        <v>1955.0</v>
      </c>
      <c r="F11" s="8" t="s">
        <v>401</v>
      </c>
      <c r="G11" s="16">
        <v>1440729.0</v>
      </c>
    </row>
    <row r="12" ht="14.25" customHeight="1">
      <c r="A12" s="9">
        <v>46058.0</v>
      </c>
      <c r="B12" s="9">
        <v>46058.0</v>
      </c>
      <c r="C12" s="8" t="s">
        <v>400</v>
      </c>
      <c r="D12" s="8" t="s">
        <v>390</v>
      </c>
      <c r="E12" s="16">
        <v>2805.0</v>
      </c>
      <c r="F12" s="8" t="s">
        <v>403</v>
      </c>
      <c r="G12" s="16">
        <v>1443534.0</v>
      </c>
    </row>
    <row r="13" ht="14.25" customHeight="1">
      <c r="A13" s="9">
        <v>46058.0</v>
      </c>
      <c r="B13" s="9">
        <v>46058.0</v>
      </c>
      <c r="C13" s="8" t="s">
        <v>402</v>
      </c>
      <c r="D13" s="8" t="s">
        <v>390</v>
      </c>
      <c r="E13" s="16">
        <v>5580.0</v>
      </c>
      <c r="F13" s="8" t="s">
        <v>405</v>
      </c>
      <c r="G13" s="16">
        <v>1449114.0</v>
      </c>
    </row>
    <row r="14" ht="14.25" customHeight="1">
      <c r="A14" s="9">
        <v>46058.0</v>
      </c>
      <c r="B14" s="9">
        <v>46058.0</v>
      </c>
      <c r="C14" s="8" t="s">
        <v>404</v>
      </c>
      <c r="D14" s="8" t="s">
        <v>390</v>
      </c>
      <c r="E14" s="16">
        <v>1870.0</v>
      </c>
      <c r="F14" s="8" t="s">
        <v>407</v>
      </c>
      <c r="G14" s="16">
        <v>1450984.0</v>
      </c>
    </row>
    <row r="15" ht="14.25" customHeight="1">
      <c r="A15" s="9">
        <v>46059.0</v>
      </c>
      <c r="B15" s="9">
        <v>46059.0</v>
      </c>
      <c r="C15" s="8" t="s">
        <v>406</v>
      </c>
      <c r="D15" s="8" t="s">
        <v>390</v>
      </c>
      <c r="E15" s="16">
        <v>3080.0</v>
      </c>
      <c r="F15" s="8" t="s">
        <v>409</v>
      </c>
      <c r="G15" s="16">
        <v>1454064.0</v>
      </c>
    </row>
    <row r="16" ht="14.25" customHeight="1">
      <c r="A16" s="9">
        <v>46061.0</v>
      </c>
      <c r="B16" s="9">
        <v>46061.0</v>
      </c>
      <c r="C16" s="8" t="s">
        <v>408</v>
      </c>
      <c r="D16" s="8" t="s">
        <v>390</v>
      </c>
      <c r="E16" s="16">
        <v>2380.0</v>
      </c>
      <c r="F16" s="8" t="s">
        <v>411</v>
      </c>
      <c r="G16" s="16">
        <v>1456444.0</v>
      </c>
    </row>
    <row r="17" ht="14.25" customHeight="1">
      <c r="A17" s="9">
        <v>46061.0</v>
      </c>
      <c r="B17" s="9">
        <v>46061.0</v>
      </c>
      <c r="C17" s="8" t="s">
        <v>410</v>
      </c>
      <c r="D17" s="8" t="s">
        <v>390</v>
      </c>
      <c r="E17" s="16">
        <v>1105.0</v>
      </c>
      <c r="F17" s="8" t="s">
        <v>413</v>
      </c>
      <c r="G17" s="16">
        <v>1457549.0</v>
      </c>
    </row>
    <row r="18" ht="14.25" customHeight="1">
      <c r="A18" s="9">
        <v>46061.0</v>
      </c>
      <c r="B18" s="9">
        <v>46061.0</v>
      </c>
      <c r="C18" s="8" t="s">
        <v>412</v>
      </c>
      <c r="D18" s="8" t="s">
        <v>390</v>
      </c>
      <c r="E18" s="16">
        <v>2860.0</v>
      </c>
      <c r="F18" s="8" t="s">
        <v>415</v>
      </c>
      <c r="G18" s="16">
        <v>1460409.0</v>
      </c>
    </row>
    <row r="19" ht="14.25" customHeight="1">
      <c r="A19" s="9">
        <v>46062.0</v>
      </c>
      <c r="B19" s="9">
        <v>46062.0</v>
      </c>
      <c r="C19" s="8" t="s">
        <v>414</v>
      </c>
      <c r="D19" s="8" t="s">
        <v>390</v>
      </c>
      <c r="E19" s="16">
        <v>585.0</v>
      </c>
      <c r="F19" s="8" t="s">
        <v>417</v>
      </c>
      <c r="G19" s="16">
        <v>1460994.0</v>
      </c>
    </row>
    <row r="20" ht="14.25" customHeight="1">
      <c r="A20" s="9">
        <v>46063.0</v>
      </c>
      <c r="B20" s="9">
        <v>46063.0</v>
      </c>
      <c r="C20" s="8" t="s">
        <v>416</v>
      </c>
      <c r="D20" s="8" t="s">
        <v>390</v>
      </c>
      <c r="E20" s="16">
        <v>2185.0</v>
      </c>
      <c r="F20" s="8" t="s">
        <v>419</v>
      </c>
      <c r="G20" s="16">
        <v>1463179.0</v>
      </c>
    </row>
    <row r="21" ht="14.25" customHeight="1">
      <c r="A21" s="9">
        <v>46063.0</v>
      </c>
      <c r="B21" s="9">
        <v>46063.0</v>
      </c>
      <c r="C21" s="8" t="s">
        <v>418</v>
      </c>
      <c r="D21" s="8" t="s">
        <v>390</v>
      </c>
      <c r="E21" s="16">
        <v>2090.0</v>
      </c>
      <c r="F21" s="8" t="s">
        <v>421</v>
      </c>
      <c r="G21" s="16">
        <v>1465269.0</v>
      </c>
    </row>
    <row r="22" ht="14.25" customHeight="1">
      <c r="A22" s="9">
        <v>46063.0</v>
      </c>
      <c r="B22" s="9">
        <v>46063.0</v>
      </c>
      <c r="C22" s="8" t="s">
        <v>420</v>
      </c>
      <c r="D22" s="8" t="s">
        <v>390</v>
      </c>
      <c r="E22" s="16">
        <v>2530.0</v>
      </c>
      <c r="F22" s="8" t="s">
        <v>423</v>
      </c>
      <c r="G22" s="16">
        <v>1467799.0</v>
      </c>
    </row>
    <row r="23" ht="14.25" customHeight="1">
      <c r="A23" s="9">
        <v>46063.0</v>
      </c>
      <c r="B23" s="9">
        <v>46063.0</v>
      </c>
      <c r="C23" s="8" t="s">
        <v>485</v>
      </c>
      <c r="D23" s="8" t="s">
        <v>390</v>
      </c>
      <c r="E23" s="16">
        <v>3080.0</v>
      </c>
      <c r="F23" s="8" t="s">
        <v>425</v>
      </c>
      <c r="G23" s="16">
        <v>1470879.0</v>
      </c>
    </row>
    <row r="24" ht="14.25" customHeight="1">
      <c r="A24" s="9">
        <v>46065.0</v>
      </c>
      <c r="B24" s="9">
        <v>46065.0</v>
      </c>
      <c r="C24" s="8" t="s">
        <v>422</v>
      </c>
      <c r="D24" s="8" t="s">
        <v>390</v>
      </c>
      <c r="E24" s="16">
        <v>1710.0</v>
      </c>
      <c r="F24" s="8" t="s">
        <v>427</v>
      </c>
      <c r="G24" s="16">
        <v>1472589.0</v>
      </c>
    </row>
    <row r="25" ht="14.25" customHeight="1">
      <c r="A25" s="9">
        <v>46065.0</v>
      </c>
      <c r="B25" s="9">
        <v>46065.0</v>
      </c>
      <c r="C25" s="8" t="s">
        <v>424</v>
      </c>
      <c r="D25" s="8" t="s">
        <v>390</v>
      </c>
      <c r="E25" s="16">
        <v>3230.0</v>
      </c>
      <c r="F25" s="8" t="s">
        <v>429</v>
      </c>
      <c r="G25" s="16">
        <v>1475819.0</v>
      </c>
    </row>
    <row r="26" ht="14.25" customHeight="1">
      <c r="A26" s="9">
        <v>46066.0</v>
      </c>
      <c r="B26" s="9">
        <v>46066.0</v>
      </c>
      <c r="C26" s="8" t="s">
        <v>426</v>
      </c>
      <c r="D26" s="8" t="s">
        <v>390</v>
      </c>
      <c r="E26" s="16">
        <v>585.0</v>
      </c>
      <c r="F26" s="8" t="s">
        <v>431</v>
      </c>
      <c r="G26" s="16">
        <v>1476404.0</v>
      </c>
    </row>
    <row r="27" ht="14.25" customHeight="1">
      <c r="A27" s="9">
        <v>46067.0</v>
      </c>
      <c r="B27" s="9">
        <v>46067.0</v>
      </c>
      <c r="C27" s="8" t="s">
        <v>428</v>
      </c>
      <c r="D27" s="8" t="s">
        <v>390</v>
      </c>
      <c r="E27" s="16">
        <v>720.0</v>
      </c>
      <c r="F27" s="8" t="s">
        <v>433</v>
      </c>
      <c r="G27" s="16">
        <v>1477124.0</v>
      </c>
    </row>
    <row r="28" ht="14.25" customHeight="1">
      <c r="A28" s="9">
        <v>46068.0</v>
      </c>
      <c r="B28" s="9">
        <v>46068.0</v>
      </c>
      <c r="C28" s="8" t="s">
        <v>430</v>
      </c>
      <c r="D28" s="8" t="s">
        <v>390</v>
      </c>
      <c r="E28" s="16">
        <v>1760.0</v>
      </c>
      <c r="F28" s="8" t="s">
        <v>435</v>
      </c>
      <c r="G28" s="16">
        <v>1478884.0</v>
      </c>
    </row>
    <row r="29" ht="14.25" customHeight="1">
      <c r="A29" s="9">
        <v>46068.0</v>
      </c>
      <c r="B29" s="9">
        <v>46068.0</v>
      </c>
      <c r="C29" s="8" t="s">
        <v>432</v>
      </c>
      <c r="D29" s="8" t="s">
        <v>390</v>
      </c>
      <c r="E29" s="16">
        <v>2975.0</v>
      </c>
      <c r="F29" s="8" t="s">
        <v>437</v>
      </c>
      <c r="G29" s="16">
        <v>1481859.0</v>
      </c>
    </row>
    <row r="30" ht="14.25" customHeight="1">
      <c r="A30" s="9">
        <v>46068.0</v>
      </c>
      <c r="B30" s="9">
        <v>46068.0</v>
      </c>
      <c r="C30" s="8" t="s">
        <v>434</v>
      </c>
      <c r="D30" s="8" t="s">
        <v>390</v>
      </c>
      <c r="E30" s="16">
        <v>935.0</v>
      </c>
      <c r="F30" s="8" t="s">
        <v>439</v>
      </c>
      <c r="G30" s="16">
        <v>1482794.0</v>
      </c>
    </row>
    <row r="31" ht="14.25" customHeight="1">
      <c r="A31" s="9">
        <v>46069.0</v>
      </c>
      <c r="B31" s="9">
        <v>46069.0</v>
      </c>
      <c r="C31" s="8" t="s">
        <v>436</v>
      </c>
      <c r="D31" s="8" t="s">
        <v>390</v>
      </c>
      <c r="E31" s="16">
        <v>1615.0</v>
      </c>
      <c r="F31" s="8" t="s">
        <v>441</v>
      </c>
      <c r="G31" s="16">
        <v>1484409.0</v>
      </c>
    </row>
    <row r="32" ht="14.25" customHeight="1">
      <c r="A32" s="9">
        <v>46070.0</v>
      </c>
      <c r="B32" s="9">
        <v>46070.0</v>
      </c>
      <c r="C32" s="8" t="s">
        <v>438</v>
      </c>
      <c r="D32" s="8" t="s">
        <v>390</v>
      </c>
      <c r="E32" s="16">
        <v>1900.0</v>
      </c>
      <c r="F32" s="8" t="s">
        <v>443</v>
      </c>
      <c r="G32" s="16">
        <v>1486309.0</v>
      </c>
    </row>
    <row r="33" ht="14.25" customHeight="1">
      <c r="A33" s="9">
        <v>46070.0</v>
      </c>
      <c r="B33" s="9">
        <v>46070.0</v>
      </c>
      <c r="C33" s="8" t="s">
        <v>440</v>
      </c>
      <c r="D33" s="8" t="s">
        <v>390</v>
      </c>
      <c r="E33" s="16">
        <v>4680.0</v>
      </c>
      <c r="F33" s="8" t="s">
        <v>445</v>
      </c>
      <c r="G33" s="16">
        <v>1490989.0</v>
      </c>
    </row>
    <row r="34" ht="14.25" customHeight="1">
      <c r="A34" s="9">
        <v>46071.0</v>
      </c>
      <c r="B34" s="9">
        <v>46071.0</v>
      </c>
      <c r="C34" s="8" t="s">
        <v>442</v>
      </c>
      <c r="D34" s="8" t="s">
        <v>390</v>
      </c>
      <c r="E34" s="16">
        <v>2860.0</v>
      </c>
      <c r="F34" s="8" t="s">
        <v>447</v>
      </c>
      <c r="G34" s="16">
        <v>1493849.0</v>
      </c>
    </row>
    <row r="35" ht="14.25" customHeight="1">
      <c r="A35" s="9">
        <v>46072.0</v>
      </c>
      <c r="B35" s="9">
        <v>46072.0</v>
      </c>
      <c r="C35" s="8" t="s">
        <v>444</v>
      </c>
      <c r="D35" s="8" t="s">
        <v>390</v>
      </c>
      <c r="E35" s="16">
        <v>1980.0</v>
      </c>
      <c r="F35" s="8" t="s">
        <v>449</v>
      </c>
      <c r="G35" s="16">
        <v>1495829.0</v>
      </c>
    </row>
    <row r="36" ht="14.25" customHeight="1">
      <c r="A36" s="9">
        <v>46072.0</v>
      </c>
      <c r="B36" s="9">
        <v>46072.0</v>
      </c>
      <c r="C36" s="8" t="s">
        <v>446</v>
      </c>
      <c r="D36" s="8" t="s">
        <v>390</v>
      </c>
      <c r="E36" s="16">
        <v>540.0</v>
      </c>
      <c r="F36" s="8" t="s">
        <v>451</v>
      </c>
      <c r="G36" s="16">
        <v>1496369.0</v>
      </c>
    </row>
    <row r="37" ht="14.25" customHeight="1">
      <c r="A37" s="9">
        <v>46073.0</v>
      </c>
      <c r="B37" s="9">
        <v>46073.0</v>
      </c>
      <c r="C37" s="8" t="s">
        <v>486</v>
      </c>
      <c r="D37" s="8" t="s">
        <v>390</v>
      </c>
      <c r="E37" s="16">
        <v>675.0</v>
      </c>
      <c r="F37" s="8" t="s">
        <v>453</v>
      </c>
      <c r="G37" s="16">
        <v>1497044.0</v>
      </c>
    </row>
    <row r="38" ht="14.25" customHeight="1">
      <c r="A38" s="9">
        <v>46073.0</v>
      </c>
      <c r="B38" s="9">
        <v>46073.0</v>
      </c>
      <c r="C38" s="8" t="s">
        <v>448</v>
      </c>
      <c r="D38" s="8" t="s">
        <v>390</v>
      </c>
      <c r="E38" s="16">
        <v>3325.0</v>
      </c>
      <c r="F38" s="8" t="s">
        <v>455</v>
      </c>
      <c r="G38" s="16">
        <v>1500369.0</v>
      </c>
    </row>
    <row r="39" ht="14.25" customHeight="1">
      <c r="A39" s="9">
        <v>46073.0</v>
      </c>
      <c r="B39" s="9">
        <v>46073.0</v>
      </c>
      <c r="C39" s="8" t="s">
        <v>450</v>
      </c>
      <c r="D39" s="8" t="s">
        <v>390</v>
      </c>
      <c r="E39" s="16">
        <v>1140.0</v>
      </c>
      <c r="F39" s="8" t="s">
        <v>457</v>
      </c>
      <c r="G39" s="16">
        <v>1501509.0</v>
      </c>
    </row>
    <row r="40" ht="14.25" customHeight="1">
      <c r="A40" s="9">
        <v>46073.0</v>
      </c>
      <c r="B40" s="9">
        <v>46073.0</v>
      </c>
      <c r="C40" s="8" t="s">
        <v>487</v>
      </c>
      <c r="D40" s="8" t="s">
        <v>390</v>
      </c>
      <c r="E40" s="16">
        <v>3040.0</v>
      </c>
      <c r="F40" s="8" t="s">
        <v>459</v>
      </c>
      <c r="G40" s="16">
        <v>1504549.0</v>
      </c>
    </row>
    <row r="41" ht="14.25" customHeight="1">
      <c r="A41" s="9">
        <v>46074.0</v>
      </c>
      <c r="B41" s="9">
        <v>46074.0</v>
      </c>
      <c r="C41" s="8" t="s">
        <v>488</v>
      </c>
      <c r="D41" s="8" t="s">
        <v>489</v>
      </c>
      <c r="E41" s="16">
        <v>-169.71</v>
      </c>
      <c r="F41" s="8" t="s">
        <v>461</v>
      </c>
      <c r="G41" s="16">
        <v>1504379.29</v>
      </c>
    </row>
    <row r="42" ht="14.25" customHeight="1">
      <c r="A42" s="9">
        <v>46075.0</v>
      </c>
      <c r="B42" s="9">
        <v>46075.0</v>
      </c>
      <c r="C42" s="8" t="s">
        <v>454</v>
      </c>
      <c r="D42" s="8" t="s">
        <v>390</v>
      </c>
      <c r="E42" s="16">
        <v>3600.0</v>
      </c>
      <c r="F42" s="8" t="s">
        <v>463</v>
      </c>
      <c r="G42" s="16">
        <v>1507979.29</v>
      </c>
    </row>
    <row r="43" ht="14.25" customHeight="1">
      <c r="A43" s="9">
        <v>46075.0</v>
      </c>
      <c r="B43" s="9">
        <v>46075.0</v>
      </c>
      <c r="C43" s="8" t="s">
        <v>456</v>
      </c>
      <c r="D43" s="8" t="s">
        <v>390</v>
      </c>
      <c r="E43" s="16">
        <v>3960.0</v>
      </c>
      <c r="F43" s="8" t="s">
        <v>465</v>
      </c>
      <c r="G43" s="16">
        <v>1511939.29</v>
      </c>
    </row>
    <row r="44" ht="14.25" customHeight="1">
      <c r="A44" s="9">
        <v>46076.0</v>
      </c>
      <c r="B44" s="9">
        <v>46076.0</v>
      </c>
      <c r="C44" s="8" t="s">
        <v>460</v>
      </c>
      <c r="D44" s="8" t="s">
        <v>390</v>
      </c>
      <c r="E44" s="16">
        <v>1520.0</v>
      </c>
      <c r="F44" s="8" t="s">
        <v>467</v>
      </c>
      <c r="G44" s="16">
        <v>1513459.29</v>
      </c>
    </row>
    <row r="45" ht="14.25" customHeight="1">
      <c r="A45" s="9">
        <v>46076.0</v>
      </c>
      <c r="B45" s="9">
        <v>46076.0</v>
      </c>
      <c r="C45" s="8" t="s">
        <v>462</v>
      </c>
      <c r="D45" s="8" t="s">
        <v>390</v>
      </c>
      <c r="E45" s="16">
        <v>2465.0</v>
      </c>
      <c r="F45" s="8" t="s">
        <v>469</v>
      </c>
      <c r="G45" s="16">
        <v>1515924.29</v>
      </c>
    </row>
    <row r="46" ht="14.25" customHeight="1">
      <c r="A46" s="9">
        <v>46078.0</v>
      </c>
      <c r="B46" s="9">
        <v>46078.0</v>
      </c>
      <c r="C46" s="8" t="s">
        <v>464</v>
      </c>
      <c r="D46" s="8" t="s">
        <v>390</v>
      </c>
      <c r="E46" s="16">
        <v>2635.0</v>
      </c>
      <c r="F46" s="8" t="s">
        <v>471</v>
      </c>
      <c r="G46" s="16">
        <v>1518559.29</v>
      </c>
    </row>
    <row r="47" ht="14.25" customHeight="1">
      <c r="A47" s="9">
        <v>46079.0</v>
      </c>
      <c r="B47" s="9">
        <v>46079.0</v>
      </c>
      <c r="C47" s="8" t="s">
        <v>466</v>
      </c>
      <c r="D47" s="8" t="s">
        <v>390</v>
      </c>
      <c r="E47" s="16">
        <v>5250.0</v>
      </c>
      <c r="F47" s="8" t="s">
        <v>473</v>
      </c>
      <c r="G47" s="16">
        <v>1523809.29</v>
      </c>
    </row>
    <row r="48" ht="14.25" customHeight="1">
      <c r="A48" s="9">
        <v>46079.0</v>
      </c>
      <c r="B48" s="9">
        <v>46079.0</v>
      </c>
      <c r="C48" s="8" t="s">
        <v>468</v>
      </c>
      <c r="D48" s="8" t="s">
        <v>390</v>
      </c>
      <c r="E48" s="16">
        <v>1710.0</v>
      </c>
      <c r="F48" s="8" t="s">
        <v>475</v>
      </c>
      <c r="G48" s="16">
        <v>1525519.29</v>
      </c>
    </row>
    <row r="49" ht="14.25" customHeight="1">
      <c r="A49" s="9">
        <v>46080.0</v>
      </c>
      <c r="B49" s="9">
        <v>46080.0</v>
      </c>
      <c r="C49" s="8" t="s">
        <v>470</v>
      </c>
      <c r="D49" s="8" t="s">
        <v>390</v>
      </c>
      <c r="E49" s="16">
        <v>1980.0</v>
      </c>
      <c r="F49" s="8" t="s">
        <v>477</v>
      </c>
      <c r="G49" s="16">
        <v>1527499.29</v>
      </c>
    </row>
    <row r="50" ht="14.25" customHeight="1">
      <c r="A50" s="9">
        <v>46081.0</v>
      </c>
      <c r="B50" s="9">
        <v>46081.0</v>
      </c>
      <c r="C50" s="8" t="s">
        <v>478</v>
      </c>
      <c r="D50" s="8" t="s">
        <v>390</v>
      </c>
      <c r="E50" s="16">
        <v>1650.0</v>
      </c>
      <c r="F50" s="8" t="s">
        <v>479</v>
      </c>
      <c r="G50" s="16">
        <v>1529149.29</v>
      </c>
    </row>
    <row r="51" ht="14.25" customHeight="1">
      <c r="A51" s="9">
        <v>46081.0</v>
      </c>
      <c r="B51" s="9">
        <v>46081.0</v>
      </c>
      <c r="C51" s="8" t="s">
        <v>472</v>
      </c>
      <c r="D51" s="8" t="s">
        <v>390</v>
      </c>
      <c r="E51" s="16">
        <v>4950.0</v>
      </c>
      <c r="F51" s="8" t="s">
        <v>481</v>
      </c>
      <c r="G51" s="16">
        <v>1534099.29</v>
      </c>
    </row>
    <row r="52" ht="14.25" customHeight="1">
      <c r="A52" s="9">
        <v>46081.0</v>
      </c>
      <c r="B52" s="9">
        <v>46081.0</v>
      </c>
      <c r="C52" s="8" t="s">
        <v>480</v>
      </c>
      <c r="D52" s="8" t="s">
        <v>390</v>
      </c>
      <c r="E52" s="16">
        <v>2125.0</v>
      </c>
      <c r="F52" s="8" t="s">
        <v>490</v>
      </c>
      <c r="G52" s="16">
        <v>1536224.29</v>
      </c>
    </row>
    <row r="53" ht="14.25" customHeight="1">
      <c r="A53" s="9">
        <v>46081.0</v>
      </c>
      <c r="B53" s="9">
        <v>46081.0</v>
      </c>
      <c r="C53" s="8" t="s">
        <v>474</v>
      </c>
      <c r="D53" s="8" t="s">
        <v>390</v>
      </c>
      <c r="E53" s="16">
        <v>2200.0</v>
      </c>
      <c r="F53" s="8" t="s">
        <v>491</v>
      </c>
      <c r="G53" s="16">
        <v>1538424.29</v>
      </c>
    </row>
    <row r="54" ht="14.25" customHeight="1">
      <c r="A54" s="9">
        <v>46081.0</v>
      </c>
      <c r="B54" s="9">
        <v>46081.0</v>
      </c>
      <c r="C54" s="8" t="s">
        <v>476</v>
      </c>
      <c r="D54" s="8" t="s">
        <v>390</v>
      </c>
      <c r="E54" s="16">
        <v>4200.0</v>
      </c>
      <c r="F54" s="8" t="s">
        <v>492</v>
      </c>
      <c r="G54" s="16">
        <v>1542624.29</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16.57"/>
    <col customWidth="1" min="3" max="3" width="25.43"/>
    <col customWidth="1" min="4" max="4" width="26.71"/>
    <col customWidth="1" min="5" max="26" width="8.71"/>
  </cols>
  <sheetData>
    <row r="1" ht="14.25" customHeight="1">
      <c r="A1" s="17" t="s">
        <v>493</v>
      </c>
      <c r="B1" s="18">
        <v>46023.0</v>
      </c>
      <c r="C1" s="18">
        <v>46054.0</v>
      </c>
      <c r="D1" s="18">
        <v>46082.0</v>
      </c>
    </row>
    <row r="2" ht="14.25" customHeight="1">
      <c r="A2" s="19" t="s">
        <v>494</v>
      </c>
      <c r="B2" s="20">
        <v>143069.5</v>
      </c>
      <c r="C2" s="21">
        <f t="shared" ref="C2:D2" si="1">B6</f>
        <v>144779.5</v>
      </c>
      <c r="D2" s="21">
        <f t="shared" si="1"/>
        <v>150305.5</v>
      </c>
    </row>
    <row r="3" ht="14.25" customHeight="1">
      <c r="A3" s="19" t="s">
        <v>495</v>
      </c>
      <c r="B3" s="22">
        <v>1710.0</v>
      </c>
      <c r="C3" s="22">
        <v>6120.0</v>
      </c>
      <c r="D3" s="22">
        <v>3000.0</v>
      </c>
    </row>
    <row r="4" ht="14.25" customHeight="1">
      <c r="A4" s="19" t="s">
        <v>496</v>
      </c>
      <c r="B4" s="22">
        <v>0.0</v>
      </c>
      <c r="C4" s="22">
        <v>0.0</v>
      </c>
      <c r="D4" s="22">
        <v>380.0</v>
      </c>
    </row>
    <row r="5" ht="14.25" customHeight="1">
      <c r="A5" s="19" t="s">
        <v>497</v>
      </c>
      <c r="B5" s="22">
        <v>0.0</v>
      </c>
      <c r="C5" s="22">
        <v>594.0</v>
      </c>
      <c r="D5" s="22">
        <v>0.0</v>
      </c>
    </row>
    <row r="6" ht="14.25" customHeight="1">
      <c r="A6" s="23" t="s">
        <v>498</v>
      </c>
      <c r="B6" s="24">
        <f t="shared" ref="B6:D6" si="2">B2+B3+B4-B5</f>
        <v>144779.5</v>
      </c>
      <c r="C6" s="24">
        <f t="shared" si="2"/>
        <v>150305.5</v>
      </c>
      <c r="D6" s="24">
        <f t="shared" si="2"/>
        <v>153685.5</v>
      </c>
    </row>
    <row r="7" ht="14.25" customHeight="1">
      <c r="A7" s="19" t="s">
        <v>499</v>
      </c>
      <c r="B7" s="22">
        <v>30000.0</v>
      </c>
      <c r="C7" s="22">
        <v>31000.0</v>
      </c>
      <c r="D7" s="22">
        <v>29000.0</v>
      </c>
    </row>
    <row r="8" ht="14.25" customHeight="1">
      <c r="A8" s="19" t="s">
        <v>500</v>
      </c>
      <c r="B8" s="22">
        <v>25000.0</v>
      </c>
      <c r="C8" s="22">
        <v>25000.0</v>
      </c>
      <c r="D8" s="22">
        <v>22000.0</v>
      </c>
    </row>
    <row r="9" ht="14.25" customHeight="1">
      <c r="A9" s="19" t="s">
        <v>501</v>
      </c>
      <c r="B9" s="22">
        <v>19000.0</v>
      </c>
      <c r="C9" s="22">
        <v>19000.0</v>
      </c>
      <c r="D9" s="22">
        <v>22000.0</v>
      </c>
    </row>
    <row r="10" ht="14.25" customHeight="1">
      <c r="A10" s="25" t="s">
        <v>502</v>
      </c>
      <c r="B10" s="26">
        <f t="shared" ref="B10:D10" si="3">B7+B8+B9</f>
        <v>74000</v>
      </c>
      <c r="C10" s="26">
        <f t="shared" si="3"/>
        <v>75000</v>
      </c>
      <c r="D10" s="26">
        <f t="shared" si="3"/>
        <v>73000</v>
      </c>
    </row>
    <row r="11" ht="14.25" customHeight="1">
      <c r="A11" s="19" t="s">
        <v>503</v>
      </c>
      <c r="B11" s="21">
        <f t="shared" ref="B11:D11" si="4">B6*0.3</f>
        <v>43433.85</v>
      </c>
      <c r="C11" s="21">
        <f t="shared" si="4"/>
        <v>45091.65</v>
      </c>
      <c r="D11" s="21">
        <f t="shared" si="4"/>
        <v>46105.65</v>
      </c>
    </row>
    <row r="12" ht="14.25" customHeight="1">
      <c r="A12" s="19" t="s">
        <v>504</v>
      </c>
      <c r="B12" s="21">
        <f t="shared" ref="B12:D12" si="5">B6-B11</f>
        <v>101345.65</v>
      </c>
      <c r="C12" s="21">
        <f t="shared" si="5"/>
        <v>105213.85</v>
      </c>
      <c r="D12" s="21">
        <f t="shared" si="5"/>
        <v>107579.85</v>
      </c>
    </row>
    <row r="13" ht="14.25" customHeight="1">
      <c r="A13" s="23" t="s">
        <v>505</v>
      </c>
      <c r="B13" s="24">
        <f t="shared" ref="B13:D13" si="6">B12-B10</f>
        <v>27345.65</v>
      </c>
      <c r="C13" s="24">
        <f t="shared" si="6"/>
        <v>30213.85</v>
      </c>
      <c r="D13" s="24">
        <f t="shared" si="6"/>
        <v>34579.85</v>
      </c>
    </row>
    <row r="14" ht="14.25" customHeight="1">
      <c r="A14" s="19" t="s">
        <v>506</v>
      </c>
      <c r="B14" s="27">
        <v>1.0</v>
      </c>
      <c r="C14" s="27">
        <v>2.0</v>
      </c>
      <c r="D14" s="27">
        <v>2.0</v>
      </c>
    </row>
    <row r="15" ht="14.25" customHeight="1">
      <c r="A15" s="19" t="s">
        <v>507</v>
      </c>
      <c r="B15" s="27">
        <v>39.0</v>
      </c>
      <c r="C15" s="27">
        <v>41.0</v>
      </c>
      <c r="D15" s="27">
        <v>42.0</v>
      </c>
    </row>
    <row r="16" ht="14.25" customHeight="1">
      <c r="A16" s="28" t="s">
        <v>508</v>
      </c>
      <c r="B16" s="29">
        <v>52.0</v>
      </c>
      <c r="C16" s="29">
        <v>53.0</v>
      </c>
      <c r="D16" s="29">
        <v>54.0</v>
      </c>
    </row>
    <row r="17" ht="14.25" customHeight="1"/>
    <row r="18" ht="14.25" customHeight="1">
      <c r="A18" s="25" t="s">
        <v>509</v>
      </c>
      <c r="B18" s="30" t="s">
        <v>510</v>
      </c>
      <c r="C18" s="31" t="s">
        <v>511</v>
      </c>
      <c r="D18" s="32" t="s">
        <v>512</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3" width="12.14"/>
    <col customWidth="1" min="4" max="4" width="8.71"/>
    <col customWidth="1" min="5" max="5" width="36.43"/>
    <col customWidth="1" min="6" max="7" width="25.57"/>
    <col customWidth="1" min="8" max="26" width="8.71"/>
  </cols>
  <sheetData>
    <row r="1" ht="14.25" customHeight="1">
      <c r="A1" s="7" t="s">
        <v>493</v>
      </c>
      <c r="B1" s="33" t="s">
        <v>513</v>
      </c>
      <c r="C1" s="33" t="s">
        <v>514</v>
      </c>
    </row>
    <row r="2" ht="14.25" customHeight="1">
      <c r="A2" s="8" t="s">
        <v>515</v>
      </c>
      <c r="B2" s="16">
        <f>'Jan 2026 A vs F '!B9</f>
        <v>144779.5</v>
      </c>
      <c r="C2" s="16">
        <f>'Feb 2026 A vs F'!B9</f>
        <v>150305.5</v>
      </c>
    </row>
    <row r="3" ht="14.25" customHeight="1">
      <c r="A3" s="8" t="s">
        <v>516</v>
      </c>
      <c r="B3" s="16">
        <f>SUM(billing_jan_2026!P2:P48)</f>
        <v>178650</v>
      </c>
      <c r="C3" s="16">
        <f>SUM(billing_feb_2026!P2:P49)+169.71</f>
        <v>114144</v>
      </c>
    </row>
    <row r="4" ht="14.25" customHeight="1">
      <c r="A4" s="34" t="s">
        <v>517</v>
      </c>
      <c r="B4" s="16"/>
      <c r="C4" s="16">
        <f>-billing_feb_2026!P36</f>
        <v>169.71</v>
      </c>
    </row>
    <row r="5" ht="14.25" customHeight="1">
      <c r="A5" s="8" t="s">
        <v>518</v>
      </c>
      <c r="B5" s="16">
        <f>SUM(bank_statement_jan_2026!E6:E51)</f>
        <v>177975</v>
      </c>
      <c r="C5" s="16">
        <f>SUM(bank_statement_feb_2026!E6:E54)</f>
        <v>114649.29</v>
      </c>
    </row>
    <row r="6" ht="14.25" customHeight="1">
      <c r="A6" s="8" t="s">
        <v>519</v>
      </c>
      <c r="B6" s="16">
        <f>B3-B2</f>
        <v>33870.5</v>
      </c>
      <c r="C6" s="16">
        <f>C3-C2+C4</f>
        <v>-35991.79</v>
      </c>
    </row>
    <row r="7" ht="14.25" customHeight="1">
      <c r="A7" s="8" t="s">
        <v>520</v>
      </c>
      <c r="B7" s="16">
        <f>B3-B5</f>
        <v>675</v>
      </c>
      <c r="C7" s="16">
        <f>C3+C4-C5</f>
        <v>-335.58</v>
      </c>
    </row>
    <row r="8" ht="14.25" customHeight="1"/>
    <row r="9" ht="14.25" customHeight="1">
      <c r="A9" s="25" t="s">
        <v>521</v>
      </c>
      <c r="E9" s="25" t="s">
        <v>521</v>
      </c>
    </row>
    <row r="10" ht="14.25" customHeight="1">
      <c r="A10" s="7" t="s">
        <v>522</v>
      </c>
      <c r="B10" s="33" t="s">
        <v>513</v>
      </c>
      <c r="C10" s="33" t="s">
        <v>514</v>
      </c>
      <c r="E10" s="7" t="s">
        <v>522</v>
      </c>
      <c r="F10" s="33" t="s">
        <v>513</v>
      </c>
      <c r="G10" s="33" t="s">
        <v>514</v>
      </c>
    </row>
    <row r="11" ht="14.25" customHeight="1">
      <c r="A11" s="8" t="s">
        <v>515</v>
      </c>
      <c r="B11" s="16">
        <f t="shared" ref="B11:C11" si="1">B2</f>
        <v>144779.5</v>
      </c>
      <c r="C11" s="16">
        <f t="shared" si="1"/>
        <v>150305.5</v>
      </c>
      <c r="E11" s="8" t="s">
        <v>515</v>
      </c>
      <c r="F11" s="16">
        <f t="shared" ref="F11:G11" si="2">B11</f>
        <v>144779.5</v>
      </c>
      <c r="G11" s="16">
        <f t="shared" si="2"/>
        <v>150305.5</v>
      </c>
      <c r="L11" s="5">
        <f>3900+5580+5400+6300+6840+6750+1985.5</f>
        <v>36755.5</v>
      </c>
    </row>
    <row r="12" ht="14.25" customHeight="1">
      <c r="A12" s="8" t="s">
        <v>523</v>
      </c>
      <c r="B12" s="16">
        <f> SUMIF(billing_jan_2026!H:H, "Annual", billing_jan_2026!P:P) * (11/12)</f>
        <v>64740.5</v>
      </c>
      <c r="C12" s="16">
        <f> SUMIF(billing_feb_2026!H:H, "Annual", billing_feb_2026!P:P) * (11/12)</f>
        <v>0</v>
      </c>
      <c r="E12" s="8" t="s">
        <v>523</v>
      </c>
      <c r="F12" s="16">
        <f> SUMIF(billing_jan_2026!H:H, "Annual", billing_jan_2026!P:P) * (11/12)</f>
        <v>64740.5</v>
      </c>
      <c r="G12" s="16">
        <f> SUMIF(billing_feb_2026!H:H, "Annual", billing_feb_2026!P:P) * (11/12)</f>
        <v>0</v>
      </c>
    </row>
    <row r="13" ht="14.25" customHeight="1">
      <c r="A13" s="8" t="s">
        <v>524</v>
      </c>
      <c r="B13" s="16">
        <f> (billing_jan_2026!P34 + billing_jan_2026!P37) / 12</f>
        <v>5885.5</v>
      </c>
      <c r="C13" s="16">
        <f> (billing_jan_2026!P34 + billing_jan_2026!P37) / 12</f>
        <v>5885.5</v>
      </c>
      <c r="E13" s="8" t="s">
        <v>524</v>
      </c>
      <c r="F13" s="35">
        <f>-(31*180)+-(36*150)+-(42*150)+-(38*180)+-(45*150)</f>
        <v>-30870</v>
      </c>
      <c r="G13" s="16">
        <f>-(26*150)+-(31*180)+-(36*150)+-(42*150)+-(38*180)+-(45*150)+-(22*95*0.95)</f>
        <v>-36755.5</v>
      </c>
    </row>
    <row r="14" ht="14.25" customHeight="1">
      <c r="A14" s="8"/>
      <c r="B14" s="16"/>
      <c r="C14" s="16"/>
      <c r="E14" s="34" t="s">
        <v>525</v>
      </c>
      <c r="F14" s="16"/>
      <c r="G14" s="35">
        <f>15*45*0.88</f>
        <v>594</v>
      </c>
    </row>
    <row r="15" ht="14.25" customHeight="1">
      <c r="A15" s="8" t="s">
        <v>526</v>
      </c>
      <c r="B15" s="16">
        <f>B11+B12</f>
        <v>209520</v>
      </c>
      <c r="C15" s="16">
        <f>C11+C12-C13</f>
        <v>144420</v>
      </c>
      <c r="E15" s="8" t="s">
        <v>526</v>
      </c>
      <c r="F15" s="16">
        <f t="shared" ref="F15:G15" si="3">B3</f>
        <v>178650</v>
      </c>
      <c r="G15" s="35">
        <f t="shared" si="3"/>
        <v>114144</v>
      </c>
    </row>
    <row r="16" ht="14.25" customHeight="1">
      <c r="A16" s="8" t="s">
        <v>527</v>
      </c>
      <c r="B16" s="16">
        <f t="shared" ref="B16:C16" si="4">B15-B3</f>
        <v>30870</v>
      </c>
      <c r="C16" s="16">
        <f t="shared" si="4"/>
        <v>30276</v>
      </c>
      <c r="E16" s="6" t="s">
        <v>528</v>
      </c>
      <c r="F16" s="36">
        <f>SUM(F11:F13)</f>
        <v>178650</v>
      </c>
      <c r="G16" s="36">
        <f>SUM(G11:G14)</f>
        <v>114144</v>
      </c>
    </row>
    <row r="17" ht="14.25" customHeight="1">
      <c r="E17" s="37" t="s">
        <v>527</v>
      </c>
      <c r="F17" s="38">
        <f t="shared" ref="F17:G17" si="5">F16-F15</f>
        <v>0</v>
      </c>
      <c r="G17" s="38">
        <f t="shared" si="5"/>
        <v>0</v>
      </c>
    </row>
    <row r="18" ht="14.25" customHeight="1">
      <c r="A18" s="25" t="s">
        <v>529</v>
      </c>
      <c r="E18" s="25" t="s">
        <v>529</v>
      </c>
    </row>
    <row r="19" ht="14.25" customHeight="1">
      <c r="A19" s="7" t="s">
        <v>522</v>
      </c>
      <c r="B19" s="33" t="s">
        <v>513</v>
      </c>
      <c r="C19" s="33" t="s">
        <v>514</v>
      </c>
      <c r="E19" s="7" t="s">
        <v>522</v>
      </c>
      <c r="F19" s="33" t="s">
        <v>513</v>
      </c>
      <c r="G19" s="33" t="s">
        <v>514</v>
      </c>
    </row>
    <row r="20" ht="14.25" customHeight="1">
      <c r="A20" s="8" t="s">
        <v>516</v>
      </c>
      <c r="B20" s="16">
        <f t="shared" ref="B20:C20" si="6">B3</f>
        <v>178650</v>
      </c>
      <c r="C20" s="16">
        <f t="shared" si="6"/>
        <v>114144</v>
      </c>
      <c r="E20" s="8" t="s">
        <v>516</v>
      </c>
      <c r="F20" s="16">
        <f t="shared" ref="F20:G20" si="7">B3</f>
        <v>178650</v>
      </c>
      <c r="G20" s="16">
        <f t="shared" si="7"/>
        <v>114144</v>
      </c>
      <c r="H20" s="16" t="str">
        <f>H15</f>
        <v/>
      </c>
    </row>
    <row r="21" ht="14.25" customHeight="1">
      <c r="A21" s="8"/>
      <c r="B21" s="16"/>
      <c r="C21" s="16"/>
      <c r="E21" s="34" t="s">
        <v>517</v>
      </c>
      <c r="F21" s="16">
        <f>billing_jan_2026!P31</f>
        <v>675</v>
      </c>
      <c r="G21" s="35">
        <v>675.0</v>
      </c>
    </row>
    <row r="22" ht="14.25" customHeight="1">
      <c r="A22" s="8" t="s">
        <v>518</v>
      </c>
      <c r="B22" s="16">
        <f t="shared" ref="B22:C22" si="8">B5</f>
        <v>177975</v>
      </c>
      <c r="C22" s="16">
        <f t="shared" si="8"/>
        <v>114649.29</v>
      </c>
      <c r="E22" s="34" t="s">
        <v>525</v>
      </c>
      <c r="F22" s="16">
        <v>0.0</v>
      </c>
      <c r="G22" s="16">
        <f>billing_feb_2026!P36</f>
        <v>-169.71</v>
      </c>
      <c r="O22" s="1" t="s">
        <v>530</v>
      </c>
    </row>
    <row r="23" ht="14.25" customHeight="1">
      <c r="A23" s="8" t="s">
        <v>527</v>
      </c>
      <c r="B23" s="16">
        <f t="shared" ref="B23:C23" si="9">B22-B20</f>
        <v>-675</v>
      </c>
      <c r="C23" s="16">
        <f t="shared" si="9"/>
        <v>505.29</v>
      </c>
      <c r="E23" s="8" t="s">
        <v>518</v>
      </c>
      <c r="F23" s="16">
        <f t="shared" ref="F23:G23" si="10">B5</f>
        <v>177975</v>
      </c>
      <c r="G23" s="16">
        <f t="shared" si="10"/>
        <v>114649.29</v>
      </c>
    </row>
    <row r="24" ht="14.25" customHeight="1">
      <c r="E24" s="8" t="s">
        <v>527</v>
      </c>
      <c r="F24" s="16">
        <f>F23+F21-F20</f>
        <v>0</v>
      </c>
      <c r="G24" s="16">
        <f>G23-sum(G20:G22)</f>
        <v>0</v>
      </c>
    </row>
    <row r="25" ht="14.25" customHeight="1">
      <c r="A25" s="25" t="s">
        <v>531</v>
      </c>
    </row>
    <row r="26" ht="14.25" customHeight="1">
      <c r="A26" s="5" t="s">
        <v>532</v>
      </c>
    </row>
    <row r="27" ht="14.25" customHeight="1">
      <c r="A27" s="5" t="s">
        <v>533</v>
      </c>
    </row>
    <row r="28" ht="14.25" customHeight="1">
      <c r="A28" s="5" t="s">
        <v>534</v>
      </c>
      <c r="P28" s="39"/>
    </row>
    <row r="29" ht="14.25" customHeight="1">
      <c r="A29" s="5" t="s">
        <v>535</v>
      </c>
    </row>
    <row r="30" ht="14.25" customHeight="1"/>
    <row r="31" ht="14.25" customHeight="1">
      <c r="A31" s="25" t="s">
        <v>536</v>
      </c>
    </row>
    <row r="32" ht="14.25" customHeight="1">
      <c r="A32" s="5" t="s">
        <v>537</v>
      </c>
    </row>
    <row r="33" ht="14.25" customHeight="1">
      <c r="A33" s="5" t="s">
        <v>538</v>
      </c>
    </row>
    <row r="34" ht="14.25" customHeight="1">
      <c r="A34" s="5" t="s">
        <v>539</v>
      </c>
    </row>
    <row r="35" ht="14.25" customHeight="1">
      <c r="A35" s="5" t="s">
        <v>540</v>
      </c>
    </row>
    <row r="36" ht="14.25" customHeight="1">
      <c r="A36" s="5" t="s">
        <v>541</v>
      </c>
    </row>
    <row r="37" ht="14.25" customHeight="1"/>
    <row r="38" ht="14.25" customHeight="1">
      <c r="A38" s="25" t="s">
        <v>542</v>
      </c>
    </row>
    <row r="39" ht="14.25" customHeight="1">
      <c r="A39" s="5" t="s">
        <v>543</v>
      </c>
    </row>
    <row r="40" ht="14.25" customHeight="1">
      <c r="A40" s="5" t="s">
        <v>544</v>
      </c>
    </row>
    <row r="41" ht="14.25" customHeight="1">
      <c r="A41" s="5" t="s">
        <v>545</v>
      </c>
    </row>
    <row r="42" ht="14.25" customHeight="1">
      <c r="A42" s="5" t="s">
        <v>546</v>
      </c>
    </row>
    <row r="43" ht="14.25" customHeight="1">
      <c r="A43" s="5" t="s">
        <v>547</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rintOptions/>
  <pageMargins bottom="0.75" footer="0.0" header="0.0" left="0.7" right="0.7" top="0.75"/>
  <pageSetup orientation="landscape"/>
  <drawing r:id="rId1"/>
  <tableParts count="5">
    <tablePart r:id="rId7"/>
    <tablePart r:id="rId8"/>
    <tablePart r:id="rId9"/>
    <tablePart r:id="rId10"/>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55.86"/>
    <col customWidth="1" min="2" max="2" width="27.14"/>
    <col customWidth="1" min="3" max="8" width="14.0"/>
    <col customWidth="1" min="9" max="9" width="39.57"/>
    <col customWidth="1" min="10" max="10" width="4.0"/>
    <col customWidth="1" min="11" max="11" width="14.0"/>
    <col customWidth="1" min="12" max="26" width="8.71"/>
  </cols>
  <sheetData>
    <row r="1" ht="14.25" customHeight="1">
      <c r="A1" s="40" t="s">
        <v>548</v>
      </c>
    </row>
    <row r="2" ht="14.25" customHeight="1">
      <c r="A2" s="41" t="s">
        <v>549</v>
      </c>
    </row>
    <row r="3" ht="14.25" customHeight="1">
      <c r="A3" s="41" t="s">
        <v>550</v>
      </c>
    </row>
    <row r="4" ht="14.25" customHeight="1"/>
    <row r="5" ht="14.25" customHeight="1">
      <c r="A5" s="42" t="s">
        <v>551</v>
      </c>
      <c r="B5" s="43"/>
      <c r="C5" s="43"/>
      <c r="D5" s="43"/>
      <c r="E5" s="43"/>
      <c r="F5" s="43"/>
      <c r="G5" s="43"/>
      <c r="H5" s="43"/>
      <c r="I5" s="43"/>
    </row>
    <row r="6" ht="14.25" customHeight="1">
      <c r="A6" s="44" t="s">
        <v>493</v>
      </c>
      <c r="B6" s="44" t="s">
        <v>552</v>
      </c>
      <c r="C6" s="44" t="s">
        <v>553</v>
      </c>
      <c r="D6" s="44" t="s">
        <v>554</v>
      </c>
      <c r="E6" s="44" t="s">
        <v>555</v>
      </c>
      <c r="F6" s="44" t="s">
        <v>556</v>
      </c>
      <c r="G6" s="44" t="s">
        <v>557</v>
      </c>
      <c r="H6" s="44" t="s">
        <v>558</v>
      </c>
      <c r="I6" s="44" t="s">
        <v>559</v>
      </c>
      <c r="K6" s="45" t="s">
        <v>560</v>
      </c>
    </row>
    <row r="7" ht="14.25" customHeight="1">
      <c r="A7" s="46" t="s">
        <v>494</v>
      </c>
      <c r="B7" s="47">
        <f>Waterfall!B3</f>
        <v>0</v>
      </c>
      <c r="C7" s="47">
        <f t="shared" ref="C7:I7" si="1">B13</f>
        <v>20490</v>
      </c>
      <c r="D7" s="47">
        <f t="shared" si="1"/>
        <v>35989</v>
      </c>
      <c r="E7" s="47">
        <f t="shared" si="1"/>
        <v>63708.5</v>
      </c>
      <c r="F7" s="47">
        <f t="shared" si="1"/>
        <v>91123.5</v>
      </c>
      <c r="G7" s="47">
        <f t="shared" si="1"/>
        <v>126539.5</v>
      </c>
      <c r="H7" s="47">
        <f t="shared" si="1"/>
        <v>152114.5</v>
      </c>
      <c r="I7" s="47">
        <f t="shared" si="1"/>
        <v>150359.5</v>
      </c>
      <c r="K7" s="41" t="s">
        <v>561</v>
      </c>
    </row>
    <row r="8" ht="14.25" customHeight="1">
      <c r="A8" s="46" t="s">
        <v>562</v>
      </c>
      <c r="B8" s="47">
        <f>SUM(Waterfall!C3:C5)</f>
        <v>20490</v>
      </c>
      <c r="C8" s="47">
        <f>SUM(Waterfall!C6:C8)</f>
        <v>15499</v>
      </c>
      <c r="D8" s="47">
        <f>SUM(Waterfall!C9:C11)</f>
        <v>29619.5</v>
      </c>
      <c r="E8" s="47">
        <f>SUM(Waterfall!C12:C14)</f>
        <v>30000</v>
      </c>
      <c r="F8" s="47">
        <f>SUM(Waterfall!C15:C17)</f>
        <v>36735.5</v>
      </c>
      <c r="G8" s="47">
        <f>SUM(Waterfall!C18:C20)</f>
        <v>26470</v>
      </c>
      <c r="H8" s="47">
        <f>SUM(Waterfall!C21:C23)</f>
        <v>0</v>
      </c>
      <c r="I8" s="47">
        <f>SUM(Waterfall!C24:C26)</f>
        <v>935</v>
      </c>
      <c r="K8" s="41" t="s">
        <v>563</v>
      </c>
    </row>
    <row r="9" ht="14.25" customHeight="1">
      <c r="A9" s="46" t="s">
        <v>564</v>
      </c>
      <c r="B9" s="47">
        <f>SUM(Waterfall!D3:D5)</f>
        <v>0</v>
      </c>
      <c r="C9" s="47">
        <f>SUM(Waterfall!D6:D8)</f>
        <v>0</v>
      </c>
      <c r="D9" s="47">
        <f>SUM(Waterfall!D9:D11)</f>
        <v>0</v>
      </c>
      <c r="E9" s="47">
        <f>SUM(Waterfall!D12:D14)</f>
        <v>0</v>
      </c>
      <c r="F9" s="47">
        <f>SUM(Waterfall!D15:D17)</f>
        <v>140</v>
      </c>
      <c r="G9" s="47">
        <f>SUM(Waterfall!D18:D20)</f>
        <v>2785</v>
      </c>
      <c r="H9" s="47">
        <f>SUM(Waterfall!D21:D23)</f>
        <v>5520</v>
      </c>
      <c r="I9" s="47">
        <f>SUM(Waterfall!D24:D26)</f>
        <v>1765</v>
      </c>
      <c r="K9" s="41" t="s">
        <v>565</v>
      </c>
    </row>
    <row r="10" ht="14.25" customHeight="1">
      <c r="A10" s="46" t="s">
        <v>566</v>
      </c>
      <c r="B10" s="47">
        <f>SUM(Waterfall!E3:E5)</f>
        <v>0</v>
      </c>
      <c r="C10" s="47">
        <f>SUM(Waterfall!E6:E8)</f>
        <v>0</v>
      </c>
      <c r="D10" s="47">
        <f>SUM(Waterfall!E9:E11)</f>
        <v>0</v>
      </c>
      <c r="E10" s="47">
        <f>SUM(Waterfall!E12:E14)</f>
        <v>0</v>
      </c>
      <c r="F10" s="47">
        <f>SUM(Waterfall!E15:E17)</f>
        <v>-1009.5</v>
      </c>
      <c r="G10" s="47">
        <f>SUM(Waterfall!E18:E20)</f>
        <v>0</v>
      </c>
      <c r="H10" s="47">
        <f>SUM(Waterfall!E21:E23)</f>
        <v>-835</v>
      </c>
      <c r="I10" s="47">
        <f>SUM(Waterfall!E24:E26)</f>
        <v>-516.5</v>
      </c>
      <c r="K10" s="41" t="s">
        <v>567</v>
      </c>
    </row>
    <row r="11" ht="14.25" customHeight="1">
      <c r="A11" s="46" t="s">
        <v>568</v>
      </c>
      <c r="B11" s="47">
        <f>SUM(Waterfall!F3:F5)</f>
        <v>0</v>
      </c>
      <c r="C11" s="47">
        <f>SUM(Waterfall!F6:F8)</f>
        <v>0</v>
      </c>
      <c r="D11" s="47">
        <f>SUM(Waterfall!F9:F11)</f>
        <v>-1900</v>
      </c>
      <c r="E11" s="47">
        <f>SUM(Waterfall!F12:F14)</f>
        <v>-2585</v>
      </c>
      <c r="F11" s="47">
        <f>SUM(Waterfall!F15:F17)</f>
        <v>-450</v>
      </c>
      <c r="G11" s="47">
        <f>SUM(Waterfall!F18:F20)</f>
        <v>-3680</v>
      </c>
      <c r="H11" s="47">
        <f>SUM(Waterfall!F21:F23)</f>
        <v>-6440</v>
      </c>
      <c r="I11" s="47">
        <f>SUM(Waterfall!F24:F26)</f>
        <v>-1624.5</v>
      </c>
      <c r="K11" s="41" t="s">
        <v>569</v>
      </c>
    </row>
    <row r="12" ht="14.25" customHeight="1">
      <c r="A12" s="48" t="s">
        <v>570</v>
      </c>
      <c r="B12" s="49">
        <f t="shared" ref="B12:I12" si="2">B13-B7</f>
        <v>20490</v>
      </c>
      <c r="C12" s="49">
        <f t="shared" si="2"/>
        <v>15499</v>
      </c>
      <c r="D12" s="49">
        <f t="shared" si="2"/>
        <v>27719.5</v>
      </c>
      <c r="E12" s="49">
        <f t="shared" si="2"/>
        <v>27415</v>
      </c>
      <c r="F12" s="49">
        <f t="shared" si="2"/>
        <v>35416</v>
      </c>
      <c r="G12" s="49">
        <f t="shared" si="2"/>
        <v>25575</v>
      </c>
      <c r="H12" s="49">
        <f t="shared" si="2"/>
        <v>-1755</v>
      </c>
      <c r="I12" s="49">
        <f t="shared" si="2"/>
        <v>-7290</v>
      </c>
      <c r="K12" s="41" t="s">
        <v>571</v>
      </c>
    </row>
    <row r="13" ht="14.25" customHeight="1">
      <c r="A13" s="48" t="s">
        <v>498</v>
      </c>
      <c r="B13" s="49">
        <f>Waterfall!H5</f>
        <v>20490</v>
      </c>
      <c r="C13" s="49">
        <f>Waterfall!H8</f>
        <v>35989</v>
      </c>
      <c r="D13" s="49">
        <f>Waterfall!H11</f>
        <v>63708.5</v>
      </c>
      <c r="E13" s="49">
        <f>Waterfall!H14</f>
        <v>91123.5</v>
      </c>
      <c r="F13" s="49">
        <f>Waterfall!H17</f>
        <v>126539.5</v>
      </c>
      <c r="G13" s="49">
        <f>Waterfall!H20</f>
        <v>152114.5</v>
      </c>
      <c r="H13" s="49">
        <f>Waterfall!H23</f>
        <v>150359.5</v>
      </c>
      <c r="I13" s="49">
        <v>143069.5</v>
      </c>
      <c r="K13" s="41" t="s">
        <v>572</v>
      </c>
    </row>
    <row r="14" ht="14.25" customHeight="1">
      <c r="B14" s="15"/>
      <c r="C14" s="15"/>
      <c r="D14" s="15"/>
      <c r="E14" s="15"/>
      <c r="F14" s="15"/>
      <c r="G14" s="15"/>
      <c r="H14" s="15"/>
      <c r="I14" s="15"/>
    </row>
    <row r="15" ht="14.25" customHeight="1">
      <c r="A15" s="42" t="s">
        <v>573</v>
      </c>
      <c r="B15" s="43"/>
      <c r="C15" s="43"/>
      <c r="D15" s="43"/>
      <c r="E15" s="43"/>
      <c r="F15" s="43"/>
      <c r="G15" s="43"/>
      <c r="H15" s="43"/>
      <c r="I15" s="43"/>
    </row>
    <row r="16" ht="14.25" customHeight="1">
      <c r="A16" s="44" t="s">
        <v>493</v>
      </c>
      <c r="B16" s="44" t="s">
        <v>552</v>
      </c>
      <c r="C16" s="44" t="s">
        <v>553</v>
      </c>
      <c r="D16" s="44" t="s">
        <v>554</v>
      </c>
      <c r="E16" s="44" t="s">
        <v>555</v>
      </c>
      <c r="F16" s="44" t="s">
        <v>556</v>
      </c>
      <c r="G16" s="44" t="s">
        <v>557</v>
      </c>
      <c r="H16" s="44" t="s">
        <v>558</v>
      </c>
      <c r="I16" s="44" t="s">
        <v>559</v>
      </c>
      <c r="K16" s="45" t="s">
        <v>560</v>
      </c>
    </row>
    <row r="17" ht="14.25" customHeight="1">
      <c r="A17" s="46" t="s">
        <v>574</v>
      </c>
      <c r="B17" s="50">
        <f>Retention!D19-0</f>
        <v>4</v>
      </c>
      <c r="C17" s="50">
        <f>Retention!G19-Retention!D19</f>
        <v>7</v>
      </c>
      <c r="D17" s="50">
        <f>Retention!J19-Retention!G19</f>
        <v>6</v>
      </c>
      <c r="E17" s="50">
        <f>Retention!M19-Retention!J19</f>
        <v>6</v>
      </c>
      <c r="F17" s="50">
        <f>Retention!Q19-Retention!N19</f>
        <v>6</v>
      </c>
      <c r="G17" s="50">
        <f>Retention!T19-Retention!Q19</f>
        <v>6</v>
      </c>
      <c r="H17" s="50">
        <f>Retention!V19-Retention!S19</f>
        <v>1</v>
      </c>
      <c r="I17" s="51">
        <f>SUM('Unit Economics'!J76:J78)</f>
        <v>0</v>
      </c>
      <c r="K17" s="41" t="s">
        <v>575</v>
      </c>
    </row>
    <row r="18" ht="14.25" customHeight="1">
      <c r="A18" s="46" t="s">
        <v>576</v>
      </c>
      <c r="B18" s="51">
        <f>SUM(Retention!B17:D17)</f>
        <v>0</v>
      </c>
      <c r="C18" s="51">
        <f>SUM(Retention!E17:G17)</f>
        <v>0</v>
      </c>
      <c r="D18" s="51">
        <f>SUM(Retention!H17:J17)</f>
        <v>1</v>
      </c>
      <c r="E18" s="51">
        <f>SUM(Retention!K17:M17)</f>
        <v>2</v>
      </c>
      <c r="F18" s="51">
        <f>SUM(Retention!N17:P17)</f>
        <v>1</v>
      </c>
      <c r="G18" s="51">
        <f>SUM(Retention!Q17:S17)</f>
        <v>3</v>
      </c>
      <c r="H18" s="51">
        <f>SUM(Retention!T17:V17)</f>
        <v>2</v>
      </c>
      <c r="I18" s="51">
        <f>SUM(Retention!W17:Y17)</f>
        <v>1</v>
      </c>
      <c r="K18" s="41" t="s">
        <v>577</v>
      </c>
    </row>
    <row r="19" ht="14.25" customHeight="1">
      <c r="A19" s="46" t="s">
        <v>578</v>
      </c>
      <c r="B19" s="51">
        <f>Retention!D16</f>
        <v>5</v>
      </c>
      <c r="C19" s="51">
        <f>Retention!G16</f>
        <v>13</v>
      </c>
      <c r="D19" s="51">
        <f>Retention!J16</f>
        <v>21</v>
      </c>
      <c r="E19" s="51">
        <f>Retention!M16</f>
        <v>31</v>
      </c>
      <c r="F19" s="51">
        <f>Retention!Q16</f>
        <v>46</v>
      </c>
      <c r="G19" s="51">
        <f>Retention!T16</f>
        <v>53</v>
      </c>
      <c r="H19" s="51">
        <f>Retention!W16</f>
        <v>51</v>
      </c>
      <c r="I19" s="51">
        <f>Retention!Z16</f>
        <v>51</v>
      </c>
      <c r="K19" s="41" t="s">
        <v>579</v>
      </c>
    </row>
    <row r="20" ht="14.25" customHeight="1">
      <c r="A20" s="46" t="s">
        <v>580</v>
      </c>
      <c r="B20" s="51">
        <f>Retention!D19</f>
        <v>4</v>
      </c>
      <c r="C20" s="51">
        <f>Retention!G19</f>
        <v>11</v>
      </c>
      <c r="D20" s="51">
        <f>Retention!J19</f>
        <v>17</v>
      </c>
      <c r="E20" s="51">
        <f>Retention!M19</f>
        <v>23</v>
      </c>
      <c r="F20" s="51">
        <f>Retention!Q19</f>
        <v>31</v>
      </c>
      <c r="G20" s="51">
        <f>Retention!T19</f>
        <v>37</v>
      </c>
      <c r="H20" s="51">
        <f>Retention!W19</f>
        <v>37</v>
      </c>
      <c r="I20" s="51">
        <f>Retention!Z19</f>
        <v>38</v>
      </c>
      <c r="K20" s="41" t="s">
        <v>581</v>
      </c>
    </row>
    <row r="21" ht="14.25" customHeight="1"/>
    <row r="22" ht="14.25" customHeight="1">
      <c r="A22" s="42" t="s">
        <v>582</v>
      </c>
      <c r="B22" s="43"/>
      <c r="C22" s="43"/>
      <c r="D22" s="43"/>
      <c r="E22" s="43"/>
      <c r="F22" s="43"/>
      <c r="G22" s="43"/>
      <c r="H22" s="43"/>
      <c r="I22" s="43"/>
    </row>
    <row r="23" ht="14.25" customHeight="1">
      <c r="A23" s="44" t="s">
        <v>493</v>
      </c>
      <c r="B23" s="44" t="s">
        <v>552</v>
      </c>
      <c r="C23" s="44" t="s">
        <v>553</v>
      </c>
      <c r="D23" s="44" t="s">
        <v>554</v>
      </c>
      <c r="E23" s="44" t="s">
        <v>555</v>
      </c>
      <c r="F23" s="44" t="s">
        <v>556</v>
      </c>
      <c r="G23" s="44" t="s">
        <v>557</v>
      </c>
      <c r="H23" s="44" t="s">
        <v>558</v>
      </c>
      <c r="I23" s="44" t="s">
        <v>559</v>
      </c>
      <c r="K23" s="45" t="s">
        <v>560</v>
      </c>
    </row>
    <row r="24" ht="14.25" customHeight="1">
      <c r="A24" s="46" t="s">
        <v>583</v>
      </c>
      <c r="B24" s="52">
        <f t="shared" ref="B24:I24" si="3">B13*3</f>
        <v>61470</v>
      </c>
      <c r="C24" s="52">
        <f t="shared" si="3"/>
        <v>107967</v>
      </c>
      <c r="D24" s="52">
        <f t="shared" si="3"/>
        <v>191125.5</v>
      </c>
      <c r="E24" s="52">
        <f t="shared" si="3"/>
        <v>273370.5</v>
      </c>
      <c r="F24" s="52">
        <f t="shared" si="3"/>
        <v>379618.5</v>
      </c>
      <c r="G24" s="52">
        <f t="shared" si="3"/>
        <v>456343.5</v>
      </c>
      <c r="H24" s="52">
        <f t="shared" si="3"/>
        <v>451078.5</v>
      </c>
      <c r="I24" s="52">
        <f t="shared" si="3"/>
        <v>429208.5</v>
      </c>
      <c r="K24" s="41" t="s">
        <v>584</v>
      </c>
    </row>
    <row r="25" ht="14.25" customHeight="1">
      <c r="A25" s="46" t="s">
        <v>585</v>
      </c>
      <c r="B25" s="52">
        <f t="shared" ref="B25:I25" si="4">B24*0.3</f>
        <v>18441</v>
      </c>
      <c r="C25" s="52">
        <f t="shared" si="4"/>
        <v>32390.1</v>
      </c>
      <c r="D25" s="52">
        <f t="shared" si="4"/>
        <v>57337.65</v>
      </c>
      <c r="E25" s="52">
        <f t="shared" si="4"/>
        <v>82011.15</v>
      </c>
      <c r="F25" s="52">
        <f t="shared" si="4"/>
        <v>113885.55</v>
      </c>
      <c r="G25" s="52">
        <f t="shared" si="4"/>
        <v>136903.05</v>
      </c>
      <c r="H25" s="52">
        <f t="shared" si="4"/>
        <v>135323.55</v>
      </c>
      <c r="I25" s="52">
        <f t="shared" si="4"/>
        <v>128762.55</v>
      </c>
      <c r="K25" s="41" t="s">
        <v>586</v>
      </c>
    </row>
    <row r="26" ht="14.25" customHeight="1">
      <c r="A26" s="48" t="s">
        <v>504</v>
      </c>
      <c r="B26" s="53">
        <f t="shared" ref="B26:I26" si="5">B24-B25</f>
        <v>43029</v>
      </c>
      <c r="C26" s="53">
        <f t="shared" si="5"/>
        <v>75576.9</v>
      </c>
      <c r="D26" s="53">
        <f t="shared" si="5"/>
        <v>133787.85</v>
      </c>
      <c r="E26" s="53">
        <f t="shared" si="5"/>
        <v>191359.35</v>
      </c>
      <c r="F26" s="53">
        <f t="shared" si="5"/>
        <v>265732.95</v>
      </c>
      <c r="G26" s="53">
        <f t="shared" si="5"/>
        <v>319440.45</v>
      </c>
      <c r="H26" s="53">
        <f t="shared" si="5"/>
        <v>315754.95</v>
      </c>
      <c r="I26" s="53">
        <f t="shared" si="5"/>
        <v>300445.95</v>
      </c>
      <c r="K26" s="41" t="s">
        <v>587</v>
      </c>
    </row>
    <row r="27" ht="14.25" customHeight="1">
      <c r="A27" s="46" t="s">
        <v>588</v>
      </c>
      <c r="B27" s="54">
        <f t="shared" ref="B27:I27" si="6">B26/B24</f>
        <v>0.7</v>
      </c>
      <c r="C27" s="54">
        <f t="shared" si="6"/>
        <v>0.7</v>
      </c>
      <c r="D27" s="54">
        <f t="shared" si="6"/>
        <v>0.7</v>
      </c>
      <c r="E27" s="54">
        <f t="shared" si="6"/>
        <v>0.7</v>
      </c>
      <c r="F27" s="54">
        <f t="shared" si="6"/>
        <v>0.7</v>
      </c>
      <c r="G27" s="54">
        <f t="shared" si="6"/>
        <v>0.7</v>
      </c>
      <c r="H27" s="54">
        <f t="shared" si="6"/>
        <v>0.7</v>
      </c>
      <c r="I27" s="54">
        <f t="shared" si="6"/>
        <v>0.7</v>
      </c>
      <c r="K27" s="41" t="s">
        <v>589</v>
      </c>
    </row>
    <row r="28" ht="14.25" customHeight="1">
      <c r="A28" s="46" t="s">
        <v>499</v>
      </c>
      <c r="B28" s="52">
        <v>18500.0</v>
      </c>
      <c r="C28" s="52">
        <v>29000.0</v>
      </c>
      <c r="D28" s="52">
        <v>47000.0</v>
      </c>
      <c r="E28" s="52">
        <v>63000.0</v>
      </c>
      <c r="F28" s="52">
        <f>'Unit Economics'!I67+'Unit Economics'!I68+'Unit Economics'!I69</f>
        <v>88250</v>
      </c>
      <c r="G28" s="52">
        <f>'Unit Economics'!I70+'Unit Economics'!I71+'Unit Economics'!I72</f>
        <v>87550</v>
      </c>
      <c r="H28" s="52">
        <f>'Unit Economics'!I73+'Unit Economics'!I74+'Unit Economics'!I75</f>
        <v>91450</v>
      </c>
      <c r="I28" s="52">
        <f>'Unit Economics'!I76+'Unit Economics'!I77+'Unit Economics'!I78</f>
        <v>74150</v>
      </c>
      <c r="K28" s="41" t="s">
        <v>590</v>
      </c>
    </row>
    <row r="29" ht="14.25" customHeight="1">
      <c r="A29" s="46" t="s">
        <v>500</v>
      </c>
      <c r="B29" s="52">
        <v>15000.0</v>
      </c>
      <c r="C29" s="52">
        <v>25000.0</v>
      </c>
      <c r="D29" s="52">
        <v>42000.0</v>
      </c>
      <c r="E29" s="52">
        <v>57000.0</v>
      </c>
      <c r="F29" s="52">
        <v>62000.0</v>
      </c>
      <c r="G29" s="52">
        <v>68000.0</v>
      </c>
      <c r="H29" s="52">
        <v>72000.0</v>
      </c>
      <c r="I29" s="52">
        <v>65000.0</v>
      </c>
      <c r="K29" s="41" t="s">
        <v>591</v>
      </c>
    </row>
    <row r="30" ht="14.25" customHeight="1">
      <c r="A30" s="46" t="s">
        <v>501</v>
      </c>
      <c r="B30" s="52">
        <v>8000.0</v>
      </c>
      <c r="C30" s="52">
        <v>13000.0</v>
      </c>
      <c r="D30" s="52">
        <v>21000.0</v>
      </c>
      <c r="E30" s="52">
        <v>28000.0</v>
      </c>
      <c r="F30" s="52">
        <v>32000.0</v>
      </c>
      <c r="G30" s="52">
        <v>34000.0</v>
      </c>
      <c r="H30" s="52">
        <v>36000.0</v>
      </c>
      <c r="I30" s="52">
        <v>33000.0</v>
      </c>
      <c r="K30" s="41" t="s">
        <v>591</v>
      </c>
    </row>
    <row r="31" ht="14.25" customHeight="1">
      <c r="A31" s="48" t="s">
        <v>502</v>
      </c>
      <c r="B31" s="53">
        <f t="shared" ref="B31:I31" si="7">B28+B29+B30</f>
        <v>41500</v>
      </c>
      <c r="C31" s="53">
        <f t="shared" si="7"/>
        <v>67000</v>
      </c>
      <c r="D31" s="53">
        <f t="shared" si="7"/>
        <v>110000</v>
      </c>
      <c r="E31" s="53">
        <f t="shared" si="7"/>
        <v>148000</v>
      </c>
      <c r="F31" s="53">
        <f t="shared" si="7"/>
        <v>182250</v>
      </c>
      <c r="G31" s="53">
        <f t="shared" si="7"/>
        <v>189550</v>
      </c>
      <c r="H31" s="53">
        <f t="shared" si="7"/>
        <v>199450</v>
      </c>
      <c r="I31" s="53">
        <f t="shared" si="7"/>
        <v>172150</v>
      </c>
      <c r="K31" s="41" t="s">
        <v>592</v>
      </c>
    </row>
    <row r="32" ht="14.25" customHeight="1">
      <c r="A32" s="48" t="s">
        <v>505</v>
      </c>
      <c r="B32" s="53">
        <f t="shared" ref="B32:I32" si="8">B26-B31</f>
        <v>1529</v>
      </c>
      <c r="C32" s="53">
        <f t="shared" si="8"/>
        <v>8576.9</v>
      </c>
      <c r="D32" s="53">
        <f t="shared" si="8"/>
        <v>23787.85</v>
      </c>
      <c r="E32" s="53">
        <f t="shared" si="8"/>
        <v>43359.35</v>
      </c>
      <c r="F32" s="53">
        <f t="shared" si="8"/>
        <v>83482.95</v>
      </c>
      <c r="G32" s="53">
        <f t="shared" si="8"/>
        <v>129890.45</v>
      </c>
      <c r="H32" s="53">
        <f t="shared" si="8"/>
        <v>116304.95</v>
      </c>
      <c r="I32" s="53">
        <f t="shared" si="8"/>
        <v>128295.95</v>
      </c>
      <c r="K32" s="41" t="s">
        <v>593</v>
      </c>
    </row>
    <row r="33" ht="14.25" customHeight="1">
      <c r="A33" s="46" t="s">
        <v>594</v>
      </c>
      <c r="B33" s="54">
        <f t="shared" ref="B33:E33" si="9">B32/B24</f>
        <v>0.02487392224</v>
      </c>
      <c r="C33" s="54">
        <f t="shared" si="9"/>
        <v>0.07944001408</v>
      </c>
      <c r="D33" s="54">
        <f t="shared" si="9"/>
        <v>0.1244619373</v>
      </c>
      <c r="E33" s="54">
        <f t="shared" si="9"/>
        <v>0.1586102012</v>
      </c>
      <c r="F33" s="54">
        <f t="shared" ref="F33:I33" si="10">IF(F24=0,"",F32/F24)</f>
        <v>0.2199127545</v>
      </c>
      <c r="G33" s="54">
        <f t="shared" si="10"/>
        <v>0.284633067</v>
      </c>
      <c r="H33" s="54">
        <f t="shared" si="10"/>
        <v>0.2578374939</v>
      </c>
      <c r="I33" s="54">
        <f t="shared" si="10"/>
        <v>0.2989128827</v>
      </c>
      <c r="K33" s="41" t="s">
        <v>595</v>
      </c>
    </row>
    <row r="34" ht="14.25" customHeight="1"/>
    <row r="35" ht="14.25" customHeight="1">
      <c r="A35" s="42" t="s">
        <v>596</v>
      </c>
      <c r="B35" s="43"/>
      <c r="C35" s="43"/>
      <c r="D35" s="43"/>
      <c r="E35" s="43"/>
      <c r="F35" s="43"/>
      <c r="G35" s="43"/>
      <c r="H35" s="43"/>
      <c r="I35" s="43"/>
    </row>
    <row r="36" ht="14.25" customHeight="1">
      <c r="A36" s="44" t="s">
        <v>493</v>
      </c>
      <c r="B36" s="44" t="s">
        <v>552</v>
      </c>
      <c r="C36" s="44" t="s">
        <v>553</v>
      </c>
      <c r="D36" s="44" t="s">
        <v>554</v>
      </c>
      <c r="E36" s="44" t="s">
        <v>555</v>
      </c>
      <c r="F36" s="44" t="s">
        <v>556</v>
      </c>
      <c r="G36" s="44" t="s">
        <v>557</v>
      </c>
      <c r="H36" s="44" t="s">
        <v>558</v>
      </c>
      <c r="I36" s="44" t="s">
        <v>559</v>
      </c>
      <c r="K36" s="45" t="s">
        <v>560</v>
      </c>
    </row>
    <row r="37" ht="14.25" customHeight="1">
      <c r="A37" s="46" t="s">
        <v>597</v>
      </c>
      <c r="B37" s="54" t="str">
        <f t="shared" ref="B37:I37" si="11">IF(B7=0,"",ABS(B11)/B7)</f>
        <v/>
      </c>
      <c r="C37" s="54">
        <f t="shared" si="11"/>
        <v>0</v>
      </c>
      <c r="D37" s="54">
        <f t="shared" si="11"/>
        <v>0.05279390925</v>
      </c>
      <c r="E37" s="54">
        <f t="shared" si="11"/>
        <v>0.04057543342</v>
      </c>
      <c r="F37" s="54">
        <f t="shared" si="11"/>
        <v>0.004938352895</v>
      </c>
      <c r="G37" s="54">
        <f t="shared" si="11"/>
        <v>0.0290818282</v>
      </c>
      <c r="H37" s="54">
        <f t="shared" si="11"/>
        <v>0.04233652939</v>
      </c>
      <c r="I37" s="54">
        <f t="shared" si="11"/>
        <v>0.01080410616</v>
      </c>
      <c r="K37" s="41" t="s">
        <v>598</v>
      </c>
    </row>
    <row r="38" ht="14.25" customHeight="1">
      <c r="A38" s="46" t="s">
        <v>599</v>
      </c>
      <c r="B38" s="54" t="str">
        <f t="shared" ref="B38:I38" si="12">IF(B7=0,"",B9/B7)</f>
        <v/>
      </c>
      <c r="C38" s="54">
        <f t="shared" si="12"/>
        <v>0</v>
      </c>
      <c r="D38" s="54">
        <f t="shared" si="12"/>
        <v>0</v>
      </c>
      <c r="E38" s="54">
        <f t="shared" si="12"/>
        <v>0</v>
      </c>
      <c r="F38" s="54">
        <f t="shared" si="12"/>
        <v>0.001536376456</v>
      </c>
      <c r="G38" s="54">
        <f t="shared" si="12"/>
        <v>0.02200893792</v>
      </c>
      <c r="H38" s="54">
        <f t="shared" si="12"/>
        <v>0.03628845376</v>
      </c>
      <c r="I38" s="54">
        <f t="shared" si="12"/>
        <v>0.01173853332</v>
      </c>
      <c r="K38" s="41" t="s">
        <v>600</v>
      </c>
    </row>
    <row r="39" ht="14.25" customHeight="1">
      <c r="A39" s="46" t="s">
        <v>601</v>
      </c>
      <c r="B39" s="52">
        <f t="shared" ref="B39:H39" si="13">IF(B17=0,"",B8/B17)</f>
        <v>5122.5</v>
      </c>
      <c r="C39" s="52">
        <f t="shared" si="13"/>
        <v>2214.142857</v>
      </c>
      <c r="D39" s="52">
        <f t="shared" si="13"/>
        <v>4936.583333</v>
      </c>
      <c r="E39" s="52">
        <f t="shared" si="13"/>
        <v>5000</v>
      </c>
      <c r="F39" s="52">
        <f t="shared" si="13"/>
        <v>6122.583333</v>
      </c>
      <c r="G39" s="52">
        <f t="shared" si="13"/>
        <v>4411.666667</v>
      </c>
      <c r="H39" s="52">
        <f t="shared" si="13"/>
        <v>0</v>
      </c>
      <c r="I39" s="52" t="s">
        <v>602</v>
      </c>
      <c r="K39" s="41" t="s">
        <v>603</v>
      </c>
    </row>
    <row r="40" ht="14.25" customHeight="1">
      <c r="A40" s="46" t="s">
        <v>604</v>
      </c>
      <c r="B40" s="52">
        <f t="shared" ref="B40:I40" si="14">IF(B17=0,"N/A",B28/B17)</f>
        <v>4625</v>
      </c>
      <c r="C40" s="52">
        <f t="shared" si="14"/>
        <v>4142.857143</v>
      </c>
      <c r="D40" s="52">
        <f t="shared" si="14"/>
        <v>7833.333333</v>
      </c>
      <c r="E40" s="52">
        <f t="shared" si="14"/>
        <v>10500</v>
      </c>
      <c r="F40" s="52">
        <f t="shared" si="14"/>
        <v>14708.33333</v>
      </c>
      <c r="G40" s="52">
        <f t="shared" si="14"/>
        <v>14591.66667</v>
      </c>
      <c r="H40" s="52">
        <f t="shared" si="14"/>
        <v>91450</v>
      </c>
      <c r="I40" s="52" t="str">
        <f t="shared" si="14"/>
        <v>N/A</v>
      </c>
      <c r="K40" s="41" t="s">
        <v>605</v>
      </c>
    </row>
    <row r="41" ht="14.25" customHeight="1"/>
    <row r="42" ht="14.25" customHeight="1"/>
    <row r="43" ht="14.25" customHeight="1">
      <c r="A43" s="42" t="s">
        <v>606</v>
      </c>
    </row>
    <row r="44" ht="14.25" customHeight="1">
      <c r="A44" s="46" t="s">
        <v>607</v>
      </c>
      <c r="B44" s="55">
        <f>I13</f>
        <v>143069.5</v>
      </c>
    </row>
    <row r="45" ht="14.25" customHeight="1">
      <c r="A45" s="46" t="s">
        <v>608</v>
      </c>
      <c r="B45" s="55">
        <f>'Unit Economics'!B6</f>
        <v>144185.5</v>
      </c>
    </row>
    <row r="46" ht="14.25" customHeight="1">
      <c r="A46" s="46" t="s">
        <v>609</v>
      </c>
      <c r="B46" s="56">
        <f>B44-B45</f>
        <v>-1116</v>
      </c>
    </row>
    <row r="47" ht="14.25" customHeight="1">
      <c r="A47" s="46" t="s">
        <v>610</v>
      </c>
      <c r="B47" s="57" t="s">
        <v>611</v>
      </c>
      <c r="C47" s="58"/>
      <c r="D47" s="58"/>
      <c r="E47" s="58"/>
      <c r="F47" s="58"/>
      <c r="G47" s="58"/>
      <c r="H47" s="58"/>
      <c r="I47" s="59"/>
    </row>
    <row r="48" ht="14.25" customHeight="1"/>
    <row r="49" ht="14.25" customHeight="1">
      <c r="A49" s="60" t="s">
        <v>612</v>
      </c>
      <c r="B49" s="57" t="s">
        <v>613</v>
      </c>
      <c r="C49" s="58"/>
      <c r="D49" s="58"/>
      <c r="E49" s="58"/>
      <c r="F49" s="58"/>
      <c r="G49" s="58"/>
      <c r="H49" s="59"/>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7:I47"/>
    <mergeCell ref="B49:H49"/>
  </mergeCell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30.0"/>
    <col customWidth="1" min="2" max="5" width="14.0"/>
    <col customWidth="1" min="6" max="6" width="4.0"/>
    <col customWidth="1" min="7" max="26" width="8.71"/>
  </cols>
  <sheetData>
    <row r="1" ht="14.25" customHeight="1">
      <c r="A1" s="40" t="s">
        <v>614</v>
      </c>
    </row>
    <row r="2" ht="14.25" customHeight="1">
      <c r="A2" s="41" t="s">
        <v>615</v>
      </c>
    </row>
    <row r="3" ht="14.25" customHeight="1">
      <c r="A3" s="41" t="s">
        <v>616</v>
      </c>
    </row>
    <row r="4" ht="14.25" customHeight="1"/>
    <row r="5" ht="14.25" customHeight="1">
      <c r="A5" s="42" t="s">
        <v>617</v>
      </c>
      <c r="B5" s="43"/>
      <c r="C5" s="43"/>
      <c r="D5" s="43"/>
    </row>
    <row r="6" ht="14.25" customHeight="1">
      <c r="A6" s="46" t="s">
        <v>618</v>
      </c>
      <c r="B6" s="61">
        <f>'Historical Baseline'!B44</f>
        <v>143069.5</v>
      </c>
      <c r="D6" s="60" t="s">
        <v>619</v>
      </c>
    </row>
    <row r="7" ht="14.25" customHeight="1">
      <c r="A7" s="46" t="s">
        <v>620</v>
      </c>
      <c r="B7" s="62">
        <f>'Historical Baseline'!I19</f>
        <v>51</v>
      </c>
      <c r="D7" s="60" t="s">
        <v>619</v>
      </c>
    </row>
    <row r="8" ht="14.25" customHeight="1">
      <c r="A8" s="46" t="s">
        <v>621</v>
      </c>
      <c r="B8" s="62">
        <f>'Historical Baseline'!I20</f>
        <v>38</v>
      </c>
      <c r="D8" s="60" t="s">
        <v>619</v>
      </c>
    </row>
    <row r="9" ht="14.25" customHeight="1"/>
    <row r="10" ht="14.25" customHeight="1">
      <c r="A10" s="42" t="s">
        <v>622</v>
      </c>
      <c r="B10" s="43"/>
      <c r="C10" s="43"/>
      <c r="D10" s="43"/>
      <c r="E10" s="43"/>
    </row>
    <row r="11" ht="14.25" customHeight="1">
      <c r="A11" s="44" t="s">
        <v>493</v>
      </c>
      <c r="B11" s="44" t="s">
        <v>623</v>
      </c>
      <c r="C11" s="44" t="s">
        <v>624</v>
      </c>
      <c r="D11" s="44" t="s">
        <v>625</v>
      </c>
      <c r="E11" s="44" t="s">
        <v>626</v>
      </c>
    </row>
    <row r="12" ht="14.25" customHeight="1">
      <c r="A12" s="46" t="s">
        <v>574</v>
      </c>
      <c r="B12" s="63">
        <v>4.0</v>
      </c>
      <c r="C12" s="63">
        <v>6.0</v>
      </c>
      <c r="D12" s="63">
        <v>9.0</v>
      </c>
      <c r="E12" s="63">
        <v>9.0</v>
      </c>
    </row>
    <row r="13" ht="14.25" customHeight="1">
      <c r="A13" s="46" t="s">
        <v>601</v>
      </c>
      <c r="B13" s="64">
        <v>3000.0</v>
      </c>
      <c r="C13" s="64">
        <v>3200.0</v>
      </c>
      <c r="D13" s="64">
        <v>3200.0</v>
      </c>
      <c r="E13" s="64">
        <v>3400.0</v>
      </c>
    </row>
    <row r="14" ht="14.25" customHeight="1">
      <c r="A14" s="46" t="s">
        <v>627</v>
      </c>
      <c r="B14" s="65">
        <v>0.015</v>
      </c>
      <c r="C14" s="65">
        <v>0.015</v>
      </c>
      <c r="D14" s="65">
        <v>0.015</v>
      </c>
      <c r="E14" s="65">
        <v>0.015</v>
      </c>
    </row>
    <row r="15" ht="14.25" customHeight="1">
      <c r="A15" s="46" t="s">
        <v>628</v>
      </c>
      <c r="B15" s="65">
        <v>0.02</v>
      </c>
      <c r="C15" s="65">
        <v>0.02</v>
      </c>
      <c r="D15" s="65">
        <v>0.02</v>
      </c>
      <c r="E15" s="65">
        <v>0.02</v>
      </c>
    </row>
    <row r="16" ht="14.25" customHeight="1"/>
    <row r="17" ht="14.25" customHeight="1">
      <c r="A17" s="41" t="s">
        <v>629</v>
      </c>
    </row>
    <row r="18" ht="14.25" customHeight="1">
      <c r="A18" s="41" t="s">
        <v>630</v>
      </c>
    </row>
    <row r="19" ht="14.25" customHeight="1">
      <c r="A19" s="66" t="s">
        <v>631</v>
      </c>
    </row>
    <row r="20" ht="14.25" customHeight="1"/>
    <row r="21" ht="14.25" customHeight="1">
      <c r="A21" s="42" t="s">
        <v>632</v>
      </c>
      <c r="B21" s="43"/>
      <c r="C21" s="43"/>
      <c r="D21" s="43"/>
      <c r="E21" s="43"/>
    </row>
    <row r="22" ht="14.25" customHeight="1">
      <c r="A22" s="46" t="s">
        <v>633</v>
      </c>
      <c r="B22" s="65">
        <v>0.7</v>
      </c>
      <c r="C22" s="41" t="s">
        <v>634</v>
      </c>
    </row>
    <row r="23" ht="14.25" customHeight="1"/>
    <row r="24" ht="14.25" customHeight="1">
      <c r="A24" s="42" t="s">
        <v>635</v>
      </c>
      <c r="B24" s="43"/>
      <c r="C24" s="43"/>
      <c r="D24" s="43"/>
      <c r="E24" s="43"/>
    </row>
    <row r="25" ht="14.25" customHeight="1">
      <c r="A25" s="44" t="s">
        <v>493</v>
      </c>
      <c r="B25" s="44" t="s">
        <v>623</v>
      </c>
      <c r="C25" s="44" t="s">
        <v>624</v>
      </c>
      <c r="D25" s="44" t="s">
        <v>625</v>
      </c>
      <c r="E25" s="44" t="s">
        <v>626</v>
      </c>
    </row>
    <row r="26" ht="14.25" customHeight="1">
      <c r="A26" s="46" t="s">
        <v>636</v>
      </c>
      <c r="B26" s="64">
        <v>90000.0</v>
      </c>
      <c r="C26" s="64">
        <v>90000.0</v>
      </c>
      <c r="D26" s="64">
        <v>108000.0</v>
      </c>
      <c r="E26" s="64">
        <v>108000.0</v>
      </c>
    </row>
    <row r="27" ht="14.25" customHeight="1">
      <c r="A27" s="46" t="s">
        <v>637</v>
      </c>
      <c r="B27" s="64">
        <v>75000.0</v>
      </c>
      <c r="C27" s="64">
        <v>75000.0</v>
      </c>
      <c r="D27" s="64">
        <v>75000.0</v>
      </c>
      <c r="E27" s="64">
        <v>75000.0</v>
      </c>
    </row>
    <row r="28" ht="14.25" customHeight="1">
      <c r="A28" s="46" t="s">
        <v>638</v>
      </c>
      <c r="B28" s="64">
        <v>57000.0</v>
      </c>
      <c r="C28" s="64">
        <v>57000.0</v>
      </c>
      <c r="D28" s="64">
        <v>57000.0</v>
      </c>
      <c r="E28" s="64">
        <v>57000.0</v>
      </c>
    </row>
    <row r="29" ht="14.25" customHeight="1">
      <c r="A29" s="48" t="s">
        <v>502</v>
      </c>
      <c r="B29" s="67">
        <v>222000.0</v>
      </c>
      <c r="C29" s="67">
        <v>222000.0</v>
      </c>
      <c r="D29" s="67">
        <v>240000.0</v>
      </c>
      <c r="E29" s="67">
        <v>240000.0</v>
      </c>
    </row>
    <row r="30" ht="14.25" customHeight="1"/>
    <row r="31" ht="14.25" customHeight="1">
      <c r="A31" s="41" t="s">
        <v>639</v>
      </c>
    </row>
    <row r="32" ht="14.25" customHeight="1"/>
    <row r="33" ht="14.25" customHeight="1">
      <c r="A33" s="42" t="s">
        <v>640</v>
      </c>
      <c r="B33" s="43"/>
      <c r="C33" s="43"/>
      <c r="D33" s="43"/>
      <c r="E33" s="43"/>
    </row>
    <row r="34" ht="14.25" customHeight="1">
      <c r="A34" s="46" t="s">
        <v>641</v>
      </c>
    </row>
    <row r="35" ht="14.25" customHeight="1">
      <c r="A35" s="41" t="s">
        <v>642</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32.71"/>
    <col customWidth="1" min="2" max="2" width="20.0"/>
    <col customWidth="1" min="3" max="3" width="58.14"/>
    <col customWidth="1" min="4" max="4" width="11.43"/>
    <col customWidth="1" min="5" max="5" width="11.29"/>
    <col customWidth="1" min="6" max="6" width="12.57"/>
    <col customWidth="1" min="7" max="26" width="8.71"/>
  </cols>
  <sheetData>
    <row r="1" ht="14.25" customHeight="1">
      <c r="A1" s="25" t="s">
        <v>643</v>
      </c>
    </row>
    <row r="2" ht="14.25" customHeight="1">
      <c r="A2" s="44" t="s">
        <v>493</v>
      </c>
      <c r="B2" s="44" t="s">
        <v>644</v>
      </c>
      <c r="C2" s="68" t="s">
        <v>645</v>
      </c>
      <c r="D2" s="68" t="s">
        <v>646</v>
      </c>
      <c r="E2" s="68" t="s">
        <v>647</v>
      </c>
      <c r="F2" s="68" t="s">
        <v>648</v>
      </c>
    </row>
    <row r="3" ht="14.25" customHeight="1">
      <c r="A3" s="46" t="s">
        <v>494</v>
      </c>
      <c r="B3" s="69">
        <v>143069.5</v>
      </c>
      <c r="C3" s="69">
        <f>'2026 Forecast'!B7</f>
        <v>143069.5</v>
      </c>
      <c r="D3" s="69">
        <f t="shared" ref="D3:D6" si="1">B3-C3</f>
        <v>0</v>
      </c>
      <c r="E3" s="70">
        <f t="shared" ref="E3:E7" si="2">IFERROR(B3/C3-1, 0)</f>
        <v>0</v>
      </c>
      <c r="F3" s="71" t="str">
        <f t="array" ref="F3">IFS(D3&lt;0, "U", D3&gt;0, "F", D3=0, "-")</f>
        <v>-</v>
      </c>
    </row>
    <row r="4" ht="14.25" customHeight="1">
      <c r="A4" s="46" t="s">
        <v>562</v>
      </c>
      <c r="B4" s="69">
        <v>1710.0</v>
      </c>
      <c r="C4" s="69">
        <v>4000.0</v>
      </c>
      <c r="D4" s="69">
        <f t="shared" si="1"/>
        <v>-2290</v>
      </c>
      <c r="E4" s="70">
        <f t="shared" si="2"/>
        <v>-0.5725</v>
      </c>
      <c r="F4" s="71" t="str">
        <f t="array" ref="F4">IFS(D4&lt;0, "U", D4&gt;0, "F", D4=0, "-")</f>
        <v>U</v>
      </c>
    </row>
    <row r="5" ht="14.25" customHeight="1">
      <c r="A5" s="46" t="s">
        <v>564</v>
      </c>
      <c r="B5" s="69">
        <v>0.0</v>
      </c>
      <c r="C5" s="69">
        <f>'2026 Forecast'!B9/3</f>
        <v>715.3475</v>
      </c>
      <c r="D5" s="69">
        <f t="shared" si="1"/>
        <v>-715.3475</v>
      </c>
      <c r="E5" s="70">
        <f t="shared" si="2"/>
        <v>-1</v>
      </c>
      <c r="F5" s="71" t="str">
        <f t="array" ref="F5">IFS(D5&lt;0, "U", D5&gt;0, "F", D5=0, "-")</f>
        <v>U</v>
      </c>
    </row>
    <row r="6" ht="14.25" customHeight="1">
      <c r="A6" s="46" t="s">
        <v>649</v>
      </c>
      <c r="B6" s="69">
        <v>0.0</v>
      </c>
      <c r="C6" s="69">
        <v>0.0</v>
      </c>
      <c r="D6" s="69">
        <f t="shared" si="1"/>
        <v>0</v>
      </c>
      <c r="E6" s="70">
        <f t="shared" si="2"/>
        <v>0</v>
      </c>
      <c r="F6" s="71" t="str">
        <f t="array" ref="F6">IFS(D6&lt;0, "U", D6&gt;0, "F", D6=0, "-")</f>
        <v>-</v>
      </c>
    </row>
    <row r="7" ht="14.25" customHeight="1">
      <c r="A7" s="46" t="s">
        <v>568</v>
      </c>
      <c r="B7" s="69">
        <v>0.0</v>
      </c>
      <c r="C7" s="69">
        <f>'2026 Forecast'!B10/3</f>
        <v>953.7966667</v>
      </c>
      <c r="D7" s="69">
        <f>C7-B7</f>
        <v>953.7966667</v>
      </c>
      <c r="E7" s="70">
        <f t="shared" si="2"/>
        <v>-1</v>
      </c>
      <c r="F7" s="71" t="str">
        <f t="array" ref="F7">IFS(D7&gt;0, "U", D7&lt;0, "F", D7=0, "-")</f>
        <v>U</v>
      </c>
    </row>
    <row r="8" ht="14.25" customHeight="1">
      <c r="A8" s="48" t="s">
        <v>570</v>
      </c>
      <c r="B8" s="72">
        <f t="shared" ref="B8:C8" si="3">B4+B5-B7</f>
        <v>1710</v>
      </c>
      <c r="C8" s="72">
        <f t="shared" si="3"/>
        <v>3761.550833</v>
      </c>
      <c r="D8" s="72">
        <f t="shared" ref="D8:D10" si="4">B8-C8</f>
        <v>-2051.550833</v>
      </c>
      <c r="E8" s="73">
        <f t="shared" ref="E8:E10" si="5">B8/C8-1</f>
        <v>-0.5454002682</v>
      </c>
      <c r="F8" s="74" t="str">
        <f t="array" ref="F8">IFS(D8&lt;0, "U", D8&gt;0, "F", D8=0, "-")</f>
        <v>U</v>
      </c>
    </row>
    <row r="9" ht="14.25" customHeight="1">
      <c r="A9" s="48" t="s">
        <v>498</v>
      </c>
      <c r="B9" s="72">
        <f>B3+B4+B5-B7</f>
        <v>144779.5</v>
      </c>
      <c r="C9" s="72">
        <f>C3+C8</f>
        <v>146831.0508</v>
      </c>
      <c r="D9" s="72">
        <f t="shared" si="4"/>
        <v>-2051.550833</v>
      </c>
      <c r="E9" s="73">
        <f t="shared" si="5"/>
        <v>-0.01397218655</v>
      </c>
      <c r="F9" s="74" t="str">
        <f t="array" ref="F9">IFS(D9&lt;0, "U", D9&gt;0, "F", D9=0, "-")</f>
        <v>U</v>
      </c>
    </row>
    <row r="10" ht="14.25" customHeight="1">
      <c r="A10" s="48" t="s">
        <v>650</v>
      </c>
      <c r="B10" s="72">
        <f t="shared" ref="B10:C10" si="6">B9*12</f>
        <v>1737354</v>
      </c>
      <c r="C10" s="67">
        <f t="shared" si="6"/>
        <v>1761972.61</v>
      </c>
      <c r="D10" s="67">
        <f t="shared" si="4"/>
        <v>-24618.61</v>
      </c>
      <c r="E10" s="73">
        <f t="shared" si="5"/>
        <v>-0.01397218655</v>
      </c>
      <c r="F10" s="74" t="str">
        <f t="array" ref="F10">IFS(D10&lt;0, "U", D10&gt;0, "F", D10=0, "-")</f>
        <v>U</v>
      </c>
    </row>
    <row r="11" ht="14.25" customHeight="1"/>
    <row r="12" ht="14.25" customHeight="1">
      <c r="A12" s="75" t="s">
        <v>651</v>
      </c>
    </row>
    <row r="13" ht="14.25" customHeight="1">
      <c r="A13" s="44" t="s">
        <v>493</v>
      </c>
      <c r="B13" s="44" t="s">
        <v>644</v>
      </c>
      <c r="C13" s="68" t="s">
        <v>645</v>
      </c>
      <c r="D13" s="68" t="s">
        <v>646</v>
      </c>
      <c r="E13" s="68" t="s">
        <v>647</v>
      </c>
      <c r="F13" s="68" t="s">
        <v>648</v>
      </c>
    </row>
    <row r="14" ht="14.25" customHeight="1">
      <c r="A14" s="46" t="s">
        <v>583</v>
      </c>
      <c r="B14" s="76">
        <f t="shared" ref="B14:C14" si="7">B9</f>
        <v>144779.5</v>
      </c>
      <c r="C14" s="76">
        <f t="shared" si="7"/>
        <v>146831.0508</v>
      </c>
      <c r="D14" s="76">
        <f t="shared" ref="D14:D16" si="8">B14-C14</f>
        <v>-2051.550833</v>
      </c>
      <c r="E14" s="77">
        <f t="shared" ref="E14:E23" si="9">B14/C14-1</f>
        <v>-0.01397218655</v>
      </c>
      <c r="F14" s="71" t="str">
        <f t="array" ref="F14">IFS(D14&lt;0, "U", D14&gt;0, "F", D14=0, "-")</f>
        <v>U</v>
      </c>
      <c r="H14" s="41"/>
    </row>
    <row r="15" ht="14.25" customHeight="1">
      <c r="A15" s="46" t="s">
        <v>503</v>
      </c>
      <c r="B15" s="76">
        <f>B14*(1-B17)</f>
        <v>43433.85</v>
      </c>
      <c r="C15" s="76">
        <f>C14*0.3</f>
        <v>44049.31525</v>
      </c>
      <c r="D15" s="76">
        <f t="shared" si="8"/>
        <v>-615.46525</v>
      </c>
      <c r="E15" s="77">
        <f t="shared" si="9"/>
        <v>-0.01397218655</v>
      </c>
      <c r="F15" s="71" t="str">
        <f t="array" ref="F15">IFS(D15&gt;0, "U", D15&lt;0, "F", D15=0, "-")</f>
        <v>F</v>
      </c>
      <c r="H15" s="41" t="s">
        <v>652</v>
      </c>
    </row>
    <row r="16" ht="14.25" customHeight="1">
      <c r="A16" s="48" t="s">
        <v>504</v>
      </c>
      <c r="B16" s="78">
        <f t="shared" ref="B16:C16" si="10">B14-B15</f>
        <v>101345.65</v>
      </c>
      <c r="C16" s="78">
        <f t="shared" si="10"/>
        <v>102781.7356</v>
      </c>
      <c r="D16" s="76">
        <f t="shared" si="8"/>
        <v>-1436.085583</v>
      </c>
      <c r="E16" s="77">
        <f t="shared" si="9"/>
        <v>-0.01397218655</v>
      </c>
      <c r="F16" s="71" t="str">
        <f t="array" ref="F16">IFS(D16&lt;0, "U", D16&gt;0, "F", D16=0, "-")</f>
        <v>U</v>
      </c>
      <c r="H16" s="41" t="s">
        <v>653</v>
      </c>
    </row>
    <row r="17" ht="14.25" customHeight="1">
      <c r="A17" s="46" t="s">
        <v>588</v>
      </c>
      <c r="B17" s="77">
        <v>0.7</v>
      </c>
      <c r="C17" s="77">
        <f>C16/C14</f>
        <v>0.7</v>
      </c>
      <c r="D17" s="76"/>
      <c r="E17" s="77">
        <f t="shared" si="9"/>
        <v>0</v>
      </c>
      <c r="F17" s="71" t="str">
        <f t="array" ref="F17">IFS(D17&lt;0, "U", D17&gt;0, "F", D17=0, "-")</f>
        <v>-</v>
      </c>
      <c r="H17" s="41" t="s">
        <v>654</v>
      </c>
    </row>
    <row r="18" ht="14.25" customHeight="1">
      <c r="A18" s="46" t="s">
        <v>636</v>
      </c>
      <c r="B18" s="76">
        <f>'Forecast Assumptions'!B26/3</f>
        <v>30000</v>
      </c>
      <c r="C18" s="76">
        <f>'2026 Forecast'!B25/3</f>
        <v>30000</v>
      </c>
      <c r="D18" s="76">
        <f t="shared" ref="D18:D23" si="11">B18-C18</f>
        <v>0</v>
      </c>
      <c r="E18" s="77">
        <f t="shared" si="9"/>
        <v>0</v>
      </c>
      <c r="F18" s="71" t="str">
        <f t="array" ref="F18">IFS(D18&lt;0, "U", D18&gt;0, "F", D18=0, "-")</f>
        <v>-</v>
      </c>
      <c r="H18" s="41" t="s">
        <v>655</v>
      </c>
    </row>
    <row r="19" ht="14.25" customHeight="1">
      <c r="A19" s="46" t="s">
        <v>637</v>
      </c>
      <c r="B19" s="76">
        <f>'Forecast Assumptions'!B27/3</f>
        <v>25000</v>
      </c>
      <c r="C19" s="76">
        <f>'2026 Forecast'!B26/3</f>
        <v>25000</v>
      </c>
      <c r="D19" s="76">
        <f t="shared" si="11"/>
        <v>0</v>
      </c>
      <c r="E19" s="77">
        <f t="shared" si="9"/>
        <v>0</v>
      </c>
      <c r="F19" s="71" t="str">
        <f t="array" ref="F19">IFS(D19&lt;0, "U", D19&gt;0, "F", D19=0, "-")</f>
        <v>-</v>
      </c>
      <c r="H19" s="41" t="s">
        <v>655</v>
      </c>
    </row>
    <row r="20" ht="14.25" customHeight="1">
      <c r="A20" s="46" t="s">
        <v>638</v>
      </c>
      <c r="B20" s="76">
        <f>'Forecast Assumptions'!B28/3</f>
        <v>19000</v>
      </c>
      <c r="C20" s="76">
        <f>'2026 Forecast'!B27/3</f>
        <v>19000</v>
      </c>
      <c r="D20" s="76">
        <f t="shared" si="11"/>
        <v>0</v>
      </c>
      <c r="E20" s="77">
        <f t="shared" si="9"/>
        <v>0</v>
      </c>
      <c r="F20" s="71" t="str">
        <f t="array" ref="F20">IFS(D20&lt;0, "U", D20&gt;0, "F", D20=0, "-")</f>
        <v>-</v>
      </c>
      <c r="H20" s="41" t="s">
        <v>655</v>
      </c>
    </row>
    <row r="21" ht="14.25" customHeight="1">
      <c r="A21" s="48" t="s">
        <v>502</v>
      </c>
      <c r="B21" s="78">
        <f>SUM(B18:B20)</f>
        <v>74000</v>
      </c>
      <c r="C21" s="78">
        <f>'2026 Forecast'!B28/3</f>
        <v>74000</v>
      </c>
      <c r="D21" s="76">
        <f t="shared" si="11"/>
        <v>0</v>
      </c>
      <c r="E21" s="77">
        <f t="shared" si="9"/>
        <v>0</v>
      </c>
      <c r="F21" s="71" t="str">
        <f t="array" ref="F21">IFS(D21&lt;0, "U", D21&gt;0, "F", D21=0, "-")</f>
        <v>-</v>
      </c>
      <c r="H21" s="41" t="s">
        <v>592</v>
      </c>
    </row>
    <row r="22" ht="14.25" customHeight="1">
      <c r="A22" s="48" t="s">
        <v>505</v>
      </c>
      <c r="B22" s="78">
        <f t="shared" ref="B22:C22" si="12">B16-B21</f>
        <v>27345.65</v>
      </c>
      <c r="C22" s="78">
        <f t="shared" si="12"/>
        <v>28781.73558</v>
      </c>
      <c r="D22" s="76">
        <f t="shared" si="11"/>
        <v>-1436.085583</v>
      </c>
      <c r="E22" s="77">
        <f t="shared" si="9"/>
        <v>-0.04989572568</v>
      </c>
      <c r="F22" s="71" t="str">
        <f t="array" ref="F22">IFS(D22&lt;0, "U", D22&gt;0, "F", D22=0, "-")</f>
        <v>U</v>
      </c>
      <c r="H22" s="41" t="s">
        <v>656</v>
      </c>
    </row>
    <row r="23" ht="14.25" customHeight="1">
      <c r="A23" s="46" t="s">
        <v>594</v>
      </c>
      <c r="B23" s="77">
        <f t="shared" ref="B23:C23" si="13">B22/B14</f>
        <v>0.1888779143</v>
      </c>
      <c r="C23" s="77">
        <f t="shared" si="13"/>
        <v>0.1960194075</v>
      </c>
      <c r="D23" s="77">
        <f t="shared" si="11"/>
        <v>-0.00714149313</v>
      </c>
      <c r="E23" s="77">
        <f t="shared" si="9"/>
        <v>-0.03643258197</v>
      </c>
      <c r="F23" s="71" t="str">
        <f t="array" ref="F23">IFS(D23&lt;0, "U", D23&gt;0, "F", D23=0, "-")</f>
        <v>U</v>
      </c>
      <c r="H23" s="41" t="s">
        <v>657</v>
      </c>
    </row>
    <row r="24" ht="14.25" customHeight="1"/>
    <row r="25" ht="14.25" customHeight="1">
      <c r="A25" s="25" t="s">
        <v>658</v>
      </c>
    </row>
    <row r="26" ht="14.25" customHeight="1">
      <c r="A26" s="5" t="s">
        <v>659</v>
      </c>
    </row>
    <row r="27" ht="14.25" customHeight="1">
      <c r="A27" s="5" t="s">
        <v>660</v>
      </c>
    </row>
    <row r="28" ht="14.25" customHeight="1">
      <c r="A28" s="5" t="s">
        <v>661</v>
      </c>
    </row>
    <row r="29" ht="14.25" customHeight="1">
      <c r="A29" s="5" t="s">
        <v>662</v>
      </c>
    </row>
    <row r="30" ht="14.25" customHeight="1">
      <c r="A30" s="5" t="s">
        <v>663</v>
      </c>
    </row>
    <row r="31" ht="14.25" customHeight="1">
      <c r="A31" s="5" t="s">
        <v>664</v>
      </c>
    </row>
    <row r="32" ht="14.25" customHeight="1">
      <c r="A32" s="5" t="s">
        <v>665</v>
      </c>
    </row>
    <row r="33" ht="14.25" customHeight="1">
      <c r="A33" s="5" t="s">
        <v>666</v>
      </c>
    </row>
    <row r="34" ht="14.25" customHeight="1">
      <c r="A34" s="5" t="s">
        <v>667</v>
      </c>
    </row>
    <row r="35" ht="14.25" customHeight="1"/>
    <row r="36" ht="14.25" customHeight="1">
      <c r="A36" s="79" t="s">
        <v>668</v>
      </c>
    </row>
    <row r="37" ht="14.25" customHeight="1"/>
    <row r="38" ht="14.25" customHeight="1">
      <c r="A38" s="80" t="s">
        <v>493</v>
      </c>
      <c r="B38" s="80" t="s">
        <v>669</v>
      </c>
      <c r="C38" s="80" t="s">
        <v>670</v>
      </c>
    </row>
    <row r="39" ht="14.25" customHeight="1">
      <c r="A39" s="5" t="s">
        <v>507</v>
      </c>
      <c r="B39" s="81">
        <v>39.0</v>
      </c>
      <c r="C39" s="5" t="s">
        <v>671</v>
      </c>
    </row>
    <row r="40" ht="14.25" customHeight="1">
      <c r="A40" s="5" t="s">
        <v>508</v>
      </c>
      <c r="B40" s="81">
        <v>52.0</v>
      </c>
      <c r="C40" s="5" t="s">
        <v>671</v>
      </c>
    </row>
    <row r="41" ht="14.25" customHeight="1">
      <c r="A41" s="5" t="s">
        <v>672</v>
      </c>
      <c r="B41" s="76">
        <f>'Jan 2026 A vs F '!B9/'Jan 2026 A vs F '!B39</f>
        <v>3712.294872</v>
      </c>
      <c r="C41" s="5" t="s">
        <v>673</v>
      </c>
    </row>
    <row r="42" ht="14.25" customHeight="1">
      <c r="A42" s="5" t="s">
        <v>674</v>
      </c>
      <c r="B42" s="82">
        <f>B17</f>
        <v>0.7</v>
      </c>
      <c r="C42" s="5" t="s">
        <v>675</v>
      </c>
    </row>
    <row r="43" ht="14.25" customHeight="1">
      <c r="A43" s="5" t="s">
        <v>676</v>
      </c>
      <c r="B43" s="82">
        <f>Retention!Z6</f>
        <v>1</v>
      </c>
      <c r="C43" s="5" t="s">
        <v>677</v>
      </c>
    </row>
    <row r="44" ht="14.25" customHeight="1">
      <c r="A44" s="5" t="s">
        <v>678</v>
      </c>
      <c r="B44" s="82">
        <f>Retention!Z7</f>
        <v>1</v>
      </c>
      <c r="C44" s="5" t="s">
        <v>677</v>
      </c>
    </row>
    <row r="45" ht="14.25" customHeight="1">
      <c r="A45" s="5" t="s">
        <v>679</v>
      </c>
      <c r="B45" s="5" t="s">
        <v>680</v>
      </c>
      <c r="C45" s="5" t="s">
        <v>681</v>
      </c>
    </row>
    <row r="46" ht="14.25" customHeight="1">
      <c r="A46" s="5" t="s">
        <v>682</v>
      </c>
      <c r="B46" s="83">
        <f>B18</f>
        <v>30000</v>
      </c>
      <c r="C46" s="5" t="s">
        <v>683</v>
      </c>
    </row>
    <row r="47" ht="14.25" customHeight="1">
      <c r="A47" s="5" t="s">
        <v>684</v>
      </c>
      <c r="B47" s="83">
        <f>B46/1</f>
        <v>30000</v>
      </c>
      <c r="C47" s="5" t="s">
        <v>685</v>
      </c>
    </row>
    <row r="48" ht="14.25" customHeight="1">
      <c r="A48" s="5" t="s">
        <v>686</v>
      </c>
      <c r="B48" s="5" t="s">
        <v>687</v>
      </c>
      <c r="C48" s="5" t="s">
        <v>688</v>
      </c>
    </row>
    <row r="49" ht="14.25" customHeight="1">
      <c r="A49" s="5" t="s">
        <v>689</v>
      </c>
      <c r="B49" s="5" t="s">
        <v>687</v>
      </c>
      <c r="C49" s="5" t="s">
        <v>688</v>
      </c>
    </row>
    <row r="50" ht="14.25" customHeight="1">
      <c r="A50" s="5" t="s">
        <v>690</v>
      </c>
      <c r="B50" s="5" t="s">
        <v>687</v>
      </c>
      <c r="C50" s="5" t="s">
        <v>688</v>
      </c>
    </row>
    <row r="51" ht="14.25" customHeight="1"/>
    <row r="52" ht="14.25" customHeight="1">
      <c r="A52" s="84" t="s">
        <v>691</v>
      </c>
    </row>
    <row r="53" ht="14.25" customHeight="1">
      <c r="A53" s="84" t="s">
        <v>692</v>
      </c>
    </row>
    <row r="54" ht="14.25" customHeight="1"/>
    <row r="55" ht="14.25" customHeight="1">
      <c r="A55" s="84" t="s">
        <v>693</v>
      </c>
    </row>
    <row r="56" ht="14.25" customHeight="1">
      <c r="A56" s="84" t="s">
        <v>694</v>
      </c>
    </row>
    <row r="57" ht="14.25" customHeight="1"/>
    <row r="58" ht="14.25" customHeight="1"/>
    <row r="59" ht="14.25" customHeight="1">
      <c r="A59" s="85" t="s">
        <v>695</v>
      </c>
    </row>
    <row r="60" ht="14.25" customHeight="1"/>
    <row r="61" ht="14.25" customHeight="1">
      <c r="A61" s="80" t="s">
        <v>493</v>
      </c>
      <c r="B61" s="80" t="s">
        <v>696</v>
      </c>
    </row>
    <row r="62" ht="14.25" customHeight="1">
      <c r="A62" s="5" t="s">
        <v>672</v>
      </c>
      <c r="B62" s="76">
        <f>B41</f>
        <v>3712.294872</v>
      </c>
    </row>
    <row r="63" ht="14.25" customHeight="1">
      <c r="A63" s="5" t="s">
        <v>676</v>
      </c>
      <c r="B63" s="82">
        <f t="shared" ref="B63:B65" si="14">B43</f>
        <v>1</v>
      </c>
    </row>
    <row r="64" ht="14.25" customHeight="1">
      <c r="A64" s="5" t="s">
        <v>678</v>
      </c>
      <c r="B64" s="82">
        <f t="shared" si="14"/>
        <v>1</v>
      </c>
    </row>
    <row r="65" ht="14.25" customHeight="1">
      <c r="A65" s="5" t="s">
        <v>679</v>
      </c>
      <c r="B65" s="5" t="str">
        <f t="shared" si="14"/>
        <v>N/A — no losses</v>
      </c>
    </row>
    <row r="66" ht="14.25" customHeight="1">
      <c r="A66" s="5" t="s">
        <v>697</v>
      </c>
      <c r="B66" s="83">
        <f>B47</f>
        <v>30000</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26" width="8.71"/>
  </cols>
  <sheetData>
    <row r="1" ht="14.25" customHeight="1">
      <c r="A1" s="25" t="s">
        <v>643</v>
      </c>
    </row>
    <row r="2" ht="14.25" customHeight="1">
      <c r="A2" s="86" t="s">
        <v>493</v>
      </c>
      <c r="B2" s="86" t="s">
        <v>698</v>
      </c>
      <c r="C2" s="86" t="s">
        <v>699</v>
      </c>
      <c r="D2" s="86" t="s">
        <v>646</v>
      </c>
      <c r="E2" s="86" t="s">
        <v>647</v>
      </c>
      <c r="F2" s="86" t="s">
        <v>648</v>
      </c>
    </row>
    <row r="3" ht="14.25" customHeight="1">
      <c r="A3" s="46" t="s">
        <v>494</v>
      </c>
      <c r="B3" s="69">
        <f>'Jan 2026 A vs F '!B9</f>
        <v>144779.5</v>
      </c>
      <c r="C3" s="69">
        <v>146831.05</v>
      </c>
      <c r="D3" s="69">
        <f t="shared" ref="D3:D6" si="1">B3-C3</f>
        <v>-2051.55</v>
      </c>
      <c r="E3" s="70">
        <f t="shared" ref="E3:E7" si="2">IFERROR(B3/C3-1, 0)</f>
        <v>-0.01397218095</v>
      </c>
      <c r="F3" s="71" t="str">
        <f t="array" ref="F3">IFS(D3&lt;0, "U", D3&gt;0, "F", D3=0, "-")</f>
        <v>U</v>
      </c>
    </row>
    <row r="4" ht="14.25" customHeight="1">
      <c r="A4" s="87" t="s">
        <v>562</v>
      </c>
      <c r="B4" s="69">
        <v>6120.0</v>
      </c>
      <c r="C4" s="69">
        <v>4000.0</v>
      </c>
      <c r="D4" s="69">
        <f t="shared" si="1"/>
        <v>2120</v>
      </c>
      <c r="E4" s="70">
        <f t="shared" si="2"/>
        <v>0.53</v>
      </c>
      <c r="F4" s="71" t="str">
        <f t="array" ref="F4">IFS(D4&lt;0, "U", D4&gt;0, "F", D4=0, "-")</f>
        <v>F</v>
      </c>
    </row>
    <row r="5" ht="14.25" customHeight="1">
      <c r="A5" s="87" t="s">
        <v>564</v>
      </c>
      <c r="B5" s="69">
        <v>0.0</v>
      </c>
      <c r="C5" s="69">
        <f>'2026 Forecast'!B9/3</f>
        <v>715.3475</v>
      </c>
      <c r="D5" s="69">
        <f t="shared" si="1"/>
        <v>-715.3475</v>
      </c>
      <c r="E5" s="70">
        <f t="shared" si="2"/>
        <v>-1</v>
      </c>
      <c r="F5" s="71" t="str">
        <f t="array" ref="F5">IFS(D5&lt;0, "U", D5&gt;0, "F", D5=0, "-")</f>
        <v>U</v>
      </c>
    </row>
    <row r="6" ht="14.25" customHeight="1">
      <c r="A6" s="46" t="s">
        <v>649</v>
      </c>
      <c r="B6" s="69">
        <v>0.0</v>
      </c>
      <c r="C6" s="69">
        <v>0.0</v>
      </c>
      <c r="D6" s="69">
        <f t="shared" si="1"/>
        <v>0</v>
      </c>
      <c r="E6" s="70">
        <f t="shared" si="2"/>
        <v>0</v>
      </c>
      <c r="F6" s="71" t="str">
        <f t="array" ref="F6">IFS(D6&lt;0, "U", D6&gt;0, "F", D6=0, "-")</f>
        <v>-</v>
      </c>
    </row>
    <row r="7" ht="14.25" customHeight="1">
      <c r="A7" s="46" t="s">
        <v>568</v>
      </c>
      <c r="B7" s="69">
        <v>594.0</v>
      </c>
      <c r="C7" s="69">
        <f>'2026 Forecast'!B10/3</f>
        <v>953.7966667</v>
      </c>
      <c r="D7" s="69">
        <f>C7-B7</f>
        <v>359.7966667</v>
      </c>
      <c r="E7" s="70">
        <f t="shared" si="2"/>
        <v>-0.3772257539</v>
      </c>
      <c r="F7" s="88" t="str">
        <f t="array" ref="F7">IFS(D7&gt;0, "F", D7&lt;0, "U", D7=0, "-")</f>
        <v>F</v>
      </c>
    </row>
    <row r="8" ht="14.25" customHeight="1">
      <c r="A8" s="89" t="s">
        <v>570</v>
      </c>
      <c r="B8" s="90">
        <f t="shared" ref="B8:C8" si="3">B4+B5-B7</f>
        <v>5526</v>
      </c>
      <c r="C8" s="90">
        <f t="shared" si="3"/>
        <v>3761.550833</v>
      </c>
      <c r="D8" s="90">
        <f t="shared" ref="D8:D10" si="4">B8-C8</f>
        <v>1764.449167</v>
      </c>
      <c r="E8" s="91">
        <f t="shared" ref="E8:E10" si="5">B8/C8-1</f>
        <v>0.4690749228</v>
      </c>
      <c r="F8" s="92" t="str">
        <f t="array" ref="F8">IFS(D8&lt;0, "U", D8&gt;0, "F", D8=0, "-")</f>
        <v>F</v>
      </c>
    </row>
    <row r="9" ht="14.25" customHeight="1">
      <c r="A9" s="93" t="s">
        <v>498</v>
      </c>
      <c r="B9" s="94">
        <f>B3+B4+B5-B7</f>
        <v>150305.5</v>
      </c>
      <c r="C9" s="94">
        <f>C3+C8</f>
        <v>150592.6008</v>
      </c>
      <c r="D9" s="94">
        <f t="shared" si="4"/>
        <v>-287.1008333</v>
      </c>
      <c r="E9" s="95">
        <f t="shared" si="5"/>
        <v>-0.001906473703</v>
      </c>
      <c r="F9" s="96" t="str">
        <f t="array" ref="F9">IFS(D9&lt;0, "U", D9&gt;0, "F", D9=0, "-")</f>
        <v>U</v>
      </c>
    </row>
    <row r="10" ht="14.25" customHeight="1">
      <c r="A10" s="75" t="s">
        <v>650</v>
      </c>
      <c r="B10" s="97">
        <f t="shared" ref="B10:C10" si="6">B9*12</f>
        <v>1803666</v>
      </c>
      <c r="C10" s="97">
        <f t="shared" si="6"/>
        <v>1807111.21</v>
      </c>
      <c r="D10" s="97">
        <f t="shared" si="4"/>
        <v>-3445.21</v>
      </c>
      <c r="E10" s="98">
        <f t="shared" si="5"/>
        <v>-0.001906473703</v>
      </c>
      <c r="F10" s="99" t="str">
        <f t="array" ref="F10">IFS(D10&lt;0, "U", D10&gt;0, "F", D10=0, "-")</f>
        <v>U</v>
      </c>
    </row>
    <row r="11" ht="14.25" customHeight="1">
      <c r="A11" s="100"/>
      <c r="B11" s="100"/>
      <c r="C11" s="100"/>
      <c r="D11" s="100"/>
      <c r="E11" s="100"/>
      <c r="F11" s="100"/>
    </row>
    <row r="12" ht="14.25" customHeight="1">
      <c r="A12" s="75" t="s">
        <v>651</v>
      </c>
    </row>
    <row r="13" ht="14.25" customHeight="1">
      <c r="A13" s="86" t="s">
        <v>493</v>
      </c>
      <c r="B13" s="86" t="s">
        <v>698</v>
      </c>
      <c r="C13" s="86" t="s">
        <v>699</v>
      </c>
      <c r="D13" s="86" t="s">
        <v>646</v>
      </c>
      <c r="E13" s="86" t="s">
        <v>647</v>
      </c>
      <c r="F13" s="86" t="s">
        <v>648</v>
      </c>
    </row>
    <row r="14" ht="14.25" customHeight="1">
      <c r="A14" s="75" t="s">
        <v>583</v>
      </c>
      <c r="B14" s="76">
        <f t="shared" ref="B14:C14" si="7">B9</f>
        <v>150305.5</v>
      </c>
      <c r="C14" s="76">
        <f t="shared" si="7"/>
        <v>150592.6008</v>
      </c>
      <c r="D14" s="76">
        <f t="shared" ref="D14:D23" si="8">B14-C14</f>
        <v>-287.1008333</v>
      </c>
      <c r="E14" s="77">
        <f t="shared" ref="E14:E23" si="9">B14/C14-1</f>
        <v>-0.001906473703</v>
      </c>
      <c r="F14" s="71" t="str">
        <f t="array" ref="F14">IFS(D14&lt;0, "U", D14&gt;0, "F", D14=0, "-")</f>
        <v>U</v>
      </c>
      <c r="H14" s="41" t="s">
        <v>652</v>
      </c>
    </row>
    <row r="15" ht="14.25" customHeight="1">
      <c r="A15" s="75" t="s">
        <v>503</v>
      </c>
      <c r="B15" s="76">
        <f>B14*(1-B17)</f>
        <v>45091.65</v>
      </c>
      <c r="C15" s="76">
        <f>C14*0.3</f>
        <v>45177.78025</v>
      </c>
      <c r="D15" s="76">
        <f t="shared" si="8"/>
        <v>-86.13025</v>
      </c>
      <c r="E15" s="77">
        <f t="shared" si="9"/>
        <v>-0.001906473703</v>
      </c>
      <c r="F15" s="71" t="str">
        <f t="array" ref="F15">IFS(D15&gt;0, "U", D15&lt;0, "F", D15=0, "-")</f>
        <v>F</v>
      </c>
      <c r="H15" s="41" t="s">
        <v>653</v>
      </c>
    </row>
    <row r="16" ht="14.25" customHeight="1">
      <c r="A16" s="89" t="s">
        <v>504</v>
      </c>
      <c r="B16" s="101">
        <f t="shared" ref="B16:C16" si="10">B14-B15</f>
        <v>105213.85</v>
      </c>
      <c r="C16" s="101">
        <f t="shared" si="10"/>
        <v>105414.8206</v>
      </c>
      <c r="D16" s="101">
        <f t="shared" si="8"/>
        <v>-200.9705833</v>
      </c>
      <c r="E16" s="102">
        <f t="shared" si="9"/>
        <v>-0.001906473703</v>
      </c>
      <c r="F16" s="103" t="str">
        <f t="array" ref="F16">IFS(D16&lt;0, "U", D16&gt;0, "F", D16=0, "-")</f>
        <v>U</v>
      </c>
      <c r="H16" s="41" t="s">
        <v>654</v>
      </c>
    </row>
    <row r="17" ht="14.25" customHeight="1">
      <c r="A17" s="93" t="s">
        <v>588</v>
      </c>
      <c r="B17" s="104">
        <v>0.7</v>
      </c>
      <c r="C17" s="105">
        <f>C16/C14</f>
        <v>0.7</v>
      </c>
      <c r="D17" s="105">
        <f t="shared" si="8"/>
        <v>0</v>
      </c>
      <c r="E17" s="105">
        <f t="shared" si="9"/>
        <v>0</v>
      </c>
      <c r="F17" s="106" t="str">
        <f t="array" ref="F17">IFS(D17&lt;0, "U", D17&gt;0, "F", D17=0, "-")</f>
        <v>U</v>
      </c>
      <c r="H17" s="41" t="s">
        <v>655</v>
      </c>
    </row>
    <row r="18" ht="14.25" customHeight="1">
      <c r="A18" s="75" t="s">
        <v>636</v>
      </c>
      <c r="B18" s="76">
        <v>31000.0</v>
      </c>
      <c r="C18" s="76">
        <f>'2026 Forecast'!B25/3</f>
        <v>30000</v>
      </c>
      <c r="D18" s="76">
        <f t="shared" si="8"/>
        <v>1000</v>
      </c>
      <c r="E18" s="77">
        <f t="shared" si="9"/>
        <v>0.03333333333</v>
      </c>
      <c r="F18" s="71" t="str">
        <f t="array" ref="F18">IFS(D18&lt;0, "U", D18&gt;0, "F", D18=0, "-")</f>
        <v>F</v>
      </c>
      <c r="H18" s="41" t="s">
        <v>655</v>
      </c>
    </row>
    <row r="19" ht="14.25" customHeight="1">
      <c r="A19" s="75" t="s">
        <v>637</v>
      </c>
      <c r="B19" s="76">
        <f>'Forecast Assumptions'!B27/3</f>
        <v>25000</v>
      </c>
      <c r="C19" s="76">
        <f>'2026 Forecast'!B26/3</f>
        <v>25000</v>
      </c>
      <c r="D19" s="76">
        <f t="shared" si="8"/>
        <v>0</v>
      </c>
      <c r="E19" s="77">
        <f t="shared" si="9"/>
        <v>0</v>
      </c>
      <c r="F19" s="71" t="str">
        <f t="array" ref="F19">IFS(D19&lt;0, "U", D19&gt;0, "F", D19=0, "-")</f>
        <v>-</v>
      </c>
      <c r="H19" s="41" t="s">
        <v>655</v>
      </c>
    </row>
    <row r="20" ht="14.25" customHeight="1">
      <c r="A20" s="75" t="s">
        <v>638</v>
      </c>
      <c r="B20" s="76">
        <f>'Forecast Assumptions'!B28/3</f>
        <v>19000</v>
      </c>
      <c r="C20" s="76">
        <f>'2026 Forecast'!B27/3</f>
        <v>19000</v>
      </c>
      <c r="D20" s="76">
        <f t="shared" si="8"/>
        <v>0</v>
      </c>
      <c r="E20" s="77">
        <f t="shared" si="9"/>
        <v>0</v>
      </c>
      <c r="F20" s="71" t="str">
        <f t="array" ref="F20">IFS(D20&lt;0, "U", D20&gt;0, "F", D20=0, "-")</f>
        <v>-</v>
      </c>
      <c r="H20" s="41" t="s">
        <v>592</v>
      </c>
    </row>
    <row r="21" ht="14.25" customHeight="1">
      <c r="A21" s="89" t="s">
        <v>502</v>
      </c>
      <c r="B21" s="101">
        <f>SUM(B18:B20)</f>
        <v>75000</v>
      </c>
      <c r="C21" s="101">
        <f>'2026 Forecast'!B28/3</f>
        <v>74000</v>
      </c>
      <c r="D21" s="101">
        <f t="shared" si="8"/>
        <v>1000</v>
      </c>
      <c r="E21" s="107">
        <f t="shared" si="9"/>
        <v>0.01351351351</v>
      </c>
      <c r="F21" s="103" t="str">
        <f t="array" ref="F21">IFS(D21&lt;0, "U", D21&gt;0, "F", D21=0, "-")</f>
        <v>F</v>
      </c>
      <c r="H21" s="41" t="s">
        <v>656</v>
      </c>
    </row>
    <row r="22" ht="14.25" customHeight="1">
      <c r="A22" s="108" t="s">
        <v>505</v>
      </c>
      <c r="B22" s="109">
        <f t="shared" ref="B22:C22" si="11">B16-B21</f>
        <v>30213.85</v>
      </c>
      <c r="C22" s="109">
        <f t="shared" si="11"/>
        <v>31414.82058</v>
      </c>
      <c r="D22" s="109">
        <f t="shared" si="8"/>
        <v>-1200.970583</v>
      </c>
      <c r="E22" s="110">
        <f t="shared" si="9"/>
        <v>-0.03822942678</v>
      </c>
      <c r="F22" s="111" t="str">
        <f t="array" ref="F22">IFS(D22&lt;0, "U", D22&gt;0, "F", D22=0, "-")</f>
        <v>U</v>
      </c>
      <c r="H22" s="41" t="s">
        <v>657</v>
      </c>
    </row>
    <row r="23" ht="14.25" customHeight="1">
      <c r="A23" s="75" t="s">
        <v>594</v>
      </c>
      <c r="B23" s="77">
        <f t="shared" ref="B23:C23" si="12">B22/B14</f>
        <v>0.2010162635</v>
      </c>
      <c r="C23" s="77">
        <f t="shared" si="12"/>
        <v>0.2086079954</v>
      </c>
      <c r="D23" s="77">
        <f t="shared" si="8"/>
        <v>-0.007591731866</v>
      </c>
      <c r="E23" s="77">
        <f t="shared" si="9"/>
        <v>-0.03639233411</v>
      </c>
      <c r="F23" s="71" t="str">
        <f t="array" ref="F23">IFERROR(IFS(D23&lt;0, "U", D23&gt;0, "F", D23=0, "-"), "-")</f>
        <v>U</v>
      </c>
    </row>
    <row r="24" ht="14.25" customHeight="1"/>
    <row r="25" ht="14.25" customHeight="1">
      <c r="A25" s="112"/>
    </row>
    <row r="26" ht="14.25" customHeight="1"/>
    <row r="27" ht="14.25" customHeight="1">
      <c r="A27" s="79" t="s">
        <v>700</v>
      </c>
    </row>
    <row r="28" ht="14.25" customHeight="1"/>
    <row r="29" ht="14.25" customHeight="1">
      <c r="A29" s="80" t="s">
        <v>493</v>
      </c>
      <c r="B29" s="80" t="s">
        <v>669</v>
      </c>
      <c r="C29" s="80" t="s">
        <v>701</v>
      </c>
      <c r="D29" s="80" t="s">
        <v>670</v>
      </c>
    </row>
    <row r="30" ht="14.25" customHeight="1">
      <c r="A30" s="19" t="s">
        <v>507</v>
      </c>
      <c r="B30" s="81">
        <v>41.0</v>
      </c>
      <c r="C30" s="19">
        <f t="array" ref="C30">IFERROR(B30-XLOOKUP("Active Customers",'KPI Tracker'!$A$4:$A$16,'KPI Tracker'!$B$4:$B$16),"—")</f>
        <v>2</v>
      </c>
      <c r="D30" s="19" t="s">
        <v>702</v>
      </c>
    </row>
    <row r="31" ht="14.25" customHeight="1">
      <c r="A31" s="19" t="s">
        <v>508</v>
      </c>
      <c r="B31" s="81">
        <v>53.0</v>
      </c>
      <c r="C31" s="19" t="str">
        <f t="array" ref="C31">IFERROR(B31-XLOOKUP("Active Subscriptions",'KPI Tracker'!$A$4:$A$16,'KPI Tracker'!$B$4:$B$16),"—")</f>
        <v>—</v>
      </c>
      <c r="D31" s="19" t="s">
        <v>702</v>
      </c>
    </row>
    <row r="32" ht="14.25" customHeight="1">
      <c r="A32" s="19" t="s">
        <v>672</v>
      </c>
      <c r="B32" s="76">
        <f>B9/B30</f>
        <v>3665.987805</v>
      </c>
      <c r="C32" s="76">
        <f t="array" ref="C32">IFERROR(B32-XLOOKUP("ARPA",'KPI Tracker'!$A$4:$A$16,'KPI Tracker'!$B$4:$B$16),"—")</f>
        <v>-46.30706692</v>
      </c>
      <c r="D32" s="19" t="s">
        <v>673</v>
      </c>
    </row>
    <row r="33" ht="14.25" customHeight="1">
      <c r="A33" s="19" t="s">
        <v>674</v>
      </c>
      <c r="B33" s="82">
        <f>B17</f>
        <v>0.7</v>
      </c>
      <c r="C33" s="82">
        <f t="array" ref="C33">IFERROR(B33-XLOOKUP("Gross Margin",'KPI Tracker'!$A$4:$A$16,'KPI Tracker'!$B$4:$B$16),"—")</f>
        <v>0</v>
      </c>
      <c r="D33" s="19" t="s">
        <v>675</v>
      </c>
    </row>
    <row r="34" ht="14.25" customHeight="1">
      <c r="A34" s="19" t="s">
        <v>676</v>
      </c>
      <c r="B34" s="82">
        <f>Retention!AA6</f>
        <v>0.9961081974</v>
      </c>
      <c r="C34" s="82">
        <f t="array" ref="C34">IFERROR(B34-XLOOKUP("GRR",'KPI Tracker'!$A$4:$A$16,'KPI Tracker'!$B$4:$B$16),"—")</f>
        <v>-0.003891802645</v>
      </c>
      <c r="D34" s="19" t="s">
        <v>677</v>
      </c>
    </row>
    <row r="35" ht="14.25" customHeight="1">
      <c r="A35" s="19" t="s">
        <v>678</v>
      </c>
      <c r="B35" s="82">
        <f>Retention!AA7</f>
        <v>0.9961081974</v>
      </c>
      <c r="C35" s="82">
        <f t="array" ref="C35">IFERROR(B35-XLOOKUP("NRR",'KPI Tracker'!$A$4:$A$16,'KPI Tracker'!$B$4:$B$16),"—")</f>
        <v>-0.003891802645</v>
      </c>
      <c r="D35" s="19" t="s">
        <v>677</v>
      </c>
    </row>
    <row r="36" ht="14.25" customHeight="1">
      <c r="A36" s="19" t="s">
        <v>679</v>
      </c>
      <c r="B36" s="19">
        <f>IFERROR(IF((B6+B7)=0,"N/A — no losses",(B4+B5)/(B6+B7)),"N/A")</f>
        <v>10.3030303</v>
      </c>
      <c r="C36" s="19">
        <f t="array" ref="C36">IFERROR(IF(ISNUMBER(B36),B36-XLOOKUP("Quick Ratio",'KPI Tracker'!$A$4:$A$16,'KPI Tracker'!$B$4:$B$16),"—"),"—")</f>
        <v>10.3030303</v>
      </c>
      <c r="D36" s="19" t="s">
        <v>703</v>
      </c>
    </row>
    <row r="37" ht="14.25" customHeight="1">
      <c r="A37" s="19" t="s">
        <v>682</v>
      </c>
      <c r="B37" s="83">
        <f>B18</f>
        <v>31000</v>
      </c>
      <c r="C37" s="83">
        <f t="array" ref="C37">IFERROR(B37-XLOOKUP("S&amp;M (actual)",'KPI Tracker'!$A$4:$A$16,'KPI Tracker'!$B$4:$B$16),"—")</f>
        <v>1000</v>
      </c>
      <c r="D37" s="19" t="s">
        <v>683</v>
      </c>
    </row>
    <row r="38" ht="14.25" customHeight="1">
      <c r="A38" s="19" t="s">
        <v>684</v>
      </c>
      <c r="B38" s="83">
        <f>IFERROR(IF(B39=0,"—",B37/B39),"—")</f>
        <v>15500</v>
      </c>
      <c r="C38" s="83">
        <f t="array" ref="C38">IFERROR(IF(ISNUMBER(B38),B38-XLOOKUP("CAC — monthly",'KPI Tracker'!$A$4:$A$16,'KPI Tracker'!$B$4:$B$16),"—"),"—")</f>
        <v>-14500</v>
      </c>
      <c r="D38" s="19" t="s">
        <v>704</v>
      </c>
    </row>
    <row r="39" ht="14.25" customHeight="1">
      <c r="A39" s="113" t="s">
        <v>705</v>
      </c>
      <c r="B39" s="114">
        <v>2.0</v>
      </c>
      <c r="C39" s="19" t="s">
        <v>687</v>
      </c>
      <c r="D39" s="113" t="s">
        <v>706</v>
      </c>
    </row>
    <row r="40" ht="14.25" customHeight="1">
      <c r="A40" s="19" t="s">
        <v>707</v>
      </c>
      <c r="B40" s="83">
        <f>IFERROR(IF(('Jan 2026 A vs F '!B46/'Jan 2026 A vs F '!B47+B39)=0,"—",('Jan 2026 A vs F '!B46+B37)/('Jan 2026 A vs F '!B46/'Jan 2026 A vs F '!B47+B39)),"—")</f>
        <v>20333.33333</v>
      </c>
      <c r="C40" s="19" t="s">
        <v>687</v>
      </c>
      <c r="D40" s="19" t="s">
        <v>708</v>
      </c>
    </row>
    <row r="41" ht="14.25" customHeight="1">
      <c r="A41" s="19" t="s">
        <v>686</v>
      </c>
      <c r="B41" s="19" t="s">
        <v>687</v>
      </c>
      <c r="C41" s="19" t="s">
        <v>687</v>
      </c>
      <c r="D41" s="19" t="s">
        <v>688</v>
      </c>
    </row>
    <row r="42" ht="14.25" customHeight="1">
      <c r="A42" s="19" t="s">
        <v>689</v>
      </c>
      <c r="B42" s="19" t="s">
        <v>687</v>
      </c>
      <c r="C42" s="19" t="s">
        <v>687</v>
      </c>
      <c r="D42" s="19" t="s">
        <v>688</v>
      </c>
    </row>
    <row r="43" ht="14.25" customHeight="1">
      <c r="A43" s="19" t="s">
        <v>690</v>
      </c>
      <c r="B43" s="19" t="s">
        <v>687</v>
      </c>
      <c r="C43" s="19" t="s">
        <v>687</v>
      </c>
      <c r="D43" s="19" t="s">
        <v>688</v>
      </c>
    </row>
    <row r="44" ht="14.25" customHeight="1">
      <c r="A44" s="84" t="s">
        <v>691</v>
      </c>
    </row>
    <row r="45" ht="14.25" customHeight="1">
      <c r="A45" s="84" t="s">
        <v>709</v>
      </c>
    </row>
    <row r="46" ht="14.25" customHeight="1"/>
    <row r="47" ht="14.25" customHeight="1">
      <c r="A47" s="84" t="s">
        <v>693</v>
      </c>
    </row>
    <row r="48" ht="14.25" customHeight="1">
      <c r="A48" s="84" t="s">
        <v>694</v>
      </c>
    </row>
    <row r="49" ht="14.25" customHeight="1"/>
    <row r="50" ht="14.25" customHeight="1"/>
    <row r="51" ht="14.25" customHeight="1">
      <c r="A51" s="85" t="s">
        <v>695</v>
      </c>
    </row>
    <row r="52" ht="14.25" customHeight="1"/>
    <row r="53" ht="14.25" customHeight="1">
      <c r="A53" s="80" t="s">
        <v>493</v>
      </c>
      <c r="B53" s="80" t="s">
        <v>696</v>
      </c>
      <c r="C53" s="80" t="s">
        <v>710</v>
      </c>
    </row>
    <row r="54" ht="14.25" customHeight="1">
      <c r="A54" s="19" t="s">
        <v>672</v>
      </c>
      <c r="B54" s="76">
        <f>B32</f>
        <v>3665.987805</v>
      </c>
      <c r="C54" s="76">
        <f>B9/B30</f>
        <v>3665.987805</v>
      </c>
    </row>
    <row r="55" ht="14.25" customHeight="1">
      <c r="A55" s="19" t="s">
        <v>676</v>
      </c>
      <c r="B55" s="82">
        <f t="shared" ref="B55:B57" si="13">B34</f>
        <v>0.9961081974</v>
      </c>
      <c r="C55" s="82">
        <f>Retention!AA6</f>
        <v>0.9961081974</v>
      </c>
    </row>
    <row r="56" ht="14.25" customHeight="1">
      <c r="A56" s="19" t="s">
        <v>678</v>
      </c>
      <c r="B56" s="82">
        <f t="shared" si="13"/>
        <v>0.9961081974</v>
      </c>
      <c r="C56" s="82">
        <f>Retention!AA7</f>
        <v>0.9961081974</v>
      </c>
    </row>
    <row r="57" ht="14.25" customHeight="1">
      <c r="A57" s="19" t="s">
        <v>679</v>
      </c>
      <c r="B57" s="19">
        <f t="shared" si="13"/>
        <v>10.3030303</v>
      </c>
      <c r="C57" s="19">
        <f>IFERROR(IF((B6+B7)=0,"N/A — no losses",(B4+B5)/(B6+B7)),"N/A")</f>
        <v>10.3030303</v>
      </c>
    </row>
    <row r="58" ht="14.25" customHeight="1">
      <c r="A58" s="19" t="s">
        <v>697</v>
      </c>
      <c r="B58" s="83">
        <f>B38</f>
        <v>15500</v>
      </c>
      <c r="C58" s="83">
        <f>IFERROR(IF(B39=0,"—",B37/B39),"—")</f>
        <v>15500</v>
      </c>
    </row>
    <row r="59" ht="14.25" customHeight="1"/>
    <row r="60" ht="14.25" customHeight="1">
      <c r="A60" s="25" t="s">
        <v>658</v>
      </c>
    </row>
    <row r="61" ht="14.25" customHeight="1">
      <c r="A61" s="5" t="s">
        <v>711</v>
      </c>
    </row>
    <row r="62" ht="14.25" customHeight="1">
      <c r="A62" s="5" t="s">
        <v>712</v>
      </c>
    </row>
    <row r="63" ht="14.25" customHeight="1">
      <c r="A63" s="5" t="s">
        <v>713</v>
      </c>
    </row>
    <row r="64" ht="14.25" customHeight="1">
      <c r="A64" s="5" t="s">
        <v>714</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9" width="14.57"/>
    <col customWidth="1" min="10" max="26" width="8.71"/>
  </cols>
  <sheetData>
    <row r="1" ht="14.25" customHeight="1">
      <c r="A1" s="25" t="s">
        <v>643</v>
      </c>
      <c r="H1" s="115" t="s">
        <v>715</v>
      </c>
      <c r="I1" s="116"/>
      <c r="J1" s="116"/>
    </row>
    <row r="2" ht="14.25" customHeight="1">
      <c r="A2" s="86" t="s">
        <v>493</v>
      </c>
      <c r="B2" s="86" t="str">
        <f>"Actual - "&amp;TEXT($I$2,"mmm yy")</f>
        <v>Actual - Mar 26</v>
      </c>
      <c r="C2" s="86" t="s">
        <v>716</v>
      </c>
      <c r="D2" s="86" t="s">
        <v>646</v>
      </c>
      <c r="E2" s="86" t="s">
        <v>647</v>
      </c>
      <c r="F2" s="86" t="s">
        <v>648</v>
      </c>
      <c r="H2" s="117" t="s">
        <v>717</v>
      </c>
      <c r="I2" s="118">
        <v>46082.0</v>
      </c>
      <c r="J2" s="41" t="s">
        <v>718</v>
      </c>
    </row>
    <row r="3" ht="14.25" customHeight="1">
      <c r="A3" s="46" t="s">
        <v>494</v>
      </c>
      <c r="B3" s="69">
        <f t="array" ref="B3">INDEX(Actuals!$B$2:$Y$2,MATCH($I$2,Actuals!$B$1:$Y$1,0))</f>
        <v>150305.5</v>
      </c>
      <c r="C3" s="69">
        <v>150592.6</v>
      </c>
      <c r="D3" s="69">
        <f t="shared" ref="D3:D6" si="1">B3-C3</f>
        <v>-287.1</v>
      </c>
      <c r="E3" s="70">
        <f t="shared" ref="E3:E7" si="2">IFERROR(B3/C3-1, 0)</f>
        <v>-0.00190646818</v>
      </c>
      <c r="F3" s="71" t="str">
        <f t="array" ref="F3">IFS(D3&lt;0, "U", D3&gt;0, "F", D3=0, "-")</f>
        <v>U</v>
      </c>
      <c r="H3" s="119" t="s">
        <v>719</v>
      </c>
      <c r="I3" s="120" t="s">
        <v>720</v>
      </c>
      <c r="J3" s="41" t="s">
        <v>718</v>
      </c>
    </row>
    <row r="4" ht="14.25" customHeight="1">
      <c r="A4" s="87" t="s">
        <v>562</v>
      </c>
      <c r="B4" s="69">
        <f t="array" ref="B4">INDEX(Actuals!$B$3:$Y$3,MATCH($I$2,Actuals!$B$1:$Y$1,0))</f>
        <v>3000</v>
      </c>
      <c r="C4" s="69">
        <v>4000.0</v>
      </c>
      <c r="D4" s="69">
        <f t="shared" si="1"/>
        <v>-1000</v>
      </c>
      <c r="E4" s="70">
        <f t="shared" si="2"/>
        <v>-0.25</v>
      </c>
      <c r="F4" s="71" t="str">
        <f t="array" ref="F4">IFS(D4&lt;0, "U", D4&gt;0, "F", D4=0, "-")</f>
        <v>U</v>
      </c>
      <c r="H4" s="119" t="s">
        <v>721</v>
      </c>
      <c r="I4" s="121">
        <f>EOMONTH(I2,0)</f>
        <v>46112</v>
      </c>
      <c r="J4" s="41" t="s">
        <v>722</v>
      </c>
    </row>
    <row r="5" ht="14.25" customHeight="1">
      <c r="A5" s="87" t="s">
        <v>564</v>
      </c>
      <c r="B5" s="69">
        <f t="array" ref="B5">INDEX(Actuals!$B$4:$Y$4,MATCH($I$2,Actuals!$B$1:$Y$1,0))</f>
        <v>380</v>
      </c>
      <c r="C5" s="69">
        <f>'2026 Forecast'!B9/3</f>
        <v>715.3475</v>
      </c>
      <c r="D5" s="69">
        <f t="shared" si="1"/>
        <v>-335.3475</v>
      </c>
      <c r="E5" s="70">
        <f t="shared" si="2"/>
        <v>-0.4687896442</v>
      </c>
      <c r="F5" s="71" t="str">
        <f t="array" ref="F5">IFS(D5&lt;0, "U", D5&gt;0, "F", D5=0, "-")</f>
        <v>U</v>
      </c>
    </row>
    <row r="6" ht="14.25" customHeight="1">
      <c r="A6" s="46" t="s">
        <v>649</v>
      </c>
      <c r="B6" s="69">
        <v>0.0</v>
      </c>
      <c r="C6" s="69">
        <v>0.0</v>
      </c>
      <c r="D6" s="69">
        <f t="shared" si="1"/>
        <v>0</v>
      </c>
      <c r="E6" s="70">
        <f t="shared" si="2"/>
        <v>0</v>
      </c>
      <c r="F6" s="71" t="str">
        <f t="array" ref="F6">IFS(D6&lt;0, "U", D6&gt;0, "F", D6=0, "-")</f>
        <v>-</v>
      </c>
    </row>
    <row r="7" ht="14.25" customHeight="1">
      <c r="A7" s="46" t="s">
        <v>568</v>
      </c>
      <c r="B7" s="69">
        <f t="array" ref="B7">INDEX(Actuals!$B$5:$Y$5,MATCH($I$2,Actuals!$B$1:$Y$1,0))</f>
        <v>0</v>
      </c>
      <c r="C7" s="69">
        <f>'2026 Forecast'!B10/3</f>
        <v>953.7966667</v>
      </c>
      <c r="D7" s="69">
        <f>C7-B7</f>
        <v>953.7966667</v>
      </c>
      <c r="E7" s="70">
        <f t="shared" si="2"/>
        <v>-1</v>
      </c>
      <c r="F7" s="88" t="str">
        <f t="array" ref="F7">IFS(D7&gt;0, "F", D7&lt;0, "U", D7=0, "-")</f>
        <v>F</v>
      </c>
      <c r="J7" s="122">
        <f t="array" ref="J7">INDEX(Actuals!$B$7:$Y$7,MATCH($I$2,Actuals!$B$1:$Y$1,0))</f>
        <v>29000</v>
      </c>
    </row>
    <row r="8" ht="14.25" customHeight="1">
      <c r="A8" s="89" t="s">
        <v>570</v>
      </c>
      <c r="B8" s="90">
        <f t="shared" ref="B8:C8" si="3">B4+B5-B7</f>
        <v>3380</v>
      </c>
      <c r="C8" s="90">
        <f t="shared" si="3"/>
        <v>3761.550833</v>
      </c>
      <c r="D8" s="90">
        <f t="shared" ref="D8:D10" si="4">B8-C8</f>
        <v>-381.5508333</v>
      </c>
      <c r="E8" s="91">
        <f t="shared" ref="E8:E10" si="5">B8/C8-1</f>
        <v>-0.1014344482</v>
      </c>
      <c r="F8" s="92" t="str">
        <f t="array" ref="F8">IFS(D8&lt;0, "U", D8&gt;0, "F", D8=0, "-")</f>
        <v>U</v>
      </c>
    </row>
    <row r="9" ht="14.25" customHeight="1">
      <c r="A9" s="93" t="s">
        <v>498</v>
      </c>
      <c r="B9" s="94">
        <f>B3+B4+B5-B7</f>
        <v>153685.5</v>
      </c>
      <c r="C9" s="94">
        <f>C3+C8</f>
        <v>154354.1508</v>
      </c>
      <c r="D9" s="94">
        <f t="shared" si="4"/>
        <v>-668.6508333</v>
      </c>
      <c r="E9" s="95">
        <f t="shared" si="5"/>
        <v>-0.00433192648</v>
      </c>
      <c r="F9" s="96" t="str">
        <f t="array" ref="F9">IFS(D9&lt;0, "U", D9&gt;0, "F", D9=0, "-")</f>
        <v>U</v>
      </c>
    </row>
    <row r="10" ht="14.25" customHeight="1">
      <c r="A10" s="75" t="s">
        <v>650</v>
      </c>
      <c r="B10" s="97">
        <f t="shared" ref="B10:C10" si="6">B9*12</f>
        <v>1844226</v>
      </c>
      <c r="C10" s="97">
        <f t="shared" si="6"/>
        <v>1852249.81</v>
      </c>
      <c r="D10" s="97">
        <f t="shared" si="4"/>
        <v>-8023.81</v>
      </c>
      <c r="E10" s="98">
        <f t="shared" si="5"/>
        <v>-0.00433192648</v>
      </c>
      <c r="F10" s="99" t="str">
        <f t="array" ref="F10">IFS(D10&lt;0, "U", D10&gt;0, "F", D10=0, "-")</f>
        <v>U</v>
      </c>
    </row>
    <row r="11" ht="14.25" customHeight="1">
      <c r="A11" s="100"/>
      <c r="B11" s="100"/>
      <c r="C11" s="100"/>
      <c r="D11" s="100"/>
      <c r="E11" s="100"/>
      <c r="F11" s="100"/>
    </row>
    <row r="12" ht="14.25" customHeight="1">
      <c r="A12" s="75" t="s">
        <v>651</v>
      </c>
    </row>
    <row r="13" ht="14.25" customHeight="1">
      <c r="A13" s="86" t="s">
        <v>493</v>
      </c>
      <c r="B13" s="86" t="str">
        <f>"Actual - "&amp;TEXT($I$2,"mmm yy")</f>
        <v>Actual - Mar 26</v>
      </c>
      <c r="C13" s="86" t="s">
        <v>716</v>
      </c>
      <c r="D13" s="86" t="s">
        <v>646</v>
      </c>
      <c r="E13" s="86" t="s">
        <v>647</v>
      </c>
      <c r="F13" s="86" t="s">
        <v>648</v>
      </c>
    </row>
    <row r="14" ht="14.25" customHeight="1">
      <c r="A14" s="75" t="s">
        <v>583</v>
      </c>
      <c r="B14" s="76">
        <f t="shared" ref="B14:C14" si="7">B9</f>
        <v>153685.5</v>
      </c>
      <c r="C14" s="76">
        <f t="shared" si="7"/>
        <v>154354.1508</v>
      </c>
      <c r="D14" s="76">
        <f t="shared" ref="D14:D23" si="8">B14-C14</f>
        <v>-668.6508333</v>
      </c>
      <c r="E14" s="77">
        <f t="shared" ref="E14:E23" si="9">B14/C14-1</f>
        <v>-0.00433192648</v>
      </c>
      <c r="F14" s="71" t="str">
        <f t="array" ref="F14">IFS(D14&lt;0, "U", D14&gt;0, "F", D14=0, "-")</f>
        <v>U</v>
      </c>
      <c r="H14" s="41" t="s">
        <v>652</v>
      </c>
    </row>
    <row r="15" ht="14.25" customHeight="1">
      <c r="A15" s="75" t="s">
        <v>503</v>
      </c>
      <c r="B15" s="76">
        <f>B14*(1-B17)</f>
        <v>46105.65</v>
      </c>
      <c r="C15" s="76">
        <f>C14*0.3</f>
        <v>46306.24525</v>
      </c>
      <c r="D15" s="76">
        <f t="shared" si="8"/>
        <v>-200.59525</v>
      </c>
      <c r="E15" s="77">
        <f t="shared" si="9"/>
        <v>-0.00433192648</v>
      </c>
      <c r="F15" s="71" t="str">
        <f t="array" ref="F15">IFS(D15&gt;0, "U", D15&lt;0, "F", D15=0, "-")</f>
        <v>F</v>
      </c>
      <c r="H15" s="41" t="s">
        <v>653</v>
      </c>
    </row>
    <row r="16" ht="14.25" customHeight="1">
      <c r="A16" s="89" t="s">
        <v>504</v>
      </c>
      <c r="B16" s="101">
        <f t="shared" ref="B16:C16" si="10">B14-B15</f>
        <v>107579.85</v>
      </c>
      <c r="C16" s="101">
        <f t="shared" si="10"/>
        <v>108047.9056</v>
      </c>
      <c r="D16" s="101">
        <f t="shared" si="8"/>
        <v>-468.0555833</v>
      </c>
      <c r="E16" s="102">
        <f t="shared" si="9"/>
        <v>-0.00433192648</v>
      </c>
      <c r="F16" s="103" t="str">
        <f t="array" ref="F16">IFS(D16&lt;0, "U", D16&gt;0, "F", D16=0, "-")</f>
        <v>U</v>
      </c>
      <c r="H16" s="41" t="s">
        <v>654</v>
      </c>
    </row>
    <row r="17" ht="14.25" customHeight="1">
      <c r="A17" s="93" t="s">
        <v>588</v>
      </c>
      <c r="B17" s="104">
        <v>0.7</v>
      </c>
      <c r="C17" s="105">
        <f>C16/C14</f>
        <v>0.7</v>
      </c>
      <c r="D17" s="105">
        <f t="shared" si="8"/>
        <v>0</v>
      </c>
      <c r="E17" s="105">
        <f t="shared" si="9"/>
        <v>0</v>
      </c>
      <c r="F17" s="106" t="str">
        <f t="array" ref="F17">IFS(D17&lt;0, "U", D17&gt;0, "F", D17=0, "-")</f>
        <v>-</v>
      </c>
      <c r="H17" s="41" t="s">
        <v>655</v>
      </c>
    </row>
    <row r="18" ht="14.25" customHeight="1">
      <c r="A18" s="75" t="s">
        <v>636</v>
      </c>
      <c r="B18" s="76">
        <f t="array" ref="B18">INDEX(Actuals!$B$7:$Y$7,MATCH($I$2,Actuals!$B$1:$Y$1,0))</f>
        <v>29000</v>
      </c>
      <c r="C18" s="76">
        <f>'2026 Forecast'!B25/3</f>
        <v>30000</v>
      </c>
      <c r="D18" s="76">
        <f t="shared" si="8"/>
        <v>-1000</v>
      </c>
      <c r="E18" s="77">
        <f t="shared" si="9"/>
        <v>-0.03333333333</v>
      </c>
      <c r="F18" s="71" t="str">
        <f t="array" ref="F18">IFS(D18&lt;0, "U", D18&gt;0, "F", D18=0, "-")</f>
        <v>U</v>
      </c>
      <c r="H18" s="41" t="s">
        <v>655</v>
      </c>
    </row>
    <row r="19" ht="14.25" customHeight="1">
      <c r="A19" s="75" t="s">
        <v>637</v>
      </c>
      <c r="B19" s="76">
        <f t="array" ref="B19">INDEX(Actuals!$B$8:$Y$8,MATCH($I$2,Actuals!$B$1:$Y$1,0))</f>
        <v>22000</v>
      </c>
      <c r="C19" s="76">
        <f>'2026 Forecast'!B26/3</f>
        <v>25000</v>
      </c>
      <c r="D19" s="76">
        <f t="shared" si="8"/>
        <v>-3000</v>
      </c>
      <c r="E19" s="77">
        <f t="shared" si="9"/>
        <v>-0.12</v>
      </c>
      <c r="F19" s="71" t="str">
        <f t="array" ref="F19">IFS(D19&lt;0, "U", D19&gt;0, "F", D19=0, "-")</f>
        <v>U</v>
      </c>
      <c r="H19" s="41" t="s">
        <v>655</v>
      </c>
    </row>
    <row r="20" ht="14.25" customHeight="1">
      <c r="A20" s="75" t="s">
        <v>638</v>
      </c>
      <c r="B20" s="76">
        <f t="array" ref="B20">INDEX(Actuals!$B$9:$Y$9,MATCH($I$2,Actuals!$B$1:$Y$1,0))</f>
        <v>22000</v>
      </c>
      <c r="C20" s="76">
        <f>'2026 Forecast'!B27/3</f>
        <v>19000</v>
      </c>
      <c r="D20" s="76">
        <f t="shared" si="8"/>
        <v>3000</v>
      </c>
      <c r="E20" s="77">
        <f t="shared" si="9"/>
        <v>0.1578947368</v>
      </c>
      <c r="F20" s="71" t="str">
        <f t="array" ref="F20">IFS(D20&lt;0, "U", D20&gt;0, "F", D20=0, "-")</f>
        <v>F</v>
      </c>
      <c r="H20" s="41" t="s">
        <v>592</v>
      </c>
    </row>
    <row r="21" ht="14.25" customHeight="1">
      <c r="A21" s="89" t="s">
        <v>502</v>
      </c>
      <c r="B21" s="101">
        <f>SUM(B18:B20)</f>
        <v>73000</v>
      </c>
      <c r="C21" s="101">
        <f>'2026 Forecast'!B28/3</f>
        <v>74000</v>
      </c>
      <c r="D21" s="101">
        <f t="shared" si="8"/>
        <v>-1000</v>
      </c>
      <c r="E21" s="107">
        <f t="shared" si="9"/>
        <v>-0.01351351351</v>
      </c>
      <c r="F21" s="103" t="str">
        <f t="array" ref="F21">IFS(D21&lt;0, "U", D21&gt;0, "F", D21=0, "-")</f>
        <v>U</v>
      </c>
      <c r="H21" s="41" t="s">
        <v>656</v>
      </c>
    </row>
    <row r="22" ht="14.25" customHeight="1">
      <c r="A22" s="108" t="s">
        <v>505</v>
      </c>
      <c r="B22" s="109">
        <f t="shared" ref="B22:C22" si="11">B16-B21</f>
        <v>34579.85</v>
      </c>
      <c r="C22" s="109">
        <f t="shared" si="11"/>
        <v>34047.90558</v>
      </c>
      <c r="D22" s="109">
        <f t="shared" si="8"/>
        <v>531.9444167</v>
      </c>
      <c r="E22" s="110">
        <f t="shared" si="9"/>
        <v>0.01562341083</v>
      </c>
      <c r="F22" s="111" t="str">
        <f t="array" ref="F22">IFS(D22&lt;0, "U", D22&gt;0, "F", D22=0, "-")</f>
        <v>F</v>
      </c>
      <c r="H22" s="41" t="s">
        <v>657</v>
      </c>
    </row>
    <row r="23" ht="14.25" customHeight="1">
      <c r="A23" s="75" t="s">
        <v>594</v>
      </c>
      <c r="B23" s="82">
        <f t="shared" ref="B23:C23" si="12">B22/B14</f>
        <v>0.2250039854</v>
      </c>
      <c r="C23" s="82">
        <f t="shared" si="12"/>
        <v>0.2205830255</v>
      </c>
      <c r="D23" s="77">
        <f t="shared" si="8"/>
        <v>0.00442095995</v>
      </c>
      <c r="E23" s="77">
        <f t="shared" si="9"/>
        <v>0.02004215846</v>
      </c>
      <c r="F23" s="71" t="str">
        <f t="array" ref="F23">IFERROR(IFS(D23&lt;0, "U", D23&gt;0, "F", D23=0, "-"), "-")</f>
        <v>F</v>
      </c>
    </row>
    <row r="24" ht="14.25" customHeight="1"/>
    <row r="25" ht="14.25" customHeight="1">
      <c r="A25" s="112"/>
    </row>
    <row r="26" ht="14.25" customHeight="1"/>
    <row r="27" ht="14.25" customHeight="1">
      <c r="A27" s="79" t="s">
        <v>723</v>
      </c>
    </row>
    <row r="28" ht="14.25" customHeight="1">
      <c r="H28" s="123"/>
    </row>
    <row r="29" ht="14.25" customHeight="1">
      <c r="A29" s="80" t="s">
        <v>493</v>
      </c>
      <c r="B29" s="80" t="s">
        <v>669</v>
      </c>
      <c r="C29" s="80" t="str">
        <f>"vs "&amp;TEXT(EOMONTH($I$2,-1),"mmm yyyy")</f>
        <v>vs Feb 2026</v>
      </c>
      <c r="D29" s="80" t="s">
        <v>670</v>
      </c>
    </row>
    <row r="30" ht="14.25" customHeight="1">
      <c r="A30" s="19" t="s">
        <v>507</v>
      </c>
      <c r="B30" s="124">
        <f t="array" ref="B30">INDEX(Actuals!$B$15:$Y$15,MATCH($I$2,Actuals!$B$1:$Y$1,0))</f>
        <v>42</v>
      </c>
      <c r="C30" s="19">
        <f t="array" ref="C30">IFERROR(B30-XLOOKUP("Active Customers",'KPI Tracker'!$A$4:$A$16,'KPI Tracker'!$C$4:$C$16),"—")</f>
        <v>1</v>
      </c>
      <c r="D30" s="19" t="s">
        <v>724</v>
      </c>
    </row>
    <row r="31" ht="14.25" customHeight="1">
      <c r="A31" s="19" t="s">
        <v>508</v>
      </c>
      <c r="B31" s="124">
        <f t="array" ref="B31">INDEX(Actuals!$B$16:$Y$16,MATCH($I$2,Actuals!$B$1:$Y$1,0))</f>
        <v>54</v>
      </c>
      <c r="C31" s="125">
        <f t="array" ref="C31">B31-INDEX(Actuals!$B$16:$Y$16,MATCH(DATE(YEAR($I$2),MONTH($I$2)-1,1),Actuals!$B$1:$Y$1,0))</f>
        <v>1</v>
      </c>
      <c r="D31" s="19" t="s">
        <v>725</v>
      </c>
      <c r="N31" s="5" t="s">
        <v>726</v>
      </c>
    </row>
    <row r="32" ht="14.25" customHeight="1">
      <c r="A32" s="19" t="s">
        <v>672</v>
      </c>
      <c r="B32" s="76">
        <f>B9/B30</f>
        <v>3659.178571</v>
      </c>
      <c r="C32" s="76">
        <f t="array" ref="C32">IFERROR(B32-INDEX(Actuals!$B$6:$Y$6,MATCH(DATE(YEAR($I$2),MONTH($I$2)-1,1),Actuals!$B$1:$Y$1,0))/INDEX(Actuals!$B$15:$Y$15,MATCH(DATE(YEAR($I$2),MONTH($I$2)-1,1),Actuals!$B$1:$Y$1,0)),"—")</f>
        <v>-6.809233449</v>
      </c>
      <c r="D32" s="19" t="s">
        <v>673</v>
      </c>
    </row>
    <row r="33" ht="14.25" customHeight="1">
      <c r="A33" s="19" t="s">
        <v>674</v>
      </c>
      <c r="B33" s="82">
        <f>B17</f>
        <v>0.7</v>
      </c>
      <c r="C33" s="82">
        <f>0</f>
        <v>0</v>
      </c>
      <c r="D33" s="19" t="s">
        <v>675</v>
      </c>
    </row>
    <row r="34" ht="14.25" customHeight="1">
      <c r="A34" s="19" t="s">
        <v>676</v>
      </c>
      <c r="B34" s="82">
        <f t="array" ref="B34">INDEX(Retention!$B$6:$AY$6,MATCH($I$2,Retention!$B$4:$AY$4,0))</f>
        <v>1</v>
      </c>
      <c r="C34" s="82">
        <f t="array" ref="C34">B34-INDEX(Retention!$B$6:$AY$6,MATCH(DATE(YEAR($I$2),MONTH($I$2)-1,1),Retention!$B$4:$AY$4,0))</f>
        <v>0.003891802645</v>
      </c>
      <c r="D34" s="19" t="s">
        <v>677</v>
      </c>
    </row>
    <row r="35" ht="14.25" customHeight="1">
      <c r="A35" s="19" t="s">
        <v>678</v>
      </c>
      <c r="B35" s="82">
        <f t="array" ref="B35">INDEX(Retention!$B$7:$AY$7,MATCH($I$2,Retention!$B$4:$AY$4,0))</f>
        <v>1.002402714</v>
      </c>
      <c r="C35" s="82">
        <f t="array" ref="C35">B35-INDEX(Retention!$B$7:$AY$7,MATCH(DATE(YEAR($I$2),MONTH($I$2)-1,1),Retention!$B$4:$AY$4,0))</f>
        <v>0.006294516447</v>
      </c>
      <c r="D35" s="19" t="s">
        <v>677</v>
      </c>
    </row>
    <row r="36" ht="14.25" customHeight="1">
      <c r="A36" s="19" t="s">
        <v>679</v>
      </c>
      <c r="B36" s="19" t="str">
        <f>IFERROR(IF((B6+B7)=0,"N/A — no losses",(B4+B5)/(B6+B7)),"N/A")</f>
        <v>N/A — no losses</v>
      </c>
      <c r="C36" s="19" t="str">
        <f t="array" ref="C36">IFERROR(IF(ISNUMBER(B36),B36-XLOOKUP("Quick Ratio",'KPI Tracker'!$A$4:$A$16,'KPI Tracker'!$B$4:$B$16),"—"),"—")</f>
        <v>—</v>
      </c>
      <c r="D36" s="19" t="s">
        <v>703</v>
      </c>
    </row>
    <row r="37" ht="14.25" customHeight="1">
      <c r="A37" s="19" t="s">
        <v>682</v>
      </c>
      <c r="B37" s="83">
        <f>B18</f>
        <v>29000</v>
      </c>
      <c r="C37" s="83">
        <f t="array" ref="C37">B37-INDEX(Actuals!$B$7:$Y$7,MATCH(DATE(YEAR($I$2),MONTH($I$2)-1,1),Actuals!$B$1:$Y$1,0))</f>
        <v>-2000</v>
      </c>
      <c r="D37" s="19" t="s">
        <v>683</v>
      </c>
    </row>
    <row r="38" ht="14.25" customHeight="1">
      <c r="A38" s="19" t="s">
        <v>684</v>
      </c>
      <c r="B38" s="83">
        <f>IFERROR(IF(B39=0,"—",B37/B39),"—")</f>
        <v>14500</v>
      </c>
      <c r="C38" s="83">
        <f t="array" ref="C38">IFERROR(B38-INDEX(Actuals!$B$7:$Y$7,MATCH(DATE(YEAR($I$2),MONTH($I$2)-1,1),Actuals!$B$1:$Y$1,0))/INDEX(Actuals!$B$14:$Y$14,MATCH(DATE(YEAR($I$2),MONTH($I$2)-1,1),Actuals!$B$1:$Y$1,0)),"—")</f>
        <v>-1000</v>
      </c>
      <c r="D38" s="19" t="s">
        <v>704</v>
      </c>
    </row>
    <row r="39" ht="14.25" customHeight="1">
      <c r="A39" s="113" t="s">
        <v>705</v>
      </c>
      <c r="B39" s="124">
        <f t="array" ref="B39">INDEX(Actuals!$B$14:$Y$14,MATCH($I$2,Actuals!$B$1:$Y$1,0))</f>
        <v>2</v>
      </c>
      <c r="C39" s="19" t="s">
        <v>687</v>
      </c>
      <c r="D39" s="113" t="s">
        <v>727</v>
      </c>
    </row>
    <row r="40" ht="14.25" customHeight="1">
      <c r="A40" s="19" t="s">
        <v>707</v>
      </c>
      <c r="B40" s="83">
        <f>IFERROR(IF(('Jan 2026 A vs F '!B46/'Jan 2026 A vs F '!B47+'Feb 2026 A vs F'!B39+B39)=0,"—",('Jan 2026 A vs F '!B46+'Feb 2026 A vs F'!B37+B37)/('Jan 2026 A vs F '!B46/'Jan 2026 A vs F '!B47+'Feb 2026 A vs F'!B39+B39)),"—")</f>
        <v>18000</v>
      </c>
      <c r="C40" s="19" t="s">
        <v>687</v>
      </c>
      <c r="D40" s="19" t="s">
        <v>708</v>
      </c>
      <c r="K40" s="126"/>
    </row>
    <row r="41" ht="14.25" customHeight="1">
      <c r="A41" s="19" t="s">
        <v>686</v>
      </c>
      <c r="B41" s="19" t="s">
        <v>687</v>
      </c>
      <c r="C41" s="19" t="s">
        <v>687</v>
      </c>
      <c r="D41" s="19" t="s">
        <v>688</v>
      </c>
    </row>
    <row r="42" ht="14.25" customHeight="1">
      <c r="A42" s="19" t="s">
        <v>689</v>
      </c>
      <c r="B42" s="19" t="s">
        <v>687</v>
      </c>
      <c r="C42" s="19" t="s">
        <v>687</v>
      </c>
      <c r="D42" s="19" t="s">
        <v>688</v>
      </c>
    </row>
    <row r="43" ht="14.25" customHeight="1">
      <c r="A43" s="19" t="s">
        <v>690</v>
      </c>
      <c r="B43" s="19" t="s">
        <v>687</v>
      </c>
      <c r="C43" s="19" t="s">
        <v>687</v>
      </c>
      <c r="D43" s="19" t="s">
        <v>688</v>
      </c>
    </row>
    <row r="44" ht="14.25" customHeight="1">
      <c r="A44" s="84" t="s">
        <v>691</v>
      </c>
    </row>
    <row r="45" ht="14.25" customHeight="1">
      <c r="A45" s="84" t="s">
        <v>709</v>
      </c>
    </row>
    <row r="46" ht="14.25" customHeight="1"/>
    <row r="47" ht="14.25" customHeight="1">
      <c r="A47" s="84" t="s">
        <v>693</v>
      </c>
    </row>
    <row r="48" ht="14.25" customHeight="1">
      <c r="A48" s="84" t="s">
        <v>694</v>
      </c>
    </row>
    <row r="49" ht="14.25" customHeight="1"/>
    <row r="50" ht="14.25" customHeight="1"/>
    <row r="51" ht="14.25" customHeight="1">
      <c r="A51" s="85" t="s">
        <v>695</v>
      </c>
    </row>
    <row r="52" ht="14.25" customHeight="1"/>
    <row r="53" ht="14.25" customHeight="1">
      <c r="A53" s="80" t="s">
        <v>493</v>
      </c>
      <c r="B53" s="80" t="s">
        <v>696</v>
      </c>
      <c r="C53" s="80" t="s">
        <v>710</v>
      </c>
    </row>
    <row r="54" ht="14.25" customHeight="1">
      <c r="A54" s="19" t="s">
        <v>672</v>
      </c>
      <c r="B54" s="76">
        <f>B32</f>
        <v>3659.178571</v>
      </c>
      <c r="C54" s="76">
        <f>B9/B30</f>
        <v>3659.178571</v>
      </c>
    </row>
    <row r="55" ht="14.25" customHeight="1">
      <c r="A55" s="19" t="s">
        <v>676</v>
      </c>
      <c r="B55" s="82">
        <f t="shared" ref="B55:B57" si="13">B34</f>
        <v>1</v>
      </c>
      <c r="C55" s="82">
        <f t="array" ref="C55">INDEX(Retention!$B$6:$AY$6, MATCH($I$2, Retention!$B$4:$AY$4,0))</f>
        <v>1</v>
      </c>
      <c r="E55" s="5" t="s">
        <v>728</v>
      </c>
    </row>
    <row r="56" ht="14.25" customHeight="1">
      <c r="A56" s="19" t="s">
        <v>678</v>
      </c>
      <c r="B56" s="82">
        <f t="shared" si="13"/>
        <v>1.002402714</v>
      </c>
      <c r="C56" s="82">
        <f t="array" ref="C56">INDEX(Retention!$B$7:$AY$7, MATCH($I$2, Retention!$B$4:$AY$4,0))</f>
        <v>1.002402714</v>
      </c>
    </row>
    <row r="57" ht="14.25" customHeight="1">
      <c r="A57" s="19" t="s">
        <v>679</v>
      </c>
      <c r="B57" s="19" t="str">
        <f t="shared" si="13"/>
        <v>N/A — no losses</v>
      </c>
      <c r="C57" s="19" t="str">
        <f>IFERROR(IF((B6+B7)=0,"N/A — no losses",(B4+B5)/(B6+B7)),"N/A")</f>
        <v>N/A — no losses</v>
      </c>
    </row>
    <row r="58" ht="14.25" customHeight="1">
      <c r="A58" s="19" t="s">
        <v>697</v>
      </c>
      <c r="B58" s="83">
        <f>B38</f>
        <v>14500</v>
      </c>
      <c r="C58" s="83">
        <f>IFERROR(IF(B39=0,"—",B37/B39),"—")</f>
        <v>14500</v>
      </c>
    </row>
    <row r="59" ht="14.25" customHeight="1"/>
    <row r="60" ht="14.25" customHeight="1">
      <c r="A60" s="25" t="s">
        <v>658</v>
      </c>
    </row>
    <row r="61" ht="14.25" customHeight="1">
      <c r="A61" s="127" t="str">
        <f>TEXT($I$2,"mmmm yyyy")&amp;" — Closing MRR: "&amp;TEXT(B9,"$#,##0")&amp;" | NRR: "&amp;TEXT(B35,"0.0%")&amp;" | EBITDA margin: "&amp;TEXT(B23,"0.0%")</f>
        <v>March 2026 — Closing MRR: $153,686 | NRR: 100.2% | EBITDA margin: 22.5%</v>
      </c>
    </row>
    <row r="62" ht="14.25" customHeight="1">
      <c r="A62" s="128" t="s">
        <v>729</v>
      </c>
    </row>
    <row r="63" ht="14.25" customHeight="1">
      <c r="A63" s="128" t="s">
        <v>730</v>
      </c>
    </row>
    <row r="64" ht="14.25" customHeight="1">
      <c r="A64" s="128" t="s">
        <v>731</v>
      </c>
    </row>
    <row r="65" ht="14.25" customHeight="1">
      <c r="A65" s="128" t="s">
        <v>732</v>
      </c>
    </row>
    <row r="66" ht="14.25" customHeight="1"/>
    <row r="67" ht="14.25" customHeight="1">
      <c r="A67" s="129" t="s">
        <v>733</v>
      </c>
    </row>
    <row r="68" ht="14.25" customHeight="1"/>
    <row r="69" ht="14.25" customHeight="1">
      <c r="A69" s="130" t="s">
        <v>734</v>
      </c>
    </row>
    <row r="70" ht="14.25" customHeight="1">
      <c r="A70" s="86" t="s">
        <v>735</v>
      </c>
      <c r="B70" s="86" t="s">
        <v>736</v>
      </c>
    </row>
    <row r="71" ht="14.25" customHeight="1">
      <c r="A71" s="46" t="s">
        <v>737</v>
      </c>
      <c r="B71" s="131">
        <f>'Jan 2026 A vs F '!B4+'Feb 2026 A vs F'!B4+'Mar 2026 A vs F'!B4</f>
        <v>10830</v>
      </c>
    </row>
    <row r="72" ht="14.25" customHeight="1">
      <c r="A72" s="46" t="s">
        <v>738</v>
      </c>
      <c r="B72" s="131">
        <f>'Jan 2026 A vs F '!B5+'Feb 2026 A vs F'!B5+'Mar 2026 A vs F'!B5</f>
        <v>380</v>
      </c>
    </row>
    <row r="73" ht="14.25" customHeight="1">
      <c r="A73" s="46" t="s">
        <v>739</v>
      </c>
      <c r="B73" s="131">
        <f>'Jan 2026 A vs F '!B7+'Feb 2026 A vs F'!B7+'Mar 2026 A vs F'!B7</f>
        <v>594</v>
      </c>
    </row>
    <row r="74" ht="14.25" customHeight="1">
      <c r="A74" s="46" t="s">
        <v>740</v>
      </c>
      <c r="B74" s="131">
        <f>'Jan 2026 A vs F '!B8+'Feb 2026 A vs F'!B8+'Mar 2026 A vs F'!B8</f>
        <v>10616</v>
      </c>
    </row>
    <row r="75" ht="14.25" customHeight="1">
      <c r="A75" s="75" t="s">
        <v>741</v>
      </c>
      <c r="B75" s="132">
        <f>'Mar 2026 A vs F'!B9</f>
        <v>153685.5</v>
      </c>
    </row>
    <row r="76" ht="14.25" customHeight="1"/>
    <row r="77" ht="14.25" customHeight="1">
      <c r="A77" s="130" t="s">
        <v>742</v>
      </c>
    </row>
    <row r="78" ht="14.25" customHeight="1">
      <c r="A78" s="86" t="s">
        <v>743</v>
      </c>
      <c r="B78" s="86" t="s">
        <v>736</v>
      </c>
    </row>
    <row r="79" ht="14.25" customHeight="1">
      <c r="A79" s="46" t="s">
        <v>744</v>
      </c>
      <c r="B79" s="131">
        <f>'Jan 2026 A vs F '!B14+'Feb 2026 A vs F'!B14+'Mar 2026 A vs F'!B14</f>
        <v>448770.5</v>
      </c>
      <c r="C79" s="133"/>
    </row>
    <row r="80" ht="14.25" customHeight="1">
      <c r="A80" s="46" t="s">
        <v>745</v>
      </c>
      <c r="B80" s="131">
        <f>'Jan 2026 A vs F '!B15+'Feb 2026 A vs F'!B15+'Mar 2026 A vs F'!B15</f>
        <v>134631.15</v>
      </c>
    </row>
    <row r="81" ht="14.25" customHeight="1">
      <c r="A81" s="75" t="s">
        <v>746</v>
      </c>
      <c r="B81" s="132">
        <f>B79-B80</f>
        <v>314139.35</v>
      </c>
    </row>
    <row r="82" ht="14.25" customHeight="1">
      <c r="A82" s="46" t="s">
        <v>747</v>
      </c>
      <c r="B82" s="134">
        <f>B81/B79</f>
        <v>0.7</v>
      </c>
    </row>
    <row r="83" ht="14.25" customHeight="1">
      <c r="A83" s="46" t="s">
        <v>748</v>
      </c>
      <c r="B83" s="131">
        <f>'Jan 2026 A vs F '!B18+'Feb 2026 A vs F'!B18+'Mar 2026 A vs F'!B18</f>
        <v>90000</v>
      </c>
    </row>
    <row r="84" ht="14.25" customHeight="1">
      <c r="A84" s="46" t="s">
        <v>749</v>
      </c>
      <c r="B84" s="131">
        <f>'Jan 2026 A vs F '!B19+'Jan 2026 A vs F '!B20+'Feb 2026 A vs F'!B19+'Feb 2026 A vs F'!B20+'Mar 2026 A vs F'!B19+'Mar 2026 A vs F'!B20</f>
        <v>132000</v>
      </c>
    </row>
    <row r="85" ht="14.25" customHeight="1">
      <c r="A85" s="75" t="s">
        <v>750</v>
      </c>
      <c r="B85" s="132">
        <f>'Jan 2026 A vs F '!B21+'Feb 2026 A vs F'!B21+'Mar 2026 A vs F'!B21</f>
        <v>222000</v>
      </c>
    </row>
    <row r="86" ht="14.25" customHeight="1">
      <c r="A86" s="75" t="s">
        <v>751</v>
      </c>
      <c r="B86" s="132">
        <f>B81-B85</f>
        <v>92139.35</v>
      </c>
    </row>
    <row r="87" ht="14.25" customHeight="1">
      <c r="A87" s="46" t="s">
        <v>752</v>
      </c>
      <c r="B87" s="134">
        <f>B86/B79</f>
        <v>0.2053150775</v>
      </c>
    </row>
    <row r="88" ht="14.25" customHeight="1"/>
    <row r="89" ht="14.25" customHeight="1">
      <c r="A89" s="130" t="s">
        <v>753</v>
      </c>
    </row>
    <row r="90" ht="14.25" customHeight="1">
      <c r="A90" s="86" t="s">
        <v>493</v>
      </c>
      <c r="B90" s="86" t="s">
        <v>736</v>
      </c>
    </row>
    <row r="91" ht="14.25" customHeight="1">
      <c r="A91" s="5" t="s">
        <v>754</v>
      </c>
      <c r="B91" s="125">
        <f>Actuals!B14+Actuals!C14+Actuals!D14</f>
        <v>5</v>
      </c>
    </row>
    <row r="92" ht="14.25" customHeight="1">
      <c r="A92" s="5" t="s">
        <v>755</v>
      </c>
      <c r="B92" s="76">
        <f>B83/B91</f>
        <v>18000</v>
      </c>
    </row>
    <row r="93" ht="14.25" customHeight="1">
      <c r="A93" s="5" t="s">
        <v>686</v>
      </c>
      <c r="B93" s="76">
        <f>(B82/((B73/'Jan 2026 A vs F '!B3)*12)*'Mar 2026 A vs F'!B54)</f>
        <v>51411.58727</v>
      </c>
    </row>
    <row r="94" ht="14.25" customHeight="1">
      <c r="A94" s="5" t="s">
        <v>689</v>
      </c>
      <c r="B94" s="135">
        <f>B93/B92</f>
        <v>2.856199293</v>
      </c>
    </row>
    <row r="95" ht="14.25" customHeight="1">
      <c r="A95" s="5" t="s">
        <v>756</v>
      </c>
      <c r="B95" s="135">
        <f>B92/(B54*B82)</f>
        <v>7.027338298</v>
      </c>
    </row>
    <row r="96" ht="14.25" customHeight="1"/>
    <row r="97" ht="14.25" customHeight="1">
      <c r="A97" s="129" t="s">
        <v>757</v>
      </c>
    </row>
    <row r="98" ht="14.25" customHeight="1">
      <c r="A98" s="128" t="s">
        <v>758</v>
      </c>
    </row>
    <row r="99" ht="14.25" customHeight="1">
      <c r="A99" s="128" t="s">
        <v>759</v>
      </c>
    </row>
    <row r="100" ht="14.25" customHeight="1">
      <c r="A100" s="128" t="s">
        <v>760</v>
      </c>
    </row>
    <row r="101" ht="14.25" customHeight="1">
      <c r="A101" s="128" t="s">
        <v>761</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0.0"/>
    <col customWidth="1" min="2" max="5" width="14.0"/>
    <col customWidth="1" min="6" max="6" width="4.0"/>
    <col customWidth="1" min="7" max="7" width="14.0"/>
    <col customWidth="1" min="8" max="8" width="8.71"/>
    <col customWidth="1" min="9" max="9" width="48.0"/>
    <col customWidth="1" min="10" max="26" width="8.71"/>
  </cols>
  <sheetData>
    <row r="1" ht="14.25" customHeight="1">
      <c r="A1" s="40" t="s">
        <v>530</v>
      </c>
    </row>
    <row r="2" ht="14.25" customHeight="1">
      <c r="A2" s="41" t="s">
        <v>762</v>
      </c>
    </row>
    <row r="3" ht="14.25" customHeight="1">
      <c r="A3" s="41" t="s">
        <v>763</v>
      </c>
    </row>
    <row r="4" ht="14.25" customHeight="1"/>
    <row r="5" ht="14.25" customHeight="1">
      <c r="A5" s="42" t="s">
        <v>764</v>
      </c>
      <c r="B5" s="43"/>
      <c r="C5" s="43"/>
      <c r="D5" s="43"/>
      <c r="E5" s="43"/>
      <c r="F5" s="43"/>
    </row>
    <row r="6" ht="14.25" customHeight="1">
      <c r="A6" s="44" t="s">
        <v>493</v>
      </c>
      <c r="B6" s="44" t="s">
        <v>623</v>
      </c>
      <c r="C6" s="44" t="s">
        <v>624</v>
      </c>
      <c r="D6" s="44" t="s">
        <v>625</v>
      </c>
      <c r="E6" s="44" t="s">
        <v>626</v>
      </c>
      <c r="G6" s="86" t="s">
        <v>765</v>
      </c>
      <c r="I6" s="136" t="s">
        <v>766</v>
      </c>
    </row>
    <row r="7" ht="14.25" customHeight="1">
      <c r="A7" s="46" t="s">
        <v>494</v>
      </c>
      <c r="B7" s="69">
        <f>'Forecast Assumptions'!B6</f>
        <v>143069.5</v>
      </c>
      <c r="C7" s="69">
        <f t="shared" ref="C7:E7" si="1">B12</f>
        <v>154354.1525</v>
      </c>
      <c r="D7" s="69">
        <f t="shared" si="1"/>
        <v>172782.3817</v>
      </c>
      <c r="E7" s="69">
        <f t="shared" si="1"/>
        <v>200718.4698</v>
      </c>
      <c r="G7" s="69">
        <f>B7</f>
        <v>143069.5</v>
      </c>
      <c r="I7" s="41" t="s">
        <v>767</v>
      </c>
    </row>
    <row r="8" ht="14.25" customHeight="1">
      <c r="A8" s="46" t="s">
        <v>562</v>
      </c>
      <c r="B8" s="69">
        <f>'Forecast Assumptions'!B12*'Forecast Assumptions'!B13</f>
        <v>12000</v>
      </c>
      <c r="C8" s="69">
        <f>'Forecast Assumptions'!C12*'Forecast Assumptions'!C13</f>
        <v>19200</v>
      </c>
      <c r="D8" s="69">
        <f>'Forecast Assumptions'!D12*'Forecast Assumptions'!D13</f>
        <v>28800</v>
      </c>
      <c r="E8" s="69">
        <f>'Forecast Assumptions'!E12*'Forecast Assumptions'!E13</f>
        <v>30600</v>
      </c>
      <c r="G8" s="69">
        <f t="shared" ref="G8:G10" si="2">B8+C8+D8+E8</f>
        <v>90600</v>
      </c>
      <c r="I8" s="41" t="s">
        <v>768</v>
      </c>
    </row>
    <row r="9" ht="14.25" customHeight="1">
      <c r="A9" s="46" t="s">
        <v>564</v>
      </c>
      <c r="B9" s="69">
        <f>B7*'Forecast Assumptions'!B14</f>
        <v>2146.0425</v>
      </c>
      <c r="C9" s="69">
        <f>C7*'Forecast Assumptions'!C14</f>
        <v>2315.312288</v>
      </c>
      <c r="D9" s="69">
        <f>D7*'Forecast Assumptions'!D14</f>
        <v>2591.735726</v>
      </c>
      <c r="E9" s="69">
        <f>E7*'Forecast Assumptions'!E14</f>
        <v>3010.777047</v>
      </c>
      <c r="G9" s="69">
        <f t="shared" si="2"/>
        <v>10063.86756</v>
      </c>
      <c r="I9" s="41" t="s">
        <v>769</v>
      </c>
    </row>
    <row r="10" ht="14.25" customHeight="1">
      <c r="A10" s="46" t="s">
        <v>568</v>
      </c>
      <c r="B10" s="69">
        <f>B7*'Forecast Assumptions'!B15</f>
        <v>2861.39</v>
      </c>
      <c r="C10" s="69">
        <f>C7*'Forecast Assumptions'!C15</f>
        <v>3087.08305</v>
      </c>
      <c r="D10" s="69">
        <f>D7*'Forecast Assumptions'!D15</f>
        <v>3455.647635</v>
      </c>
      <c r="E10" s="69">
        <f>E7*'Forecast Assumptions'!E15</f>
        <v>4014.369397</v>
      </c>
      <c r="G10" s="69">
        <f t="shared" si="2"/>
        <v>13418.49008</v>
      </c>
      <c r="I10" s="41" t="s">
        <v>770</v>
      </c>
    </row>
    <row r="11" ht="14.25" customHeight="1">
      <c r="A11" s="48" t="s">
        <v>570</v>
      </c>
      <c r="B11" s="72">
        <f t="shared" ref="B11:E11" si="3">B8+B9-B10</f>
        <v>11284.6525</v>
      </c>
      <c r="C11" s="72">
        <f t="shared" si="3"/>
        <v>18428.22924</v>
      </c>
      <c r="D11" s="72">
        <f t="shared" si="3"/>
        <v>27936.08809</v>
      </c>
      <c r="E11" s="72">
        <f t="shared" si="3"/>
        <v>29596.40765</v>
      </c>
      <c r="G11" s="72">
        <f>G8+G9-G10</f>
        <v>87245.37748</v>
      </c>
      <c r="I11" s="41" t="s">
        <v>771</v>
      </c>
    </row>
    <row r="12" ht="14.25" customHeight="1">
      <c r="A12" s="48" t="s">
        <v>498</v>
      </c>
      <c r="B12" s="72">
        <f t="shared" ref="B12:E12" si="4">B7+B11</f>
        <v>154354.1525</v>
      </c>
      <c r="C12" s="72">
        <f t="shared" si="4"/>
        <v>172782.3817</v>
      </c>
      <c r="D12" s="72">
        <f t="shared" si="4"/>
        <v>200718.4698</v>
      </c>
      <c r="E12" s="72">
        <f t="shared" si="4"/>
        <v>230314.8775</v>
      </c>
      <c r="G12" s="72">
        <f>E12</f>
        <v>230314.8775</v>
      </c>
      <c r="I12" s="41" t="s">
        <v>772</v>
      </c>
    </row>
    <row r="13" ht="14.25" customHeight="1">
      <c r="A13" s="48" t="s">
        <v>650</v>
      </c>
      <c r="B13" s="67">
        <f t="shared" ref="B13:E13" si="5">B12*12</f>
        <v>1852249.83</v>
      </c>
      <c r="C13" s="67">
        <f t="shared" si="5"/>
        <v>2073388.581</v>
      </c>
      <c r="D13" s="67">
        <f t="shared" si="5"/>
        <v>2408621.638</v>
      </c>
      <c r="E13" s="67">
        <f t="shared" si="5"/>
        <v>2763778.53</v>
      </c>
      <c r="G13" s="67">
        <f>G12*12</f>
        <v>2763778.53</v>
      </c>
      <c r="I13" s="41" t="s">
        <v>773</v>
      </c>
    </row>
    <row r="14" ht="14.25" customHeight="1">
      <c r="G14" s="41" t="s">
        <v>774</v>
      </c>
    </row>
    <row r="15" ht="14.25" customHeight="1">
      <c r="G15" s="41" t="s">
        <v>775</v>
      </c>
    </row>
    <row r="16" ht="14.25" customHeight="1">
      <c r="G16" s="41" t="s">
        <v>776</v>
      </c>
    </row>
    <row r="17" ht="14.25" customHeight="1"/>
    <row r="18" ht="14.25" customHeight="1">
      <c r="A18" s="42" t="s">
        <v>777</v>
      </c>
      <c r="B18" s="43"/>
      <c r="C18" s="43"/>
      <c r="D18" s="43"/>
      <c r="E18" s="43"/>
      <c r="F18" s="43"/>
    </row>
    <row r="19" ht="14.25" customHeight="1">
      <c r="A19" s="44" t="s">
        <v>493</v>
      </c>
      <c r="B19" s="44" t="s">
        <v>623</v>
      </c>
      <c r="C19" s="44" t="s">
        <v>624</v>
      </c>
      <c r="D19" s="44" t="s">
        <v>625</v>
      </c>
      <c r="E19" s="44" t="s">
        <v>626</v>
      </c>
      <c r="G19" s="86" t="s">
        <v>765</v>
      </c>
    </row>
    <row r="20" ht="14.25" customHeight="1">
      <c r="A20" s="46" t="s">
        <v>583</v>
      </c>
      <c r="B20" s="137">
        <f t="shared" ref="B20:E20" si="6">B12*3</f>
        <v>463062.4575</v>
      </c>
      <c r="C20" s="137">
        <f t="shared" si="6"/>
        <v>518347.1452</v>
      </c>
      <c r="D20" s="137">
        <f t="shared" si="6"/>
        <v>602155.4095</v>
      </c>
      <c r="E20" s="137">
        <f t="shared" si="6"/>
        <v>690944.6324</v>
      </c>
      <c r="G20" s="137">
        <f t="shared" ref="G20:G22" si="7">B20+C20+D20+E20</f>
        <v>2274509.645</v>
      </c>
      <c r="I20" s="41" t="s">
        <v>778</v>
      </c>
    </row>
    <row r="21" ht="14.25" customHeight="1">
      <c r="A21" s="46" t="s">
        <v>503</v>
      </c>
      <c r="B21" s="137">
        <f>B20*(1-'Forecast Assumptions'!B22)</f>
        <v>138918.7373</v>
      </c>
      <c r="C21" s="137">
        <f>C20*(1-'Forecast Assumptions'!B22)</f>
        <v>155504.1436</v>
      </c>
      <c r="D21" s="137">
        <f>D20*(1-'Forecast Assumptions'!B22)</f>
        <v>180646.6228</v>
      </c>
      <c r="E21" s="137">
        <f>E20*(1-'Forecast Assumptions'!B22)</f>
        <v>207283.3897</v>
      </c>
      <c r="G21" s="137">
        <f t="shared" si="7"/>
        <v>682352.8934</v>
      </c>
      <c r="I21" s="41" t="s">
        <v>652</v>
      </c>
    </row>
    <row r="22" ht="14.25" customHeight="1">
      <c r="A22" s="48" t="s">
        <v>504</v>
      </c>
      <c r="B22" s="67">
        <f t="shared" ref="B22:E22" si="8">B20-B21</f>
        <v>324143.7203</v>
      </c>
      <c r="C22" s="67">
        <f t="shared" si="8"/>
        <v>362843.0016</v>
      </c>
      <c r="D22" s="67">
        <f t="shared" si="8"/>
        <v>421508.7866</v>
      </c>
      <c r="E22" s="67">
        <f t="shared" si="8"/>
        <v>483661.2427</v>
      </c>
      <c r="G22" s="67">
        <f t="shared" si="7"/>
        <v>1592156.751</v>
      </c>
      <c r="I22" s="41" t="s">
        <v>653</v>
      </c>
    </row>
    <row r="23" ht="14.25" customHeight="1">
      <c r="A23" s="46" t="s">
        <v>588</v>
      </c>
      <c r="B23" s="82">
        <f t="shared" ref="B23:E23" si="9">B22/B20</f>
        <v>0.7</v>
      </c>
      <c r="C23" s="82">
        <f t="shared" si="9"/>
        <v>0.7</v>
      </c>
      <c r="D23" s="82">
        <f t="shared" si="9"/>
        <v>0.7</v>
      </c>
      <c r="E23" s="82">
        <f t="shared" si="9"/>
        <v>0.7</v>
      </c>
      <c r="G23" s="82">
        <f>G22/G20</f>
        <v>0.7</v>
      </c>
      <c r="I23" s="41" t="s">
        <v>654</v>
      </c>
    </row>
    <row r="24" ht="14.25" customHeight="1">
      <c r="A24" s="46"/>
      <c r="I24" s="41"/>
    </row>
    <row r="25" ht="14.25" customHeight="1">
      <c r="A25" s="46" t="s">
        <v>636</v>
      </c>
      <c r="B25" s="137">
        <f>'Forecast Assumptions'!B26</f>
        <v>90000</v>
      </c>
      <c r="C25" s="137">
        <f>'Forecast Assumptions'!C26</f>
        <v>90000</v>
      </c>
      <c r="D25" s="137">
        <f>'Forecast Assumptions'!D26</f>
        <v>108000</v>
      </c>
      <c r="E25" s="137">
        <f>'Forecast Assumptions'!E26</f>
        <v>108000</v>
      </c>
      <c r="G25" s="137">
        <f t="shared" ref="G25:G27" si="10">B25+C25+D25+E25</f>
        <v>396000</v>
      </c>
      <c r="I25" s="41" t="s">
        <v>655</v>
      </c>
    </row>
    <row r="26" ht="14.25" customHeight="1">
      <c r="A26" s="46" t="s">
        <v>637</v>
      </c>
      <c r="B26" s="137">
        <f>'Forecast Assumptions'!B27</f>
        <v>75000</v>
      </c>
      <c r="C26" s="137">
        <f>'Forecast Assumptions'!C27</f>
        <v>75000</v>
      </c>
      <c r="D26" s="137">
        <f>'Forecast Assumptions'!D27</f>
        <v>75000</v>
      </c>
      <c r="E26" s="137">
        <f>'Forecast Assumptions'!E27</f>
        <v>75000</v>
      </c>
      <c r="G26" s="137">
        <f t="shared" si="10"/>
        <v>300000</v>
      </c>
      <c r="I26" s="41" t="s">
        <v>655</v>
      </c>
    </row>
    <row r="27" ht="14.25" customHeight="1">
      <c r="A27" s="46" t="s">
        <v>638</v>
      </c>
      <c r="B27" s="137">
        <f>'Forecast Assumptions'!B28</f>
        <v>57000</v>
      </c>
      <c r="C27" s="137">
        <f>'Forecast Assumptions'!C28</f>
        <v>57000</v>
      </c>
      <c r="D27" s="137">
        <f>'Forecast Assumptions'!D28</f>
        <v>57000</v>
      </c>
      <c r="E27" s="137">
        <f>'Forecast Assumptions'!E28</f>
        <v>57000</v>
      </c>
      <c r="G27" s="137">
        <f t="shared" si="10"/>
        <v>228000</v>
      </c>
      <c r="I27" s="41" t="s">
        <v>655</v>
      </c>
    </row>
    <row r="28" ht="14.25" customHeight="1">
      <c r="A28" s="48" t="s">
        <v>502</v>
      </c>
      <c r="B28" s="67">
        <f t="shared" ref="B28:E28" si="11">B25+B26+B27</f>
        <v>222000</v>
      </c>
      <c r="C28" s="67">
        <f t="shared" si="11"/>
        <v>222000</v>
      </c>
      <c r="D28" s="67">
        <f t="shared" si="11"/>
        <v>240000</v>
      </c>
      <c r="E28" s="67">
        <f t="shared" si="11"/>
        <v>240000</v>
      </c>
      <c r="G28" s="67">
        <f>G25+G26+G27</f>
        <v>924000</v>
      </c>
      <c r="I28" s="41" t="s">
        <v>592</v>
      </c>
    </row>
    <row r="29" ht="14.25" customHeight="1">
      <c r="A29" s="46"/>
      <c r="I29" s="41"/>
    </row>
    <row r="30" ht="14.25" customHeight="1">
      <c r="A30" s="48" t="s">
        <v>505</v>
      </c>
      <c r="B30" s="138">
        <f t="shared" ref="B30:E30" si="12">B22-B28</f>
        <v>102143.7203</v>
      </c>
      <c r="C30" s="138">
        <f t="shared" si="12"/>
        <v>140843.0016</v>
      </c>
      <c r="D30" s="138">
        <f t="shared" si="12"/>
        <v>181508.7866</v>
      </c>
      <c r="E30" s="138">
        <f t="shared" si="12"/>
        <v>243661.2427</v>
      </c>
      <c r="G30" s="138">
        <f>B30+C30+D30+E30</f>
        <v>668156.7512</v>
      </c>
      <c r="I30" s="41" t="s">
        <v>656</v>
      </c>
    </row>
    <row r="31" ht="14.25" customHeight="1">
      <c r="A31" s="46" t="s">
        <v>594</v>
      </c>
      <c r="B31" s="82">
        <f t="shared" ref="B31:E31" si="13">B30/B20</f>
        <v>0.2205830306</v>
      </c>
      <c r="C31" s="82">
        <f t="shared" si="13"/>
        <v>0.2717155924</v>
      </c>
      <c r="D31" s="82">
        <f t="shared" si="13"/>
        <v>0.3014317961</v>
      </c>
      <c r="E31" s="82">
        <f t="shared" si="13"/>
        <v>0.3526494472</v>
      </c>
      <c r="G31" s="82">
        <f>G30/G20</f>
        <v>0.2937585922</v>
      </c>
      <c r="I31" s="41" t="s">
        <v>657</v>
      </c>
    </row>
    <row r="32" ht="14.25" customHeight="1"/>
    <row r="33" ht="14.25" customHeight="1">
      <c r="A33" s="42" t="s">
        <v>779</v>
      </c>
      <c r="B33" s="43"/>
      <c r="C33" s="43"/>
      <c r="D33" s="43"/>
      <c r="E33" s="43"/>
      <c r="F33" s="43"/>
    </row>
    <row r="34" ht="14.25" customHeight="1">
      <c r="A34" s="46" t="s">
        <v>780</v>
      </c>
      <c r="B34" s="133">
        <f>E12</f>
        <v>230314.8775</v>
      </c>
      <c r="I34" s="41" t="s">
        <v>781</v>
      </c>
    </row>
    <row r="35" ht="14.25" customHeight="1">
      <c r="A35" s="46" t="s">
        <v>782</v>
      </c>
      <c r="B35" s="137">
        <f>B34*12</f>
        <v>2763778.53</v>
      </c>
      <c r="I35" s="41" t="s">
        <v>783</v>
      </c>
    </row>
    <row r="36" ht="14.25" customHeight="1">
      <c r="A36" s="46" t="s">
        <v>784</v>
      </c>
      <c r="B36" s="137">
        <f>G20</f>
        <v>2274509.645</v>
      </c>
      <c r="I36" s="41" t="s">
        <v>785</v>
      </c>
    </row>
    <row r="37" ht="14.25" customHeight="1">
      <c r="A37" s="46" t="s">
        <v>786</v>
      </c>
      <c r="B37" s="82">
        <f>(E12-B7)/B7</f>
        <v>0.6098111581</v>
      </c>
      <c r="I37" s="41" t="s">
        <v>787</v>
      </c>
    </row>
    <row r="38" ht="14.25" customHeight="1">
      <c r="A38" s="46" t="s">
        <v>788</v>
      </c>
      <c r="B38" s="50">
        <f>'Forecast Assumptions'!B12+'Forecast Assumptions'!C12+'Forecast Assumptions'!D12+'Forecast Assumptions'!E12</f>
        <v>28</v>
      </c>
      <c r="I38" s="41" t="s">
        <v>789</v>
      </c>
    </row>
    <row r="39" ht="14.25" customHeight="1">
      <c r="A39" s="46" t="s">
        <v>790</v>
      </c>
      <c r="B39" s="137">
        <f>G25/B38</f>
        <v>14142.85714</v>
      </c>
      <c r="I39" s="41" t="s">
        <v>791</v>
      </c>
    </row>
    <row r="40" ht="14.25" customHeight="1">
      <c r="A40" s="46" t="s">
        <v>792</v>
      </c>
      <c r="B40" s="82">
        <f>(E12/B7)^(1/12)-1</f>
        <v>0.04047402916</v>
      </c>
      <c r="I40" s="41" t="s">
        <v>793</v>
      </c>
    </row>
    <row r="41" ht="14.25" customHeight="1"/>
    <row r="42" ht="14.25" customHeight="1"/>
    <row r="43" ht="14.25" customHeight="1">
      <c r="A43" s="139" t="s">
        <v>794</v>
      </c>
      <c r="B43" s="140"/>
      <c r="C43" s="140"/>
      <c r="D43" s="140"/>
      <c r="E43" s="141" t="s">
        <v>795</v>
      </c>
    </row>
    <row r="44" ht="14.25" customHeight="1">
      <c r="A44" s="142" t="s">
        <v>796</v>
      </c>
      <c r="B44" s="142" t="s">
        <v>797</v>
      </c>
      <c r="C44" s="142" t="s">
        <v>798</v>
      </c>
      <c r="D44" s="142" t="s">
        <v>799</v>
      </c>
    </row>
    <row r="45" ht="14.25" customHeight="1">
      <c r="A45" s="46" t="s">
        <v>741</v>
      </c>
      <c r="B45" s="69">
        <v>154354.15</v>
      </c>
      <c r="C45" s="143">
        <f>B12</f>
        <v>154354.1525</v>
      </c>
      <c r="D45" s="144" t="str">
        <f t="shared" ref="D45:D50" si="14">IF(ROUND(C45,2)=ROUND(B45,2),"✓","✗ diff: "&amp;TEXT(C45-B45,"$#,##0.00"))</f>
        <v>✓</v>
      </c>
    </row>
    <row r="46" ht="14.25" customHeight="1">
      <c r="A46" s="46" t="s">
        <v>800</v>
      </c>
      <c r="B46" s="69">
        <v>172782.38</v>
      </c>
      <c r="C46" s="143">
        <f>C12</f>
        <v>172782.3817</v>
      </c>
      <c r="D46" s="144" t="str">
        <f t="shared" si="14"/>
        <v>✓</v>
      </c>
    </row>
    <row r="47" ht="14.25" customHeight="1">
      <c r="A47" s="46" t="s">
        <v>801</v>
      </c>
      <c r="B47" s="69">
        <v>200718.47</v>
      </c>
      <c r="C47" s="143">
        <f>D12</f>
        <v>200718.4698</v>
      </c>
      <c r="D47" s="144" t="str">
        <f t="shared" si="14"/>
        <v>✓</v>
      </c>
    </row>
    <row r="48" ht="14.25" customHeight="1">
      <c r="A48" s="46" t="s">
        <v>802</v>
      </c>
      <c r="B48" s="69">
        <v>230314.88</v>
      </c>
      <c r="C48" s="143">
        <f>E12</f>
        <v>230314.8775</v>
      </c>
      <c r="D48" s="144" t="str">
        <f t="shared" si="14"/>
        <v>✓</v>
      </c>
    </row>
    <row r="49" ht="14.25" customHeight="1">
      <c r="A49" s="46" t="s">
        <v>784</v>
      </c>
      <c r="B49" s="69">
        <v>2274509.64</v>
      </c>
      <c r="C49" s="143">
        <f>G20</f>
        <v>2274509.645</v>
      </c>
      <c r="D49" s="144" t="str">
        <f t="shared" si="14"/>
        <v>✓</v>
      </c>
    </row>
    <row r="50" ht="14.25" customHeight="1">
      <c r="A50" s="46" t="s">
        <v>803</v>
      </c>
      <c r="B50" s="69">
        <v>668156.75</v>
      </c>
      <c r="C50" s="143">
        <f t="shared" ref="C50:C51" si="15">G30</f>
        <v>668156.7512</v>
      </c>
      <c r="D50" s="144" t="str">
        <f t="shared" si="14"/>
        <v>✓</v>
      </c>
    </row>
    <row r="51" ht="14.25" customHeight="1">
      <c r="A51" s="46" t="s">
        <v>804</v>
      </c>
      <c r="B51" s="145">
        <v>0.294</v>
      </c>
      <c r="C51" s="54">
        <f t="shared" si="15"/>
        <v>0.2937585922</v>
      </c>
      <c r="D51" s="144" t="str">
        <f>IF(ROUND(C51,3)=ROUND(B51,3),"✓","✗ diff: "&amp;TEXT(C51-B51,"0.0%"))</f>
        <v>✓</v>
      </c>
    </row>
    <row r="52" ht="14.25" customHeight="1">
      <c r="A52" s="46" t="s">
        <v>805</v>
      </c>
      <c r="B52" s="146">
        <v>28.0</v>
      </c>
      <c r="C52" s="147">
        <f t="shared" ref="C52:C54" si="16">B38</f>
        <v>28</v>
      </c>
      <c r="D52" s="144" t="str">
        <f>IF(C52=B52,"✓","✗ diff: "&amp;(C52-B52))</f>
        <v>✓</v>
      </c>
    </row>
    <row r="53" ht="14.25" customHeight="1">
      <c r="A53" s="46" t="s">
        <v>790</v>
      </c>
      <c r="B53" s="69">
        <v>14142.86</v>
      </c>
      <c r="C53" s="143">
        <f t="shared" si="16"/>
        <v>14142.85714</v>
      </c>
      <c r="D53" s="144" t="str">
        <f>IF(ROUND(C53,2)=ROUND(B53,2),"✓","✗ diff: "&amp;TEXT(C53-B53,"$#,##0.00"))</f>
        <v>✓</v>
      </c>
    </row>
    <row r="54" ht="14.25" customHeight="1">
      <c r="A54" s="46" t="s">
        <v>806</v>
      </c>
      <c r="B54" s="145">
        <v>0.04</v>
      </c>
      <c r="C54" s="54">
        <f t="shared" si="16"/>
        <v>0.04047402916</v>
      </c>
      <c r="D54" s="144" t="str">
        <f>IF(ROUND(C54,2)=ROUND(B54,2),"✓","✗ diff: "&amp;TEXT(C54-B54,"0.00%"))</f>
        <v>✓</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4806"/>
    <pageSetUpPr/>
  </sheetPr>
  <sheetViews>
    <sheetView workbookViewId="0"/>
  </sheetViews>
  <sheetFormatPr customHeight="1" defaultColWidth="14.43" defaultRowHeight="15.0"/>
  <cols>
    <col customWidth="1" min="1" max="1" width="29.14"/>
    <col customWidth="1" min="2" max="4" width="20.0"/>
    <col customWidth="1" min="5" max="5" width="23.57"/>
    <col customWidth="1" min="6" max="26" width="8.71"/>
  </cols>
  <sheetData>
    <row r="1" ht="14.25" customHeight="1">
      <c r="A1" s="148" t="s">
        <v>807</v>
      </c>
    </row>
    <row r="2" ht="14.25" customHeight="1"/>
    <row r="3" ht="14.25" customHeight="1">
      <c r="A3" s="149" t="s">
        <v>493</v>
      </c>
      <c r="B3" s="150" t="s">
        <v>808</v>
      </c>
      <c r="C3" s="150" t="s">
        <v>809</v>
      </c>
      <c r="D3" s="150" t="s">
        <v>810</v>
      </c>
      <c r="E3" s="151" t="s">
        <v>623</v>
      </c>
    </row>
    <row r="4" ht="14.25" customHeight="1">
      <c r="A4" s="8" t="s">
        <v>498</v>
      </c>
      <c r="B4" s="152">
        <f>'Jan 2026 A vs F '!B9</f>
        <v>144779.5</v>
      </c>
      <c r="C4" s="152">
        <f>'Feb 2026 A vs F'!B9</f>
        <v>150305.5</v>
      </c>
      <c r="D4" s="152">
        <f>'Mar 2026 A vs F'!B9</f>
        <v>153685.5</v>
      </c>
      <c r="E4" s="153">
        <f>'Mar 2026 A vs F'!B75</f>
        <v>153685.5</v>
      </c>
    </row>
    <row r="5" ht="14.25" customHeight="1">
      <c r="A5" s="8" t="s">
        <v>507</v>
      </c>
      <c r="B5" s="154">
        <f>'Jan 2026 A vs F '!B39</f>
        <v>39</v>
      </c>
      <c r="C5" s="154">
        <f>'Feb 2026 A vs F'!B30</f>
        <v>41</v>
      </c>
      <c r="D5" s="155">
        <f>'Mar 2026 A vs F'!B30</f>
        <v>42</v>
      </c>
      <c r="E5" s="156">
        <f>'Mar 2026 A vs F'!B30</f>
        <v>42</v>
      </c>
    </row>
    <row r="6" ht="14.25" customHeight="1">
      <c r="A6" s="8" t="s">
        <v>672</v>
      </c>
      <c r="B6" s="152">
        <f>'Jan 2026 A vs F '!B41</f>
        <v>3712.294872</v>
      </c>
      <c r="C6" s="152">
        <f>'Feb 2026 A vs F'!B32</f>
        <v>3665.987805</v>
      </c>
      <c r="D6" s="152">
        <f>'Mar 2026 A vs F'!B32</f>
        <v>3659.178571</v>
      </c>
      <c r="E6" s="153">
        <f>'Mar 2026 A vs F'!B75/'Mar 2026 A vs F'!B30</f>
        <v>3659.178571</v>
      </c>
    </row>
    <row r="7" ht="14.25" customHeight="1">
      <c r="A7" s="8" t="s">
        <v>674</v>
      </c>
      <c r="B7" s="157">
        <f>'Jan 2026 A vs F '!B42</f>
        <v>0.7</v>
      </c>
      <c r="C7" s="157">
        <f>'Feb 2026 A vs F'!B33</f>
        <v>0.7</v>
      </c>
      <c r="D7" s="157">
        <f>'Mar 2026 A vs F'!B33</f>
        <v>0.7</v>
      </c>
      <c r="E7" s="158">
        <f>'Mar 2026 A vs F'!B82</f>
        <v>0.7</v>
      </c>
    </row>
    <row r="8" ht="14.25" customHeight="1">
      <c r="A8" s="8" t="s">
        <v>676</v>
      </c>
      <c r="B8" s="157">
        <f>'Jan 2026 A vs F '!B43</f>
        <v>1</v>
      </c>
      <c r="C8" s="157">
        <f>'Feb 2026 A vs F'!B34</f>
        <v>0.9961081974</v>
      </c>
      <c r="D8" s="157">
        <f>'Mar 2026 A vs F'!B34</f>
        <v>1</v>
      </c>
      <c r="E8" s="159">
        <f>'Mar 2026 A vs F'!B34</f>
        <v>1</v>
      </c>
    </row>
    <row r="9" ht="14.25" customHeight="1">
      <c r="A9" s="8" t="s">
        <v>678</v>
      </c>
      <c r="B9" s="157">
        <f>'Jan 2026 A vs F '!B44</f>
        <v>1</v>
      </c>
      <c r="C9" s="157">
        <f>'Feb 2026 A vs F'!B35</f>
        <v>0.9961081974</v>
      </c>
      <c r="D9" s="157">
        <f>'Mar 2026 A vs F'!B35</f>
        <v>1.002402714</v>
      </c>
      <c r="E9" s="158">
        <f>'Mar 2026 A vs F'!B35</f>
        <v>1.002402714</v>
      </c>
    </row>
    <row r="10" ht="14.25" customHeight="1">
      <c r="A10" s="8" t="s">
        <v>679</v>
      </c>
      <c r="B10" s="8"/>
      <c r="C10" s="160">
        <f>'Feb 2026 A vs F'!B36</f>
        <v>10.3030303</v>
      </c>
      <c r="D10" s="8" t="str">
        <f>'Mar 2026 A vs F'!B36</f>
        <v>N/A — no losses</v>
      </c>
      <c r="E10" s="161" t="s">
        <v>687</v>
      </c>
    </row>
    <row r="11" ht="14.25" customHeight="1">
      <c r="A11" s="8" t="s">
        <v>682</v>
      </c>
      <c r="B11" s="162">
        <f>'Jan 2026 A vs F '!B46</f>
        <v>30000</v>
      </c>
      <c r="C11" s="162">
        <f>'Feb 2026 A vs F'!B37</f>
        <v>31000</v>
      </c>
      <c r="D11" s="162">
        <f>'Mar 2026 A vs F'!B37</f>
        <v>29000</v>
      </c>
      <c r="E11" s="163">
        <f>'Mar 2026 A vs F'!B83</f>
        <v>90000</v>
      </c>
    </row>
    <row r="12" ht="14.25" customHeight="1">
      <c r="A12" s="8" t="s">
        <v>811</v>
      </c>
      <c r="B12" s="162">
        <f>'Jan 2026 A vs F '!B47</f>
        <v>30000</v>
      </c>
      <c r="C12" s="162">
        <f>'Feb 2026 A vs F'!B38</f>
        <v>15500</v>
      </c>
      <c r="D12" s="162">
        <f>'Mar 2026 A vs F'!B38</f>
        <v>14500</v>
      </c>
      <c r="E12" s="164">
        <f>'Mar 2026 A vs F'!B92</f>
        <v>18000</v>
      </c>
    </row>
    <row r="13" ht="14.25" customHeight="1">
      <c r="A13" s="165" t="s">
        <v>812</v>
      </c>
      <c r="B13" s="166">
        <v>0.0</v>
      </c>
      <c r="C13" s="166"/>
      <c r="D13" s="166"/>
      <c r="E13" s="167">
        <f>'Mar 2026 A vs F'!B92</f>
        <v>18000</v>
      </c>
    </row>
    <row r="14" ht="14.25" customHeight="1">
      <c r="A14" s="165" t="s">
        <v>686</v>
      </c>
      <c r="B14" s="166">
        <v>0.0</v>
      </c>
      <c r="C14" s="166"/>
      <c r="D14" s="166"/>
      <c r="E14" s="168">
        <f>'Mar 2026 A vs F'!B93</f>
        <v>51411.58727</v>
      </c>
    </row>
    <row r="15" ht="14.25" customHeight="1">
      <c r="A15" s="165" t="s">
        <v>689</v>
      </c>
      <c r="B15" s="166">
        <v>0.0</v>
      </c>
      <c r="C15" s="166"/>
      <c r="D15" s="166"/>
      <c r="E15" s="169">
        <f>'Mar 2026 A vs F'!B94</f>
        <v>2.856199293</v>
      </c>
    </row>
    <row r="16" ht="14.25" customHeight="1">
      <c r="A16" s="165" t="s">
        <v>690</v>
      </c>
      <c r="B16" s="166">
        <v>0.0</v>
      </c>
      <c r="C16" s="166"/>
      <c r="D16" s="166"/>
      <c r="E16" s="170">
        <f>'Mar 2026 A vs F'!B95</f>
        <v>7.027338298</v>
      </c>
    </row>
    <row r="17" ht="14.25" customHeight="1"/>
    <row r="18" ht="30.0" customHeight="1">
      <c r="A18" s="171" t="s">
        <v>813</v>
      </c>
      <c r="B18" s="58"/>
      <c r="C18" s="59"/>
      <c r="D18" s="172"/>
      <c r="E18" s="172"/>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8:C18"/>
  </mergeCell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5867"/>
    <pageSetUpPr/>
  </sheetPr>
  <sheetViews>
    <sheetView workbookViewId="0"/>
  </sheetViews>
  <sheetFormatPr customHeight="1" defaultColWidth="14.43" defaultRowHeight="15.0"/>
  <cols>
    <col customWidth="1" min="1" max="1" width="8.86"/>
    <col customWidth="1" min="2" max="2" width="15.0"/>
    <col customWidth="1" min="3" max="4" width="10.86"/>
    <col customWidth="1" min="5" max="5" width="10.43"/>
    <col customWidth="1" min="6" max="26" width="8.71"/>
  </cols>
  <sheetData>
    <row r="1" ht="14.25" customHeight="1">
      <c r="A1" s="7" t="s">
        <v>814</v>
      </c>
      <c r="B1" s="7" t="s">
        <v>735</v>
      </c>
      <c r="C1" s="7" t="s">
        <v>815</v>
      </c>
      <c r="D1" s="7" t="s">
        <v>816</v>
      </c>
      <c r="E1" s="7" t="s">
        <v>817</v>
      </c>
    </row>
    <row r="2" ht="14.25" customHeight="1">
      <c r="A2" s="173">
        <v>46023.0</v>
      </c>
      <c r="B2" s="8" t="s">
        <v>494</v>
      </c>
      <c r="C2" s="152">
        <f>'Jan 2026 A vs F '!B3</f>
        <v>143069.5</v>
      </c>
      <c r="D2" s="152">
        <f>'Jan 2026 A vs F '!C3</f>
        <v>143069.5</v>
      </c>
      <c r="E2" s="152">
        <f>'Jan 2026 A vs F '!D3</f>
        <v>0</v>
      </c>
    </row>
    <row r="3" ht="14.25" customHeight="1">
      <c r="A3" s="173">
        <v>46023.0</v>
      </c>
      <c r="B3" s="8" t="s">
        <v>495</v>
      </c>
      <c r="C3" s="152">
        <f>'Jan 2026 A vs F '!B4</f>
        <v>1710</v>
      </c>
      <c r="D3" s="152">
        <f>'Jan 2026 A vs F '!C4</f>
        <v>4000</v>
      </c>
      <c r="E3" s="152">
        <f>'Jan 2026 A vs F '!D4</f>
        <v>-2290</v>
      </c>
    </row>
    <row r="4" ht="14.25" customHeight="1">
      <c r="A4" s="173">
        <v>46023.0</v>
      </c>
      <c r="B4" s="8" t="s">
        <v>496</v>
      </c>
      <c r="C4" s="152">
        <f>'Jan 2026 A vs F '!B5</f>
        <v>0</v>
      </c>
      <c r="D4" s="152">
        <f>'Jan 2026 A vs F '!C5</f>
        <v>715.3475</v>
      </c>
      <c r="E4" s="152">
        <f>'Jan 2026 A vs F '!D5</f>
        <v>-715.3475</v>
      </c>
    </row>
    <row r="5" ht="14.25" customHeight="1">
      <c r="A5" s="173">
        <v>46023.0</v>
      </c>
      <c r="B5" s="8" t="s">
        <v>818</v>
      </c>
      <c r="C5" s="152">
        <f>'Jan 2026 A vs F '!B6</f>
        <v>0</v>
      </c>
      <c r="D5" s="152">
        <f>'Jan 2026 A vs F '!C6</f>
        <v>0</v>
      </c>
      <c r="E5" s="152">
        <f>C5-D5</f>
        <v>0</v>
      </c>
    </row>
    <row r="6" ht="14.25" customHeight="1">
      <c r="A6" s="173">
        <v>46023.0</v>
      </c>
      <c r="B6" s="8" t="s">
        <v>497</v>
      </c>
      <c r="C6" s="152">
        <f>'Jan 2026 A vs F '!B7</f>
        <v>0</v>
      </c>
      <c r="D6" s="152">
        <f>'Jan 2026 A vs F '!C7</f>
        <v>953.7966667</v>
      </c>
      <c r="E6" s="153">
        <f>D6-C6</f>
        <v>953.7966667</v>
      </c>
    </row>
    <row r="7" ht="14.25" customHeight="1">
      <c r="A7" s="173">
        <v>46023.0</v>
      </c>
      <c r="B7" s="8" t="s">
        <v>570</v>
      </c>
      <c r="C7" s="152">
        <f>'Jan 2026 A vs F '!B8</f>
        <v>1710</v>
      </c>
      <c r="D7" s="152">
        <f>'Jan 2026 A vs F '!C8</f>
        <v>3761.550833</v>
      </c>
      <c r="E7" s="152">
        <f>'Jan 2026 A vs F '!D8</f>
        <v>-2051.550833</v>
      </c>
    </row>
    <row r="8" ht="14.25" customHeight="1">
      <c r="A8" s="173">
        <v>46023.0</v>
      </c>
      <c r="B8" s="8" t="s">
        <v>498</v>
      </c>
      <c r="C8" s="152">
        <f>'Jan 2026 A vs F '!B9</f>
        <v>144779.5</v>
      </c>
      <c r="D8" s="152">
        <f>'Jan 2026 A vs F '!C9</f>
        <v>146831.0508</v>
      </c>
      <c r="E8" s="152">
        <f>'Jan 2026 A vs F '!D9</f>
        <v>-2051.550833</v>
      </c>
    </row>
    <row r="9" ht="14.25" customHeight="1">
      <c r="A9" s="173" t="str">
        <f t="shared" ref="A9:A15" si="1">TEXT(DATE(2026,2,1),"mmm-yy")</f>
        <v>Feb-26</v>
      </c>
      <c r="B9" s="174" t="s">
        <v>494</v>
      </c>
      <c r="C9" s="153">
        <f>'Feb 2026 A vs F'!B3</f>
        <v>144779.5</v>
      </c>
      <c r="D9" s="153">
        <f>'Feb 2026 A vs F'!C3</f>
        <v>146831.05</v>
      </c>
      <c r="E9" s="153">
        <f t="shared" ref="E9:E11" si="2">C9-D9</f>
        <v>-2051.55</v>
      </c>
    </row>
    <row r="10" ht="14.25" customHeight="1">
      <c r="A10" s="173" t="str">
        <f t="shared" si="1"/>
        <v>Feb-26</v>
      </c>
      <c r="B10" s="175" t="s">
        <v>495</v>
      </c>
      <c r="C10" s="176">
        <f>'Feb 2026 A vs F'!B4</f>
        <v>6120</v>
      </c>
      <c r="D10" s="176">
        <f>'Feb 2026 A vs F'!C4</f>
        <v>4000</v>
      </c>
      <c r="E10" s="176">
        <f t="shared" si="2"/>
        <v>2120</v>
      </c>
    </row>
    <row r="11" ht="14.25" customHeight="1">
      <c r="A11" s="173" t="str">
        <f t="shared" si="1"/>
        <v>Feb-26</v>
      </c>
      <c r="B11" s="174" t="s">
        <v>496</v>
      </c>
      <c r="C11" s="153">
        <f>'Feb 2026 A vs F'!B5</f>
        <v>0</v>
      </c>
      <c r="D11" s="153">
        <f>'Feb 2026 A vs F'!C5</f>
        <v>715.3475</v>
      </c>
      <c r="E11" s="153">
        <f t="shared" si="2"/>
        <v>-715.3475</v>
      </c>
    </row>
    <row r="12" ht="14.25" customHeight="1">
      <c r="A12" s="173" t="str">
        <f t="shared" si="1"/>
        <v>Feb-26</v>
      </c>
      <c r="B12" s="175" t="s">
        <v>818</v>
      </c>
      <c r="C12" s="176">
        <f>'Feb 2026 A vs F'!B6</f>
        <v>0</v>
      </c>
      <c r="D12" s="176">
        <f>'Feb 2026 A vs F'!C6</f>
        <v>0</v>
      </c>
      <c r="E12" s="176">
        <f t="shared" ref="E12:E13" si="3">D12-C12</f>
        <v>0</v>
      </c>
    </row>
    <row r="13" ht="14.25" customHeight="1">
      <c r="A13" s="173" t="str">
        <f t="shared" si="1"/>
        <v>Feb-26</v>
      </c>
      <c r="B13" s="174" t="s">
        <v>497</v>
      </c>
      <c r="C13" s="153">
        <f>'Feb 2026 A vs F'!B7</f>
        <v>594</v>
      </c>
      <c r="D13" s="153">
        <f>'Feb 2026 A vs F'!C7</f>
        <v>953.7966667</v>
      </c>
      <c r="E13" s="153">
        <f t="shared" si="3"/>
        <v>359.7966667</v>
      </c>
    </row>
    <row r="14" ht="14.25" customHeight="1">
      <c r="A14" s="173" t="str">
        <f t="shared" si="1"/>
        <v>Feb-26</v>
      </c>
      <c r="B14" s="175" t="s">
        <v>570</v>
      </c>
      <c r="C14" s="176">
        <f>'Feb 2026 A vs F'!B8</f>
        <v>5526</v>
      </c>
      <c r="D14" s="176">
        <f>'Feb 2026 A vs F'!C8</f>
        <v>3761.550833</v>
      </c>
      <c r="E14" s="176">
        <f t="shared" ref="E14:E15" si="4">C14-D14</f>
        <v>1764.449167</v>
      </c>
    </row>
    <row r="15" ht="14.25" customHeight="1">
      <c r="A15" s="173" t="str">
        <f t="shared" si="1"/>
        <v>Feb-26</v>
      </c>
      <c r="B15" s="174" t="s">
        <v>498</v>
      </c>
      <c r="C15" s="153">
        <f>'Feb 2026 A vs F'!B9</f>
        <v>150305.5</v>
      </c>
      <c r="D15" s="153">
        <f>'Feb 2026 A vs F'!C9</f>
        <v>150592.6008</v>
      </c>
      <c r="E15" s="153">
        <f t="shared" si="4"/>
        <v>-287.1008333</v>
      </c>
    </row>
    <row r="16" ht="14.25" customHeight="1">
      <c r="A16" s="173" t="str">
        <f t="shared" ref="A16:A22" si="5">TEXT(DATE(2026,3,1),"mmm-yy")</f>
        <v>Mar-26</v>
      </c>
      <c r="B16" s="177" t="s">
        <v>494</v>
      </c>
      <c r="C16" s="178">
        <f>'Mar 2026 A vs F'!B3</f>
        <v>150305.5</v>
      </c>
      <c r="D16" s="178">
        <f>'Mar 2026 A vs F'!C3</f>
        <v>150592.6</v>
      </c>
      <c r="E16" s="179">
        <f>'Mar 2026 A vs F'!D3</f>
        <v>-287.1</v>
      </c>
    </row>
    <row r="17" ht="14.25" customHeight="1">
      <c r="A17" s="173" t="str">
        <f t="shared" si="5"/>
        <v>Mar-26</v>
      </c>
      <c r="B17" s="180" t="s">
        <v>495</v>
      </c>
      <c r="C17" s="181">
        <f>'Mar 2026 A vs F'!B4</f>
        <v>3000</v>
      </c>
      <c r="D17" s="181">
        <f>'Mar 2026 A vs F'!C4</f>
        <v>4000</v>
      </c>
      <c r="E17" s="182">
        <f>'Mar 2026 A vs F'!D4</f>
        <v>-1000</v>
      </c>
    </row>
    <row r="18" ht="14.25" customHeight="1">
      <c r="A18" s="173" t="str">
        <f t="shared" si="5"/>
        <v>Mar-26</v>
      </c>
      <c r="B18" s="183" t="s">
        <v>496</v>
      </c>
      <c r="C18" s="184">
        <f>'Mar 2026 A vs F'!B5</f>
        <v>380</v>
      </c>
      <c r="D18" s="184">
        <f>'Mar 2026 A vs F'!C5</f>
        <v>715.3475</v>
      </c>
      <c r="E18" s="185">
        <f>'Mar 2026 A vs F'!D5</f>
        <v>-335.3475</v>
      </c>
      <c r="I18" s="5" t="s">
        <v>726</v>
      </c>
    </row>
    <row r="19" ht="14.25" customHeight="1">
      <c r="A19" s="173" t="str">
        <f t="shared" si="5"/>
        <v>Mar-26</v>
      </c>
      <c r="B19" s="186" t="s">
        <v>818</v>
      </c>
      <c r="C19" s="187">
        <f>'Mar 2026 A vs F'!B6</f>
        <v>0</v>
      </c>
      <c r="D19" s="187">
        <f>'Mar 2026 A vs F'!C6</f>
        <v>0</v>
      </c>
      <c r="E19" s="188">
        <f>D19-C19</f>
        <v>0</v>
      </c>
    </row>
    <row r="20" ht="14.25" customHeight="1">
      <c r="A20" s="173" t="str">
        <f t="shared" si="5"/>
        <v>Mar-26</v>
      </c>
      <c r="B20" s="183" t="s">
        <v>497</v>
      </c>
      <c r="C20" s="184">
        <f>'Mar 2026 A vs F'!B7</f>
        <v>0</v>
      </c>
      <c r="D20" s="184">
        <f>'Mar 2026 A vs F'!C7</f>
        <v>953.7966667</v>
      </c>
      <c r="E20" s="185">
        <f>'Mar 2026 A vs F'!D7</f>
        <v>953.7966667</v>
      </c>
    </row>
    <row r="21" ht="14.25" customHeight="1">
      <c r="A21" s="173" t="str">
        <f t="shared" si="5"/>
        <v>Mar-26</v>
      </c>
      <c r="B21" s="186" t="s">
        <v>570</v>
      </c>
      <c r="C21" s="187">
        <f>'Mar 2026 A vs F'!B8</f>
        <v>3380</v>
      </c>
      <c r="D21" s="187">
        <f>'Mar 2026 A vs F'!C8</f>
        <v>3761.550833</v>
      </c>
      <c r="E21" s="188">
        <f>'Mar 2026 A vs F'!D8</f>
        <v>-381.5508333</v>
      </c>
    </row>
    <row r="22" ht="14.25" customHeight="1">
      <c r="A22" s="173" t="str">
        <f t="shared" si="5"/>
        <v>Mar-26</v>
      </c>
      <c r="B22" s="189" t="s">
        <v>498</v>
      </c>
      <c r="C22" s="190">
        <f>'Mar 2026 A vs F'!B9</f>
        <v>153685.5</v>
      </c>
      <c r="D22" s="190">
        <f>'Mar 2026 A vs F'!C9</f>
        <v>154354.1508</v>
      </c>
      <c r="E22" s="191">
        <f>'Mar 2026 A vs F'!D9</f>
        <v>-668.6508333</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5.86"/>
    <col customWidth="1" min="3" max="3" width="13.14"/>
    <col customWidth="1" min="4" max="4" width="24.43"/>
    <col customWidth="1" min="5" max="5" width="14.43"/>
    <col customWidth="1" min="6" max="6" width="8.29"/>
    <col customWidth="1" min="7" max="7" width="12.0"/>
    <col customWidth="1" min="8" max="8" width="14.0"/>
    <col customWidth="1" min="9" max="9" width="14.43"/>
    <col customWidth="1" min="10" max="10" width="17.0"/>
    <col customWidth="1" min="11" max="11" width="15.0"/>
    <col customWidth="1" min="12" max="12" width="53.86"/>
    <col customWidth="1" min="13" max="13" width="17.0"/>
    <col customWidth="1" min="14" max="14" width="13.43"/>
    <col customWidth="1" min="15" max="15" width="7.29"/>
    <col customWidth="1" min="16" max="16" width="15.0"/>
    <col customWidth="1" min="17" max="17" width="17.43"/>
    <col customWidth="1" min="18" max="18" width="11.71"/>
    <col customWidth="1" min="19" max="20" width="10.86"/>
    <col customWidth="1" min="21" max="21" width="12.29"/>
    <col customWidth="1" min="22" max="22" width="17.57"/>
    <col customWidth="1" min="23" max="26" width="8.71"/>
  </cols>
  <sheetData>
    <row r="1" ht="14.25" customHeight="1">
      <c r="A1" s="5" t="s">
        <v>819</v>
      </c>
      <c r="B1" s="5" t="s">
        <v>33</v>
      </c>
      <c r="C1" s="5" t="s">
        <v>31</v>
      </c>
      <c r="D1" s="5" t="s">
        <v>820</v>
      </c>
      <c r="E1" s="5" t="s">
        <v>821</v>
      </c>
      <c r="F1" s="5" t="s">
        <v>822</v>
      </c>
      <c r="G1" s="5" t="s">
        <v>823</v>
      </c>
      <c r="H1" s="5" t="s">
        <v>824</v>
      </c>
      <c r="I1" s="5" t="s">
        <v>825</v>
      </c>
      <c r="J1" s="5" t="s">
        <v>826</v>
      </c>
      <c r="K1" s="5" t="s">
        <v>827</v>
      </c>
      <c r="L1" s="5" t="s">
        <v>828</v>
      </c>
      <c r="M1" s="5" t="s">
        <v>34</v>
      </c>
      <c r="N1" s="5" t="s">
        <v>35</v>
      </c>
      <c r="O1" s="5" t="s">
        <v>38</v>
      </c>
      <c r="P1" s="5" t="s">
        <v>829</v>
      </c>
      <c r="Q1" s="5" t="s">
        <v>830</v>
      </c>
      <c r="R1" s="5" t="s">
        <v>831</v>
      </c>
      <c r="S1" s="192" t="s">
        <v>832</v>
      </c>
      <c r="T1" s="25" t="s">
        <v>833</v>
      </c>
      <c r="U1" s="25" t="s">
        <v>834</v>
      </c>
      <c r="V1" s="25" t="s">
        <v>835</v>
      </c>
    </row>
    <row r="2" ht="14.25" customHeight="1">
      <c r="A2" s="5" t="s">
        <v>836</v>
      </c>
      <c r="B2" s="5" t="s">
        <v>837</v>
      </c>
      <c r="C2" s="5" t="s">
        <v>146</v>
      </c>
      <c r="D2" s="5" t="s">
        <v>147</v>
      </c>
      <c r="E2" s="5" t="s">
        <v>838</v>
      </c>
      <c r="F2" s="193">
        <v>45292.0</v>
      </c>
      <c r="G2" s="194">
        <v>45299.0</v>
      </c>
      <c r="H2" s="5" t="s">
        <v>839</v>
      </c>
      <c r="M2" s="5" t="s">
        <v>119</v>
      </c>
      <c r="N2" s="5" t="s">
        <v>53</v>
      </c>
      <c r="O2" s="5">
        <v>20.0</v>
      </c>
      <c r="P2" s="5">
        <v>95.0</v>
      </c>
      <c r="Q2" s="5">
        <v>0.0</v>
      </c>
      <c r="R2" s="5" t="str">
        <f t="array" ref="R2">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195">
        <f t="array" ref="S2">IF(N2="Monthly",IFS(H2="created",O2*P2*(1-Q2/100),H2="cancelled",-(O2*P2*(1-Q2/100)),H2="seats_change",(J2-I2)*P2*(1-Q2/100),H2="price_change",(J2-I2)*O2*(1-Q2/100),H2="discount_added",-(O2*P2*(J2-I2)/100),H2="plan_upgrade",O2*(XLOOKUP(J2,$M:$M,$P:$P)-XLOOKUP(I2,$M:$M,$P:$P))*(1-Q2/100),H2="plan_downgrade",O2*(XLOOKUP(J2,$M:$M,$P:$P)-XLOOKUP(I2,$M:$M,$P:$P))*(1-Q2/100)),IFS(H2="created",O2*P2*(1-Q2/100)/12,H2="cancelled",-(O2*P2*(1-Q2/100))/12,H2="seats_change",(J2-I2)*P2*(1-Q2/100)/12,H2="price_change",(J2-I2)*O2*(1-Q2/100)/12,H2="plan_upgrade",(O2*(XLOOKUP(J2,$M:$M,$P:$P)-XLOOKUP(I2,$M:$M,$P:$P))*(1-Q2/100))/12,H2="plan_downgrade",(O2*(XLOOKUP(J2,$M:$M,$P:$P)-XLOOKUP(I2,$M:$M,$P:$P))*(1-Q2/100))/12,H2="discount_added",-(O2*P2*(J2-I2)/100)/12))</f>
        <v>1900</v>
      </c>
      <c r="T2" s="5">
        <f t="shared" ref="T2:T102" si="1">IF(H2&lt;&gt;"created",0,IF(COUNTIFS($C$1:C1,$C2,$H$1:H1,"created")=0,1,0))</f>
        <v>1</v>
      </c>
      <c r="U2" s="5">
        <f t="shared" ref="U2:U102" si="2">IF(H2&lt;&gt;"cancelled",0,IF(COUNTIFS($C$2:$C$102,$C2,$H$2:$H$102,"created",$F$2:$F$102,"&lt;="&amp;F2)-COUNTIFS($C$2:$C$102,$C2,$H$2:$H$102,"cancelled",$F$2:$F$102,"&lt;="&amp;F2)=0,1,0))</f>
        <v>0</v>
      </c>
      <c r="V2" s="5">
        <f t="shared" ref="V2:V102" si="3">IF(AND(H2="created",T2=0,COUNTIFS($C$2:$C$102,$C2,$H$2:$H$102,"cancelled",$F$2:$F$102,"&lt;"&amp;F2)&gt;0,COUNTIFS($C$2:$C$102,$C2,$H$2:$H$102,"created",$F$2:$F$102,"&lt;"&amp;F2)-COUNTIFS($C$2:$C$102,$C2,$H$2:$H$102,"cancelled",$F$2:$F$102,"&lt;"&amp;F2)=0),1,0)</f>
        <v>0</v>
      </c>
    </row>
    <row r="3" ht="14.25" customHeight="1">
      <c r="A3" s="5" t="s">
        <v>840</v>
      </c>
      <c r="B3" s="5" t="s">
        <v>208</v>
      </c>
      <c r="C3" s="5" t="s">
        <v>206</v>
      </c>
      <c r="D3" s="5" t="s">
        <v>207</v>
      </c>
      <c r="E3" s="5" t="s">
        <v>841</v>
      </c>
      <c r="F3" s="193">
        <v>45292.0</v>
      </c>
      <c r="G3" s="194">
        <v>45313.0</v>
      </c>
      <c r="H3" s="5" t="s">
        <v>839</v>
      </c>
      <c r="M3" s="5" t="s">
        <v>209</v>
      </c>
      <c r="N3" s="5" t="s">
        <v>210</v>
      </c>
      <c r="O3" s="5">
        <v>26.0</v>
      </c>
      <c r="P3" s="5">
        <v>1800.0</v>
      </c>
      <c r="Q3" s="5">
        <v>0.0</v>
      </c>
      <c r="R3" s="5" t="str">
        <f t="array" ref="R3">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195">
        <f t="array" ref="S3">IF(N3="Monthly",IFS(H3="created",O3*P3*(1-Q3/100),H3="cancelled",-(O3*P3*(1-Q3/100)),H3="seats_change",(J3-I3)*P3*(1-Q3/100),H3="price_change",(J3-I3)*O3*(1-Q3/100),H3="discount_added",-(O3*P3*(J3-I3)/100),H3="plan_upgrade",O3*(XLOOKUP(J3,$M:$M,$P:$P)-XLOOKUP(I3,$M:$M,$P:$P))*(1-Q3/100),H3="plan_downgrade",O3*(XLOOKUP(J3,$M:$M,$P:$P)-XLOOKUP(I3,$M:$M,$P:$P))*(1-Q3/100)),IFS(H3="created",O3*P3*(1-Q3/100)/12,H3="cancelled",-(O3*P3*(1-Q3/100))/12,H3="seats_change",(J3-I3)*P3*(1-Q3/100)/12,H3="price_change",(J3-I3)*O3*(1-Q3/100)/12,H3="plan_upgrade",(O3*(XLOOKUP(J3,$M:$M,$P:$P)-XLOOKUP(I3,$M:$M,$P:$P))*(1-Q3/100))/12,H3="plan_downgrade",(O3*(XLOOKUP(J3,$M:$M,$P:$P)-XLOOKUP(I3,$M:$M,$P:$P))*(1-Q3/100))/12,H3="discount_added",-(O3*P3*(J3-I3)/100)/12))</f>
        <v>3900</v>
      </c>
      <c r="T3" s="5">
        <f t="shared" si="1"/>
        <v>1</v>
      </c>
      <c r="U3" s="5">
        <f t="shared" si="2"/>
        <v>0</v>
      </c>
      <c r="V3" s="5">
        <f t="shared" si="3"/>
        <v>0</v>
      </c>
    </row>
    <row r="4" ht="14.25" customHeight="1">
      <c r="A4" s="5" t="s">
        <v>842</v>
      </c>
      <c r="B4" s="5" t="s">
        <v>74</v>
      </c>
      <c r="C4" s="5" t="s">
        <v>72</v>
      </c>
      <c r="D4" s="5" t="s">
        <v>73</v>
      </c>
      <c r="E4" s="5" t="s">
        <v>838</v>
      </c>
      <c r="F4" s="193">
        <v>45323.0</v>
      </c>
      <c r="G4" s="194">
        <v>45327.0</v>
      </c>
      <c r="H4" s="5" t="s">
        <v>839</v>
      </c>
      <c r="M4" s="5" t="s">
        <v>52</v>
      </c>
      <c r="N4" s="5" t="s">
        <v>53</v>
      </c>
      <c r="O4" s="5">
        <v>23.0</v>
      </c>
      <c r="P4" s="5">
        <v>85.0</v>
      </c>
      <c r="Q4" s="5">
        <v>0.0</v>
      </c>
      <c r="R4" s="5" t="str">
        <f t="array" ref="R4">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195">
        <f t="array" ref="S4">IF(N4="Monthly",IFS(H4="created",O4*P4*(1-Q4/100),H4="cancelled",-(O4*P4*(1-Q4/100)),H4="seats_change",(J4-I4)*P4*(1-Q4/100),H4="price_change",(J4-I4)*O4*(1-Q4/100),H4="discount_added",-(O4*P4*(J4-I4)/100),H4="plan_upgrade",O4*(XLOOKUP(J4,$M:$M,$P:$P)-XLOOKUP(I4,$M:$M,$P:$P))*(1-Q4/100),H4="plan_downgrade",O4*(XLOOKUP(J4,$M:$M,$P:$P)-XLOOKUP(I4,$M:$M,$P:$P))*(1-Q4/100)),IFS(H4="created",O4*P4*(1-Q4/100)/12,H4="cancelled",-(O4*P4*(1-Q4/100))/12,H4="seats_change",(J4-I4)*P4*(1-Q4/100)/12,H4="price_change",(J4-I4)*O4*(1-Q4/100)/12,H4="plan_upgrade",(O4*(XLOOKUP(J4,$M:$M,$P:$P)-XLOOKUP(I4,$M:$M,$P:$P))*(1-Q4/100))/12,H4="plan_downgrade",(O4*(XLOOKUP(J4,$M:$M,$P:$P)-XLOOKUP(I4,$M:$M,$P:$P))*(1-Q4/100))/12,H4="discount_added",-(O4*P4*(J4-I4)/100)/12))</f>
        <v>1955</v>
      </c>
      <c r="T4" s="5">
        <f t="shared" si="1"/>
        <v>1</v>
      </c>
      <c r="U4" s="5">
        <f t="shared" si="2"/>
        <v>0</v>
      </c>
      <c r="V4" s="5">
        <f t="shared" si="3"/>
        <v>0</v>
      </c>
    </row>
    <row r="5" ht="14.25" customHeight="1">
      <c r="A5" s="5" t="s">
        <v>843</v>
      </c>
      <c r="B5" s="5" t="s">
        <v>181</v>
      </c>
      <c r="C5" s="5" t="s">
        <v>179</v>
      </c>
      <c r="D5" s="5" t="s">
        <v>180</v>
      </c>
      <c r="E5" s="5" t="s">
        <v>841</v>
      </c>
      <c r="F5" s="193">
        <v>45323.0</v>
      </c>
      <c r="G5" s="194">
        <v>45341.0</v>
      </c>
      <c r="H5" s="5" t="s">
        <v>839</v>
      </c>
      <c r="M5" s="5" t="s">
        <v>93</v>
      </c>
      <c r="N5" s="5" t="s">
        <v>53</v>
      </c>
      <c r="O5" s="5">
        <v>18.0</v>
      </c>
      <c r="P5" s="5">
        <v>110.0</v>
      </c>
      <c r="Q5" s="5">
        <v>0.0</v>
      </c>
      <c r="R5" s="5" t="str">
        <f t="array" ref="R5">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195">
        <f t="array" ref="S5">IF(N5="Monthly",IFS(H5="created",O5*P5*(1-Q5/100),H5="cancelled",-(O5*P5*(1-Q5/100)),H5="seats_change",(J5-I5)*P5*(1-Q5/100),H5="price_change",(J5-I5)*O5*(1-Q5/100),H5="discount_added",-(O5*P5*(J5-I5)/100),H5="plan_upgrade",O5*(XLOOKUP(J5,$M:$M,$P:$P)-XLOOKUP(I5,$M:$M,$P:$P))*(1-Q5/100),H5="plan_downgrade",O5*(XLOOKUP(J5,$M:$M,$P:$P)-XLOOKUP(I5,$M:$M,$P:$P))*(1-Q5/100)),IFS(H5="created",O5*P5*(1-Q5/100)/12,H5="cancelled",-(O5*P5*(1-Q5/100))/12,H5="seats_change",(J5-I5)*P5*(1-Q5/100)/12,H5="price_change",(J5-I5)*O5*(1-Q5/100)/12,H5="plan_upgrade",(O5*(XLOOKUP(J5,$M:$M,$P:$P)-XLOOKUP(I5,$M:$M,$P:$P))*(1-Q5/100))/12,H5="plan_downgrade",(O5*(XLOOKUP(J5,$M:$M,$P:$P)-XLOOKUP(I5,$M:$M,$P:$P))*(1-Q5/100))/12,H5="discount_added",-(O5*P5*(J5-I5)/100)/12))</f>
        <v>1980</v>
      </c>
      <c r="T5" s="5">
        <f t="shared" si="1"/>
        <v>1</v>
      </c>
      <c r="U5" s="5">
        <f t="shared" si="2"/>
        <v>0</v>
      </c>
      <c r="V5" s="5">
        <f t="shared" si="3"/>
        <v>0</v>
      </c>
    </row>
    <row r="6" ht="14.25" customHeight="1">
      <c r="A6" s="5" t="s">
        <v>844</v>
      </c>
      <c r="B6" s="5" t="s">
        <v>845</v>
      </c>
      <c r="C6" s="5" t="s">
        <v>179</v>
      </c>
      <c r="D6" s="5" t="s">
        <v>180</v>
      </c>
      <c r="E6" s="5" t="s">
        <v>841</v>
      </c>
      <c r="F6" s="193">
        <v>45323.0</v>
      </c>
      <c r="G6" s="194">
        <v>45341.0</v>
      </c>
      <c r="H6" s="5" t="s">
        <v>839</v>
      </c>
      <c r="M6" s="5" t="s">
        <v>64</v>
      </c>
      <c r="N6" s="5" t="s">
        <v>53</v>
      </c>
      <c r="O6" s="5">
        <v>26.0</v>
      </c>
      <c r="P6" s="5">
        <v>180.0</v>
      </c>
      <c r="Q6" s="5">
        <v>0.0</v>
      </c>
      <c r="R6" s="5" t="str">
        <f t="array" ref="R6">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195">
        <f t="array" ref="S6">IF(N6="Monthly",IFS(H6="created",O6*P6*(1-Q6/100),H6="cancelled",-(O6*P6*(1-Q6/100)),H6="seats_change",(J6-I6)*P6*(1-Q6/100),H6="price_change",(J6-I6)*O6*(1-Q6/100),H6="discount_added",-(O6*P6*(J6-I6)/100),H6="plan_upgrade",O6*(XLOOKUP(J6,$M:$M,$P:$P)-XLOOKUP(I6,$M:$M,$P:$P))*(1-Q6/100),H6="plan_downgrade",O6*(XLOOKUP(J6,$M:$M,$P:$P)-XLOOKUP(I6,$M:$M,$P:$P))*(1-Q6/100)),IFS(H6="created",O6*P6*(1-Q6/100)/12,H6="cancelled",-(O6*P6*(1-Q6/100))/12,H6="seats_change",(J6-I6)*P6*(1-Q6/100)/12,H6="price_change",(J6-I6)*O6*(1-Q6/100)/12,H6="plan_upgrade",(O6*(XLOOKUP(J6,$M:$M,$P:$P)-XLOOKUP(I6,$M:$M,$P:$P))*(1-Q6/100))/12,H6="plan_downgrade",(O6*(XLOOKUP(J6,$M:$M,$P:$P)-XLOOKUP(I6,$M:$M,$P:$P))*(1-Q6/100))/12,H6="discount_added",-(O6*P6*(J6-I6)/100)/12))</f>
        <v>4680</v>
      </c>
      <c r="T6" s="5">
        <f t="shared" si="1"/>
        <v>0</v>
      </c>
      <c r="U6" s="5">
        <f t="shared" si="2"/>
        <v>0</v>
      </c>
      <c r="V6" s="5">
        <f t="shared" si="3"/>
        <v>0</v>
      </c>
    </row>
    <row r="7" ht="14.25" customHeight="1">
      <c r="A7" s="5" t="s">
        <v>846</v>
      </c>
      <c r="B7" s="5" t="s">
        <v>847</v>
      </c>
      <c r="C7" s="5" t="s">
        <v>848</v>
      </c>
      <c r="D7" s="5" t="s">
        <v>849</v>
      </c>
      <c r="E7" s="5" t="s">
        <v>838</v>
      </c>
      <c r="F7" s="193">
        <v>45352.0</v>
      </c>
      <c r="G7" s="194">
        <v>45355.0</v>
      </c>
      <c r="H7" s="5" t="s">
        <v>839</v>
      </c>
      <c r="M7" s="5" t="s">
        <v>58</v>
      </c>
      <c r="N7" s="5" t="s">
        <v>53</v>
      </c>
      <c r="O7" s="5">
        <v>11.0</v>
      </c>
      <c r="P7" s="5">
        <v>45.0</v>
      </c>
      <c r="Q7" s="5">
        <v>0.0</v>
      </c>
      <c r="R7" s="5" t="str">
        <f t="array" ref="R7">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195">
        <f t="array" ref="S7">IF(N7="Monthly",IFS(H7="created",O7*P7*(1-Q7/100),H7="cancelled",-(O7*P7*(1-Q7/100)),H7="seats_change",(J7-I7)*P7*(1-Q7/100),H7="price_change",(J7-I7)*O7*(1-Q7/100),H7="discount_added",-(O7*P7*(J7-I7)/100),H7="plan_upgrade",O7*(XLOOKUP(J7,$M:$M,$P:$P)-XLOOKUP(I7,$M:$M,$P:$P))*(1-Q7/100),H7="plan_downgrade",O7*(XLOOKUP(J7,$M:$M,$P:$P)-XLOOKUP(I7,$M:$M,$P:$P))*(1-Q7/100)),IFS(H7="created",O7*P7*(1-Q7/100)/12,H7="cancelled",-(O7*P7*(1-Q7/100))/12,H7="seats_change",(J7-I7)*P7*(1-Q7/100)/12,H7="price_change",(J7-I7)*O7*(1-Q7/100)/12,H7="plan_upgrade",(O7*(XLOOKUP(J7,$M:$M,$P:$P)-XLOOKUP(I7,$M:$M,$P:$P))*(1-Q7/100))/12,H7="plan_downgrade",(O7*(XLOOKUP(J7,$M:$M,$P:$P)-XLOOKUP(I7,$M:$M,$P:$P))*(1-Q7/100))/12,H7="discount_added",-(O7*P7*(J7-I7)/100)/12))</f>
        <v>495</v>
      </c>
      <c r="T7" s="5">
        <f t="shared" si="1"/>
        <v>1</v>
      </c>
      <c r="U7" s="5">
        <f t="shared" si="2"/>
        <v>0</v>
      </c>
      <c r="V7" s="5">
        <f t="shared" si="3"/>
        <v>0</v>
      </c>
    </row>
    <row r="8" ht="14.25" customHeight="1">
      <c r="A8" s="5" t="s">
        <v>850</v>
      </c>
      <c r="B8" s="5" t="s">
        <v>851</v>
      </c>
      <c r="C8" s="5" t="s">
        <v>77</v>
      </c>
      <c r="D8" s="5" t="s">
        <v>78</v>
      </c>
      <c r="E8" s="5" t="s">
        <v>841</v>
      </c>
      <c r="F8" s="193">
        <v>45352.0</v>
      </c>
      <c r="G8" s="194">
        <v>45369.0</v>
      </c>
      <c r="H8" s="5" t="s">
        <v>839</v>
      </c>
      <c r="M8" s="5" t="s">
        <v>64</v>
      </c>
      <c r="N8" s="5" t="s">
        <v>210</v>
      </c>
      <c r="O8" s="5">
        <v>31.0</v>
      </c>
      <c r="P8" s="5">
        <v>2160.0</v>
      </c>
      <c r="Q8" s="5">
        <v>0.0</v>
      </c>
      <c r="R8" s="5" t="str">
        <f t="array" ref="R8">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195">
        <f t="array" ref="S8">IF(N8="Monthly",IFS(H8="created",O8*P8*(1-Q8/100),H8="cancelled",-(O8*P8*(1-Q8/100)),H8="seats_change",(J8-I8)*P8*(1-Q8/100),H8="price_change",(J8-I8)*O8*(1-Q8/100),H8="discount_added",-(O8*P8*(J8-I8)/100),H8="plan_upgrade",O8*(XLOOKUP(J8,$M:$M,$P:$P)-XLOOKUP(I8,$M:$M,$P:$P))*(1-Q8/100),H8="plan_downgrade",O8*(XLOOKUP(J8,$M:$M,$P:$P)-XLOOKUP(I8,$M:$M,$P:$P))*(1-Q8/100)),IFS(H8="created",O8*P8*(1-Q8/100)/12,H8="cancelled",-(O8*P8*(1-Q8/100))/12,H8="seats_change",(J8-I8)*P8*(1-Q8/100)/12,H8="price_change",(J8-I8)*O8*(1-Q8/100)/12,H8="plan_upgrade",(O8*(XLOOKUP(J8,$M:$M,$P:$P)-XLOOKUP(I8,$M:$M,$P:$P))*(1-Q8/100))/12,H8="plan_downgrade",(O8*(XLOOKUP(J8,$M:$M,$P:$P)-XLOOKUP(I8,$M:$M,$P:$P))*(1-Q8/100))/12,H8="discount_added",-(O8*P8*(J8-I8)/100)/12))</f>
        <v>5580</v>
      </c>
      <c r="T8" s="5">
        <f t="shared" si="1"/>
        <v>1</v>
      </c>
      <c r="U8" s="5">
        <f t="shared" si="2"/>
        <v>0</v>
      </c>
      <c r="V8" s="5">
        <f t="shared" si="3"/>
        <v>0</v>
      </c>
    </row>
    <row r="9" ht="14.25" customHeight="1">
      <c r="A9" s="5" t="s">
        <v>852</v>
      </c>
      <c r="B9" s="5" t="s">
        <v>51</v>
      </c>
      <c r="C9" s="5" t="s">
        <v>49</v>
      </c>
      <c r="D9" s="5" t="s">
        <v>50</v>
      </c>
      <c r="E9" s="5" t="s">
        <v>838</v>
      </c>
      <c r="F9" s="193">
        <v>45383.0</v>
      </c>
      <c r="G9" s="194">
        <v>45383.0</v>
      </c>
      <c r="H9" s="5" t="s">
        <v>839</v>
      </c>
      <c r="M9" s="5" t="s">
        <v>52</v>
      </c>
      <c r="N9" s="5" t="s">
        <v>53</v>
      </c>
      <c r="O9" s="5">
        <v>16.0</v>
      </c>
      <c r="P9" s="5">
        <v>85.0</v>
      </c>
      <c r="Q9" s="5">
        <v>0.0</v>
      </c>
      <c r="R9" s="5" t="str">
        <f t="array" ref="R9">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195">
        <f t="array" ref="S9">IF(N9="Monthly",IFS(H9="created",O9*P9*(1-Q9/100),H9="cancelled",-(O9*P9*(1-Q9/100)),H9="seats_change",(J9-I9)*P9*(1-Q9/100),H9="price_change",(J9-I9)*O9*(1-Q9/100),H9="discount_added",-(O9*P9*(J9-I9)/100),H9="plan_upgrade",O9*(XLOOKUP(J9,$M:$M,$P:$P)-XLOOKUP(I9,$M:$M,$P:$P))*(1-Q9/100),H9="plan_downgrade",O9*(XLOOKUP(J9,$M:$M,$P:$P)-XLOOKUP(I9,$M:$M,$P:$P))*(1-Q9/100)),IFS(H9="created",O9*P9*(1-Q9/100)/12,H9="cancelled",-(O9*P9*(1-Q9/100))/12,H9="seats_change",(J9-I9)*P9*(1-Q9/100)/12,H9="price_change",(J9-I9)*O9*(1-Q9/100)/12,H9="plan_upgrade",(O9*(XLOOKUP(J9,$M:$M,$P:$P)-XLOOKUP(I9,$M:$M,$P:$P))*(1-Q9/100))/12,H9="plan_downgrade",(O9*(XLOOKUP(J9,$M:$M,$P:$P)-XLOOKUP(I9,$M:$M,$P:$P))*(1-Q9/100))/12,H9="discount_added",-(O9*P9*(J9-I9)/100)/12))</f>
        <v>1360</v>
      </c>
      <c r="T9" s="5">
        <f t="shared" si="1"/>
        <v>1</v>
      </c>
      <c r="U9" s="5">
        <f t="shared" si="2"/>
        <v>0</v>
      </c>
      <c r="V9" s="5">
        <f t="shared" si="3"/>
        <v>0</v>
      </c>
    </row>
    <row r="10" ht="14.25" customHeight="1">
      <c r="A10" s="5" t="s">
        <v>853</v>
      </c>
      <c r="B10" s="5" t="s">
        <v>57</v>
      </c>
      <c r="C10" s="5" t="s">
        <v>49</v>
      </c>
      <c r="D10" s="5" t="s">
        <v>50</v>
      </c>
      <c r="E10" s="5" t="s">
        <v>838</v>
      </c>
      <c r="F10" s="193">
        <v>45383.0</v>
      </c>
      <c r="G10" s="194">
        <v>45383.0</v>
      </c>
      <c r="H10" s="5" t="s">
        <v>839</v>
      </c>
      <c r="M10" s="5" t="s">
        <v>58</v>
      </c>
      <c r="N10" s="5" t="s">
        <v>53</v>
      </c>
      <c r="O10" s="5">
        <v>15.0</v>
      </c>
      <c r="P10" s="5">
        <v>45.0</v>
      </c>
      <c r="Q10" s="5">
        <v>12.0</v>
      </c>
      <c r="R10" s="5" t="str">
        <f t="array" ref="R10">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195">
        <f t="array" ref="S10">IF(N10="Monthly",IFS(H10="created",O10*P10*(1-Q10/100),H10="cancelled",-(O10*P10*(1-Q10/100)),H10="seats_change",(J10-I10)*P10*(1-Q10/100),H10="price_change",(J10-I10)*O10*(1-Q10/100),H10="discount_added",-(O10*P10*(J10-I10)/100),H10="plan_upgrade",O10*(XLOOKUP(J10,$M:$M,$P:$P)-XLOOKUP(I10,$M:$M,$P:$P))*(1-Q10/100),H10="plan_downgrade",O10*(XLOOKUP(J10,$M:$M,$P:$P)-XLOOKUP(I10,$M:$M,$P:$P))*(1-Q10/100)),IFS(H10="created",O10*P10*(1-Q10/100)/12,H10="cancelled",-(O10*P10*(1-Q10/100))/12,H10="seats_change",(J10-I10)*P10*(1-Q10/100)/12,H10="price_change",(J10-I10)*O10*(1-Q10/100)/12,H10="plan_upgrade",(O10*(XLOOKUP(J10,$M:$M,$P:$P)-XLOOKUP(I10,$M:$M,$P:$P))*(1-Q10/100))/12,H10="plan_downgrade",(O10*(XLOOKUP(J10,$M:$M,$P:$P)-XLOOKUP(I10,$M:$M,$P:$P))*(1-Q10/100))/12,H10="discount_added",-(O10*P10*(J10-I10)/100)/12))</f>
        <v>594</v>
      </c>
      <c r="T10" s="5">
        <f t="shared" si="1"/>
        <v>0</v>
      </c>
      <c r="U10" s="5">
        <f t="shared" si="2"/>
        <v>0</v>
      </c>
      <c r="V10" s="5">
        <f t="shared" si="3"/>
        <v>0</v>
      </c>
    </row>
    <row r="11" ht="14.25" customHeight="1">
      <c r="A11" s="5" t="s">
        <v>854</v>
      </c>
      <c r="B11" s="5" t="s">
        <v>855</v>
      </c>
      <c r="C11" s="5" t="s">
        <v>87</v>
      </c>
      <c r="D11" s="5" t="s">
        <v>88</v>
      </c>
      <c r="E11" s="5" t="s">
        <v>838</v>
      </c>
      <c r="F11" s="193">
        <v>45383.0</v>
      </c>
      <c r="G11" s="194">
        <v>45397.0</v>
      </c>
      <c r="H11" s="5" t="s">
        <v>839</v>
      </c>
      <c r="M11" s="5" t="s">
        <v>119</v>
      </c>
      <c r="N11" s="5" t="s">
        <v>53</v>
      </c>
      <c r="O11" s="5">
        <v>22.0</v>
      </c>
      <c r="P11" s="5">
        <v>95.0</v>
      </c>
      <c r="Q11" s="5">
        <v>0.0</v>
      </c>
      <c r="R11" s="5" t="str">
        <f t="array" ref="R11">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195">
        <f t="array" ref="S11">IF(N11="Monthly",IFS(H11="created",O11*P11*(1-Q11/100),H11="cancelled",-(O11*P11*(1-Q11/100)),H11="seats_change",(J11-I11)*P11*(1-Q11/100),H11="price_change",(J11-I11)*O11*(1-Q11/100),H11="discount_added",-(O11*P11*(J11-I11)/100),H11="plan_upgrade",O11*(XLOOKUP(J11,$M:$M,$P:$P)-XLOOKUP(I11,$M:$M,$P:$P))*(1-Q11/100),H11="plan_downgrade",O11*(XLOOKUP(J11,$M:$M,$P:$P)-XLOOKUP(I11,$M:$M,$P:$P))*(1-Q11/100)),IFS(H11="created",O11*P11*(1-Q11/100)/12,H11="cancelled",-(O11*P11*(1-Q11/100))/12,H11="seats_change",(J11-I11)*P11*(1-Q11/100)/12,H11="price_change",(J11-I11)*O11*(1-Q11/100)/12,H11="plan_upgrade",(O11*(XLOOKUP(J11,$M:$M,$P:$P)-XLOOKUP(I11,$M:$M,$P:$P))*(1-Q11/100))/12,H11="plan_downgrade",(O11*(XLOOKUP(J11,$M:$M,$P:$P)-XLOOKUP(I11,$M:$M,$P:$P))*(1-Q11/100))/12,H11="discount_added",-(O11*P11*(J11-I11)/100)/12))</f>
        <v>2090</v>
      </c>
      <c r="T11" s="5">
        <f t="shared" si="1"/>
        <v>1</v>
      </c>
      <c r="U11" s="5">
        <f t="shared" si="2"/>
        <v>0</v>
      </c>
      <c r="V11" s="5">
        <f t="shared" si="3"/>
        <v>0</v>
      </c>
    </row>
    <row r="12" ht="14.25" customHeight="1">
      <c r="A12" s="5" t="s">
        <v>856</v>
      </c>
      <c r="B12" s="5" t="s">
        <v>857</v>
      </c>
      <c r="C12" s="5" t="s">
        <v>196</v>
      </c>
      <c r="D12" s="5" t="s">
        <v>197</v>
      </c>
      <c r="E12" s="5" t="s">
        <v>841</v>
      </c>
      <c r="F12" s="193">
        <v>45383.0</v>
      </c>
      <c r="G12" s="194">
        <v>45411.0</v>
      </c>
      <c r="H12" s="5" t="s">
        <v>839</v>
      </c>
      <c r="M12" s="5" t="s">
        <v>209</v>
      </c>
      <c r="N12" s="5" t="s">
        <v>210</v>
      </c>
      <c r="O12" s="5">
        <v>36.0</v>
      </c>
      <c r="P12" s="5">
        <v>1800.0</v>
      </c>
      <c r="Q12" s="5">
        <v>0.0</v>
      </c>
      <c r="R12" s="5" t="str">
        <f t="array" ref="R12">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195">
        <f t="array" ref="S12">IF(N12="Monthly",IFS(H12="created",O12*P12*(1-Q12/100),H12="cancelled",-(O12*P12*(1-Q12/100)),H12="seats_change",(J12-I12)*P12*(1-Q12/100),H12="price_change",(J12-I12)*O12*(1-Q12/100),H12="discount_added",-(O12*P12*(J12-I12)/100),H12="plan_upgrade",O12*(XLOOKUP(J12,$M:$M,$P:$P)-XLOOKUP(I12,$M:$M,$P:$P))*(1-Q12/100),H12="plan_downgrade",O12*(XLOOKUP(J12,$M:$M,$P:$P)-XLOOKUP(I12,$M:$M,$P:$P))*(1-Q12/100)),IFS(H12="created",O12*P12*(1-Q12/100)/12,H12="cancelled",-(O12*P12*(1-Q12/100))/12,H12="seats_change",(J12-I12)*P12*(1-Q12/100)/12,H12="price_change",(J12-I12)*O12*(1-Q12/100)/12,H12="plan_upgrade",(O12*(XLOOKUP(J12,$M:$M,$P:$P)-XLOOKUP(I12,$M:$M,$P:$P))*(1-Q12/100))/12,H12="plan_downgrade",(O12*(XLOOKUP(J12,$M:$M,$P:$P)-XLOOKUP(I12,$M:$M,$P:$P))*(1-Q12/100))/12,H12="discount_added",-(O12*P12*(J12-I12)/100)/12))</f>
        <v>5400</v>
      </c>
      <c r="T12" s="5">
        <f t="shared" si="1"/>
        <v>1</v>
      </c>
      <c r="U12" s="5">
        <f t="shared" si="2"/>
        <v>0</v>
      </c>
      <c r="V12" s="5">
        <f t="shared" si="3"/>
        <v>0</v>
      </c>
    </row>
    <row r="13" ht="14.25" customHeight="1">
      <c r="A13" s="5" t="s">
        <v>858</v>
      </c>
      <c r="B13" s="5" t="s">
        <v>138</v>
      </c>
      <c r="C13" s="5" t="s">
        <v>101</v>
      </c>
      <c r="D13" s="5" t="s">
        <v>102</v>
      </c>
      <c r="E13" s="5" t="s">
        <v>838</v>
      </c>
      <c r="F13" s="193">
        <v>45413.0</v>
      </c>
      <c r="G13" s="194">
        <v>45425.0</v>
      </c>
      <c r="H13" s="5" t="s">
        <v>839</v>
      </c>
      <c r="M13" s="5" t="s">
        <v>58</v>
      </c>
      <c r="N13" s="5" t="s">
        <v>53</v>
      </c>
      <c r="O13" s="5">
        <v>13.0</v>
      </c>
      <c r="P13" s="5">
        <v>45.0</v>
      </c>
      <c r="Q13" s="5">
        <v>0.0</v>
      </c>
      <c r="R13" s="5" t="str">
        <f t="array" ref="R13">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195">
        <f t="array" ref="S13">IF(N13="Monthly",IFS(H13="created",O13*P13*(1-Q13/100),H13="cancelled",-(O13*P13*(1-Q13/100)),H13="seats_change",(J13-I13)*P13*(1-Q13/100),H13="price_change",(J13-I13)*O13*(1-Q13/100),H13="discount_added",-(O13*P13*(J13-I13)/100),H13="plan_upgrade",O13*(XLOOKUP(J13,$M:$M,$P:$P)-XLOOKUP(I13,$M:$M,$P:$P))*(1-Q13/100),H13="plan_downgrade",O13*(XLOOKUP(J13,$M:$M,$P:$P)-XLOOKUP(I13,$M:$M,$P:$P))*(1-Q13/100)),IFS(H13="created",O13*P13*(1-Q13/100)/12,H13="cancelled",-(O13*P13*(1-Q13/100))/12,H13="seats_change",(J13-I13)*P13*(1-Q13/100)/12,H13="price_change",(J13-I13)*O13*(1-Q13/100)/12,H13="plan_upgrade",(O13*(XLOOKUP(J13,$M:$M,$P:$P)-XLOOKUP(I13,$M:$M,$P:$P))*(1-Q13/100))/12,H13="plan_downgrade",(O13*(XLOOKUP(J13,$M:$M,$P:$P)-XLOOKUP(I13,$M:$M,$P:$P))*(1-Q13/100))/12,H13="discount_added",-(O13*P13*(J13-I13)/100)/12))</f>
        <v>585</v>
      </c>
      <c r="T13" s="5">
        <f t="shared" si="1"/>
        <v>1</v>
      </c>
      <c r="U13" s="5">
        <f t="shared" si="2"/>
        <v>0</v>
      </c>
      <c r="V13" s="5">
        <f t="shared" si="3"/>
        <v>0</v>
      </c>
    </row>
    <row r="14" ht="14.25" customHeight="1">
      <c r="A14" s="5" t="s">
        <v>859</v>
      </c>
      <c r="B14" s="5" t="s">
        <v>251</v>
      </c>
      <c r="C14" s="5" t="s">
        <v>249</v>
      </c>
      <c r="D14" s="5" t="s">
        <v>250</v>
      </c>
      <c r="E14" s="5" t="s">
        <v>860</v>
      </c>
      <c r="F14" s="193">
        <v>45413.0</v>
      </c>
      <c r="G14" s="194">
        <v>45439.0</v>
      </c>
      <c r="H14" s="5" t="s">
        <v>839</v>
      </c>
      <c r="M14" s="5" t="s">
        <v>93</v>
      </c>
      <c r="N14" s="5" t="s">
        <v>53</v>
      </c>
      <c r="O14" s="5">
        <v>18.0</v>
      </c>
      <c r="P14" s="5">
        <v>110.0</v>
      </c>
      <c r="Q14" s="5">
        <v>0.0</v>
      </c>
      <c r="R14" s="5" t="str">
        <f t="array" ref="R14">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195">
        <f t="array" ref="S14">IF(N14="Monthly",IFS(H14="created",O14*P14*(1-Q14/100),H14="cancelled",-(O14*P14*(1-Q14/100)),H14="seats_change",(J14-I14)*P14*(1-Q14/100),H14="price_change",(J14-I14)*O14*(1-Q14/100),H14="discount_added",-(O14*P14*(J14-I14)/100),H14="plan_upgrade",O14*(XLOOKUP(J14,$M:$M,$P:$P)-XLOOKUP(I14,$M:$M,$P:$P))*(1-Q14/100),H14="plan_downgrade",O14*(XLOOKUP(J14,$M:$M,$P:$P)-XLOOKUP(I14,$M:$M,$P:$P))*(1-Q14/100)),IFS(H14="created",O14*P14*(1-Q14/100)/12,H14="cancelled",-(O14*P14*(1-Q14/100))/12,H14="seats_change",(J14-I14)*P14*(1-Q14/100)/12,H14="price_change",(J14-I14)*O14*(1-Q14/100)/12,H14="plan_upgrade",(O14*(XLOOKUP(J14,$M:$M,$P:$P)-XLOOKUP(I14,$M:$M,$P:$P))*(1-Q14/100))/12,H14="plan_downgrade",(O14*(XLOOKUP(J14,$M:$M,$P:$P)-XLOOKUP(I14,$M:$M,$P:$P))*(1-Q14/100))/12,H14="discount_added",-(O14*P14*(J14-I14)/100)/12))</f>
        <v>1980</v>
      </c>
      <c r="T14" s="5">
        <f t="shared" si="1"/>
        <v>1</v>
      </c>
      <c r="U14" s="5">
        <f t="shared" si="2"/>
        <v>0</v>
      </c>
      <c r="V14" s="5">
        <f t="shared" si="3"/>
        <v>0</v>
      </c>
    </row>
    <row r="15" ht="14.25" customHeight="1">
      <c r="A15" s="5" t="s">
        <v>861</v>
      </c>
      <c r="B15" s="5" t="s">
        <v>118</v>
      </c>
      <c r="C15" s="5" t="s">
        <v>116</v>
      </c>
      <c r="D15" s="5" t="s">
        <v>117</v>
      </c>
      <c r="E15" s="5" t="s">
        <v>838</v>
      </c>
      <c r="F15" s="193">
        <v>45444.0</v>
      </c>
      <c r="G15" s="194">
        <v>45453.0</v>
      </c>
      <c r="H15" s="5" t="s">
        <v>839</v>
      </c>
      <c r="M15" s="5" t="s">
        <v>119</v>
      </c>
      <c r="N15" s="5" t="s">
        <v>53</v>
      </c>
      <c r="O15" s="5">
        <v>23.0</v>
      </c>
      <c r="P15" s="5">
        <v>95.0</v>
      </c>
      <c r="Q15" s="5">
        <v>0.0</v>
      </c>
      <c r="R15" s="5" t="str">
        <f t="array" ref="R15">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195">
        <f t="array" ref="S15">IF(N15="Monthly",IFS(H15="created",O15*P15*(1-Q15/100),H15="cancelled",-(O15*P15*(1-Q15/100)),H15="seats_change",(J15-I15)*P15*(1-Q15/100),H15="price_change",(J15-I15)*O15*(1-Q15/100),H15="discount_added",-(O15*P15*(J15-I15)/100),H15="plan_upgrade",O15*(XLOOKUP(J15,$M:$M,$P:$P)-XLOOKUP(I15,$M:$M,$P:$P))*(1-Q15/100),H15="plan_downgrade",O15*(XLOOKUP(J15,$M:$M,$P:$P)-XLOOKUP(I15,$M:$M,$P:$P))*(1-Q15/100)),IFS(H15="created",O15*P15*(1-Q15/100)/12,H15="cancelled",-(O15*P15*(1-Q15/100))/12,H15="seats_change",(J15-I15)*P15*(1-Q15/100)/12,H15="price_change",(J15-I15)*O15*(1-Q15/100)/12,H15="plan_upgrade",(O15*(XLOOKUP(J15,$M:$M,$P:$P)-XLOOKUP(I15,$M:$M,$P:$P))*(1-Q15/100))/12,H15="plan_downgrade",(O15*(XLOOKUP(J15,$M:$M,$P:$P)-XLOOKUP(I15,$M:$M,$P:$P))*(1-Q15/100))/12,H15="discount_added",-(O15*P15*(J15-I15)/100)/12))</f>
        <v>2185</v>
      </c>
      <c r="T15" s="5">
        <f t="shared" si="1"/>
        <v>1</v>
      </c>
      <c r="U15" s="5">
        <f t="shared" si="2"/>
        <v>0</v>
      </c>
      <c r="V15" s="5">
        <f t="shared" si="3"/>
        <v>0</v>
      </c>
    </row>
    <row r="16" ht="14.25" customHeight="1">
      <c r="A16" s="5" t="s">
        <v>862</v>
      </c>
      <c r="B16" s="5" t="s">
        <v>863</v>
      </c>
      <c r="C16" s="5" t="s">
        <v>116</v>
      </c>
      <c r="D16" s="5" t="s">
        <v>117</v>
      </c>
      <c r="E16" s="5" t="s">
        <v>838</v>
      </c>
      <c r="F16" s="193">
        <v>45444.0</v>
      </c>
      <c r="G16" s="194">
        <v>45453.0</v>
      </c>
      <c r="H16" s="5" t="s">
        <v>839</v>
      </c>
      <c r="M16" s="5" t="s">
        <v>58</v>
      </c>
      <c r="N16" s="5" t="s">
        <v>53</v>
      </c>
      <c r="O16" s="5">
        <v>19.0</v>
      </c>
      <c r="P16" s="5">
        <v>45.0</v>
      </c>
      <c r="Q16" s="5">
        <v>0.0</v>
      </c>
      <c r="R16" s="5" t="str">
        <f t="array" ref="R16">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195">
        <f t="array" ref="S16">IF(N16="Monthly",IFS(H16="created",O16*P16*(1-Q16/100),H16="cancelled",-(O16*P16*(1-Q16/100)),H16="seats_change",(J16-I16)*P16*(1-Q16/100),H16="price_change",(J16-I16)*O16*(1-Q16/100),H16="discount_added",-(O16*P16*(J16-I16)/100),H16="plan_upgrade",O16*(XLOOKUP(J16,$M:$M,$P:$P)-XLOOKUP(I16,$M:$M,$P:$P))*(1-Q16/100),H16="plan_downgrade",O16*(XLOOKUP(J16,$M:$M,$P:$P)-XLOOKUP(I16,$M:$M,$P:$P))*(1-Q16/100)),IFS(H16="created",O16*P16*(1-Q16/100)/12,H16="cancelled",-(O16*P16*(1-Q16/100))/12,H16="seats_change",(J16-I16)*P16*(1-Q16/100)/12,H16="price_change",(J16-I16)*O16*(1-Q16/100)/12,H16="plan_upgrade",(O16*(XLOOKUP(J16,$M:$M,$P:$P)-XLOOKUP(I16,$M:$M,$P:$P))*(1-Q16/100))/12,H16="plan_downgrade",(O16*(XLOOKUP(J16,$M:$M,$P:$P)-XLOOKUP(I16,$M:$M,$P:$P))*(1-Q16/100))/12,H16="discount_added",-(O16*P16*(J16-I16)/100)/12))</f>
        <v>855</v>
      </c>
      <c r="T16" s="5">
        <f t="shared" si="1"/>
        <v>0</v>
      </c>
      <c r="U16" s="5">
        <f t="shared" si="2"/>
        <v>0</v>
      </c>
      <c r="V16" s="5">
        <f t="shared" si="3"/>
        <v>0</v>
      </c>
    </row>
    <row r="17" ht="14.25" customHeight="1">
      <c r="A17" s="5" t="s">
        <v>864</v>
      </c>
      <c r="B17" s="5" t="s">
        <v>865</v>
      </c>
      <c r="C17" s="5" t="s">
        <v>201</v>
      </c>
      <c r="D17" s="5" t="s">
        <v>202</v>
      </c>
      <c r="E17" s="5" t="s">
        <v>841</v>
      </c>
      <c r="F17" s="193">
        <v>45444.0</v>
      </c>
      <c r="G17" s="194">
        <v>45467.0</v>
      </c>
      <c r="H17" s="5" t="s">
        <v>839</v>
      </c>
      <c r="M17" s="5" t="s">
        <v>58</v>
      </c>
      <c r="N17" s="5" t="s">
        <v>53</v>
      </c>
      <c r="O17" s="5">
        <v>10.0</v>
      </c>
      <c r="P17" s="5">
        <v>45.0</v>
      </c>
      <c r="Q17" s="5">
        <v>0.0</v>
      </c>
      <c r="R17" s="5" t="str">
        <f t="array" ref="R17">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195">
        <f t="array" ref="S17">IF(N17="Monthly",IFS(H17="created",O17*P17*(1-Q17/100),H17="cancelled",-(O17*P17*(1-Q17/100)),H17="seats_change",(J17-I17)*P17*(1-Q17/100),H17="price_change",(J17-I17)*O17*(1-Q17/100),H17="discount_added",-(O17*P17*(J17-I17)/100),H17="plan_upgrade",O17*(XLOOKUP(J17,$M:$M,$P:$P)-XLOOKUP(I17,$M:$M,$P:$P))*(1-Q17/100),H17="plan_downgrade",O17*(XLOOKUP(J17,$M:$M,$P:$P)-XLOOKUP(I17,$M:$M,$P:$P))*(1-Q17/100)),IFS(H17="created",O17*P17*(1-Q17/100)/12,H17="cancelled",-(O17*P17*(1-Q17/100))/12,H17="seats_change",(J17-I17)*P17*(1-Q17/100)/12,H17="price_change",(J17-I17)*O17*(1-Q17/100)/12,H17="plan_upgrade",(O17*(XLOOKUP(J17,$M:$M,$P:$P)-XLOOKUP(I17,$M:$M,$P:$P))*(1-Q17/100))/12,H17="plan_downgrade",(O17*(XLOOKUP(J17,$M:$M,$P:$P)-XLOOKUP(I17,$M:$M,$P:$P))*(1-Q17/100))/12,H17="discount_added",-(O17*P17*(J17-I17)/100)/12))</f>
        <v>450</v>
      </c>
      <c r="T17" s="5">
        <f t="shared" si="1"/>
        <v>1</v>
      </c>
      <c r="U17" s="5">
        <f t="shared" si="2"/>
        <v>0</v>
      </c>
      <c r="V17" s="5">
        <f t="shared" si="3"/>
        <v>0</v>
      </c>
    </row>
    <row r="18" ht="14.25" customHeight="1">
      <c r="A18" s="5" t="s">
        <v>866</v>
      </c>
      <c r="B18" s="5" t="s">
        <v>98</v>
      </c>
      <c r="C18" s="5" t="s">
        <v>96</v>
      </c>
      <c r="D18" s="5" t="s">
        <v>97</v>
      </c>
      <c r="E18" s="5" t="s">
        <v>838</v>
      </c>
      <c r="F18" s="193">
        <v>45474.0</v>
      </c>
      <c r="G18" s="194">
        <v>45481.0</v>
      </c>
      <c r="H18" s="5" t="s">
        <v>839</v>
      </c>
      <c r="M18" s="5" t="s">
        <v>52</v>
      </c>
      <c r="N18" s="5" t="s">
        <v>53</v>
      </c>
      <c r="O18" s="5">
        <v>28.0</v>
      </c>
      <c r="P18" s="5">
        <v>85.0</v>
      </c>
      <c r="Q18" s="5">
        <v>0.0</v>
      </c>
      <c r="R18" s="5" t="str">
        <f t="array" ref="R18">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195">
        <f t="array" ref="S18">IF(N18="Monthly",IFS(H18="created",O18*P18*(1-Q18/100),H18="cancelled",-(O18*P18*(1-Q18/100)),H18="seats_change",(J18-I18)*P18*(1-Q18/100),H18="price_change",(J18-I18)*O18*(1-Q18/100),H18="discount_added",-(O18*P18*(J18-I18)/100),H18="plan_upgrade",O18*(XLOOKUP(J18,$M:$M,$P:$P)-XLOOKUP(I18,$M:$M,$P:$P))*(1-Q18/100),H18="plan_downgrade",O18*(XLOOKUP(J18,$M:$M,$P:$P)-XLOOKUP(I18,$M:$M,$P:$P))*(1-Q18/100)),IFS(H18="created",O18*P18*(1-Q18/100)/12,H18="cancelled",-(O18*P18*(1-Q18/100))/12,H18="seats_change",(J18-I18)*P18*(1-Q18/100)/12,H18="price_change",(J18-I18)*O18*(1-Q18/100)/12,H18="plan_upgrade",(O18*(XLOOKUP(J18,$M:$M,$P:$P)-XLOOKUP(I18,$M:$M,$P:$P))*(1-Q18/100))/12,H18="plan_downgrade",(O18*(XLOOKUP(J18,$M:$M,$P:$P)-XLOOKUP(I18,$M:$M,$P:$P))*(1-Q18/100))/12,H18="discount_added",-(O18*P18*(J18-I18)/100)/12))</f>
        <v>2380</v>
      </c>
      <c r="T18" s="5">
        <f t="shared" si="1"/>
        <v>1</v>
      </c>
      <c r="U18" s="5">
        <f t="shared" si="2"/>
        <v>0</v>
      </c>
      <c r="V18" s="5">
        <f t="shared" si="3"/>
        <v>0</v>
      </c>
    </row>
    <row r="19" ht="14.25" customHeight="1">
      <c r="A19" s="5" t="s">
        <v>867</v>
      </c>
      <c r="B19" s="5" t="s">
        <v>148</v>
      </c>
      <c r="C19" s="5" t="s">
        <v>146</v>
      </c>
      <c r="D19" s="5" t="s">
        <v>147</v>
      </c>
      <c r="E19" s="5" t="s">
        <v>838</v>
      </c>
      <c r="F19" s="193">
        <v>45474.0</v>
      </c>
      <c r="G19" s="194">
        <v>45488.0</v>
      </c>
      <c r="H19" s="5" t="s">
        <v>839</v>
      </c>
      <c r="M19" s="5" t="s">
        <v>93</v>
      </c>
      <c r="N19" s="5" t="s">
        <v>53</v>
      </c>
      <c r="O19" s="5">
        <v>16.0</v>
      </c>
      <c r="P19" s="5">
        <v>110.0</v>
      </c>
      <c r="Q19" s="5">
        <v>0.0</v>
      </c>
      <c r="R19" s="5" t="str">
        <f t="array" ref="R19">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195">
        <f t="array" ref="S19">IF(N19="Monthly",IFS(H19="created",O19*P19*(1-Q19/100),H19="cancelled",-(O19*P19*(1-Q19/100)),H19="seats_change",(J19-I19)*P19*(1-Q19/100),H19="price_change",(J19-I19)*O19*(1-Q19/100),H19="discount_added",-(O19*P19*(J19-I19)/100),H19="plan_upgrade",O19*(XLOOKUP(J19,$M:$M,$P:$P)-XLOOKUP(I19,$M:$M,$P:$P))*(1-Q19/100),H19="plan_downgrade",O19*(XLOOKUP(J19,$M:$M,$P:$P)-XLOOKUP(I19,$M:$M,$P:$P))*(1-Q19/100)),IFS(H19="created",O19*P19*(1-Q19/100)/12,H19="cancelled",-(O19*P19*(1-Q19/100))/12,H19="seats_change",(J19-I19)*P19*(1-Q19/100)/12,H19="price_change",(J19-I19)*O19*(1-Q19/100)/12,H19="plan_upgrade",(O19*(XLOOKUP(J19,$M:$M,$P:$P)-XLOOKUP(I19,$M:$M,$P:$P))*(1-Q19/100))/12,H19="plan_downgrade",(O19*(XLOOKUP(J19,$M:$M,$P:$P)-XLOOKUP(I19,$M:$M,$P:$P))*(1-Q19/100))/12,H19="discount_added",-(O19*P19*(J19-I19)/100)/12))</f>
        <v>1760</v>
      </c>
      <c r="T19" s="5">
        <f t="shared" si="1"/>
        <v>0</v>
      </c>
      <c r="U19" s="5">
        <f t="shared" si="2"/>
        <v>0</v>
      </c>
      <c r="V19" s="5">
        <f t="shared" si="3"/>
        <v>0</v>
      </c>
    </row>
    <row r="20" ht="14.25" customHeight="1">
      <c r="A20" s="5" t="s">
        <v>868</v>
      </c>
      <c r="B20" s="5" t="s">
        <v>869</v>
      </c>
      <c r="C20" s="5" t="s">
        <v>213</v>
      </c>
      <c r="D20" s="5" t="s">
        <v>214</v>
      </c>
      <c r="E20" s="5" t="s">
        <v>841</v>
      </c>
      <c r="F20" s="193">
        <v>45474.0</v>
      </c>
      <c r="G20" s="194">
        <v>45495.0</v>
      </c>
      <c r="H20" s="5" t="s">
        <v>839</v>
      </c>
      <c r="M20" s="5" t="s">
        <v>119</v>
      </c>
      <c r="N20" s="5" t="s">
        <v>53</v>
      </c>
      <c r="O20" s="5">
        <v>19.0</v>
      </c>
      <c r="P20" s="5">
        <v>95.0</v>
      </c>
      <c r="Q20" s="5">
        <v>10.0</v>
      </c>
      <c r="R20" s="5" t="str">
        <f t="array" ref="R20">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195">
        <f t="array" ref="S20">IF(N20="Monthly",IFS(H20="created",O20*P20*(1-Q20/100),H20="cancelled",-(O20*P20*(1-Q20/100)),H20="seats_change",(J20-I20)*P20*(1-Q20/100),H20="price_change",(J20-I20)*O20*(1-Q20/100),H20="discount_added",-(O20*P20*(J20-I20)/100),H20="plan_upgrade",O20*(XLOOKUP(J20,$M:$M,$P:$P)-XLOOKUP(I20,$M:$M,$P:$P))*(1-Q20/100),H20="plan_downgrade",O20*(XLOOKUP(J20,$M:$M,$P:$P)-XLOOKUP(I20,$M:$M,$P:$P))*(1-Q20/100)),IFS(H20="created",O20*P20*(1-Q20/100)/12,H20="cancelled",-(O20*P20*(1-Q20/100))/12,H20="seats_change",(J20-I20)*P20*(1-Q20/100)/12,H20="price_change",(J20-I20)*O20*(1-Q20/100)/12,H20="plan_upgrade",(O20*(XLOOKUP(J20,$M:$M,$P:$P)-XLOOKUP(I20,$M:$M,$P:$P))*(1-Q20/100))/12,H20="plan_downgrade",(O20*(XLOOKUP(J20,$M:$M,$P:$P)-XLOOKUP(I20,$M:$M,$P:$P))*(1-Q20/100))/12,H20="discount_added",-(O20*P20*(J20-I20)/100)/12))</f>
        <v>1624.5</v>
      </c>
      <c r="T20" s="5">
        <f t="shared" si="1"/>
        <v>1</v>
      </c>
      <c r="U20" s="5">
        <f t="shared" si="2"/>
        <v>0</v>
      </c>
      <c r="V20" s="5">
        <f t="shared" si="3"/>
        <v>0</v>
      </c>
    </row>
    <row r="21" ht="14.25" customHeight="1">
      <c r="A21" s="5" t="s">
        <v>870</v>
      </c>
      <c r="B21" s="5" t="s">
        <v>215</v>
      </c>
      <c r="C21" s="5" t="s">
        <v>213</v>
      </c>
      <c r="D21" s="5" t="s">
        <v>214</v>
      </c>
      <c r="E21" s="5" t="s">
        <v>841</v>
      </c>
      <c r="F21" s="193">
        <v>45474.0</v>
      </c>
      <c r="G21" s="194">
        <v>45495.0</v>
      </c>
      <c r="H21" s="5" t="s">
        <v>839</v>
      </c>
      <c r="M21" s="5" t="s">
        <v>64</v>
      </c>
      <c r="N21" s="5" t="s">
        <v>53</v>
      </c>
      <c r="O21" s="5">
        <v>20.0</v>
      </c>
      <c r="P21" s="5">
        <v>180.0</v>
      </c>
      <c r="Q21" s="5">
        <v>0.0</v>
      </c>
      <c r="R21" s="5" t="str">
        <f t="array" ref="R21">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195">
        <f t="array" ref="S21">IF(N21="Monthly",IFS(H21="created",O21*P21*(1-Q21/100),H21="cancelled",-(O21*P21*(1-Q21/100)),H21="seats_change",(J21-I21)*P21*(1-Q21/100),H21="price_change",(J21-I21)*O21*(1-Q21/100),H21="discount_added",-(O21*P21*(J21-I21)/100),H21="plan_upgrade",O21*(XLOOKUP(J21,$M:$M,$P:$P)-XLOOKUP(I21,$M:$M,$P:$P))*(1-Q21/100),H21="plan_downgrade",O21*(XLOOKUP(J21,$M:$M,$P:$P)-XLOOKUP(I21,$M:$M,$P:$P))*(1-Q21/100)),IFS(H21="created",O21*P21*(1-Q21/100)/12,H21="cancelled",-(O21*P21*(1-Q21/100))/12,H21="seats_change",(J21-I21)*P21*(1-Q21/100)/12,H21="price_change",(J21-I21)*O21*(1-Q21/100)/12,H21="plan_upgrade",(O21*(XLOOKUP(J21,$M:$M,$P:$P)-XLOOKUP(I21,$M:$M,$P:$P))*(1-Q21/100))/12,H21="plan_downgrade",(O21*(XLOOKUP(J21,$M:$M,$P:$P)-XLOOKUP(I21,$M:$M,$P:$P))*(1-Q21/100))/12,H21="discount_added",-(O21*P21*(J21-I21)/100)/12))</f>
        <v>3600</v>
      </c>
      <c r="T21" s="5">
        <f t="shared" si="1"/>
        <v>0</v>
      </c>
      <c r="U21" s="5">
        <f t="shared" si="2"/>
        <v>0</v>
      </c>
      <c r="V21" s="5">
        <f t="shared" si="3"/>
        <v>0</v>
      </c>
    </row>
    <row r="22" ht="14.25" customHeight="1">
      <c r="A22" s="5" t="s">
        <v>871</v>
      </c>
      <c r="B22" s="5" t="s">
        <v>872</v>
      </c>
      <c r="C22" s="5" t="s">
        <v>133</v>
      </c>
      <c r="D22" s="5" t="s">
        <v>134</v>
      </c>
      <c r="E22" s="5" t="s">
        <v>838</v>
      </c>
      <c r="F22" s="193">
        <v>45505.0</v>
      </c>
      <c r="G22" s="194">
        <v>45509.0</v>
      </c>
      <c r="H22" s="5" t="s">
        <v>839</v>
      </c>
      <c r="M22" s="5" t="s">
        <v>209</v>
      </c>
      <c r="N22" s="5" t="s">
        <v>210</v>
      </c>
      <c r="O22" s="5">
        <v>42.0</v>
      </c>
      <c r="P22" s="5">
        <v>1800.0</v>
      </c>
      <c r="Q22" s="5">
        <v>0.0</v>
      </c>
      <c r="R22" s="5" t="str">
        <f t="array" ref="R22">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195">
        <f t="array" ref="S22">IF(N22="Monthly",IFS(H22="created",O22*P22*(1-Q22/100),H22="cancelled",-(O22*P22*(1-Q22/100)),H22="seats_change",(J22-I22)*P22*(1-Q22/100),H22="price_change",(J22-I22)*O22*(1-Q22/100),H22="discount_added",-(O22*P22*(J22-I22)/100),H22="plan_upgrade",O22*(XLOOKUP(J22,$M:$M,$P:$P)-XLOOKUP(I22,$M:$M,$P:$P))*(1-Q22/100),H22="plan_downgrade",O22*(XLOOKUP(J22,$M:$M,$P:$P)-XLOOKUP(I22,$M:$M,$P:$P))*(1-Q22/100)),IFS(H22="created",O22*P22*(1-Q22/100)/12,H22="cancelled",-(O22*P22*(1-Q22/100))/12,H22="seats_change",(J22-I22)*P22*(1-Q22/100)/12,H22="price_change",(J22-I22)*O22*(1-Q22/100)/12,H22="plan_upgrade",(O22*(XLOOKUP(J22,$M:$M,$P:$P)-XLOOKUP(I22,$M:$M,$P:$P))*(1-Q22/100))/12,H22="plan_downgrade",(O22*(XLOOKUP(J22,$M:$M,$P:$P)-XLOOKUP(I22,$M:$M,$P:$P))*(1-Q22/100))/12,H22="discount_added",-(O22*P22*(J22-I22)/100)/12))</f>
        <v>6300</v>
      </c>
      <c r="T22" s="5">
        <f t="shared" si="1"/>
        <v>1</v>
      </c>
      <c r="U22" s="5">
        <f t="shared" si="2"/>
        <v>0</v>
      </c>
      <c r="V22" s="5">
        <f t="shared" si="3"/>
        <v>0</v>
      </c>
    </row>
    <row r="23" ht="14.25" customHeight="1">
      <c r="A23" s="5" t="s">
        <v>873</v>
      </c>
      <c r="B23" s="5" t="s">
        <v>186</v>
      </c>
      <c r="C23" s="5" t="s">
        <v>184</v>
      </c>
      <c r="D23" s="5" t="s">
        <v>185</v>
      </c>
      <c r="E23" s="5" t="s">
        <v>838</v>
      </c>
      <c r="F23" s="193">
        <v>45505.0</v>
      </c>
      <c r="G23" s="194">
        <v>45523.0</v>
      </c>
      <c r="H23" s="5" t="s">
        <v>839</v>
      </c>
      <c r="M23" s="5" t="s">
        <v>58</v>
      </c>
      <c r="N23" s="5" t="s">
        <v>53</v>
      </c>
      <c r="O23" s="5">
        <v>12.0</v>
      </c>
      <c r="P23" s="5">
        <v>45.0</v>
      </c>
      <c r="Q23" s="5">
        <v>0.0</v>
      </c>
      <c r="R23" s="5" t="str">
        <f t="array" ref="R23">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195">
        <f t="array" ref="S23">IF(N23="Monthly",IFS(H23="created",O23*P23*(1-Q23/100),H23="cancelled",-(O23*P23*(1-Q23/100)),H23="seats_change",(J23-I23)*P23*(1-Q23/100),H23="price_change",(J23-I23)*O23*(1-Q23/100),H23="discount_added",-(O23*P23*(J23-I23)/100),H23="plan_upgrade",O23*(XLOOKUP(J23,$M:$M,$P:$P)-XLOOKUP(I23,$M:$M,$P:$P))*(1-Q23/100),H23="plan_downgrade",O23*(XLOOKUP(J23,$M:$M,$P:$P)-XLOOKUP(I23,$M:$M,$P:$P))*(1-Q23/100)),IFS(H23="created",O23*P23*(1-Q23/100)/12,H23="cancelled",-(O23*P23*(1-Q23/100))/12,H23="seats_change",(J23-I23)*P23*(1-Q23/100)/12,H23="price_change",(J23-I23)*O23*(1-Q23/100)/12,H23="plan_upgrade",(O23*(XLOOKUP(J23,$M:$M,$P:$P)-XLOOKUP(I23,$M:$M,$P:$P))*(1-Q23/100))/12,H23="plan_downgrade",(O23*(XLOOKUP(J23,$M:$M,$P:$P)-XLOOKUP(I23,$M:$M,$P:$P))*(1-Q23/100))/12,H23="discount_added",-(O23*P23*(J23-I23)/100)/12))</f>
        <v>540</v>
      </c>
      <c r="T23" s="5">
        <f t="shared" si="1"/>
        <v>1</v>
      </c>
      <c r="U23" s="5">
        <f t="shared" si="2"/>
        <v>0</v>
      </c>
      <c r="V23" s="5">
        <f t="shared" si="3"/>
        <v>0</v>
      </c>
    </row>
    <row r="24" ht="14.25" customHeight="1">
      <c r="A24" s="5" t="s">
        <v>874</v>
      </c>
      <c r="B24" s="5" t="s">
        <v>837</v>
      </c>
      <c r="C24" s="5" t="s">
        <v>146</v>
      </c>
      <c r="D24" s="5" t="s">
        <v>147</v>
      </c>
      <c r="E24" s="5" t="s">
        <v>838</v>
      </c>
      <c r="F24" s="193">
        <v>45505.0</v>
      </c>
      <c r="G24" s="194">
        <v>45531.0</v>
      </c>
      <c r="H24" s="5" t="s">
        <v>875</v>
      </c>
      <c r="I24" s="5" t="s">
        <v>876</v>
      </c>
      <c r="J24" s="5" t="s">
        <v>877</v>
      </c>
      <c r="K24" s="5" t="s">
        <v>44</v>
      </c>
      <c r="L24" s="5" t="s">
        <v>878</v>
      </c>
      <c r="M24" s="5" t="s">
        <v>119</v>
      </c>
      <c r="N24" s="5" t="s">
        <v>53</v>
      </c>
      <c r="O24" s="5">
        <v>20.0</v>
      </c>
      <c r="P24" s="5">
        <v>95.0</v>
      </c>
      <c r="Q24" s="5">
        <v>0.0</v>
      </c>
      <c r="R24" s="5" t="str">
        <f t="array" ref="R24">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195">
        <f t="array" ref="S24">IF(N24="Monthly",IFS(H24="created",O24*P24*(1-Q24/100),H24="cancelled",-(O24*P24*(1-Q24/100)),H24="seats_change",(J24-I24)*P24*(1-Q24/100),H24="price_change",(J24-I24)*O24*(1-Q24/100),H24="discount_added",-(O24*P24*(J24-I24)/100),H24="plan_upgrade",O24*(XLOOKUP(J24,$M:$M,$P:$P)-XLOOKUP(I24,$M:$M,$P:$P))*(1-Q24/100),H24="plan_downgrade",O24*(XLOOKUP(J24,$M:$M,$P:$P)-XLOOKUP(I24,$M:$M,$P:$P))*(1-Q24/100)),IFS(H24="created",O24*P24*(1-Q24/100)/12,H24="cancelled",-(O24*P24*(1-Q24/100))/12,H24="seats_change",(J24-I24)*P24*(1-Q24/100)/12,H24="price_change",(J24-I24)*O24*(1-Q24/100)/12,H24="plan_upgrade",(O24*(XLOOKUP(J24,$M:$M,$P:$P)-XLOOKUP(I24,$M:$M,$P:$P))*(1-Q24/100))/12,H24="plan_downgrade",(O24*(XLOOKUP(J24,$M:$M,$P:$P)-XLOOKUP(I24,$M:$M,$P:$P))*(1-Q24/100))/12,H24="discount_added",-(O24*P24*(J24-I24)/100)/12))</f>
        <v>-1900</v>
      </c>
      <c r="T24" s="5">
        <f t="shared" si="1"/>
        <v>0</v>
      </c>
      <c r="U24" s="5">
        <f t="shared" si="2"/>
        <v>0</v>
      </c>
      <c r="V24" s="5">
        <f t="shared" si="3"/>
        <v>0</v>
      </c>
    </row>
    <row r="25" ht="14.25" customHeight="1">
      <c r="A25" s="5" t="s">
        <v>879</v>
      </c>
      <c r="B25" s="5" t="s">
        <v>63</v>
      </c>
      <c r="C25" s="5" t="s">
        <v>61</v>
      </c>
      <c r="D25" s="5" t="s">
        <v>62</v>
      </c>
      <c r="E25" s="5" t="s">
        <v>841</v>
      </c>
      <c r="F25" s="193">
        <v>45536.0</v>
      </c>
      <c r="G25" s="194">
        <v>45537.0</v>
      </c>
      <c r="H25" s="5" t="s">
        <v>839</v>
      </c>
      <c r="M25" s="5" t="s">
        <v>64</v>
      </c>
      <c r="N25" s="5" t="s">
        <v>53</v>
      </c>
      <c r="O25" s="5">
        <v>35.0</v>
      </c>
      <c r="P25" s="5">
        <v>180.0</v>
      </c>
      <c r="Q25" s="5">
        <v>0.0</v>
      </c>
      <c r="R25" s="5" t="str">
        <f t="array" ref="R25">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195">
        <f t="array" ref="S25">IF(N25="Monthly",IFS(H25="created",O25*P25*(1-Q25/100),H25="cancelled",-(O25*P25*(1-Q25/100)),H25="seats_change",(J25-I25)*P25*(1-Q25/100),H25="price_change",(J25-I25)*O25*(1-Q25/100),H25="discount_added",-(O25*P25*(J25-I25)/100),H25="plan_upgrade",O25*(XLOOKUP(J25,$M:$M,$P:$P)-XLOOKUP(I25,$M:$M,$P:$P))*(1-Q25/100),H25="plan_downgrade",O25*(XLOOKUP(J25,$M:$M,$P:$P)-XLOOKUP(I25,$M:$M,$P:$P))*(1-Q25/100)),IFS(H25="created",O25*P25*(1-Q25/100)/12,H25="cancelled",-(O25*P25*(1-Q25/100))/12,H25="seats_change",(J25-I25)*P25*(1-Q25/100)/12,H25="price_change",(J25-I25)*O25*(1-Q25/100)/12,H25="plan_upgrade",(O25*(XLOOKUP(J25,$M:$M,$P:$P)-XLOOKUP(I25,$M:$M,$P:$P))*(1-Q25/100))/12,H25="plan_downgrade",(O25*(XLOOKUP(J25,$M:$M,$P:$P)-XLOOKUP(I25,$M:$M,$P:$P))*(1-Q25/100))/12,H25="discount_added",-(O25*P25*(J25-I25)/100)/12))</f>
        <v>6300</v>
      </c>
      <c r="T25" s="5">
        <f t="shared" si="1"/>
        <v>1</v>
      </c>
      <c r="U25" s="5">
        <f t="shared" si="2"/>
        <v>0</v>
      </c>
      <c r="V25" s="5">
        <f t="shared" si="3"/>
        <v>0</v>
      </c>
    </row>
    <row r="26" ht="14.25" customHeight="1">
      <c r="A26" s="5" t="s">
        <v>880</v>
      </c>
      <c r="B26" s="5" t="s">
        <v>122</v>
      </c>
      <c r="C26" s="5" t="s">
        <v>72</v>
      </c>
      <c r="D26" s="5" t="s">
        <v>73</v>
      </c>
      <c r="E26" s="5" t="s">
        <v>838</v>
      </c>
      <c r="F26" s="193">
        <v>45536.0</v>
      </c>
      <c r="G26" s="194">
        <v>45545.0</v>
      </c>
      <c r="H26" s="5" t="s">
        <v>839</v>
      </c>
      <c r="M26" s="5" t="s">
        <v>93</v>
      </c>
      <c r="N26" s="5" t="s">
        <v>53</v>
      </c>
      <c r="O26" s="5">
        <v>19.0</v>
      </c>
      <c r="P26" s="5">
        <v>110.0</v>
      </c>
      <c r="Q26" s="5">
        <v>0.0</v>
      </c>
      <c r="R26" s="5" t="str">
        <f t="array" ref="R26">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195">
        <f t="array" ref="S26">IF(N26="Monthly",IFS(H26="created",O26*P26*(1-Q26/100),H26="cancelled",-(O26*P26*(1-Q26/100)),H26="seats_change",(J26-I26)*P26*(1-Q26/100),H26="price_change",(J26-I26)*O26*(1-Q26/100),H26="discount_added",-(O26*P26*(J26-I26)/100),H26="plan_upgrade",O26*(XLOOKUP(J26,$M:$M,$P:$P)-XLOOKUP(I26,$M:$M,$P:$P))*(1-Q26/100),H26="plan_downgrade",O26*(XLOOKUP(J26,$M:$M,$P:$P)-XLOOKUP(I26,$M:$M,$P:$P))*(1-Q26/100)),IFS(H26="created",O26*P26*(1-Q26/100)/12,H26="cancelled",-(O26*P26*(1-Q26/100))/12,H26="seats_change",(J26-I26)*P26*(1-Q26/100)/12,H26="price_change",(J26-I26)*O26*(1-Q26/100)/12,H26="plan_upgrade",(O26*(XLOOKUP(J26,$M:$M,$P:$P)-XLOOKUP(I26,$M:$M,$P:$P))*(1-Q26/100))/12,H26="plan_downgrade",(O26*(XLOOKUP(J26,$M:$M,$P:$P)-XLOOKUP(I26,$M:$M,$P:$P))*(1-Q26/100))/12,H26="discount_added",-(O26*P26*(J26-I26)/100)/12))</f>
        <v>2090</v>
      </c>
      <c r="T26" s="5">
        <f t="shared" si="1"/>
        <v>0</v>
      </c>
      <c r="U26" s="5">
        <f t="shared" si="2"/>
        <v>0</v>
      </c>
      <c r="V26" s="5">
        <f t="shared" si="3"/>
        <v>0</v>
      </c>
    </row>
    <row r="27" ht="14.25" customHeight="1">
      <c r="A27" s="5" t="s">
        <v>881</v>
      </c>
      <c r="B27" s="5" t="s">
        <v>161</v>
      </c>
      <c r="C27" s="5" t="s">
        <v>159</v>
      </c>
      <c r="D27" s="5" t="s">
        <v>160</v>
      </c>
      <c r="E27" s="5" t="s">
        <v>860</v>
      </c>
      <c r="F27" s="193">
        <v>45536.0</v>
      </c>
      <c r="G27" s="194">
        <v>45551.0</v>
      </c>
      <c r="H27" s="5" t="s">
        <v>839</v>
      </c>
      <c r="M27" s="5" t="s">
        <v>52</v>
      </c>
      <c r="N27" s="5" t="s">
        <v>53</v>
      </c>
      <c r="O27" s="5">
        <v>19.0</v>
      </c>
      <c r="P27" s="5">
        <v>85.0</v>
      </c>
      <c r="Q27" s="5">
        <v>0.0</v>
      </c>
      <c r="R27" s="5" t="str">
        <f t="array" ref="R27">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195">
        <f t="array" ref="S27">IF(N27="Monthly",IFS(H27="created",O27*P27*(1-Q27/100),H27="cancelled",-(O27*P27*(1-Q27/100)),H27="seats_change",(J27-I27)*P27*(1-Q27/100),H27="price_change",(J27-I27)*O27*(1-Q27/100),H27="discount_added",-(O27*P27*(J27-I27)/100),H27="plan_upgrade",O27*(XLOOKUP(J27,$M:$M,$P:$P)-XLOOKUP(I27,$M:$M,$P:$P))*(1-Q27/100),H27="plan_downgrade",O27*(XLOOKUP(J27,$M:$M,$P:$P)-XLOOKUP(I27,$M:$M,$P:$P))*(1-Q27/100)),IFS(H27="created",O27*P27*(1-Q27/100)/12,H27="cancelled",-(O27*P27*(1-Q27/100))/12,H27="seats_change",(J27-I27)*P27*(1-Q27/100)/12,H27="price_change",(J27-I27)*O27*(1-Q27/100)/12,H27="plan_upgrade",(O27*(XLOOKUP(J27,$M:$M,$P:$P)-XLOOKUP(I27,$M:$M,$P:$P))*(1-Q27/100))/12,H27="plan_downgrade",(O27*(XLOOKUP(J27,$M:$M,$P:$P)-XLOOKUP(I27,$M:$M,$P:$P))*(1-Q27/100))/12,H27="discount_added",-(O27*P27*(J27-I27)/100)/12))</f>
        <v>1615</v>
      </c>
      <c r="T27" s="5">
        <f t="shared" si="1"/>
        <v>1</v>
      </c>
      <c r="U27" s="5">
        <f t="shared" si="2"/>
        <v>0</v>
      </c>
      <c r="V27" s="5">
        <f t="shared" si="3"/>
        <v>0</v>
      </c>
    </row>
    <row r="28" ht="14.25" customHeight="1">
      <c r="A28" s="5" t="s">
        <v>882</v>
      </c>
      <c r="B28" s="5" t="s">
        <v>883</v>
      </c>
      <c r="C28" s="5" t="s">
        <v>159</v>
      </c>
      <c r="D28" s="5" t="s">
        <v>160</v>
      </c>
      <c r="E28" s="5" t="s">
        <v>860</v>
      </c>
      <c r="F28" s="193">
        <v>45536.0</v>
      </c>
      <c r="G28" s="194">
        <v>45551.0</v>
      </c>
      <c r="H28" s="5" t="s">
        <v>839</v>
      </c>
      <c r="M28" s="5" t="s">
        <v>93</v>
      </c>
      <c r="N28" s="5" t="s">
        <v>53</v>
      </c>
      <c r="O28" s="5">
        <v>16.0</v>
      </c>
      <c r="P28" s="5">
        <v>110.0</v>
      </c>
      <c r="Q28" s="5">
        <v>0.0</v>
      </c>
      <c r="R28" s="5" t="str">
        <f t="array" ref="R28">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195">
        <f t="array" ref="S28">IF(N28="Monthly",IFS(H28="created",O28*P28*(1-Q28/100),H28="cancelled",-(O28*P28*(1-Q28/100)),H28="seats_change",(J28-I28)*P28*(1-Q28/100),H28="price_change",(J28-I28)*O28*(1-Q28/100),H28="discount_added",-(O28*P28*(J28-I28)/100),H28="plan_upgrade",O28*(XLOOKUP(J28,$M:$M,$P:$P)-XLOOKUP(I28,$M:$M,$P:$P))*(1-Q28/100),H28="plan_downgrade",O28*(XLOOKUP(J28,$M:$M,$P:$P)-XLOOKUP(I28,$M:$M,$P:$P))*(1-Q28/100)),IFS(H28="created",O28*P28*(1-Q28/100)/12,H28="cancelled",-(O28*P28*(1-Q28/100))/12,H28="seats_change",(J28-I28)*P28*(1-Q28/100)/12,H28="price_change",(J28-I28)*O28*(1-Q28/100)/12,H28="plan_upgrade",(O28*(XLOOKUP(J28,$M:$M,$P:$P)-XLOOKUP(I28,$M:$M,$P:$P))*(1-Q28/100))/12,H28="plan_downgrade",(O28*(XLOOKUP(J28,$M:$M,$P:$P)-XLOOKUP(I28,$M:$M,$P:$P))*(1-Q28/100))/12,H28="discount_added",-(O28*P28*(J28-I28)/100)/12))</f>
        <v>1760</v>
      </c>
      <c r="T28" s="5">
        <f t="shared" si="1"/>
        <v>0</v>
      </c>
      <c r="U28" s="5">
        <f t="shared" si="2"/>
        <v>0</v>
      </c>
      <c r="V28" s="5">
        <f t="shared" si="3"/>
        <v>0</v>
      </c>
    </row>
    <row r="29" ht="14.25" customHeight="1">
      <c r="A29" s="5" t="s">
        <v>884</v>
      </c>
      <c r="B29" s="5" t="s">
        <v>269</v>
      </c>
      <c r="C29" s="5" t="s">
        <v>267</v>
      </c>
      <c r="D29" s="5" t="s">
        <v>268</v>
      </c>
      <c r="E29" s="5" t="s">
        <v>838</v>
      </c>
      <c r="F29" s="193">
        <v>45536.0</v>
      </c>
      <c r="G29" s="194">
        <v>45565.0</v>
      </c>
      <c r="H29" s="5" t="s">
        <v>839</v>
      </c>
      <c r="M29" s="5" t="s">
        <v>93</v>
      </c>
      <c r="N29" s="5" t="s">
        <v>53</v>
      </c>
      <c r="O29" s="5">
        <v>15.0</v>
      </c>
      <c r="P29" s="5">
        <v>110.0</v>
      </c>
      <c r="Q29" s="5">
        <v>0.0</v>
      </c>
      <c r="R29" s="5" t="str">
        <f t="array" ref="R29">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195">
        <f t="array" ref="S29">IF(N29="Monthly",IFS(H29="created",O29*P29*(1-Q29/100),H29="cancelled",-(O29*P29*(1-Q29/100)),H29="seats_change",(J29-I29)*P29*(1-Q29/100),H29="price_change",(J29-I29)*O29*(1-Q29/100),H29="discount_added",-(O29*P29*(J29-I29)/100),H29="plan_upgrade",O29*(XLOOKUP(J29,$M:$M,$P:$P)-XLOOKUP(I29,$M:$M,$P:$P))*(1-Q29/100),H29="plan_downgrade",O29*(XLOOKUP(J29,$M:$M,$P:$P)-XLOOKUP(I29,$M:$M,$P:$P))*(1-Q29/100)),IFS(H29="created",O29*P29*(1-Q29/100)/12,H29="cancelled",-(O29*P29*(1-Q29/100))/12,H29="seats_change",(J29-I29)*P29*(1-Q29/100)/12,H29="price_change",(J29-I29)*O29*(1-Q29/100)/12,H29="plan_upgrade",(O29*(XLOOKUP(J29,$M:$M,$P:$P)-XLOOKUP(I29,$M:$M,$P:$P))*(1-Q29/100))/12,H29="plan_downgrade",(O29*(XLOOKUP(J29,$M:$M,$P:$P)-XLOOKUP(I29,$M:$M,$P:$P))*(1-Q29/100))/12,H29="discount_added",-(O29*P29*(J29-I29)/100)/12))</f>
        <v>1650</v>
      </c>
      <c r="T29" s="5">
        <f t="shared" si="1"/>
        <v>1</v>
      </c>
      <c r="U29" s="5">
        <f t="shared" si="2"/>
        <v>0</v>
      </c>
      <c r="V29" s="5">
        <f t="shared" si="3"/>
        <v>0</v>
      </c>
    </row>
    <row r="30" ht="14.25" customHeight="1">
      <c r="A30" s="5" t="s">
        <v>885</v>
      </c>
      <c r="B30" s="5" t="s">
        <v>79</v>
      </c>
      <c r="C30" s="5" t="s">
        <v>77</v>
      </c>
      <c r="D30" s="5" t="s">
        <v>78</v>
      </c>
      <c r="E30" s="5" t="s">
        <v>841</v>
      </c>
      <c r="F30" s="193">
        <v>45566.0</v>
      </c>
      <c r="G30" s="194">
        <v>45570.0</v>
      </c>
      <c r="H30" s="5" t="s">
        <v>839</v>
      </c>
      <c r="M30" s="5" t="s">
        <v>52</v>
      </c>
      <c r="N30" s="5" t="s">
        <v>53</v>
      </c>
      <c r="O30" s="5">
        <v>33.0</v>
      </c>
      <c r="P30" s="5">
        <v>85.0</v>
      </c>
      <c r="Q30" s="5">
        <v>0.0</v>
      </c>
      <c r="R30" s="5" t="str">
        <f t="array" ref="R30">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195">
        <f t="array" ref="S30">IF(N30="Monthly",IFS(H30="created",O30*P30*(1-Q30/100),H30="cancelled",-(O30*P30*(1-Q30/100)),H30="seats_change",(J30-I30)*P30*(1-Q30/100),H30="price_change",(J30-I30)*O30*(1-Q30/100),H30="discount_added",-(O30*P30*(J30-I30)/100),H30="plan_upgrade",O30*(XLOOKUP(J30,$M:$M,$P:$P)-XLOOKUP(I30,$M:$M,$P:$P))*(1-Q30/100),H30="plan_downgrade",O30*(XLOOKUP(J30,$M:$M,$P:$P)-XLOOKUP(I30,$M:$M,$P:$P))*(1-Q30/100)),IFS(H30="created",O30*P30*(1-Q30/100)/12,H30="cancelled",-(O30*P30*(1-Q30/100))/12,H30="seats_change",(J30-I30)*P30*(1-Q30/100)/12,H30="price_change",(J30-I30)*O30*(1-Q30/100)/12,H30="plan_upgrade",(O30*(XLOOKUP(J30,$M:$M,$P:$P)-XLOOKUP(I30,$M:$M,$P:$P))*(1-Q30/100))/12,H30="plan_downgrade",(O30*(XLOOKUP(J30,$M:$M,$P:$P)-XLOOKUP(I30,$M:$M,$P:$P))*(1-Q30/100))/12,H30="discount_added",-(O30*P30*(J30-I30)/100)/12))</f>
        <v>2805</v>
      </c>
      <c r="T30" s="5">
        <f t="shared" si="1"/>
        <v>0</v>
      </c>
      <c r="U30" s="5">
        <f t="shared" si="2"/>
        <v>0</v>
      </c>
      <c r="V30" s="5">
        <f t="shared" si="3"/>
        <v>0</v>
      </c>
    </row>
    <row r="31" ht="14.25" customHeight="1">
      <c r="A31" s="5" t="s">
        <v>886</v>
      </c>
      <c r="B31" s="5" t="s">
        <v>887</v>
      </c>
      <c r="C31" s="5" t="s">
        <v>262</v>
      </c>
      <c r="D31" s="5" t="s">
        <v>263</v>
      </c>
      <c r="E31" s="5" t="s">
        <v>841</v>
      </c>
      <c r="F31" s="193">
        <v>45566.0</v>
      </c>
      <c r="G31" s="194">
        <v>45579.0</v>
      </c>
      <c r="H31" s="5" t="s">
        <v>839</v>
      </c>
      <c r="M31" s="5" t="s">
        <v>119</v>
      </c>
      <c r="N31" s="5" t="s">
        <v>53</v>
      </c>
      <c r="O31" s="5">
        <v>25.0</v>
      </c>
      <c r="P31" s="5">
        <v>95.0</v>
      </c>
      <c r="Q31" s="5">
        <v>0.0</v>
      </c>
      <c r="R31" s="5" t="str">
        <f t="array" ref="R31">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195">
        <f t="array" ref="S31">IF(N31="Monthly",IFS(H31="created",O31*P31*(1-Q31/100),H31="cancelled",-(O31*P31*(1-Q31/100)),H31="seats_change",(J31-I31)*P31*(1-Q31/100),H31="price_change",(J31-I31)*O31*(1-Q31/100),H31="discount_added",-(O31*P31*(J31-I31)/100),H31="plan_upgrade",O31*(XLOOKUP(J31,$M:$M,$P:$P)-XLOOKUP(I31,$M:$M,$P:$P))*(1-Q31/100),H31="plan_downgrade",O31*(XLOOKUP(J31,$M:$M,$P:$P)-XLOOKUP(I31,$M:$M,$P:$P))*(1-Q31/100)),IFS(H31="created",O31*P31*(1-Q31/100)/12,H31="cancelled",-(O31*P31*(1-Q31/100))/12,H31="seats_change",(J31-I31)*P31*(1-Q31/100)/12,H31="price_change",(J31-I31)*O31*(1-Q31/100)/12,H31="plan_upgrade",(O31*(XLOOKUP(J31,$M:$M,$P:$P)-XLOOKUP(I31,$M:$M,$P:$P))*(1-Q31/100))/12,H31="plan_downgrade",(O31*(XLOOKUP(J31,$M:$M,$P:$P)-XLOOKUP(I31,$M:$M,$P:$P))*(1-Q31/100))/12,H31="discount_added",-(O31*P31*(J31-I31)/100)/12))</f>
        <v>2375</v>
      </c>
      <c r="T31" s="5">
        <f t="shared" si="1"/>
        <v>1</v>
      </c>
      <c r="U31" s="5">
        <f t="shared" si="2"/>
        <v>0</v>
      </c>
      <c r="V31" s="5">
        <f t="shared" si="3"/>
        <v>0</v>
      </c>
    </row>
    <row r="32" ht="14.25" customHeight="1">
      <c r="A32" s="5" t="s">
        <v>888</v>
      </c>
      <c r="B32" s="5" t="s">
        <v>254</v>
      </c>
      <c r="C32" s="5" t="s">
        <v>174</v>
      </c>
      <c r="D32" s="5" t="s">
        <v>175</v>
      </c>
      <c r="E32" s="5" t="s">
        <v>838</v>
      </c>
      <c r="F32" s="193">
        <v>45566.0</v>
      </c>
      <c r="G32" s="194">
        <v>45593.0</v>
      </c>
      <c r="H32" s="5" t="s">
        <v>839</v>
      </c>
      <c r="M32" s="5" t="s">
        <v>209</v>
      </c>
      <c r="N32" s="5" t="s">
        <v>53</v>
      </c>
      <c r="O32" s="5">
        <v>33.0</v>
      </c>
      <c r="P32" s="5">
        <v>150.0</v>
      </c>
      <c r="Q32" s="5">
        <v>0.0</v>
      </c>
      <c r="R32" s="5" t="str">
        <f t="array" ref="R32">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195">
        <f t="array" ref="S32">IF(N32="Monthly",IFS(H32="created",O32*P32*(1-Q32/100),H32="cancelled",-(O32*P32*(1-Q32/100)),H32="seats_change",(J32-I32)*P32*(1-Q32/100),H32="price_change",(J32-I32)*O32*(1-Q32/100),H32="discount_added",-(O32*P32*(J32-I32)/100),H32="plan_upgrade",O32*(XLOOKUP(J32,$M:$M,$P:$P)-XLOOKUP(I32,$M:$M,$P:$P))*(1-Q32/100),H32="plan_downgrade",O32*(XLOOKUP(J32,$M:$M,$P:$P)-XLOOKUP(I32,$M:$M,$P:$P))*(1-Q32/100)),IFS(H32="created",O32*P32*(1-Q32/100)/12,H32="cancelled",-(O32*P32*(1-Q32/100))/12,H32="seats_change",(J32-I32)*P32*(1-Q32/100)/12,H32="price_change",(J32-I32)*O32*(1-Q32/100)/12,H32="plan_upgrade",(O32*(XLOOKUP(J32,$M:$M,$P:$P)-XLOOKUP(I32,$M:$M,$P:$P))*(1-Q32/100))/12,H32="plan_downgrade",(O32*(XLOOKUP(J32,$M:$M,$P:$P)-XLOOKUP(I32,$M:$M,$P:$P))*(1-Q32/100))/12,H32="discount_added",-(O32*P32*(J32-I32)/100)/12))</f>
        <v>4950</v>
      </c>
      <c r="T32" s="5">
        <f t="shared" si="1"/>
        <v>1</v>
      </c>
      <c r="U32" s="5">
        <f t="shared" si="2"/>
        <v>0</v>
      </c>
      <c r="V32" s="5">
        <f t="shared" si="3"/>
        <v>0</v>
      </c>
    </row>
    <row r="33" ht="14.25" customHeight="1">
      <c r="A33" s="5" t="s">
        <v>889</v>
      </c>
      <c r="B33" s="5" t="s">
        <v>89</v>
      </c>
      <c r="C33" s="5" t="s">
        <v>87</v>
      </c>
      <c r="D33" s="5" t="s">
        <v>88</v>
      </c>
      <c r="E33" s="5" t="s">
        <v>838</v>
      </c>
      <c r="F33" s="193">
        <v>45597.0</v>
      </c>
      <c r="G33" s="194">
        <v>45601.0</v>
      </c>
      <c r="H33" s="5" t="s">
        <v>839</v>
      </c>
      <c r="M33" s="5" t="s">
        <v>52</v>
      </c>
      <c r="N33" s="5" t="s">
        <v>53</v>
      </c>
      <c r="O33" s="5">
        <v>22.0</v>
      </c>
      <c r="P33" s="5">
        <v>85.0</v>
      </c>
      <c r="Q33" s="5">
        <v>0.0</v>
      </c>
      <c r="R33" s="5" t="str">
        <f t="array" ref="R33">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195">
        <f t="array" ref="S33">IF(N33="Monthly",IFS(H33="created",O33*P33*(1-Q33/100),H33="cancelled",-(O33*P33*(1-Q33/100)),H33="seats_change",(J33-I33)*P33*(1-Q33/100),H33="price_change",(J33-I33)*O33*(1-Q33/100),H33="discount_added",-(O33*P33*(J33-I33)/100),H33="plan_upgrade",O33*(XLOOKUP(J33,$M:$M,$P:$P)-XLOOKUP(I33,$M:$M,$P:$P))*(1-Q33/100),H33="plan_downgrade",O33*(XLOOKUP(J33,$M:$M,$P:$P)-XLOOKUP(I33,$M:$M,$P:$P))*(1-Q33/100)),IFS(H33="created",O33*P33*(1-Q33/100)/12,H33="cancelled",-(O33*P33*(1-Q33/100))/12,H33="seats_change",(J33-I33)*P33*(1-Q33/100)/12,H33="price_change",(J33-I33)*O33*(1-Q33/100)/12,H33="plan_upgrade",(O33*(XLOOKUP(J33,$M:$M,$P:$P)-XLOOKUP(I33,$M:$M,$P:$P))*(1-Q33/100))/12,H33="plan_downgrade",(O33*(XLOOKUP(J33,$M:$M,$P:$P)-XLOOKUP(I33,$M:$M,$P:$P))*(1-Q33/100))/12,H33="discount_added",-(O33*P33*(J33-I33)/100)/12))</f>
        <v>1870</v>
      </c>
      <c r="T33" s="5">
        <f t="shared" si="1"/>
        <v>0</v>
      </c>
      <c r="U33" s="5">
        <f t="shared" si="2"/>
        <v>0</v>
      </c>
      <c r="V33" s="5">
        <f t="shared" si="3"/>
        <v>0</v>
      </c>
    </row>
    <row r="34" ht="14.25" customHeight="1">
      <c r="A34" s="5" t="s">
        <v>890</v>
      </c>
      <c r="B34" s="5" t="s">
        <v>891</v>
      </c>
      <c r="C34" s="5" t="s">
        <v>154</v>
      </c>
      <c r="D34" s="5" t="s">
        <v>155</v>
      </c>
      <c r="E34" s="5" t="s">
        <v>838</v>
      </c>
      <c r="F34" s="193">
        <v>45597.0</v>
      </c>
      <c r="G34" s="194">
        <v>45607.0</v>
      </c>
      <c r="H34" s="5" t="s">
        <v>839</v>
      </c>
      <c r="M34" s="5" t="s">
        <v>58</v>
      </c>
      <c r="N34" s="5" t="s">
        <v>53</v>
      </c>
      <c r="O34" s="5">
        <v>10.0</v>
      </c>
      <c r="P34" s="5">
        <v>45.0</v>
      </c>
      <c r="Q34" s="5">
        <v>0.0</v>
      </c>
      <c r="R34" s="5" t="str">
        <f t="array" ref="R34">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195">
        <f t="array" ref="S34">IF(N34="Monthly",IFS(H34="created",O34*P34*(1-Q34/100),H34="cancelled",-(O34*P34*(1-Q34/100)),H34="seats_change",(J34-I34)*P34*(1-Q34/100),H34="price_change",(J34-I34)*O34*(1-Q34/100),H34="discount_added",-(O34*P34*(J34-I34)/100),H34="plan_upgrade",O34*(XLOOKUP(J34,$M:$M,$P:$P)-XLOOKUP(I34,$M:$M,$P:$P))*(1-Q34/100),H34="plan_downgrade",O34*(XLOOKUP(J34,$M:$M,$P:$P)-XLOOKUP(I34,$M:$M,$P:$P))*(1-Q34/100)),IFS(H34="created",O34*P34*(1-Q34/100)/12,H34="cancelled",-(O34*P34*(1-Q34/100))/12,H34="seats_change",(J34-I34)*P34*(1-Q34/100)/12,H34="price_change",(J34-I34)*O34*(1-Q34/100)/12,H34="plan_upgrade",(O34*(XLOOKUP(J34,$M:$M,$P:$P)-XLOOKUP(I34,$M:$M,$P:$P))*(1-Q34/100))/12,H34="plan_downgrade",(O34*(XLOOKUP(J34,$M:$M,$P:$P)-XLOOKUP(I34,$M:$M,$P:$P))*(1-Q34/100))/12,H34="discount_added",-(O34*P34*(J34-I34)/100)/12))</f>
        <v>450</v>
      </c>
      <c r="T34" s="5">
        <f t="shared" si="1"/>
        <v>1</v>
      </c>
      <c r="U34" s="5">
        <f t="shared" si="2"/>
        <v>0</v>
      </c>
      <c r="V34" s="5">
        <f t="shared" si="3"/>
        <v>0</v>
      </c>
    </row>
    <row r="35" ht="14.25" customHeight="1">
      <c r="A35" s="5" t="s">
        <v>892</v>
      </c>
      <c r="B35" s="5" t="s">
        <v>847</v>
      </c>
      <c r="C35" s="5" t="s">
        <v>848</v>
      </c>
      <c r="D35" s="5" t="s">
        <v>849</v>
      </c>
      <c r="E35" s="5" t="s">
        <v>838</v>
      </c>
      <c r="F35" s="193">
        <v>45597.0</v>
      </c>
      <c r="G35" s="194">
        <v>45616.0</v>
      </c>
      <c r="H35" s="5" t="s">
        <v>875</v>
      </c>
      <c r="I35" s="5" t="s">
        <v>876</v>
      </c>
      <c r="J35" s="5" t="s">
        <v>877</v>
      </c>
      <c r="K35" s="5" t="s">
        <v>44</v>
      </c>
      <c r="L35" s="5" t="s">
        <v>893</v>
      </c>
      <c r="M35" s="5" t="s">
        <v>58</v>
      </c>
      <c r="N35" s="5" t="s">
        <v>53</v>
      </c>
      <c r="O35" s="5">
        <v>11.0</v>
      </c>
      <c r="P35" s="5">
        <v>45.0</v>
      </c>
      <c r="Q35" s="5">
        <v>0.0</v>
      </c>
      <c r="R35" s="5" t="str">
        <f t="array" ref="R35">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195">
        <f t="array" ref="S35">IF(N35="Monthly",IFS(H35="created",O35*P35*(1-Q35/100),H35="cancelled",-(O35*P35*(1-Q35/100)),H35="seats_change",(J35-I35)*P35*(1-Q35/100),H35="price_change",(J35-I35)*O35*(1-Q35/100),H35="discount_added",-(O35*P35*(J35-I35)/100),H35="plan_upgrade",O35*(XLOOKUP(J35,$M:$M,$P:$P)-XLOOKUP(I35,$M:$M,$P:$P))*(1-Q35/100),H35="plan_downgrade",O35*(XLOOKUP(J35,$M:$M,$P:$P)-XLOOKUP(I35,$M:$M,$P:$P))*(1-Q35/100)),IFS(H35="created",O35*P35*(1-Q35/100)/12,H35="cancelled",-(O35*P35*(1-Q35/100))/12,H35="seats_change",(J35-I35)*P35*(1-Q35/100)/12,H35="price_change",(J35-I35)*O35*(1-Q35/100)/12,H35="plan_upgrade",(O35*(XLOOKUP(J35,$M:$M,$P:$P)-XLOOKUP(I35,$M:$M,$P:$P))*(1-Q35/100))/12,H35="plan_downgrade",(O35*(XLOOKUP(J35,$M:$M,$P:$P)-XLOOKUP(I35,$M:$M,$P:$P))*(1-Q35/100))/12,H35="discount_added",-(O35*P35*(J35-I35)/100)/12))</f>
        <v>-495</v>
      </c>
      <c r="T35" s="5">
        <f t="shared" si="1"/>
        <v>0</v>
      </c>
      <c r="U35" s="5">
        <f t="shared" si="2"/>
        <v>1</v>
      </c>
      <c r="V35" s="5">
        <f t="shared" si="3"/>
        <v>0</v>
      </c>
    </row>
    <row r="36" ht="14.25" customHeight="1">
      <c r="A36" s="5" t="s">
        <v>894</v>
      </c>
      <c r="B36" s="5" t="s">
        <v>236</v>
      </c>
      <c r="C36" s="5" t="s">
        <v>106</v>
      </c>
      <c r="D36" s="5" t="s">
        <v>107</v>
      </c>
      <c r="E36" s="5" t="s">
        <v>841</v>
      </c>
      <c r="F36" s="193">
        <v>45597.0</v>
      </c>
      <c r="G36" s="194">
        <v>45621.0</v>
      </c>
      <c r="H36" s="5" t="s">
        <v>839</v>
      </c>
      <c r="M36" s="5" t="s">
        <v>52</v>
      </c>
      <c r="N36" s="5" t="s">
        <v>53</v>
      </c>
      <c r="O36" s="5">
        <v>31.0</v>
      </c>
      <c r="P36" s="5">
        <v>85.0</v>
      </c>
      <c r="Q36" s="5">
        <v>0.0</v>
      </c>
      <c r="R36" s="5" t="str">
        <f t="array" ref="R36">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195">
        <f t="array" ref="S36">IF(N36="Monthly",IFS(H36="created",O36*P36*(1-Q36/100),H36="cancelled",-(O36*P36*(1-Q36/100)),H36="seats_change",(J36-I36)*P36*(1-Q36/100),H36="price_change",(J36-I36)*O36*(1-Q36/100),H36="discount_added",-(O36*P36*(J36-I36)/100),H36="plan_upgrade",O36*(XLOOKUP(J36,$M:$M,$P:$P)-XLOOKUP(I36,$M:$M,$P:$P))*(1-Q36/100),H36="plan_downgrade",O36*(XLOOKUP(J36,$M:$M,$P:$P)-XLOOKUP(I36,$M:$M,$P:$P))*(1-Q36/100)),IFS(H36="created",O36*P36*(1-Q36/100)/12,H36="cancelled",-(O36*P36*(1-Q36/100))/12,H36="seats_change",(J36-I36)*P36*(1-Q36/100)/12,H36="price_change",(J36-I36)*O36*(1-Q36/100)/12,H36="plan_upgrade",(O36*(XLOOKUP(J36,$M:$M,$P:$P)-XLOOKUP(I36,$M:$M,$P:$P))*(1-Q36/100))/12,H36="plan_downgrade",(O36*(XLOOKUP(J36,$M:$M,$P:$P)-XLOOKUP(I36,$M:$M,$P:$P))*(1-Q36/100))/12,H36="discount_added",-(O36*P36*(J36-I36)/100)/12))</f>
        <v>2635</v>
      </c>
      <c r="T36" s="5">
        <f t="shared" si="1"/>
        <v>1</v>
      </c>
      <c r="U36" s="5">
        <f t="shared" si="2"/>
        <v>0</v>
      </c>
      <c r="V36" s="5">
        <f t="shared" si="3"/>
        <v>0</v>
      </c>
    </row>
    <row r="37" ht="14.25" customHeight="1">
      <c r="A37" s="5" t="s">
        <v>895</v>
      </c>
      <c r="B37" s="5" t="s">
        <v>896</v>
      </c>
      <c r="C37" s="5" t="s">
        <v>218</v>
      </c>
      <c r="D37" s="5" t="s">
        <v>219</v>
      </c>
      <c r="E37" s="5" t="s">
        <v>838</v>
      </c>
      <c r="F37" s="193">
        <v>45627.0</v>
      </c>
      <c r="G37" s="194">
        <v>45635.0</v>
      </c>
      <c r="H37" s="5" t="s">
        <v>839</v>
      </c>
      <c r="M37" s="5" t="s">
        <v>64</v>
      </c>
      <c r="N37" s="5" t="s">
        <v>210</v>
      </c>
      <c r="O37" s="5">
        <v>38.0</v>
      </c>
      <c r="P37" s="5">
        <v>2160.0</v>
      </c>
      <c r="Q37" s="5">
        <v>0.0</v>
      </c>
      <c r="R37" s="5" t="str">
        <f t="array" ref="R37">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195">
        <f t="array" ref="S37">IF(N37="Monthly",IFS(H37="created",O37*P37*(1-Q37/100),H37="cancelled",-(O37*P37*(1-Q37/100)),H37="seats_change",(J37-I37)*P37*(1-Q37/100),H37="price_change",(J37-I37)*O37*(1-Q37/100),H37="discount_added",-(O37*P37*(J37-I37)/100),H37="plan_upgrade",O37*(XLOOKUP(J37,$M:$M,$P:$P)-XLOOKUP(I37,$M:$M,$P:$P))*(1-Q37/100),H37="plan_downgrade",O37*(XLOOKUP(J37,$M:$M,$P:$P)-XLOOKUP(I37,$M:$M,$P:$P))*(1-Q37/100)),IFS(H37="created",O37*P37*(1-Q37/100)/12,H37="cancelled",-(O37*P37*(1-Q37/100))/12,H37="seats_change",(J37-I37)*P37*(1-Q37/100)/12,H37="price_change",(J37-I37)*O37*(1-Q37/100)/12,H37="plan_upgrade",(O37*(XLOOKUP(J37,$M:$M,$P:$P)-XLOOKUP(I37,$M:$M,$P:$P))*(1-Q37/100))/12,H37="plan_downgrade",(O37*(XLOOKUP(J37,$M:$M,$P:$P)-XLOOKUP(I37,$M:$M,$P:$P))*(1-Q37/100))/12,H37="discount_added",-(O37*P37*(J37-I37)/100)/12))</f>
        <v>6840</v>
      </c>
      <c r="T37" s="5">
        <f t="shared" si="1"/>
        <v>1</v>
      </c>
      <c r="U37" s="5">
        <f t="shared" si="2"/>
        <v>0</v>
      </c>
      <c r="V37" s="5">
        <f t="shared" si="3"/>
        <v>0</v>
      </c>
    </row>
    <row r="38" ht="14.25" customHeight="1">
      <c r="A38" s="5" t="s">
        <v>897</v>
      </c>
      <c r="B38" s="5" t="s">
        <v>135</v>
      </c>
      <c r="C38" s="5" t="s">
        <v>133</v>
      </c>
      <c r="D38" s="5" t="s">
        <v>134</v>
      </c>
      <c r="E38" s="5" t="s">
        <v>838</v>
      </c>
      <c r="F38" s="193">
        <v>45627.0</v>
      </c>
      <c r="G38" s="194">
        <v>45638.0</v>
      </c>
      <c r="H38" s="5" t="s">
        <v>839</v>
      </c>
      <c r="M38" s="5" t="s">
        <v>52</v>
      </c>
      <c r="N38" s="5" t="s">
        <v>53</v>
      </c>
      <c r="O38" s="5">
        <v>38.0</v>
      </c>
      <c r="P38" s="5">
        <v>85.0</v>
      </c>
      <c r="Q38" s="5">
        <v>0.0</v>
      </c>
      <c r="R38" s="5" t="str">
        <f t="array" ref="R38">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195">
        <f t="array" ref="S38">IF(N38="Monthly",IFS(H38="created",O38*P38*(1-Q38/100),H38="cancelled",-(O38*P38*(1-Q38/100)),H38="seats_change",(J38-I38)*P38*(1-Q38/100),H38="price_change",(J38-I38)*O38*(1-Q38/100),H38="discount_added",-(O38*P38*(J38-I38)/100),H38="plan_upgrade",O38*(XLOOKUP(J38,$M:$M,$P:$P)-XLOOKUP(I38,$M:$M,$P:$P))*(1-Q38/100),H38="plan_downgrade",O38*(XLOOKUP(J38,$M:$M,$P:$P)-XLOOKUP(I38,$M:$M,$P:$P))*(1-Q38/100)),IFS(H38="created",O38*P38*(1-Q38/100)/12,H38="cancelled",-(O38*P38*(1-Q38/100))/12,H38="seats_change",(J38-I38)*P38*(1-Q38/100)/12,H38="price_change",(J38-I38)*O38*(1-Q38/100)/12,H38="plan_upgrade",(O38*(XLOOKUP(J38,$M:$M,$P:$P)-XLOOKUP(I38,$M:$M,$P:$P))*(1-Q38/100))/12,H38="plan_downgrade",(O38*(XLOOKUP(J38,$M:$M,$P:$P)-XLOOKUP(I38,$M:$M,$P:$P))*(1-Q38/100))/12,H38="discount_added",-(O38*P38*(J38-I38)/100)/12))</f>
        <v>3230</v>
      </c>
      <c r="T38" s="5">
        <f t="shared" si="1"/>
        <v>0</v>
      </c>
      <c r="U38" s="5">
        <f t="shared" si="2"/>
        <v>0</v>
      </c>
      <c r="V38" s="5">
        <f t="shared" si="3"/>
        <v>0</v>
      </c>
    </row>
    <row r="39" ht="14.25" customHeight="1">
      <c r="A39" s="5" t="s">
        <v>898</v>
      </c>
      <c r="B39" s="5" t="s">
        <v>198</v>
      </c>
      <c r="C39" s="5" t="s">
        <v>196</v>
      </c>
      <c r="D39" s="5" t="s">
        <v>197</v>
      </c>
      <c r="E39" s="5" t="s">
        <v>841</v>
      </c>
      <c r="F39" s="193">
        <v>45627.0</v>
      </c>
      <c r="G39" s="194">
        <v>45646.0</v>
      </c>
      <c r="H39" s="5" t="s">
        <v>839</v>
      </c>
      <c r="M39" s="5" t="s">
        <v>119</v>
      </c>
      <c r="N39" s="5" t="s">
        <v>53</v>
      </c>
      <c r="O39" s="5">
        <v>35.0</v>
      </c>
      <c r="P39" s="5">
        <v>95.0</v>
      </c>
      <c r="Q39" s="5">
        <v>0.0</v>
      </c>
      <c r="R39" s="5" t="str">
        <f t="array" ref="R39">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195">
        <f t="array" ref="S39">IF(N39="Monthly",IFS(H39="created",O39*P39*(1-Q39/100),H39="cancelled",-(O39*P39*(1-Q39/100)),H39="seats_change",(J39-I39)*P39*(1-Q39/100),H39="price_change",(J39-I39)*O39*(1-Q39/100),H39="discount_added",-(O39*P39*(J39-I39)/100),H39="plan_upgrade",O39*(XLOOKUP(J39,$M:$M,$P:$P)-XLOOKUP(I39,$M:$M,$P:$P))*(1-Q39/100),H39="plan_downgrade",O39*(XLOOKUP(J39,$M:$M,$P:$P)-XLOOKUP(I39,$M:$M,$P:$P))*(1-Q39/100)),IFS(H39="created",O39*P39*(1-Q39/100)/12,H39="cancelled",-(O39*P39*(1-Q39/100))/12,H39="seats_change",(J39-I39)*P39*(1-Q39/100)/12,H39="price_change",(J39-I39)*O39*(1-Q39/100)/12,H39="plan_upgrade",(O39*(XLOOKUP(J39,$M:$M,$P:$P)-XLOOKUP(I39,$M:$M,$P:$P))*(1-Q39/100))/12,H39="plan_downgrade",(O39*(XLOOKUP(J39,$M:$M,$P:$P)-XLOOKUP(I39,$M:$M,$P:$P))*(1-Q39/100))/12,H39="discount_added",-(O39*P39*(J39-I39)/100)/12))</f>
        <v>3325</v>
      </c>
      <c r="T39" s="5">
        <f t="shared" si="1"/>
        <v>0</v>
      </c>
      <c r="U39" s="5">
        <f t="shared" si="2"/>
        <v>0</v>
      </c>
      <c r="V39" s="5">
        <f t="shared" si="3"/>
        <v>0</v>
      </c>
    </row>
    <row r="40" ht="14.25" customHeight="1">
      <c r="A40" s="5" t="s">
        <v>899</v>
      </c>
      <c r="B40" s="5" t="s">
        <v>855</v>
      </c>
      <c r="C40" s="5" t="s">
        <v>87</v>
      </c>
      <c r="D40" s="5" t="s">
        <v>88</v>
      </c>
      <c r="E40" s="5" t="s">
        <v>838</v>
      </c>
      <c r="F40" s="193">
        <v>45627.0</v>
      </c>
      <c r="G40" s="194">
        <v>45648.0</v>
      </c>
      <c r="H40" s="5" t="s">
        <v>875</v>
      </c>
      <c r="I40" s="5" t="s">
        <v>876</v>
      </c>
      <c r="J40" s="5" t="s">
        <v>877</v>
      </c>
      <c r="K40" s="5" t="s">
        <v>44</v>
      </c>
      <c r="L40" s="5" t="s">
        <v>893</v>
      </c>
      <c r="M40" s="5" t="s">
        <v>119</v>
      </c>
      <c r="N40" s="5" t="s">
        <v>53</v>
      </c>
      <c r="O40" s="5">
        <v>22.0</v>
      </c>
      <c r="P40" s="5">
        <v>95.0</v>
      </c>
      <c r="Q40" s="5">
        <v>0.0</v>
      </c>
      <c r="R40" s="5" t="str">
        <f t="array" ref="R40">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195">
        <f t="array" ref="S40">IF(N40="Monthly",IFS(H40="created",O40*P40*(1-Q40/100),H40="cancelled",-(O40*P40*(1-Q40/100)),H40="seats_change",(J40-I40)*P40*(1-Q40/100),H40="price_change",(J40-I40)*O40*(1-Q40/100),H40="discount_added",-(O40*P40*(J40-I40)/100),H40="plan_upgrade",O40*(XLOOKUP(J40,$M:$M,$P:$P)-XLOOKUP(I40,$M:$M,$P:$P))*(1-Q40/100),H40="plan_downgrade",O40*(XLOOKUP(J40,$M:$M,$P:$P)-XLOOKUP(I40,$M:$M,$P:$P))*(1-Q40/100)),IFS(H40="created",O40*P40*(1-Q40/100)/12,H40="cancelled",-(O40*P40*(1-Q40/100))/12,H40="seats_change",(J40-I40)*P40*(1-Q40/100)/12,H40="price_change",(J40-I40)*O40*(1-Q40/100)/12,H40="plan_upgrade",(O40*(XLOOKUP(J40,$M:$M,$P:$P)-XLOOKUP(I40,$M:$M,$P:$P))*(1-Q40/100))/12,H40="plan_downgrade",(O40*(XLOOKUP(J40,$M:$M,$P:$P)-XLOOKUP(I40,$M:$M,$P:$P))*(1-Q40/100))/12,H40="discount_added",-(O40*P40*(J40-I40)/100)/12))</f>
        <v>-2090</v>
      </c>
      <c r="T40" s="5">
        <f t="shared" si="1"/>
        <v>0</v>
      </c>
      <c r="U40" s="5">
        <f t="shared" si="2"/>
        <v>0</v>
      </c>
      <c r="V40" s="5">
        <f t="shared" si="3"/>
        <v>0</v>
      </c>
    </row>
    <row r="41" ht="14.25" customHeight="1">
      <c r="A41" s="5" t="s">
        <v>900</v>
      </c>
      <c r="B41" s="5" t="s">
        <v>228</v>
      </c>
      <c r="C41" s="5" t="s">
        <v>226</v>
      </c>
      <c r="D41" s="5" t="s">
        <v>227</v>
      </c>
      <c r="E41" s="5" t="s">
        <v>838</v>
      </c>
      <c r="F41" s="193">
        <v>45627.0</v>
      </c>
      <c r="G41" s="194">
        <v>45649.0</v>
      </c>
      <c r="H41" s="5" t="s">
        <v>839</v>
      </c>
      <c r="M41" s="5" t="s">
        <v>119</v>
      </c>
      <c r="N41" s="5" t="s">
        <v>53</v>
      </c>
      <c r="O41" s="5">
        <v>16.0</v>
      </c>
      <c r="P41" s="5">
        <v>95.0</v>
      </c>
      <c r="Q41" s="5">
        <v>0.0</v>
      </c>
      <c r="R41" s="5" t="str">
        <f t="array" ref="R41">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195">
        <f t="array" ref="S41">IF(N41="Monthly",IFS(H41="created",O41*P41*(1-Q41/100),H41="cancelled",-(O41*P41*(1-Q41/100)),H41="seats_change",(J41-I41)*P41*(1-Q41/100),H41="price_change",(J41-I41)*O41*(1-Q41/100),H41="discount_added",-(O41*P41*(J41-I41)/100),H41="plan_upgrade",O41*(XLOOKUP(J41,$M:$M,$P:$P)-XLOOKUP(I41,$M:$M,$P:$P))*(1-Q41/100),H41="plan_downgrade",O41*(XLOOKUP(J41,$M:$M,$P:$P)-XLOOKUP(I41,$M:$M,$P:$P))*(1-Q41/100)),IFS(H41="created",O41*P41*(1-Q41/100)/12,H41="cancelled",-(O41*P41*(1-Q41/100))/12,H41="seats_change",(J41-I41)*P41*(1-Q41/100)/12,H41="price_change",(J41-I41)*O41*(1-Q41/100)/12,H41="plan_upgrade",(O41*(XLOOKUP(J41,$M:$M,$P:$P)-XLOOKUP(I41,$M:$M,$P:$P))*(1-Q41/100))/12,H41="plan_downgrade",(O41*(XLOOKUP(J41,$M:$M,$P:$P)-XLOOKUP(I41,$M:$M,$P:$P))*(1-Q41/100))/12,H41="discount_added",-(O41*P41*(J41-I41)/100)/12))</f>
        <v>1520</v>
      </c>
      <c r="T41" s="5">
        <f t="shared" si="1"/>
        <v>1</v>
      </c>
      <c r="U41" s="5">
        <f t="shared" si="2"/>
        <v>0</v>
      </c>
      <c r="V41" s="5">
        <f t="shared" si="3"/>
        <v>0</v>
      </c>
    </row>
    <row r="42" ht="14.25" customHeight="1">
      <c r="A42" s="5" t="s">
        <v>901</v>
      </c>
      <c r="B42" s="5" t="s">
        <v>92</v>
      </c>
      <c r="C42" s="5" t="s">
        <v>82</v>
      </c>
      <c r="D42" s="5" t="s">
        <v>83</v>
      </c>
      <c r="E42" s="5" t="s">
        <v>841</v>
      </c>
      <c r="F42" s="193">
        <v>45658.0</v>
      </c>
      <c r="G42" s="194">
        <v>45663.0</v>
      </c>
      <c r="H42" s="5" t="s">
        <v>839</v>
      </c>
      <c r="M42" s="5" t="s">
        <v>93</v>
      </c>
      <c r="N42" s="5" t="s">
        <v>53</v>
      </c>
      <c r="O42" s="5">
        <v>28.0</v>
      </c>
      <c r="P42" s="5">
        <v>110.0</v>
      </c>
      <c r="Q42" s="5">
        <v>0.0</v>
      </c>
      <c r="R42" s="5" t="str">
        <f t="array" ref="R42">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195">
        <f t="array" ref="S42">IF(N42="Monthly",IFS(H42="created",O42*P42*(1-Q42/100),H42="cancelled",-(O42*P42*(1-Q42/100)),H42="seats_change",(J42-I42)*P42*(1-Q42/100),H42="price_change",(J42-I42)*O42*(1-Q42/100),H42="discount_added",-(O42*P42*(J42-I42)/100),H42="plan_upgrade",O42*(XLOOKUP(J42,$M:$M,$P:$P)-XLOOKUP(I42,$M:$M,$P:$P))*(1-Q42/100),H42="plan_downgrade",O42*(XLOOKUP(J42,$M:$M,$P:$P)-XLOOKUP(I42,$M:$M,$P:$P))*(1-Q42/100)),IFS(H42="created",O42*P42*(1-Q42/100)/12,H42="cancelled",-(O42*P42*(1-Q42/100))/12,H42="seats_change",(J42-I42)*P42*(1-Q42/100)/12,H42="price_change",(J42-I42)*O42*(1-Q42/100)/12,H42="plan_upgrade",(O42*(XLOOKUP(J42,$M:$M,$P:$P)-XLOOKUP(I42,$M:$M,$P:$P))*(1-Q42/100))/12,H42="plan_downgrade",(O42*(XLOOKUP(J42,$M:$M,$P:$P)-XLOOKUP(I42,$M:$M,$P:$P))*(1-Q42/100))/12,H42="discount_added",-(O42*P42*(J42-I42)/100)/12))</f>
        <v>3080</v>
      </c>
      <c r="T42" s="5">
        <f t="shared" si="1"/>
        <v>1</v>
      </c>
      <c r="U42" s="5">
        <f t="shared" si="2"/>
        <v>0</v>
      </c>
      <c r="V42" s="5">
        <f t="shared" si="3"/>
        <v>0</v>
      </c>
    </row>
    <row r="43" ht="14.25" customHeight="1">
      <c r="A43" s="5" t="s">
        <v>902</v>
      </c>
      <c r="B43" s="5" t="s">
        <v>98</v>
      </c>
      <c r="C43" s="5" t="s">
        <v>96</v>
      </c>
      <c r="D43" s="5" t="s">
        <v>97</v>
      </c>
      <c r="E43" s="5" t="s">
        <v>838</v>
      </c>
      <c r="F43" s="193">
        <v>45658.0</v>
      </c>
      <c r="G43" s="194">
        <v>45665.0</v>
      </c>
      <c r="H43" s="5" t="s">
        <v>903</v>
      </c>
      <c r="I43" s="5">
        <v>80.0</v>
      </c>
      <c r="J43" s="5">
        <v>85.0</v>
      </c>
      <c r="K43" s="5" t="s">
        <v>829</v>
      </c>
      <c r="L43" s="5" t="s">
        <v>904</v>
      </c>
      <c r="M43" s="5" t="s">
        <v>52</v>
      </c>
      <c r="N43" s="5" t="s">
        <v>53</v>
      </c>
      <c r="O43" s="5">
        <v>28.0</v>
      </c>
      <c r="P43" s="5">
        <v>85.0</v>
      </c>
      <c r="Q43" s="5">
        <v>0.0</v>
      </c>
      <c r="R43" s="5" t="str">
        <f t="array" ref="R43">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195">
        <f t="array" ref="S43">IF(N43="Monthly",IFS(H43="created",O43*P43*(1-Q43/100),H43="cancelled",-(O43*P43*(1-Q43/100)),H43="seats_change",(J43-I43)*P43*(1-Q43/100),H43="price_change",(J43-I43)*O43*(1-Q43/100),H43="discount_added",-(O43*P43*(J43-I43)/100),H43="plan_upgrade",O43*(XLOOKUP(J43,$M:$M,$P:$P)-XLOOKUP(I43,$M:$M,$P:$P))*(1-Q43/100),H43="plan_downgrade",O43*(XLOOKUP(J43,$M:$M,$P:$P)-XLOOKUP(I43,$M:$M,$P:$P))*(1-Q43/100)),IFS(H43="created",O43*P43*(1-Q43/100)/12,H43="cancelled",-(O43*P43*(1-Q43/100))/12,H43="seats_change",(J43-I43)*P43*(1-Q43/100)/12,H43="price_change",(J43-I43)*O43*(1-Q43/100)/12,H43="plan_upgrade",(O43*(XLOOKUP(J43,$M:$M,$P:$P)-XLOOKUP(I43,$M:$M,$P:$P))*(1-Q43/100))/12,H43="plan_downgrade",(O43*(XLOOKUP(J43,$M:$M,$P:$P)-XLOOKUP(I43,$M:$M,$P:$P))*(1-Q43/100))/12,H43="discount_added",-(O43*P43*(J43-I43)/100)/12))</f>
        <v>140</v>
      </c>
      <c r="T43" s="5">
        <f t="shared" si="1"/>
        <v>0</v>
      </c>
      <c r="U43" s="5">
        <f t="shared" si="2"/>
        <v>0</v>
      </c>
      <c r="V43" s="5">
        <f t="shared" si="3"/>
        <v>0</v>
      </c>
    </row>
    <row r="44" ht="14.25" customHeight="1">
      <c r="A44" s="5" t="s">
        <v>905</v>
      </c>
      <c r="B44" s="5" t="s">
        <v>865</v>
      </c>
      <c r="C44" s="5" t="s">
        <v>201</v>
      </c>
      <c r="D44" s="5" t="s">
        <v>202</v>
      </c>
      <c r="E44" s="5" t="s">
        <v>841</v>
      </c>
      <c r="F44" s="193">
        <v>45658.0</v>
      </c>
      <c r="G44" s="194">
        <v>45672.0</v>
      </c>
      <c r="H44" s="5" t="s">
        <v>875</v>
      </c>
      <c r="I44" s="5" t="s">
        <v>876</v>
      </c>
      <c r="J44" s="5" t="s">
        <v>877</v>
      </c>
      <c r="K44" s="5" t="s">
        <v>44</v>
      </c>
      <c r="L44" s="5" t="s">
        <v>906</v>
      </c>
      <c r="M44" s="5" t="s">
        <v>58</v>
      </c>
      <c r="N44" s="5" t="s">
        <v>53</v>
      </c>
      <c r="O44" s="5">
        <v>10.0</v>
      </c>
      <c r="P44" s="5">
        <v>45.0</v>
      </c>
      <c r="Q44" s="5">
        <v>0.0</v>
      </c>
      <c r="R44" s="5" t="str">
        <f t="array" ref="R44">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195">
        <f t="array" ref="S44">IF(N44="Monthly",IFS(H44="created",O44*P44*(1-Q44/100),H44="cancelled",-(O44*P44*(1-Q44/100)),H44="seats_change",(J44-I44)*P44*(1-Q44/100),H44="price_change",(J44-I44)*O44*(1-Q44/100),H44="discount_added",-(O44*P44*(J44-I44)/100),H44="plan_upgrade",O44*(XLOOKUP(J44,$M:$M,$P:$P)-XLOOKUP(I44,$M:$M,$P:$P))*(1-Q44/100),H44="plan_downgrade",O44*(XLOOKUP(J44,$M:$M,$P:$P)-XLOOKUP(I44,$M:$M,$P:$P))*(1-Q44/100)),IFS(H44="created",O44*P44*(1-Q44/100)/12,H44="cancelled",-(O44*P44*(1-Q44/100))/12,H44="seats_change",(J44-I44)*P44*(1-Q44/100)/12,H44="price_change",(J44-I44)*O44*(1-Q44/100)/12,H44="plan_upgrade",(O44*(XLOOKUP(J44,$M:$M,$P:$P)-XLOOKUP(I44,$M:$M,$P:$P))*(1-Q44/100))/12,H44="plan_downgrade",(O44*(XLOOKUP(J44,$M:$M,$P:$P)-XLOOKUP(I44,$M:$M,$P:$P))*(1-Q44/100))/12,H44="discount_added",-(O44*P44*(J44-I44)/100)/12))</f>
        <v>-450</v>
      </c>
      <c r="T44" s="5">
        <f t="shared" si="1"/>
        <v>0</v>
      </c>
      <c r="U44" s="5">
        <f t="shared" si="2"/>
        <v>1</v>
      </c>
      <c r="V44" s="5">
        <f t="shared" si="3"/>
        <v>0</v>
      </c>
    </row>
    <row r="45" ht="14.25" customHeight="1">
      <c r="A45" s="5" t="s">
        <v>907</v>
      </c>
      <c r="B45" s="5" t="s">
        <v>191</v>
      </c>
      <c r="C45" s="5" t="s">
        <v>189</v>
      </c>
      <c r="D45" s="5" t="s">
        <v>190</v>
      </c>
      <c r="E45" s="5" t="s">
        <v>860</v>
      </c>
      <c r="F45" s="193">
        <v>45658.0</v>
      </c>
      <c r="G45" s="194">
        <v>45677.0</v>
      </c>
      <c r="H45" s="5" t="s">
        <v>839</v>
      </c>
      <c r="M45" s="5" t="s">
        <v>58</v>
      </c>
      <c r="N45" s="5" t="s">
        <v>53</v>
      </c>
      <c r="O45" s="5">
        <v>15.0</v>
      </c>
      <c r="P45" s="5">
        <v>45.0</v>
      </c>
      <c r="Q45" s="5">
        <v>0.0</v>
      </c>
      <c r="R45" s="5" t="str">
        <f t="array" ref="R45">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195">
        <f t="array" ref="S45">IF(N45="Monthly",IFS(H45="created",O45*P45*(1-Q45/100),H45="cancelled",-(O45*P45*(1-Q45/100)),H45="seats_change",(J45-I45)*P45*(1-Q45/100),H45="price_change",(J45-I45)*O45*(1-Q45/100),H45="discount_added",-(O45*P45*(J45-I45)/100),H45="plan_upgrade",O45*(XLOOKUP(J45,$M:$M,$P:$P)-XLOOKUP(I45,$M:$M,$P:$P))*(1-Q45/100),H45="plan_downgrade",O45*(XLOOKUP(J45,$M:$M,$P:$P)-XLOOKUP(I45,$M:$M,$P:$P))*(1-Q45/100)),IFS(H45="created",O45*P45*(1-Q45/100)/12,H45="cancelled",-(O45*P45*(1-Q45/100))/12,H45="seats_change",(J45-I45)*P45*(1-Q45/100)/12,H45="price_change",(J45-I45)*O45*(1-Q45/100)/12,H45="plan_upgrade",(O45*(XLOOKUP(J45,$M:$M,$P:$P)-XLOOKUP(I45,$M:$M,$P:$P))*(1-Q45/100))/12,H45="plan_downgrade",(O45*(XLOOKUP(J45,$M:$M,$P:$P)-XLOOKUP(I45,$M:$M,$P:$P))*(1-Q45/100))/12,H45="discount_added",-(O45*P45*(J45-I45)/100)/12))</f>
        <v>675</v>
      </c>
      <c r="T45" s="5">
        <f t="shared" si="1"/>
        <v>1</v>
      </c>
      <c r="U45" s="5">
        <f t="shared" si="2"/>
        <v>0</v>
      </c>
      <c r="V45" s="5">
        <f t="shared" si="3"/>
        <v>0</v>
      </c>
    </row>
    <row r="46" ht="14.25" customHeight="1">
      <c r="A46" s="5" t="s">
        <v>908</v>
      </c>
      <c r="B46" s="5" t="s">
        <v>223</v>
      </c>
      <c r="C46" s="5" t="s">
        <v>206</v>
      </c>
      <c r="D46" s="5" t="s">
        <v>207</v>
      </c>
      <c r="E46" s="5" t="s">
        <v>841</v>
      </c>
      <c r="F46" s="193">
        <v>45658.0</v>
      </c>
      <c r="G46" s="194">
        <v>45679.0</v>
      </c>
      <c r="H46" s="5" t="s">
        <v>839</v>
      </c>
      <c r="M46" s="5" t="s">
        <v>119</v>
      </c>
      <c r="N46" s="5" t="s">
        <v>210</v>
      </c>
      <c r="O46" s="5">
        <v>22.0</v>
      </c>
      <c r="P46" s="5">
        <v>1140.0</v>
      </c>
      <c r="Q46" s="5">
        <v>5.0</v>
      </c>
      <c r="R46" s="5" t="str">
        <f t="array" ref="R46">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195">
        <f t="array" ref="S46">IF(N46="Monthly",IFS(H46="created",O46*P46*(1-Q46/100),H46="cancelled",-(O46*P46*(1-Q46/100)),H46="seats_change",(J46-I46)*P46*(1-Q46/100),H46="price_change",(J46-I46)*O46*(1-Q46/100),H46="discount_added",-(O46*P46*(J46-I46)/100),H46="plan_upgrade",O46*(XLOOKUP(J46,$M:$M,$P:$P)-XLOOKUP(I46,$M:$M,$P:$P))*(1-Q46/100),H46="plan_downgrade",O46*(XLOOKUP(J46,$M:$M,$P:$P)-XLOOKUP(I46,$M:$M,$P:$P))*(1-Q46/100)),IFS(H46="created",O46*P46*(1-Q46/100)/12,H46="cancelled",-(O46*P46*(1-Q46/100))/12,H46="seats_change",(J46-I46)*P46*(1-Q46/100)/12,H46="price_change",(J46-I46)*O46*(1-Q46/100)/12,H46="plan_upgrade",(O46*(XLOOKUP(J46,$M:$M,$P:$P)-XLOOKUP(I46,$M:$M,$P:$P))*(1-Q46/100))/12,H46="plan_downgrade",(O46*(XLOOKUP(J46,$M:$M,$P:$P)-XLOOKUP(I46,$M:$M,$P:$P))*(1-Q46/100))/12,H46="discount_added",-(O46*P46*(J46-I46)/100)/12))</f>
        <v>1985.5</v>
      </c>
      <c r="T46" s="5">
        <f t="shared" si="1"/>
        <v>0</v>
      </c>
      <c r="U46" s="5">
        <f t="shared" si="2"/>
        <v>0</v>
      </c>
      <c r="V46" s="5">
        <f t="shared" si="3"/>
        <v>0</v>
      </c>
    </row>
    <row r="47" ht="14.25" customHeight="1">
      <c r="A47" s="5" t="s">
        <v>909</v>
      </c>
      <c r="B47" s="5" t="s">
        <v>264</v>
      </c>
      <c r="C47" s="5" t="s">
        <v>262</v>
      </c>
      <c r="D47" s="5" t="s">
        <v>263</v>
      </c>
      <c r="E47" s="5" t="s">
        <v>841</v>
      </c>
      <c r="F47" s="193">
        <v>45658.0</v>
      </c>
      <c r="G47" s="194">
        <v>45685.0</v>
      </c>
      <c r="H47" s="5" t="s">
        <v>839</v>
      </c>
      <c r="M47" s="5" t="s">
        <v>209</v>
      </c>
      <c r="N47" s="5" t="s">
        <v>53</v>
      </c>
      <c r="O47" s="5">
        <v>28.0</v>
      </c>
      <c r="P47" s="5">
        <v>150.0</v>
      </c>
      <c r="Q47" s="5">
        <v>0.0</v>
      </c>
      <c r="R47" s="5" t="str">
        <f t="array" ref="R47">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195">
        <f t="array" ref="S47">IF(N47="Monthly",IFS(H47="created",O47*P47*(1-Q47/100),H47="cancelled",-(O47*P47*(1-Q47/100)),H47="seats_change",(J47-I47)*P47*(1-Q47/100),H47="price_change",(J47-I47)*O47*(1-Q47/100),H47="discount_added",-(O47*P47*(J47-I47)/100),H47="plan_upgrade",O47*(XLOOKUP(J47,$M:$M,$P:$P)-XLOOKUP(I47,$M:$M,$P:$P))*(1-Q47/100),H47="plan_downgrade",O47*(XLOOKUP(J47,$M:$M,$P:$P)-XLOOKUP(I47,$M:$M,$P:$P))*(1-Q47/100)),IFS(H47="created",O47*P47*(1-Q47/100)/12,H47="cancelled",-(O47*P47*(1-Q47/100))/12,H47="seats_change",(J47-I47)*P47*(1-Q47/100)/12,H47="price_change",(J47-I47)*O47*(1-Q47/100)/12,H47="plan_upgrade",(O47*(XLOOKUP(J47,$M:$M,$P:$P)-XLOOKUP(I47,$M:$M,$P:$P))*(1-Q47/100))/12,H47="plan_downgrade",(O47*(XLOOKUP(J47,$M:$M,$P:$P)-XLOOKUP(I47,$M:$M,$P:$P))*(1-Q47/100))/12,H47="discount_added",-(O47*P47*(J47-I47)/100)/12))</f>
        <v>4200</v>
      </c>
      <c r="T47" s="5">
        <f t="shared" si="1"/>
        <v>0</v>
      </c>
      <c r="U47" s="5">
        <f t="shared" si="2"/>
        <v>0</v>
      </c>
      <c r="V47" s="5">
        <f t="shared" si="3"/>
        <v>0</v>
      </c>
    </row>
    <row r="48" ht="14.25" customHeight="1">
      <c r="A48" s="5" t="s">
        <v>910</v>
      </c>
      <c r="B48" s="5" t="s">
        <v>69</v>
      </c>
      <c r="C48" s="5" t="s">
        <v>67</v>
      </c>
      <c r="D48" s="5" t="s">
        <v>68</v>
      </c>
      <c r="E48" s="5" t="s">
        <v>838</v>
      </c>
      <c r="F48" s="193">
        <v>45689.0</v>
      </c>
      <c r="G48" s="194">
        <v>45691.0</v>
      </c>
      <c r="H48" s="5" t="s">
        <v>839</v>
      </c>
      <c r="M48" s="5" t="s">
        <v>52</v>
      </c>
      <c r="N48" s="5" t="s">
        <v>53</v>
      </c>
      <c r="O48" s="5">
        <v>22.0</v>
      </c>
      <c r="P48" s="5">
        <v>85.0</v>
      </c>
      <c r="Q48" s="5">
        <v>0.0</v>
      </c>
      <c r="R48" s="5" t="str">
        <f t="array" ref="R48">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195">
        <f t="array" ref="S48">IF(N48="Monthly",IFS(H48="created",O48*P48*(1-Q48/100),H48="cancelled",-(O48*P48*(1-Q48/100)),H48="seats_change",(J48-I48)*P48*(1-Q48/100),H48="price_change",(J48-I48)*O48*(1-Q48/100),H48="discount_added",-(O48*P48*(J48-I48)/100),H48="plan_upgrade",O48*(XLOOKUP(J48,$M:$M,$P:$P)-XLOOKUP(I48,$M:$M,$P:$P))*(1-Q48/100),H48="plan_downgrade",O48*(XLOOKUP(J48,$M:$M,$P:$P)-XLOOKUP(I48,$M:$M,$P:$P))*(1-Q48/100)),IFS(H48="created",O48*P48*(1-Q48/100)/12,H48="cancelled",-(O48*P48*(1-Q48/100))/12,H48="seats_change",(J48-I48)*P48*(1-Q48/100)/12,H48="price_change",(J48-I48)*O48*(1-Q48/100)/12,H48="plan_upgrade",(O48*(XLOOKUP(J48,$M:$M,$P:$P)-XLOOKUP(I48,$M:$M,$P:$P))*(1-Q48/100))/12,H48="plan_downgrade",(O48*(XLOOKUP(J48,$M:$M,$P:$P)-XLOOKUP(I48,$M:$M,$P:$P))*(1-Q48/100))/12,H48="discount_added",-(O48*P48*(J48-I48)/100)/12))</f>
        <v>1870</v>
      </c>
      <c r="T48" s="5">
        <f t="shared" si="1"/>
        <v>1</v>
      </c>
      <c r="U48" s="5">
        <f t="shared" si="2"/>
        <v>0</v>
      </c>
      <c r="V48" s="5">
        <f t="shared" si="3"/>
        <v>0</v>
      </c>
    </row>
    <row r="49" ht="14.25" customHeight="1">
      <c r="A49" s="5" t="s">
        <v>911</v>
      </c>
      <c r="B49" s="5" t="s">
        <v>103</v>
      </c>
      <c r="C49" s="5" t="s">
        <v>101</v>
      </c>
      <c r="D49" s="5" t="s">
        <v>102</v>
      </c>
      <c r="E49" s="5" t="s">
        <v>838</v>
      </c>
      <c r="F49" s="193">
        <v>45689.0</v>
      </c>
      <c r="G49" s="194">
        <v>45696.0</v>
      </c>
      <c r="H49" s="5" t="s">
        <v>839</v>
      </c>
      <c r="M49" s="5" t="s">
        <v>52</v>
      </c>
      <c r="N49" s="5" t="s">
        <v>53</v>
      </c>
      <c r="O49" s="5">
        <v>13.0</v>
      </c>
      <c r="P49" s="5">
        <v>85.0</v>
      </c>
      <c r="Q49" s="5">
        <v>0.0</v>
      </c>
      <c r="R49" s="5" t="str">
        <f t="array" ref="R49">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195">
        <f t="array" ref="S49">IF(N49="Monthly",IFS(H49="created",O49*P49*(1-Q49/100),H49="cancelled",-(O49*P49*(1-Q49/100)),H49="seats_change",(J49-I49)*P49*(1-Q49/100),H49="price_change",(J49-I49)*O49*(1-Q49/100),H49="discount_added",-(O49*P49*(J49-I49)/100),H49="plan_upgrade",O49*(XLOOKUP(J49,$M:$M,$P:$P)-XLOOKUP(I49,$M:$M,$P:$P))*(1-Q49/100),H49="plan_downgrade",O49*(XLOOKUP(J49,$M:$M,$P:$P)-XLOOKUP(I49,$M:$M,$P:$P))*(1-Q49/100)),IFS(H49="created",O49*P49*(1-Q49/100)/12,H49="cancelled",-(O49*P49*(1-Q49/100))/12,H49="seats_change",(J49-I49)*P49*(1-Q49/100)/12,H49="price_change",(J49-I49)*O49*(1-Q49/100)/12,H49="plan_upgrade",(O49*(XLOOKUP(J49,$M:$M,$P:$P)-XLOOKUP(I49,$M:$M,$P:$P))*(1-Q49/100))/12,H49="plan_downgrade",(O49*(XLOOKUP(J49,$M:$M,$P:$P)-XLOOKUP(I49,$M:$M,$P:$P))*(1-Q49/100))/12,H49="discount_added",-(O49*P49*(J49-I49)/100)/12))</f>
        <v>1105</v>
      </c>
      <c r="T49" s="5">
        <f t="shared" si="1"/>
        <v>0</v>
      </c>
      <c r="U49" s="5">
        <f t="shared" si="2"/>
        <v>0</v>
      </c>
      <c r="V49" s="5">
        <f t="shared" si="3"/>
        <v>0</v>
      </c>
    </row>
    <row r="50" ht="14.25" customHeight="1">
      <c r="A50" s="5" t="s">
        <v>912</v>
      </c>
      <c r="B50" s="5" t="s">
        <v>125</v>
      </c>
      <c r="C50" s="5" t="s">
        <v>96</v>
      </c>
      <c r="D50" s="5" t="s">
        <v>97</v>
      </c>
      <c r="E50" s="5" t="s">
        <v>838</v>
      </c>
      <c r="F50" s="193">
        <v>45689.0</v>
      </c>
      <c r="G50" s="194">
        <v>45698.0</v>
      </c>
      <c r="H50" s="5" t="s">
        <v>839</v>
      </c>
      <c r="M50" s="5" t="s">
        <v>93</v>
      </c>
      <c r="N50" s="5" t="s">
        <v>53</v>
      </c>
      <c r="O50" s="5">
        <v>23.0</v>
      </c>
      <c r="P50" s="5">
        <v>110.0</v>
      </c>
      <c r="Q50" s="5">
        <v>0.0</v>
      </c>
      <c r="R50" s="5" t="str">
        <f t="array" ref="R50">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195">
        <f t="array" ref="S50">IF(N50="Monthly",IFS(H50="created",O50*P50*(1-Q50/100),H50="cancelled",-(O50*P50*(1-Q50/100)),H50="seats_change",(J50-I50)*P50*(1-Q50/100),H50="price_change",(J50-I50)*O50*(1-Q50/100),H50="discount_added",-(O50*P50*(J50-I50)/100),H50="plan_upgrade",O50*(XLOOKUP(J50,$M:$M,$P:$P)-XLOOKUP(I50,$M:$M,$P:$P))*(1-Q50/100),H50="plan_downgrade",O50*(XLOOKUP(J50,$M:$M,$P:$P)-XLOOKUP(I50,$M:$M,$P:$P))*(1-Q50/100)),IFS(H50="created",O50*P50*(1-Q50/100)/12,H50="cancelled",-(O50*P50*(1-Q50/100))/12,H50="seats_change",(J50-I50)*P50*(1-Q50/100)/12,H50="price_change",(J50-I50)*O50*(1-Q50/100)/12,H50="plan_upgrade",(O50*(XLOOKUP(J50,$M:$M,$P:$P)-XLOOKUP(I50,$M:$M,$P:$P))*(1-Q50/100))/12,H50="plan_downgrade",(O50*(XLOOKUP(J50,$M:$M,$P:$P)-XLOOKUP(I50,$M:$M,$P:$P))*(1-Q50/100))/12,H50="discount_added",-(O50*P50*(J50-I50)/100)/12))</f>
        <v>2530</v>
      </c>
      <c r="T50" s="5">
        <f t="shared" si="1"/>
        <v>0</v>
      </c>
      <c r="U50" s="5">
        <f t="shared" si="2"/>
        <v>0</v>
      </c>
      <c r="V50" s="5">
        <f t="shared" si="3"/>
        <v>0</v>
      </c>
    </row>
    <row r="51" ht="14.25" customHeight="1">
      <c r="A51" s="5" t="s">
        <v>913</v>
      </c>
      <c r="B51" s="5" t="s">
        <v>166</v>
      </c>
      <c r="C51" s="5" t="s">
        <v>164</v>
      </c>
      <c r="D51" s="5" t="s">
        <v>165</v>
      </c>
      <c r="E51" s="5" t="s">
        <v>841</v>
      </c>
      <c r="F51" s="193">
        <v>45689.0</v>
      </c>
      <c r="G51" s="194">
        <v>45705.0</v>
      </c>
      <c r="H51" s="5" t="s">
        <v>839</v>
      </c>
      <c r="M51" s="5" t="s">
        <v>119</v>
      </c>
      <c r="N51" s="5" t="s">
        <v>53</v>
      </c>
      <c r="O51" s="5">
        <v>20.0</v>
      </c>
      <c r="P51" s="5">
        <v>95.0</v>
      </c>
      <c r="Q51" s="5">
        <v>0.0</v>
      </c>
      <c r="R51" s="5" t="str">
        <f t="array" ref="R51">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195">
        <f t="array" ref="S51">IF(N51="Monthly",IFS(H51="created",O51*P51*(1-Q51/100),H51="cancelled",-(O51*P51*(1-Q51/100)),H51="seats_change",(J51-I51)*P51*(1-Q51/100),H51="price_change",(J51-I51)*O51*(1-Q51/100),H51="discount_added",-(O51*P51*(J51-I51)/100),H51="plan_upgrade",O51*(XLOOKUP(J51,$M:$M,$P:$P)-XLOOKUP(I51,$M:$M,$P:$P))*(1-Q51/100),H51="plan_downgrade",O51*(XLOOKUP(J51,$M:$M,$P:$P)-XLOOKUP(I51,$M:$M,$P:$P))*(1-Q51/100)),IFS(H51="created",O51*P51*(1-Q51/100)/12,H51="cancelled",-(O51*P51*(1-Q51/100))/12,H51="seats_change",(J51-I51)*P51*(1-Q51/100)/12,H51="price_change",(J51-I51)*O51*(1-Q51/100)/12,H51="plan_upgrade",(O51*(XLOOKUP(J51,$M:$M,$P:$P)-XLOOKUP(I51,$M:$M,$P:$P))*(1-Q51/100))/12,H51="plan_downgrade",(O51*(XLOOKUP(J51,$M:$M,$P:$P)-XLOOKUP(I51,$M:$M,$P:$P))*(1-Q51/100))/12,H51="discount_added",-(O51*P51*(J51-I51)/100)/12))</f>
        <v>1900</v>
      </c>
      <c r="T51" s="5">
        <f t="shared" si="1"/>
        <v>1</v>
      </c>
      <c r="U51" s="5">
        <f t="shared" si="2"/>
        <v>0</v>
      </c>
      <c r="V51" s="5">
        <f t="shared" si="3"/>
        <v>0</v>
      </c>
    </row>
    <row r="52" ht="14.25" customHeight="1">
      <c r="A52" s="5" t="s">
        <v>914</v>
      </c>
      <c r="B52" s="5" t="s">
        <v>915</v>
      </c>
      <c r="C52" s="5" t="s">
        <v>916</v>
      </c>
      <c r="D52" s="5" t="s">
        <v>917</v>
      </c>
      <c r="E52" s="5" t="s">
        <v>838</v>
      </c>
      <c r="F52" s="193">
        <v>45717.0</v>
      </c>
      <c r="G52" s="194">
        <v>45719.0</v>
      </c>
      <c r="H52" s="5" t="s">
        <v>839</v>
      </c>
      <c r="M52" s="5" t="s">
        <v>209</v>
      </c>
      <c r="N52" s="5" t="s">
        <v>210</v>
      </c>
      <c r="O52" s="5">
        <v>45.0</v>
      </c>
      <c r="P52" s="5">
        <v>1800.0</v>
      </c>
      <c r="Q52" s="5">
        <v>0.0</v>
      </c>
      <c r="R52" s="5" t="str">
        <f t="array" ref="R52">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195">
        <f t="array" ref="S52">IF(N52="Monthly",IFS(H52="created",O52*P52*(1-Q52/100),H52="cancelled",-(O52*P52*(1-Q52/100)),H52="seats_change",(J52-I52)*P52*(1-Q52/100),H52="price_change",(J52-I52)*O52*(1-Q52/100),H52="discount_added",-(O52*P52*(J52-I52)/100),H52="plan_upgrade",O52*(XLOOKUP(J52,$M:$M,$P:$P)-XLOOKUP(I52,$M:$M,$P:$P))*(1-Q52/100),H52="plan_downgrade",O52*(XLOOKUP(J52,$M:$M,$P:$P)-XLOOKUP(I52,$M:$M,$P:$P))*(1-Q52/100)),IFS(H52="created",O52*P52*(1-Q52/100)/12,H52="cancelled",-(O52*P52*(1-Q52/100))/12,H52="seats_change",(J52-I52)*P52*(1-Q52/100)/12,H52="price_change",(J52-I52)*O52*(1-Q52/100)/12,H52="plan_upgrade",(O52*(XLOOKUP(J52,$M:$M,$P:$P)-XLOOKUP(I52,$M:$M,$P:$P))*(1-Q52/100))/12,H52="plan_downgrade",(O52*(XLOOKUP(J52,$M:$M,$P:$P)-XLOOKUP(I52,$M:$M,$P:$P))*(1-Q52/100))/12,H52="discount_added",-(O52*P52*(J52-I52)/100)/12))</f>
        <v>6750</v>
      </c>
      <c r="T52" s="5">
        <f t="shared" si="1"/>
        <v>1</v>
      </c>
      <c r="U52" s="5">
        <f t="shared" si="2"/>
        <v>0</v>
      </c>
      <c r="V52" s="5">
        <f t="shared" si="3"/>
        <v>0</v>
      </c>
    </row>
    <row r="53" ht="14.25" customHeight="1">
      <c r="A53" s="5" t="s">
        <v>918</v>
      </c>
      <c r="B53" s="5" t="s">
        <v>108</v>
      </c>
      <c r="C53" s="5" t="s">
        <v>106</v>
      </c>
      <c r="D53" s="5" t="s">
        <v>107</v>
      </c>
      <c r="E53" s="5" t="s">
        <v>841</v>
      </c>
      <c r="F53" s="193">
        <v>45717.0</v>
      </c>
      <c r="G53" s="194">
        <v>45724.0</v>
      </c>
      <c r="H53" s="5" t="s">
        <v>839</v>
      </c>
      <c r="M53" s="5" t="s">
        <v>93</v>
      </c>
      <c r="N53" s="5" t="s">
        <v>53</v>
      </c>
      <c r="O53" s="5">
        <v>26.0</v>
      </c>
      <c r="P53" s="5">
        <v>110.0</v>
      </c>
      <c r="Q53" s="5">
        <v>0.0</v>
      </c>
      <c r="R53" s="5" t="str">
        <f t="array" ref="R53">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195">
        <f t="array" ref="S53">IF(N53="Monthly",IFS(H53="created",O53*P53*(1-Q53/100),H53="cancelled",-(O53*P53*(1-Q53/100)),H53="seats_change",(J53-I53)*P53*(1-Q53/100),H53="price_change",(J53-I53)*O53*(1-Q53/100),H53="discount_added",-(O53*P53*(J53-I53)/100),H53="plan_upgrade",O53*(XLOOKUP(J53,$M:$M,$P:$P)-XLOOKUP(I53,$M:$M,$P:$P))*(1-Q53/100),H53="plan_downgrade",O53*(XLOOKUP(J53,$M:$M,$P:$P)-XLOOKUP(I53,$M:$M,$P:$P))*(1-Q53/100)),IFS(H53="created",O53*P53*(1-Q53/100)/12,H53="cancelled",-(O53*P53*(1-Q53/100))/12,H53="seats_change",(J53-I53)*P53*(1-Q53/100)/12,H53="price_change",(J53-I53)*O53*(1-Q53/100)/12,H53="plan_upgrade",(O53*(XLOOKUP(J53,$M:$M,$P:$P)-XLOOKUP(I53,$M:$M,$P:$P))*(1-Q53/100))/12,H53="plan_downgrade",(O53*(XLOOKUP(J53,$M:$M,$P:$P)-XLOOKUP(I53,$M:$M,$P:$P))*(1-Q53/100))/12,H53="discount_added",-(O53*P53*(J53-I53)/100)/12))</f>
        <v>2860</v>
      </c>
      <c r="T53" s="5">
        <f t="shared" si="1"/>
        <v>0</v>
      </c>
      <c r="U53" s="5">
        <f t="shared" si="2"/>
        <v>0</v>
      </c>
      <c r="V53" s="5">
        <f t="shared" si="3"/>
        <v>0</v>
      </c>
    </row>
    <row r="54" ht="14.25" customHeight="1">
      <c r="A54" s="5" t="s">
        <v>919</v>
      </c>
      <c r="B54" s="5" t="s">
        <v>138</v>
      </c>
      <c r="C54" s="5" t="s">
        <v>101</v>
      </c>
      <c r="D54" s="5" t="s">
        <v>102</v>
      </c>
      <c r="E54" s="5" t="s">
        <v>838</v>
      </c>
      <c r="F54" s="193">
        <v>45717.0</v>
      </c>
      <c r="G54" s="194">
        <v>45729.0</v>
      </c>
      <c r="H54" s="5" t="s">
        <v>920</v>
      </c>
      <c r="I54" s="5" t="s">
        <v>119</v>
      </c>
      <c r="J54" s="5" t="s">
        <v>58</v>
      </c>
      <c r="K54" s="5" t="s">
        <v>34</v>
      </c>
      <c r="L54" s="5" t="s">
        <v>921</v>
      </c>
      <c r="M54" s="5" t="s">
        <v>58</v>
      </c>
      <c r="N54" s="5" t="s">
        <v>53</v>
      </c>
      <c r="O54" s="5">
        <v>13.0</v>
      </c>
      <c r="P54" s="5">
        <v>45.0</v>
      </c>
      <c r="Q54" s="5">
        <v>0.0</v>
      </c>
      <c r="R54" s="5" t="str">
        <f t="array" ref="R54">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195">
        <f t="array" ref="S54">IF(N54="Monthly",IFS(H54="created",O54*P54*(1-Q54/100),H54="cancelled",-(O54*P54*(1-Q54/100)),H54="seats_change",(J54-I54)*P54*(1-Q54/100),H54="price_change",(J54-I54)*O54*(1-Q54/100),H54="discount_added",-(O54*P54*(J54-I54)/100),H54="plan_upgrade",O54*(XLOOKUP(J54,$M:$M,$P:$P)-XLOOKUP(I54,$M:$M,$P:$P))*(1-Q54/100),H54="plan_downgrade",O54*(XLOOKUP(J54,$M:$M,$P:$P)-XLOOKUP(I54,$M:$M,$P:$P))*(1-Q54/100)),IFS(H54="created",O54*P54*(1-Q54/100)/12,H54="cancelled",-(O54*P54*(1-Q54/100))/12,H54="seats_change",(J54-I54)*P54*(1-Q54/100)/12,H54="price_change",(J54-I54)*O54*(1-Q54/100)/12,H54="plan_upgrade",(O54*(XLOOKUP(J54,$M:$M,$P:$P)-XLOOKUP(I54,$M:$M,$P:$P))*(1-Q54/100))/12,H54="plan_downgrade",(O54*(XLOOKUP(J54,$M:$M,$P:$P)-XLOOKUP(I54,$M:$M,$P:$P))*(1-Q54/100))/12,H54="discount_added",-(O54*P54*(J54-I54)/100)/12))</f>
        <v>-650</v>
      </c>
      <c r="T54" s="5">
        <f t="shared" si="1"/>
        <v>0</v>
      </c>
      <c r="U54" s="5">
        <f t="shared" si="2"/>
        <v>0</v>
      </c>
      <c r="V54" s="5">
        <f t="shared" si="3"/>
        <v>0</v>
      </c>
    </row>
    <row r="55" ht="14.25" customHeight="1">
      <c r="A55" s="5" t="s">
        <v>922</v>
      </c>
      <c r="B55" s="5" t="s">
        <v>151</v>
      </c>
      <c r="C55" s="5" t="s">
        <v>61</v>
      </c>
      <c r="D55" s="5" t="s">
        <v>62</v>
      </c>
      <c r="E55" s="5" t="s">
        <v>841</v>
      </c>
      <c r="F55" s="193">
        <v>45717.0</v>
      </c>
      <c r="G55" s="194">
        <v>45731.0</v>
      </c>
      <c r="H55" s="5" t="s">
        <v>839</v>
      </c>
      <c r="M55" s="5" t="s">
        <v>52</v>
      </c>
      <c r="N55" s="5" t="s">
        <v>53</v>
      </c>
      <c r="O55" s="5">
        <v>35.0</v>
      </c>
      <c r="P55" s="5">
        <v>85.0</v>
      </c>
      <c r="Q55" s="5">
        <v>0.0</v>
      </c>
      <c r="R55" s="5" t="str">
        <f t="array" ref="R55">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195">
        <f t="array" ref="S55">IF(N55="Monthly",IFS(H55="created",O55*P55*(1-Q55/100),H55="cancelled",-(O55*P55*(1-Q55/100)),H55="seats_change",(J55-I55)*P55*(1-Q55/100),H55="price_change",(J55-I55)*O55*(1-Q55/100),H55="discount_added",-(O55*P55*(J55-I55)/100),H55="plan_upgrade",O55*(XLOOKUP(J55,$M:$M,$P:$P)-XLOOKUP(I55,$M:$M,$P:$P))*(1-Q55/100),H55="plan_downgrade",O55*(XLOOKUP(J55,$M:$M,$P:$P)-XLOOKUP(I55,$M:$M,$P:$P))*(1-Q55/100)),IFS(H55="created",O55*P55*(1-Q55/100)/12,H55="cancelled",-(O55*P55*(1-Q55/100))/12,H55="seats_change",(J55-I55)*P55*(1-Q55/100)/12,H55="price_change",(J55-I55)*O55*(1-Q55/100)/12,H55="plan_upgrade",(O55*(XLOOKUP(J55,$M:$M,$P:$P)-XLOOKUP(I55,$M:$M,$P:$P))*(1-Q55/100))/12,H55="plan_downgrade",(O55*(XLOOKUP(J55,$M:$M,$P:$P)-XLOOKUP(I55,$M:$M,$P:$P))*(1-Q55/100))/12,H55="discount_added",-(O55*P55*(J55-I55)/100)/12))</f>
        <v>2975</v>
      </c>
      <c r="T55" s="5">
        <f t="shared" si="1"/>
        <v>0</v>
      </c>
      <c r="U55" s="5">
        <f t="shared" si="2"/>
        <v>0</v>
      </c>
      <c r="V55" s="5">
        <f t="shared" si="3"/>
        <v>0</v>
      </c>
    </row>
    <row r="56" ht="14.25" customHeight="1">
      <c r="A56" s="5" t="s">
        <v>923</v>
      </c>
      <c r="B56" s="5" t="s">
        <v>223</v>
      </c>
      <c r="C56" s="5" t="s">
        <v>206</v>
      </c>
      <c r="D56" s="5" t="s">
        <v>207</v>
      </c>
      <c r="E56" s="5" t="s">
        <v>841</v>
      </c>
      <c r="F56" s="193">
        <v>45717.0</v>
      </c>
      <c r="G56" s="194">
        <v>45731.0</v>
      </c>
      <c r="H56" s="5" t="s">
        <v>924</v>
      </c>
      <c r="I56" s="5">
        <v>0.0</v>
      </c>
      <c r="J56" s="5">
        <v>5.0</v>
      </c>
      <c r="K56" s="5" t="s">
        <v>830</v>
      </c>
      <c r="L56" s="5" t="s">
        <v>925</v>
      </c>
      <c r="M56" s="5" t="s">
        <v>119</v>
      </c>
      <c r="N56" s="5" t="s">
        <v>210</v>
      </c>
      <c r="O56" s="5">
        <v>22.0</v>
      </c>
      <c r="P56" s="5">
        <v>1140.0</v>
      </c>
      <c r="Q56" s="5">
        <v>5.0</v>
      </c>
      <c r="R56" s="5" t="str">
        <f t="array" ref="R56">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195">
        <f t="array" ref="S56">IF(N56="Monthly",IFS(H56="created",O56*P56*(1-Q56/100),H56="cancelled",-(O56*P56*(1-Q56/100)),H56="seats_change",(J56-I56)*P56*(1-Q56/100),H56="price_change",(J56-I56)*O56*(1-Q56/100),H56="discount_added",-(O56*P56*(J56-I56)/100),H56="plan_upgrade",O56*(XLOOKUP(J56,$M:$M,$P:$P)-XLOOKUP(I56,$M:$M,$P:$P))*(1-Q56/100),H56="plan_downgrade",O56*(XLOOKUP(J56,$M:$M,$P:$P)-XLOOKUP(I56,$M:$M,$P:$P))*(1-Q56/100)),IFS(H56="created",O56*P56*(1-Q56/100)/12,H56="cancelled",-(O56*P56*(1-Q56/100))/12,H56="seats_change",(J56-I56)*P56*(1-Q56/100)/12,H56="price_change",(J56-I56)*O56*(1-Q56/100)/12,H56="plan_upgrade",(O56*(XLOOKUP(J56,$M:$M,$P:$P)-XLOOKUP(I56,$M:$M,$P:$P))*(1-Q56/100))/12,H56="plan_downgrade",(O56*(XLOOKUP(J56,$M:$M,$P:$P)-XLOOKUP(I56,$M:$M,$P:$P))*(1-Q56/100))/12,H56="discount_added",-(O56*P56*(J56-I56)/100)/12))</f>
        <v>-104.5</v>
      </c>
      <c r="T56" s="5">
        <f t="shared" si="1"/>
        <v>0</v>
      </c>
      <c r="U56" s="5">
        <f t="shared" si="2"/>
        <v>0</v>
      </c>
      <c r="V56" s="5">
        <f t="shared" si="3"/>
        <v>0</v>
      </c>
    </row>
    <row r="57" ht="14.25" customHeight="1">
      <c r="A57" s="5" t="s">
        <v>926</v>
      </c>
      <c r="B57" s="5" t="s">
        <v>171</v>
      </c>
      <c r="C57" s="5" t="s">
        <v>169</v>
      </c>
      <c r="D57" s="5" t="s">
        <v>170</v>
      </c>
      <c r="E57" s="5" t="s">
        <v>841</v>
      </c>
      <c r="F57" s="193">
        <v>45717.0</v>
      </c>
      <c r="G57" s="194">
        <v>45733.0</v>
      </c>
      <c r="H57" s="5" t="s">
        <v>839</v>
      </c>
      <c r="M57" s="5" t="s">
        <v>64</v>
      </c>
      <c r="N57" s="5" t="s">
        <v>53</v>
      </c>
      <c r="O57" s="5">
        <v>26.0</v>
      </c>
      <c r="P57" s="5">
        <v>180.0</v>
      </c>
      <c r="Q57" s="5">
        <v>0.0</v>
      </c>
      <c r="R57" s="5" t="str">
        <f t="array" ref="R57">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195">
        <f t="array" ref="S57">IF(N57="Monthly",IFS(H57="created",O57*P57*(1-Q57/100),H57="cancelled",-(O57*P57*(1-Q57/100)),H57="seats_change",(J57-I57)*P57*(1-Q57/100),H57="price_change",(J57-I57)*O57*(1-Q57/100),H57="discount_added",-(O57*P57*(J57-I57)/100),H57="plan_upgrade",O57*(XLOOKUP(J57,$M:$M,$P:$P)-XLOOKUP(I57,$M:$M,$P:$P))*(1-Q57/100),H57="plan_downgrade",O57*(XLOOKUP(J57,$M:$M,$P:$P)-XLOOKUP(I57,$M:$M,$P:$P))*(1-Q57/100)),IFS(H57="created",O57*P57*(1-Q57/100)/12,H57="cancelled",-(O57*P57*(1-Q57/100))/12,H57="seats_change",(J57-I57)*P57*(1-Q57/100)/12,H57="price_change",(J57-I57)*O57*(1-Q57/100)/12,H57="plan_upgrade",(O57*(XLOOKUP(J57,$M:$M,$P:$P)-XLOOKUP(I57,$M:$M,$P:$P))*(1-Q57/100))/12,H57="plan_downgrade",(O57*(XLOOKUP(J57,$M:$M,$P:$P)-XLOOKUP(I57,$M:$M,$P:$P))*(1-Q57/100))/12,H57="discount_added",-(O57*P57*(J57-I57)/100)/12))</f>
        <v>4680</v>
      </c>
      <c r="T57" s="5">
        <f t="shared" si="1"/>
        <v>1</v>
      </c>
      <c r="U57" s="5">
        <f t="shared" si="2"/>
        <v>0</v>
      </c>
      <c r="V57" s="5">
        <f t="shared" si="3"/>
        <v>0</v>
      </c>
    </row>
    <row r="58" ht="14.25" customHeight="1">
      <c r="A58" s="5" t="s">
        <v>927</v>
      </c>
      <c r="B58" s="5" t="s">
        <v>161</v>
      </c>
      <c r="C58" s="5" t="s">
        <v>159</v>
      </c>
      <c r="D58" s="5" t="s">
        <v>160</v>
      </c>
      <c r="E58" s="5" t="s">
        <v>860</v>
      </c>
      <c r="F58" s="193">
        <v>45717.0</v>
      </c>
      <c r="G58" s="194">
        <v>45736.0</v>
      </c>
      <c r="H58" s="5" t="s">
        <v>928</v>
      </c>
      <c r="I58" s="5">
        <v>22.0</v>
      </c>
      <c r="J58" s="5">
        <v>19.0</v>
      </c>
      <c r="K58" s="5" t="s">
        <v>38</v>
      </c>
      <c r="L58" s="5" t="s">
        <v>929</v>
      </c>
      <c r="M58" s="5" t="s">
        <v>52</v>
      </c>
      <c r="N58" s="5" t="s">
        <v>53</v>
      </c>
      <c r="O58" s="5">
        <v>19.0</v>
      </c>
      <c r="P58" s="5">
        <v>85.0</v>
      </c>
      <c r="Q58" s="5">
        <v>0.0</v>
      </c>
      <c r="R58" s="5" t="str">
        <f t="array" ref="R58">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195">
        <f t="array" ref="S58">IF(N58="Monthly",IFS(H58="created",O58*P58*(1-Q58/100),H58="cancelled",-(O58*P58*(1-Q58/100)),H58="seats_change",(J58-I58)*P58*(1-Q58/100),H58="price_change",(J58-I58)*O58*(1-Q58/100),H58="discount_added",-(O58*P58*(J58-I58)/100),H58="plan_upgrade",O58*(XLOOKUP(J58,$M:$M,$P:$P)-XLOOKUP(I58,$M:$M,$P:$P))*(1-Q58/100),H58="plan_downgrade",O58*(XLOOKUP(J58,$M:$M,$P:$P)-XLOOKUP(I58,$M:$M,$P:$P))*(1-Q58/100)),IFS(H58="created",O58*P58*(1-Q58/100)/12,H58="cancelled",-(O58*P58*(1-Q58/100))/12,H58="seats_change",(J58-I58)*P58*(1-Q58/100)/12,H58="price_change",(J58-I58)*O58*(1-Q58/100)/12,H58="plan_upgrade",(O58*(XLOOKUP(J58,$M:$M,$P:$P)-XLOOKUP(I58,$M:$M,$P:$P))*(1-Q58/100))/12,H58="plan_downgrade",(O58*(XLOOKUP(J58,$M:$M,$P:$P)-XLOOKUP(I58,$M:$M,$P:$P))*(1-Q58/100))/12,H58="discount_added",-(O58*P58*(J58-I58)/100)/12))</f>
        <v>-255</v>
      </c>
      <c r="T58" s="5">
        <f t="shared" si="1"/>
        <v>0</v>
      </c>
      <c r="U58" s="5">
        <f t="shared" si="2"/>
        <v>0</v>
      </c>
      <c r="V58" s="5">
        <f t="shared" si="3"/>
        <v>0</v>
      </c>
    </row>
    <row r="59" ht="14.25" customHeight="1">
      <c r="A59" s="5" t="s">
        <v>930</v>
      </c>
      <c r="B59" s="5" t="s">
        <v>274</v>
      </c>
      <c r="C59" s="5" t="s">
        <v>272</v>
      </c>
      <c r="D59" s="5" t="s">
        <v>273</v>
      </c>
      <c r="E59" s="5" t="s">
        <v>838</v>
      </c>
      <c r="F59" s="193">
        <v>45717.0</v>
      </c>
      <c r="G59" s="194">
        <v>45747.0</v>
      </c>
      <c r="H59" s="5" t="s">
        <v>839</v>
      </c>
      <c r="M59" s="5" t="s">
        <v>52</v>
      </c>
      <c r="N59" s="5" t="s">
        <v>53</v>
      </c>
      <c r="O59" s="5">
        <v>25.0</v>
      </c>
      <c r="P59" s="5">
        <v>85.0</v>
      </c>
      <c r="Q59" s="5">
        <v>0.0</v>
      </c>
      <c r="R59" s="5" t="str">
        <f t="array" ref="R59">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195">
        <f t="array" ref="S59">IF(N59="Monthly",IFS(H59="created",O59*P59*(1-Q59/100),H59="cancelled",-(O59*P59*(1-Q59/100)),H59="seats_change",(J59-I59)*P59*(1-Q59/100),H59="price_change",(J59-I59)*O59*(1-Q59/100),H59="discount_added",-(O59*P59*(J59-I59)/100),H59="plan_upgrade",O59*(XLOOKUP(J59,$M:$M,$P:$P)-XLOOKUP(I59,$M:$M,$P:$P))*(1-Q59/100),H59="plan_downgrade",O59*(XLOOKUP(J59,$M:$M,$P:$P)-XLOOKUP(I59,$M:$M,$P:$P))*(1-Q59/100)),IFS(H59="created",O59*P59*(1-Q59/100)/12,H59="cancelled",-(O59*P59*(1-Q59/100))/12,H59="seats_change",(J59-I59)*P59*(1-Q59/100)/12,H59="price_change",(J59-I59)*O59*(1-Q59/100)/12,H59="plan_upgrade",(O59*(XLOOKUP(J59,$M:$M,$P:$P)-XLOOKUP(I59,$M:$M,$P:$P))*(1-Q59/100))/12,H59="plan_downgrade",(O59*(XLOOKUP(J59,$M:$M,$P:$P)-XLOOKUP(I59,$M:$M,$P:$P))*(1-Q59/100))/12,H59="discount_added",-(O59*P59*(J59-I59)/100)/12))</f>
        <v>2125</v>
      </c>
      <c r="T59" s="5">
        <f t="shared" si="1"/>
        <v>1</v>
      </c>
      <c r="U59" s="5">
        <f t="shared" si="2"/>
        <v>0</v>
      </c>
      <c r="V59" s="5">
        <f t="shared" si="3"/>
        <v>0</v>
      </c>
    </row>
    <row r="60" ht="14.25" customHeight="1">
      <c r="A60" s="5" t="s">
        <v>931</v>
      </c>
      <c r="B60" s="5" t="s">
        <v>92</v>
      </c>
      <c r="C60" s="5" t="s">
        <v>82</v>
      </c>
      <c r="D60" s="5" t="s">
        <v>83</v>
      </c>
      <c r="E60" s="5" t="s">
        <v>841</v>
      </c>
      <c r="F60" s="193">
        <v>45748.0</v>
      </c>
      <c r="G60" s="194">
        <v>45753.0</v>
      </c>
      <c r="H60" s="5" t="s">
        <v>903</v>
      </c>
      <c r="I60" s="5">
        <v>100.0</v>
      </c>
      <c r="J60" s="5">
        <v>110.0</v>
      </c>
      <c r="K60" s="5" t="s">
        <v>829</v>
      </c>
      <c r="L60" s="5" t="s">
        <v>904</v>
      </c>
      <c r="M60" s="5" t="s">
        <v>93</v>
      </c>
      <c r="N60" s="5" t="s">
        <v>53</v>
      </c>
      <c r="O60" s="5">
        <v>28.0</v>
      </c>
      <c r="P60" s="5">
        <v>110.0</v>
      </c>
      <c r="Q60" s="5">
        <v>0.0</v>
      </c>
      <c r="R60" s="5" t="str">
        <f t="array" ref="R60">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195">
        <f t="array" ref="S60">IF(N60="Monthly",IFS(H60="created",O60*P60*(1-Q60/100),H60="cancelled",-(O60*P60*(1-Q60/100)),H60="seats_change",(J60-I60)*P60*(1-Q60/100),H60="price_change",(J60-I60)*O60*(1-Q60/100),H60="discount_added",-(O60*P60*(J60-I60)/100),H60="plan_upgrade",O60*(XLOOKUP(J60,$M:$M,$P:$P)-XLOOKUP(I60,$M:$M,$P:$P))*(1-Q60/100),H60="plan_downgrade",O60*(XLOOKUP(J60,$M:$M,$P:$P)-XLOOKUP(I60,$M:$M,$P:$P))*(1-Q60/100)),IFS(H60="created",O60*P60*(1-Q60/100)/12,H60="cancelled",-(O60*P60*(1-Q60/100))/12,H60="seats_change",(J60-I60)*P60*(1-Q60/100)/12,H60="price_change",(J60-I60)*O60*(1-Q60/100)/12,H60="plan_upgrade",(O60*(XLOOKUP(J60,$M:$M,$P:$P)-XLOOKUP(I60,$M:$M,$P:$P))*(1-Q60/100))/12,H60="plan_downgrade",(O60*(XLOOKUP(J60,$M:$M,$P:$P)-XLOOKUP(I60,$M:$M,$P:$P))*(1-Q60/100))/12,H60="discount_added",-(O60*P60*(J60-I60)/100)/12))</f>
        <v>280</v>
      </c>
      <c r="T60" s="5">
        <f t="shared" si="1"/>
        <v>0</v>
      </c>
      <c r="U60" s="5">
        <f t="shared" si="2"/>
        <v>0</v>
      </c>
      <c r="V60" s="5">
        <f t="shared" si="3"/>
        <v>0</v>
      </c>
    </row>
    <row r="61" ht="14.25" customHeight="1">
      <c r="A61" s="5" t="s">
        <v>932</v>
      </c>
      <c r="B61" s="5" t="s">
        <v>143</v>
      </c>
      <c r="C61" s="5" t="s">
        <v>141</v>
      </c>
      <c r="D61" s="5" t="s">
        <v>142</v>
      </c>
      <c r="E61" s="5" t="s">
        <v>838</v>
      </c>
      <c r="F61" s="193">
        <v>45748.0</v>
      </c>
      <c r="G61" s="194">
        <v>45761.0</v>
      </c>
      <c r="H61" s="5" t="s">
        <v>839</v>
      </c>
      <c r="M61" s="5" t="s">
        <v>58</v>
      </c>
      <c r="N61" s="5" t="s">
        <v>53</v>
      </c>
      <c r="O61" s="5">
        <v>16.0</v>
      </c>
      <c r="P61" s="5">
        <v>45.0</v>
      </c>
      <c r="Q61" s="5">
        <v>0.0</v>
      </c>
      <c r="R61" s="5" t="str">
        <f t="array" ref="R61">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195">
        <f t="array" ref="S61">IF(N61="Monthly",IFS(H61="created",O61*P61*(1-Q61/100),H61="cancelled",-(O61*P61*(1-Q61/100)),H61="seats_change",(J61-I61)*P61*(1-Q61/100),H61="price_change",(J61-I61)*O61*(1-Q61/100),H61="discount_added",-(O61*P61*(J61-I61)/100),H61="plan_upgrade",O61*(XLOOKUP(J61,$M:$M,$P:$P)-XLOOKUP(I61,$M:$M,$P:$P))*(1-Q61/100),H61="plan_downgrade",O61*(XLOOKUP(J61,$M:$M,$P:$P)-XLOOKUP(I61,$M:$M,$P:$P))*(1-Q61/100)),IFS(H61="created",O61*P61*(1-Q61/100)/12,H61="cancelled",-(O61*P61*(1-Q61/100))/12,H61="seats_change",(J61-I61)*P61*(1-Q61/100)/12,H61="price_change",(J61-I61)*O61*(1-Q61/100)/12,H61="plan_upgrade",(O61*(XLOOKUP(J61,$M:$M,$P:$P)-XLOOKUP(I61,$M:$M,$P:$P))*(1-Q61/100))/12,H61="plan_downgrade",(O61*(XLOOKUP(J61,$M:$M,$P:$P)-XLOOKUP(I61,$M:$M,$P:$P))*(1-Q61/100))/12,H61="discount_added",-(O61*P61*(J61-I61)/100)/12))</f>
        <v>720</v>
      </c>
      <c r="T61" s="5">
        <f t="shared" si="1"/>
        <v>1</v>
      </c>
      <c r="U61" s="5">
        <f t="shared" si="2"/>
        <v>0</v>
      </c>
      <c r="V61" s="5">
        <f t="shared" si="3"/>
        <v>0</v>
      </c>
    </row>
    <row r="62" ht="14.25" customHeight="1">
      <c r="A62" s="5" t="s">
        <v>933</v>
      </c>
      <c r="B62" s="5" t="s">
        <v>118</v>
      </c>
      <c r="C62" s="5" t="s">
        <v>116</v>
      </c>
      <c r="D62" s="5" t="s">
        <v>117</v>
      </c>
      <c r="E62" s="5" t="s">
        <v>838</v>
      </c>
      <c r="F62" s="193">
        <v>45748.0</v>
      </c>
      <c r="G62" s="194">
        <v>45762.0</v>
      </c>
      <c r="H62" s="5" t="s">
        <v>928</v>
      </c>
      <c r="I62" s="5">
        <v>18.0</v>
      </c>
      <c r="J62" s="5">
        <v>23.0</v>
      </c>
      <c r="K62" s="5" t="s">
        <v>38</v>
      </c>
      <c r="L62" s="5" t="s">
        <v>934</v>
      </c>
      <c r="M62" s="5" t="s">
        <v>119</v>
      </c>
      <c r="N62" s="5" t="s">
        <v>53</v>
      </c>
      <c r="O62" s="5">
        <v>23.0</v>
      </c>
      <c r="P62" s="5">
        <v>95.0</v>
      </c>
      <c r="Q62" s="5">
        <v>0.0</v>
      </c>
      <c r="R62" s="5" t="str">
        <f t="array" ref="R62">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195">
        <f t="array" ref="S62">IF(N62="Monthly",IFS(H62="created",O62*P62*(1-Q62/100),H62="cancelled",-(O62*P62*(1-Q62/100)),H62="seats_change",(J62-I62)*P62*(1-Q62/100),H62="price_change",(J62-I62)*O62*(1-Q62/100),H62="discount_added",-(O62*P62*(J62-I62)/100),H62="plan_upgrade",O62*(XLOOKUP(J62,$M:$M,$P:$P)-XLOOKUP(I62,$M:$M,$P:$P))*(1-Q62/100),H62="plan_downgrade",O62*(XLOOKUP(J62,$M:$M,$P:$P)-XLOOKUP(I62,$M:$M,$P:$P))*(1-Q62/100)),IFS(H62="created",O62*P62*(1-Q62/100)/12,H62="cancelled",-(O62*P62*(1-Q62/100))/12,H62="seats_change",(J62-I62)*P62*(1-Q62/100)/12,H62="price_change",(J62-I62)*O62*(1-Q62/100)/12,H62="plan_upgrade",(O62*(XLOOKUP(J62,$M:$M,$P:$P)-XLOOKUP(I62,$M:$M,$P:$P))*(1-Q62/100))/12,H62="plan_downgrade",(O62*(XLOOKUP(J62,$M:$M,$P:$P)-XLOOKUP(I62,$M:$M,$P:$P))*(1-Q62/100))/12,H62="discount_added",-(O62*P62*(J62-I62)/100)/12))</f>
        <v>475</v>
      </c>
      <c r="T62" s="5">
        <f t="shared" si="1"/>
        <v>0</v>
      </c>
      <c r="U62" s="5">
        <f t="shared" si="2"/>
        <v>0</v>
      </c>
      <c r="V62" s="5">
        <f t="shared" si="3"/>
        <v>0</v>
      </c>
    </row>
    <row r="63" ht="14.25" customHeight="1">
      <c r="A63" s="5" t="s">
        <v>935</v>
      </c>
      <c r="B63" s="5" t="s">
        <v>176</v>
      </c>
      <c r="C63" s="5" t="s">
        <v>174</v>
      </c>
      <c r="D63" s="5" t="s">
        <v>175</v>
      </c>
      <c r="E63" s="5" t="s">
        <v>838</v>
      </c>
      <c r="F63" s="193">
        <v>45748.0</v>
      </c>
      <c r="G63" s="194">
        <v>45765.0</v>
      </c>
      <c r="H63" s="5" t="s">
        <v>839</v>
      </c>
      <c r="M63" s="5" t="s">
        <v>93</v>
      </c>
      <c r="N63" s="5" t="s">
        <v>53</v>
      </c>
      <c r="O63" s="5">
        <v>26.0</v>
      </c>
      <c r="P63" s="5">
        <v>110.0</v>
      </c>
      <c r="Q63" s="5">
        <v>0.0</v>
      </c>
      <c r="R63" s="5" t="str">
        <f t="array" ref="R63">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195">
        <f t="array" ref="S63">IF(N63="Monthly",IFS(H63="created",O63*P63*(1-Q63/100),H63="cancelled",-(O63*P63*(1-Q63/100)),H63="seats_change",(J63-I63)*P63*(1-Q63/100),H63="price_change",(J63-I63)*O63*(1-Q63/100),H63="discount_added",-(O63*P63*(J63-I63)/100),H63="plan_upgrade",O63*(XLOOKUP(J63,$M:$M,$P:$P)-XLOOKUP(I63,$M:$M,$P:$P))*(1-Q63/100),H63="plan_downgrade",O63*(XLOOKUP(J63,$M:$M,$P:$P)-XLOOKUP(I63,$M:$M,$P:$P))*(1-Q63/100)),IFS(H63="created",O63*P63*(1-Q63/100)/12,H63="cancelled",-(O63*P63*(1-Q63/100))/12,H63="seats_change",(J63-I63)*P63*(1-Q63/100)/12,H63="price_change",(J63-I63)*O63*(1-Q63/100)/12,H63="plan_upgrade",(O63*(XLOOKUP(J63,$M:$M,$P:$P)-XLOOKUP(I63,$M:$M,$P:$P))*(1-Q63/100))/12,H63="plan_downgrade",(O63*(XLOOKUP(J63,$M:$M,$P:$P)-XLOOKUP(I63,$M:$M,$P:$P))*(1-Q63/100))/12,H63="discount_added",-(O63*P63*(J63-I63)/100)/12))</f>
        <v>2860</v>
      </c>
      <c r="T63" s="5">
        <f t="shared" si="1"/>
        <v>0</v>
      </c>
      <c r="U63" s="5">
        <f t="shared" si="2"/>
        <v>0</v>
      </c>
      <c r="V63" s="5">
        <f t="shared" si="3"/>
        <v>0</v>
      </c>
    </row>
    <row r="64" ht="14.25" customHeight="1">
      <c r="A64" s="5" t="s">
        <v>936</v>
      </c>
      <c r="B64" s="5" t="s">
        <v>259</v>
      </c>
      <c r="C64" s="5" t="s">
        <v>257</v>
      </c>
      <c r="D64" s="5" t="s">
        <v>258</v>
      </c>
      <c r="E64" s="5" t="s">
        <v>841</v>
      </c>
      <c r="F64" s="193">
        <v>45748.0</v>
      </c>
      <c r="G64" s="194">
        <v>45775.0</v>
      </c>
      <c r="H64" s="5" t="s">
        <v>839</v>
      </c>
      <c r="M64" s="5" t="s">
        <v>93</v>
      </c>
      <c r="N64" s="5" t="s">
        <v>53</v>
      </c>
      <c r="O64" s="5">
        <v>20.0</v>
      </c>
      <c r="P64" s="5">
        <v>110.0</v>
      </c>
      <c r="Q64" s="5">
        <v>0.0</v>
      </c>
      <c r="R64" s="5" t="str">
        <f t="array" ref="R64">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195">
        <f t="array" ref="S64">IF(N64="Monthly",IFS(H64="created",O64*P64*(1-Q64/100),H64="cancelled",-(O64*P64*(1-Q64/100)),H64="seats_change",(J64-I64)*P64*(1-Q64/100),H64="price_change",(J64-I64)*O64*(1-Q64/100),H64="discount_added",-(O64*P64*(J64-I64)/100),H64="plan_upgrade",O64*(XLOOKUP(J64,$M:$M,$P:$P)-XLOOKUP(I64,$M:$M,$P:$P))*(1-Q64/100),H64="plan_downgrade",O64*(XLOOKUP(J64,$M:$M,$P:$P)-XLOOKUP(I64,$M:$M,$P:$P))*(1-Q64/100)),IFS(H64="created",O64*P64*(1-Q64/100)/12,H64="cancelled",-(O64*P64*(1-Q64/100))/12,H64="seats_change",(J64-I64)*P64*(1-Q64/100)/12,H64="price_change",(J64-I64)*O64*(1-Q64/100)/12,H64="plan_upgrade",(O64*(XLOOKUP(J64,$M:$M,$P:$P)-XLOOKUP(I64,$M:$M,$P:$P))*(1-Q64/100))/12,H64="plan_downgrade",(O64*(XLOOKUP(J64,$M:$M,$P:$P)-XLOOKUP(I64,$M:$M,$P:$P))*(1-Q64/100))/12,H64="discount_added",-(O64*P64*(J64-I64)/100)/12))</f>
        <v>2200</v>
      </c>
      <c r="T64" s="5">
        <f t="shared" si="1"/>
        <v>1</v>
      </c>
      <c r="U64" s="5">
        <f t="shared" si="2"/>
        <v>0</v>
      </c>
      <c r="V64" s="5">
        <f t="shared" si="3"/>
        <v>0</v>
      </c>
    </row>
    <row r="65" ht="14.25" customHeight="1">
      <c r="A65" s="5" t="s">
        <v>937</v>
      </c>
      <c r="B65" s="5" t="s">
        <v>181</v>
      </c>
      <c r="C65" s="5" t="s">
        <v>179</v>
      </c>
      <c r="D65" s="5" t="s">
        <v>180</v>
      </c>
      <c r="E65" s="5" t="s">
        <v>841</v>
      </c>
      <c r="F65" s="193">
        <v>45778.0</v>
      </c>
      <c r="G65" s="194">
        <v>45787.0</v>
      </c>
      <c r="H65" s="5" t="s">
        <v>928</v>
      </c>
      <c r="I65" s="5">
        <v>15.0</v>
      </c>
      <c r="J65" s="5">
        <v>18.0</v>
      </c>
      <c r="K65" s="5" t="s">
        <v>38</v>
      </c>
      <c r="L65" s="5" t="s">
        <v>938</v>
      </c>
      <c r="M65" s="5" t="s">
        <v>93</v>
      </c>
      <c r="N65" s="5" t="s">
        <v>53</v>
      </c>
      <c r="O65" s="5">
        <v>18.0</v>
      </c>
      <c r="P65" s="5">
        <v>110.0</v>
      </c>
      <c r="Q65" s="5">
        <v>0.0</v>
      </c>
      <c r="R65" s="5" t="str">
        <f t="array" ref="R65">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195">
        <f t="array" ref="S65">IF(N65="Monthly",IFS(H65="created",O65*P65*(1-Q65/100),H65="cancelled",-(O65*P65*(1-Q65/100)),H65="seats_change",(J65-I65)*P65*(1-Q65/100),H65="price_change",(J65-I65)*O65*(1-Q65/100),H65="discount_added",-(O65*P65*(J65-I65)/100),H65="plan_upgrade",O65*(XLOOKUP(J65,$M:$M,$P:$P)-XLOOKUP(I65,$M:$M,$P:$P))*(1-Q65/100),H65="plan_downgrade",O65*(XLOOKUP(J65,$M:$M,$P:$P)-XLOOKUP(I65,$M:$M,$P:$P))*(1-Q65/100)),IFS(H65="created",O65*P65*(1-Q65/100)/12,H65="cancelled",-(O65*P65*(1-Q65/100))/12,H65="seats_change",(J65-I65)*P65*(1-Q65/100)/12,H65="price_change",(J65-I65)*O65*(1-Q65/100)/12,H65="plan_upgrade",(O65*(XLOOKUP(J65,$M:$M,$P:$P)-XLOOKUP(I65,$M:$M,$P:$P))*(1-Q65/100))/12,H65="plan_downgrade",(O65*(XLOOKUP(J65,$M:$M,$P:$P)-XLOOKUP(I65,$M:$M,$P:$P))*(1-Q65/100))/12,H65="discount_added",-(O65*P65*(J65-I65)/100)/12))</f>
        <v>330</v>
      </c>
      <c r="T65" s="5">
        <f t="shared" si="1"/>
        <v>0</v>
      </c>
      <c r="U65" s="5">
        <f t="shared" si="2"/>
        <v>0</v>
      </c>
      <c r="V65" s="5">
        <f t="shared" si="3"/>
        <v>0</v>
      </c>
    </row>
    <row r="66" ht="14.25" customHeight="1">
      <c r="A66" s="5" t="s">
        <v>939</v>
      </c>
      <c r="B66" s="5" t="s">
        <v>130</v>
      </c>
      <c r="C66" s="5" t="s">
        <v>128</v>
      </c>
      <c r="D66" s="5" t="s">
        <v>129</v>
      </c>
      <c r="E66" s="5" t="s">
        <v>860</v>
      </c>
      <c r="F66" s="193">
        <v>45778.0</v>
      </c>
      <c r="G66" s="194">
        <v>45789.0</v>
      </c>
      <c r="H66" s="5" t="s">
        <v>839</v>
      </c>
      <c r="M66" s="5" t="s">
        <v>119</v>
      </c>
      <c r="N66" s="5" t="s">
        <v>53</v>
      </c>
      <c r="O66" s="5">
        <v>18.0</v>
      </c>
      <c r="P66" s="5">
        <v>95.0</v>
      </c>
      <c r="Q66" s="5">
        <v>0.0</v>
      </c>
      <c r="R66" s="5" t="str">
        <f t="array" ref="R66">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195">
        <f t="array" ref="S66">IF(N66="Monthly",IFS(H66="created",O66*P66*(1-Q66/100),H66="cancelled",-(O66*P66*(1-Q66/100)),H66="seats_change",(J66-I66)*P66*(1-Q66/100),H66="price_change",(J66-I66)*O66*(1-Q66/100),H66="discount_added",-(O66*P66*(J66-I66)/100),H66="plan_upgrade",O66*(XLOOKUP(J66,$M:$M,$P:$P)-XLOOKUP(I66,$M:$M,$P:$P))*(1-Q66/100),H66="plan_downgrade",O66*(XLOOKUP(J66,$M:$M,$P:$P)-XLOOKUP(I66,$M:$M,$P:$P))*(1-Q66/100)),IFS(H66="created",O66*P66*(1-Q66/100)/12,H66="cancelled",-(O66*P66*(1-Q66/100))/12,H66="seats_change",(J66-I66)*P66*(1-Q66/100)/12,H66="price_change",(J66-I66)*O66*(1-Q66/100)/12,H66="plan_upgrade",(O66*(XLOOKUP(J66,$M:$M,$P:$P)-XLOOKUP(I66,$M:$M,$P:$P))*(1-Q66/100))/12,H66="plan_downgrade",(O66*(XLOOKUP(J66,$M:$M,$P:$P)-XLOOKUP(I66,$M:$M,$P:$P))*(1-Q66/100))/12,H66="discount_added",-(O66*P66*(J66-I66)/100)/12))</f>
        <v>1710</v>
      </c>
      <c r="T66" s="5">
        <f t="shared" si="1"/>
        <v>1</v>
      </c>
      <c r="U66" s="5">
        <f t="shared" si="2"/>
        <v>0</v>
      </c>
      <c r="V66" s="5">
        <f t="shared" si="3"/>
        <v>0</v>
      </c>
    </row>
    <row r="67" ht="14.25" customHeight="1">
      <c r="A67" s="5" t="s">
        <v>940</v>
      </c>
      <c r="B67" s="5" t="s">
        <v>203</v>
      </c>
      <c r="C67" s="5" t="s">
        <v>201</v>
      </c>
      <c r="D67" s="5" t="s">
        <v>202</v>
      </c>
      <c r="E67" s="5" t="s">
        <v>841</v>
      </c>
      <c r="F67" s="193">
        <v>45778.0</v>
      </c>
      <c r="G67" s="194">
        <v>45797.0</v>
      </c>
      <c r="H67" s="5" t="s">
        <v>839</v>
      </c>
      <c r="L67" s="5" t="s">
        <v>941</v>
      </c>
      <c r="M67" s="5" t="s">
        <v>119</v>
      </c>
      <c r="N67" s="5" t="s">
        <v>53</v>
      </c>
      <c r="O67" s="5">
        <v>12.0</v>
      </c>
      <c r="P67" s="5">
        <v>95.0</v>
      </c>
      <c r="Q67" s="5">
        <v>0.0</v>
      </c>
      <c r="R67" s="5" t="str">
        <f t="array" ref="R67">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195">
        <f t="array" ref="S67">IF(N67="Monthly",IFS(H67="created",O67*P67*(1-Q67/100),H67="cancelled",-(O67*P67*(1-Q67/100)),H67="seats_change",(J67-I67)*P67*(1-Q67/100),H67="price_change",(J67-I67)*O67*(1-Q67/100),H67="discount_added",-(O67*P67*(J67-I67)/100),H67="plan_upgrade",O67*(XLOOKUP(J67,$M:$M,$P:$P)-XLOOKUP(I67,$M:$M,$P:$P))*(1-Q67/100),H67="plan_downgrade",O67*(XLOOKUP(J67,$M:$M,$P:$P)-XLOOKUP(I67,$M:$M,$P:$P))*(1-Q67/100)),IFS(H67="created",O67*P67*(1-Q67/100)/12,H67="cancelled",-(O67*P67*(1-Q67/100))/12,H67="seats_change",(J67-I67)*P67*(1-Q67/100)/12,H67="price_change",(J67-I67)*O67*(1-Q67/100)/12,H67="plan_upgrade",(O67*(XLOOKUP(J67,$M:$M,$P:$P)-XLOOKUP(I67,$M:$M,$P:$P))*(1-Q67/100))/12,H67="plan_downgrade",(O67*(XLOOKUP(J67,$M:$M,$P:$P)-XLOOKUP(I67,$M:$M,$P:$P))*(1-Q67/100))/12,H67="discount_added",-(O67*P67*(J67-I67)/100)/12))</f>
        <v>1140</v>
      </c>
      <c r="T67" s="5">
        <f t="shared" si="1"/>
        <v>0</v>
      </c>
      <c r="U67" s="5">
        <f t="shared" si="2"/>
        <v>0</v>
      </c>
      <c r="V67" s="5">
        <f t="shared" si="3"/>
        <v>1</v>
      </c>
    </row>
    <row r="68" ht="14.25" customHeight="1">
      <c r="A68" s="5" t="s">
        <v>942</v>
      </c>
      <c r="B68" s="5" t="s">
        <v>220</v>
      </c>
      <c r="C68" s="5" t="s">
        <v>218</v>
      </c>
      <c r="D68" s="5" t="s">
        <v>219</v>
      </c>
      <c r="E68" s="5" t="s">
        <v>838</v>
      </c>
      <c r="F68" s="193">
        <v>45778.0</v>
      </c>
      <c r="G68" s="194">
        <v>45799.0</v>
      </c>
      <c r="H68" s="5" t="s">
        <v>839</v>
      </c>
      <c r="M68" s="5" t="s">
        <v>93</v>
      </c>
      <c r="N68" s="5" t="s">
        <v>53</v>
      </c>
      <c r="O68" s="5">
        <v>36.0</v>
      </c>
      <c r="P68" s="5">
        <v>110.0</v>
      </c>
      <c r="Q68" s="5">
        <v>0.0</v>
      </c>
      <c r="R68" s="5" t="str">
        <f t="array" ref="R68">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195">
        <f t="array" ref="S68">IF(N68="Monthly",IFS(H68="created",O68*P68*(1-Q68/100),H68="cancelled",-(O68*P68*(1-Q68/100)),H68="seats_change",(J68-I68)*P68*(1-Q68/100),H68="price_change",(J68-I68)*O68*(1-Q68/100),H68="discount_added",-(O68*P68*(J68-I68)/100),H68="plan_upgrade",O68*(XLOOKUP(J68,$M:$M,$P:$P)-XLOOKUP(I68,$M:$M,$P:$P))*(1-Q68/100),H68="plan_downgrade",O68*(XLOOKUP(J68,$M:$M,$P:$P)-XLOOKUP(I68,$M:$M,$P:$P))*(1-Q68/100)),IFS(H68="created",O68*P68*(1-Q68/100)/12,H68="cancelled",-(O68*P68*(1-Q68/100))/12,H68="seats_change",(J68-I68)*P68*(1-Q68/100)/12,H68="price_change",(J68-I68)*O68*(1-Q68/100)/12,H68="plan_upgrade",(O68*(XLOOKUP(J68,$M:$M,$P:$P)-XLOOKUP(I68,$M:$M,$P:$P))*(1-Q68/100))/12,H68="plan_downgrade",(O68*(XLOOKUP(J68,$M:$M,$P:$P)-XLOOKUP(I68,$M:$M,$P:$P))*(1-Q68/100))/12,H68="discount_added",-(O68*P68*(J68-I68)/100)/12))</f>
        <v>3960</v>
      </c>
      <c r="T68" s="5">
        <f t="shared" si="1"/>
        <v>0</v>
      </c>
      <c r="U68" s="5">
        <f t="shared" si="2"/>
        <v>0</v>
      </c>
      <c r="V68" s="5">
        <f t="shared" si="3"/>
        <v>0</v>
      </c>
    </row>
    <row r="69" ht="14.25" customHeight="1">
      <c r="A69" s="5" t="s">
        <v>943</v>
      </c>
      <c r="B69" s="5" t="s">
        <v>887</v>
      </c>
      <c r="C69" s="5" t="s">
        <v>262</v>
      </c>
      <c r="D69" s="5" t="s">
        <v>263</v>
      </c>
      <c r="E69" s="5" t="s">
        <v>841</v>
      </c>
      <c r="F69" s="193">
        <v>45778.0</v>
      </c>
      <c r="G69" s="194">
        <v>45803.0</v>
      </c>
      <c r="H69" s="5" t="s">
        <v>875</v>
      </c>
      <c r="I69" s="5" t="s">
        <v>876</v>
      </c>
      <c r="J69" s="5" t="s">
        <v>877</v>
      </c>
      <c r="K69" s="5" t="s">
        <v>44</v>
      </c>
      <c r="L69" s="5" t="s">
        <v>944</v>
      </c>
      <c r="M69" s="5" t="s">
        <v>119</v>
      </c>
      <c r="N69" s="5" t="s">
        <v>53</v>
      </c>
      <c r="O69" s="5">
        <v>25.0</v>
      </c>
      <c r="P69" s="5">
        <v>95.0</v>
      </c>
      <c r="Q69" s="5">
        <v>0.0</v>
      </c>
      <c r="R69" s="5" t="str">
        <f t="array" ref="R69">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195">
        <f t="array" ref="S69">IF(N69="Monthly",IFS(H69="created",O69*P69*(1-Q69/100),H69="cancelled",-(O69*P69*(1-Q69/100)),H69="seats_change",(J69-I69)*P69*(1-Q69/100),H69="price_change",(J69-I69)*O69*(1-Q69/100),H69="discount_added",-(O69*P69*(J69-I69)/100),H69="plan_upgrade",O69*(XLOOKUP(J69,$M:$M,$P:$P)-XLOOKUP(I69,$M:$M,$P:$P))*(1-Q69/100),H69="plan_downgrade",O69*(XLOOKUP(J69,$M:$M,$P:$P)-XLOOKUP(I69,$M:$M,$P:$P))*(1-Q69/100)),IFS(H69="created",O69*P69*(1-Q69/100)/12,H69="cancelled",-(O69*P69*(1-Q69/100))/12,H69="seats_change",(J69-I69)*P69*(1-Q69/100)/12,H69="price_change",(J69-I69)*O69*(1-Q69/100)/12,H69="plan_upgrade",(O69*(XLOOKUP(J69,$M:$M,$P:$P)-XLOOKUP(I69,$M:$M,$P:$P))*(1-Q69/100))/12,H69="plan_downgrade",(O69*(XLOOKUP(J69,$M:$M,$P:$P)-XLOOKUP(I69,$M:$M,$P:$P))*(1-Q69/100))/12,H69="discount_added",-(O69*P69*(J69-I69)/100)/12))</f>
        <v>-2375</v>
      </c>
      <c r="T69" s="5">
        <f t="shared" si="1"/>
        <v>0</v>
      </c>
      <c r="U69" s="5">
        <f t="shared" si="2"/>
        <v>0</v>
      </c>
      <c r="V69" s="5">
        <f t="shared" si="3"/>
        <v>0</v>
      </c>
    </row>
    <row r="70" ht="14.25" customHeight="1">
      <c r="A70" s="5" t="s">
        <v>945</v>
      </c>
      <c r="B70" s="5" t="s">
        <v>241</v>
      </c>
      <c r="C70" s="5" t="s">
        <v>239</v>
      </c>
      <c r="D70" s="5" t="s">
        <v>240</v>
      </c>
      <c r="E70" s="5" t="s">
        <v>838</v>
      </c>
      <c r="F70" s="193">
        <v>45778.0</v>
      </c>
      <c r="G70" s="194">
        <v>45803.0</v>
      </c>
      <c r="H70" s="5" t="s">
        <v>839</v>
      </c>
      <c r="M70" s="5" t="s">
        <v>209</v>
      </c>
      <c r="N70" s="5" t="s">
        <v>53</v>
      </c>
      <c r="O70" s="5">
        <v>35.0</v>
      </c>
      <c r="P70" s="5">
        <v>150.0</v>
      </c>
      <c r="Q70" s="5">
        <v>0.0</v>
      </c>
      <c r="R70" s="5" t="str">
        <f t="array" ref="R70">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195">
        <f t="array" ref="S70">IF(N70="Monthly",IFS(H70="created",O70*P70*(1-Q70/100),H70="cancelled",-(O70*P70*(1-Q70/100)),H70="seats_change",(J70-I70)*P70*(1-Q70/100),H70="price_change",(J70-I70)*O70*(1-Q70/100),H70="discount_added",-(O70*P70*(J70-I70)/100),H70="plan_upgrade",O70*(XLOOKUP(J70,$M:$M,$P:$P)-XLOOKUP(I70,$M:$M,$P:$P))*(1-Q70/100),H70="plan_downgrade",O70*(XLOOKUP(J70,$M:$M,$P:$P)-XLOOKUP(I70,$M:$M,$P:$P))*(1-Q70/100)),IFS(H70="created",O70*P70*(1-Q70/100)/12,H70="cancelled",-(O70*P70*(1-Q70/100))/12,H70="seats_change",(J70-I70)*P70*(1-Q70/100)/12,H70="price_change",(J70-I70)*O70*(1-Q70/100)/12,H70="plan_upgrade",(O70*(XLOOKUP(J70,$M:$M,$P:$P)-XLOOKUP(I70,$M:$M,$P:$P))*(1-Q70/100))/12,H70="plan_downgrade",(O70*(XLOOKUP(J70,$M:$M,$P:$P)-XLOOKUP(I70,$M:$M,$P:$P))*(1-Q70/100))/12,H70="discount_added",-(O70*P70*(J70-I70)/100)/12))</f>
        <v>5250</v>
      </c>
      <c r="T70" s="5">
        <f t="shared" si="1"/>
        <v>1</v>
      </c>
      <c r="U70" s="5">
        <f t="shared" si="2"/>
        <v>0</v>
      </c>
      <c r="V70" s="5">
        <f t="shared" si="3"/>
        <v>0</v>
      </c>
    </row>
    <row r="71" ht="14.25" customHeight="1">
      <c r="A71" s="5" t="s">
        <v>946</v>
      </c>
      <c r="B71" s="5" t="s">
        <v>63</v>
      </c>
      <c r="C71" s="5" t="s">
        <v>61</v>
      </c>
      <c r="D71" s="5" t="s">
        <v>62</v>
      </c>
      <c r="E71" s="5" t="s">
        <v>841</v>
      </c>
      <c r="F71" s="193">
        <v>45809.0</v>
      </c>
      <c r="G71" s="194">
        <v>45809.0</v>
      </c>
      <c r="H71" s="5" t="s">
        <v>928</v>
      </c>
      <c r="I71" s="5">
        <v>30.0</v>
      </c>
      <c r="J71" s="5">
        <v>35.0</v>
      </c>
      <c r="K71" s="5" t="s">
        <v>38</v>
      </c>
      <c r="L71" s="5" t="s">
        <v>947</v>
      </c>
      <c r="M71" s="5" t="s">
        <v>64</v>
      </c>
      <c r="N71" s="5" t="s">
        <v>53</v>
      </c>
      <c r="O71" s="5">
        <v>35.0</v>
      </c>
      <c r="P71" s="5">
        <v>180.0</v>
      </c>
      <c r="Q71" s="5">
        <v>0.0</v>
      </c>
      <c r="R71" s="5" t="str">
        <f t="array" ref="R71">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195">
        <f t="array" ref="S71">IF(N71="Monthly",IFS(H71="created",O71*P71*(1-Q71/100),H71="cancelled",-(O71*P71*(1-Q71/100)),H71="seats_change",(J71-I71)*P71*(1-Q71/100),H71="price_change",(J71-I71)*O71*(1-Q71/100),H71="discount_added",-(O71*P71*(J71-I71)/100),H71="plan_upgrade",O71*(XLOOKUP(J71,$M:$M,$P:$P)-XLOOKUP(I71,$M:$M,$P:$P))*(1-Q71/100),H71="plan_downgrade",O71*(XLOOKUP(J71,$M:$M,$P:$P)-XLOOKUP(I71,$M:$M,$P:$P))*(1-Q71/100)),IFS(H71="created",O71*P71*(1-Q71/100)/12,H71="cancelled",-(O71*P71*(1-Q71/100))/12,H71="seats_change",(J71-I71)*P71*(1-Q71/100)/12,H71="price_change",(J71-I71)*O71*(1-Q71/100)/12,H71="plan_upgrade",(O71*(XLOOKUP(J71,$M:$M,$P:$P)-XLOOKUP(I71,$M:$M,$P:$P))*(1-Q71/100))/12,H71="plan_downgrade",(O71*(XLOOKUP(J71,$M:$M,$P:$P)-XLOOKUP(I71,$M:$M,$P:$P))*(1-Q71/100))/12,H71="discount_added",-(O71*P71*(J71-I71)/100)/12))</f>
        <v>900</v>
      </c>
      <c r="T71" s="5">
        <f t="shared" si="1"/>
        <v>0</v>
      </c>
      <c r="U71" s="5">
        <f t="shared" si="2"/>
        <v>0</v>
      </c>
      <c r="V71" s="5">
        <f t="shared" si="3"/>
        <v>0</v>
      </c>
    </row>
    <row r="72" ht="14.25" customHeight="1">
      <c r="A72" s="5" t="s">
        <v>948</v>
      </c>
      <c r="B72" s="5" t="s">
        <v>84</v>
      </c>
      <c r="C72" s="5" t="s">
        <v>82</v>
      </c>
      <c r="D72" s="5" t="s">
        <v>83</v>
      </c>
      <c r="E72" s="5" t="s">
        <v>841</v>
      </c>
      <c r="F72" s="193">
        <v>45809.0</v>
      </c>
      <c r="G72" s="194">
        <v>45813.0</v>
      </c>
      <c r="H72" s="5" t="s">
        <v>839</v>
      </c>
      <c r="M72" s="5" t="s">
        <v>64</v>
      </c>
      <c r="N72" s="5" t="s">
        <v>53</v>
      </c>
      <c r="O72" s="5">
        <v>31.0</v>
      </c>
      <c r="P72" s="5">
        <v>180.0</v>
      </c>
      <c r="Q72" s="5">
        <v>0.0</v>
      </c>
      <c r="R72" s="5" t="str">
        <f t="array" ref="R72">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195">
        <f t="array" ref="S72">IF(N72="Monthly",IFS(H72="created",O72*P72*(1-Q72/100),H72="cancelled",-(O72*P72*(1-Q72/100)),H72="seats_change",(J72-I72)*P72*(1-Q72/100),H72="price_change",(J72-I72)*O72*(1-Q72/100),H72="discount_added",-(O72*P72*(J72-I72)/100),H72="plan_upgrade",O72*(XLOOKUP(J72,$M:$M,$P:$P)-XLOOKUP(I72,$M:$M,$P:$P))*(1-Q72/100),H72="plan_downgrade",O72*(XLOOKUP(J72,$M:$M,$P:$P)-XLOOKUP(I72,$M:$M,$P:$P))*(1-Q72/100)),IFS(H72="created",O72*P72*(1-Q72/100)/12,H72="cancelled",-(O72*P72*(1-Q72/100))/12,H72="seats_change",(J72-I72)*P72*(1-Q72/100)/12,H72="price_change",(J72-I72)*O72*(1-Q72/100)/12,H72="plan_upgrade",(O72*(XLOOKUP(J72,$M:$M,$P:$P)-XLOOKUP(I72,$M:$M,$P:$P))*(1-Q72/100))/12,H72="plan_downgrade",(O72*(XLOOKUP(J72,$M:$M,$P:$P)-XLOOKUP(I72,$M:$M,$P:$P))*(1-Q72/100))/12,H72="discount_added",-(O72*P72*(J72-I72)/100)/12))</f>
        <v>5580</v>
      </c>
      <c r="T72" s="5">
        <f t="shared" si="1"/>
        <v>0</v>
      </c>
      <c r="U72" s="5">
        <f t="shared" si="2"/>
        <v>0</v>
      </c>
      <c r="V72" s="5">
        <f t="shared" si="3"/>
        <v>0</v>
      </c>
    </row>
    <row r="73" ht="14.25" customHeight="1">
      <c r="A73" s="5" t="s">
        <v>949</v>
      </c>
      <c r="B73" s="5" t="s">
        <v>113</v>
      </c>
      <c r="C73" s="5" t="s">
        <v>111</v>
      </c>
      <c r="D73" s="5" t="s">
        <v>112</v>
      </c>
      <c r="E73" s="5" t="s">
        <v>841</v>
      </c>
      <c r="F73" s="193">
        <v>45809.0</v>
      </c>
      <c r="G73" s="194">
        <v>45817.0</v>
      </c>
      <c r="H73" s="5" t="s">
        <v>839</v>
      </c>
      <c r="M73" s="5" t="s">
        <v>58</v>
      </c>
      <c r="N73" s="5" t="s">
        <v>53</v>
      </c>
      <c r="O73" s="5">
        <v>13.0</v>
      </c>
      <c r="P73" s="5">
        <v>45.0</v>
      </c>
      <c r="Q73" s="5">
        <v>0.0</v>
      </c>
      <c r="R73" s="5" t="str">
        <f t="array" ref="R73">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195">
        <f t="array" ref="S73">IF(N73="Monthly",IFS(H73="created",O73*P73*(1-Q73/100),H73="cancelled",-(O73*P73*(1-Q73/100)),H73="seats_change",(J73-I73)*P73*(1-Q73/100),H73="price_change",(J73-I73)*O73*(1-Q73/100),H73="discount_added",-(O73*P73*(J73-I73)/100),H73="plan_upgrade",O73*(XLOOKUP(J73,$M:$M,$P:$P)-XLOOKUP(I73,$M:$M,$P:$P))*(1-Q73/100),H73="plan_downgrade",O73*(XLOOKUP(J73,$M:$M,$P:$P)-XLOOKUP(I73,$M:$M,$P:$P))*(1-Q73/100)),IFS(H73="created",O73*P73*(1-Q73/100)/12,H73="cancelled",-(O73*P73*(1-Q73/100))/12,H73="seats_change",(J73-I73)*P73*(1-Q73/100)/12,H73="price_change",(J73-I73)*O73*(1-Q73/100)/12,H73="plan_upgrade",(O73*(XLOOKUP(J73,$M:$M,$P:$P)-XLOOKUP(I73,$M:$M,$P:$P))*(1-Q73/100))/12,H73="plan_downgrade",(O73*(XLOOKUP(J73,$M:$M,$P:$P)-XLOOKUP(I73,$M:$M,$P:$P))*(1-Q73/100))/12,H73="discount_added",-(O73*P73*(J73-I73)/100)/12))</f>
        <v>585</v>
      </c>
      <c r="T73" s="5">
        <f t="shared" si="1"/>
        <v>1</v>
      </c>
      <c r="U73" s="5">
        <f t="shared" si="2"/>
        <v>0</v>
      </c>
      <c r="V73" s="5">
        <f t="shared" si="3"/>
        <v>0</v>
      </c>
    </row>
    <row r="74" ht="14.25" customHeight="1">
      <c r="A74" s="5" t="s">
        <v>950</v>
      </c>
      <c r="B74" s="5" t="s">
        <v>863</v>
      </c>
      <c r="C74" s="5" t="s">
        <v>116</v>
      </c>
      <c r="D74" s="5" t="s">
        <v>117</v>
      </c>
      <c r="E74" s="5" t="s">
        <v>838</v>
      </c>
      <c r="F74" s="193">
        <v>45809.0</v>
      </c>
      <c r="G74" s="194">
        <v>45818.0</v>
      </c>
      <c r="H74" s="5" t="s">
        <v>875</v>
      </c>
      <c r="I74" s="5" t="s">
        <v>876</v>
      </c>
      <c r="J74" s="5" t="s">
        <v>875</v>
      </c>
      <c r="K74" s="5" t="s">
        <v>44</v>
      </c>
      <c r="L74" s="5" t="s">
        <v>951</v>
      </c>
      <c r="M74" s="5" t="s">
        <v>58</v>
      </c>
      <c r="N74" s="5" t="s">
        <v>53</v>
      </c>
      <c r="O74" s="5">
        <v>19.0</v>
      </c>
      <c r="P74" s="5">
        <v>45.0</v>
      </c>
      <c r="Q74" s="5">
        <v>0.0</v>
      </c>
      <c r="R74" s="5" t="str">
        <f t="array" ref="R74">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195">
        <f t="array" ref="S74">IF(N74="Monthly",IFS(H74="created",O74*P74*(1-Q74/100),H74="cancelled",-(O74*P74*(1-Q74/100)),H74="seats_change",(J74-I74)*P74*(1-Q74/100),H74="price_change",(J74-I74)*O74*(1-Q74/100),H74="discount_added",-(O74*P74*(J74-I74)/100),H74="plan_upgrade",O74*(XLOOKUP(J74,$M:$M,$P:$P)-XLOOKUP(I74,$M:$M,$P:$P))*(1-Q74/100),H74="plan_downgrade",O74*(XLOOKUP(J74,$M:$M,$P:$P)-XLOOKUP(I74,$M:$M,$P:$P))*(1-Q74/100)),IFS(H74="created",O74*P74*(1-Q74/100)/12,H74="cancelled",-(O74*P74*(1-Q74/100))/12,H74="seats_change",(J74-I74)*P74*(1-Q74/100)/12,H74="price_change",(J74-I74)*O74*(1-Q74/100)/12,H74="plan_upgrade",(O74*(XLOOKUP(J74,$M:$M,$P:$P)-XLOOKUP(I74,$M:$M,$P:$P))*(1-Q74/100))/12,H74="plan_downgrade",(O74*(XLOOKUP(J74,$M:$M,$P:$P)-XLOOKUP(I74,$M:$M,$P:$P))*(1-Q74/100))/12,H74="discount_added",-(O74*P74*(J74-I74)/100)/12))</f>
        <v>-855</v>
      </c>
      <c r="T74" s="5">
        <f t="shared" si="1"/>
        <v>0</v>
      </c>
      <c r="U74" s="5">
        <f t="shared" si="2"/>
        <v>0</v>
      </c>
      <c r="V74" s="5">
        <f t="shared" si="3"/>
        <v>0</v>
      </c>
    </row>
    <row r="75" ht="14.25" customHeight="1">
      <c r="A75" s="5" t="s">
        <v>952</v>
      </c>
      <c r="B75" s="5" t="s">
        <v>228</v>
      </c>
      <c r="C75" s="5" t="s">
        <v>226</v>
      </c>
      <c r="D75" s="5" t="s">
        <v>227</v>
      </c>
      <c r="E75" s="5" t="s">
        <v>838</v>
      </c>
      <c r="F75" s="193">
        <v>45809.0</v>
      </c>
      <c r="G75" s="194">
        <v>45823.0</v>
      </c>
      <c r="H75" s="5" t="s">
        <v>953</v>
      </c>
      <c r="I75" s="5" t="s">
        <v>58</v>
      </c>
      <c r="J75" s="5" t="s">
        <v>119</v>
      </c>
      <c r="K75" s="5" t="s">
        <v>34</v>
      </c>
      <c r="L75" s="5" t="s">
        <v>954</v>
      </c>
      <c r="M75" s="5" t="s">
        <v>119</v>
      </c>
      <c r="N75" s="5" t="s">
        <v>53</v>
      </c>
      <c r="O75" s="5">
        <v>16.0</v>
      </c>
      <c r="P75" s="5">
        <v>95.0</v>
      </c>
      <c r="Q75" s="5">
        <v>0.0</v>
      </c>
      <c r="R75" s="5" t="str">
        <f t="array" ref="R75">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195">
        <f t="array" ref="S75">IF(N75="Monthly",IFS(H75="created",O75*P75*(1-Q75/100),H75="cancelled",-(O75*P75*(1-Q75/100)),H75="seats_change",(J75-I75)*P75*(1-Q75/100),H75="price_change",(J75-I75)*O75*(1-Q75/100),H75="discount_added",-(O75*P75*(J75-I75)/100),H75="plan_upgrade",O75*(XLOOKUP(J75,$M:$M,$P:$P)-XLOOKUP(I75,$M:$M,$P:$P))*(1-Q75/100),H75="plan_downgrade",O75*(XLOOKUP(J75,$M:$M,$P:$P)-XLOOKUP(I75,$M:$M,$P:$P))*(1-Q75/100)),IFS(H75="created",O75*P75*(1-Q75/100)/12,H75="cancelled",-(O75*P75*(1-Q75/100))/12,H75="seats_change",(J75-I75)*P75*(1-Q75/100)/12,H75="price_change",(J75-I75)*O75*(1-Q75/100)/12,H75="plan_upgrade",(O75*(XLOOKUP(J75,$M:$M,$P:$P)-XLOOKUP(I75,$M:$M,$P:$P))*(1-Q75/100))/12,H75="plan_downgrade",(O75*(XLOOKUP(J75,$M:$M,$P:$P)-XLOOKUP(I75,$M:$M,$P:$P))*(1-Q75/100))/12,H75="discount_added",-(O75*P75*(J75-I75)/100)/12))</f>
        <v>800</v>
      </c>
      <c r="T75" s="5">
        <f t="shared" si="1"/>
        <v>0</v>
      </c>
      <c r="U75" s="5">
        <f t="shared" si="2"/>
        <v>0</v>
      </c>
      <c r="V75" s="5">
        <f t="shared" si="3"/>
        <v>0</v>
      </c>
    </row>
    <row r="76" ht="14.25" customHeight="1">
      <c r="A76" s="5" t="s">
        <v>955</v>
      </c>
      <c r="B76" s="5" t="s">
        <v>233</v>
      </c>
      <c r="C76" s="5" t="s">
        <v>231</v>
      </c>
      <c r="D76" s="5" t="s">
        <v>232</v>
      </c>
      <c r="E76" s="5" t="s">
        <v>838</v>
      </c>
      <c r="F76" s="193">
        <v>45809.0</v>
      </c>
      <c r="G76" s="194">
        <v>45831.0</v>
      </c>
      <c r="H76" s="5" t="s">
        <v>839</v>
      </c>
      <c r="M76" s="5" t="s">
        <v>52</v>
      </c>
      <c r="N76" s="5" t="s">
        <v>53</v>
      </c>
      <c r="O76" s="5">
        <v>29.0</v>
      </c>
      <c r="P76" s="5">
        <v>85.0</v>
      </c>
      <c r="Q76" s="5">
        <v>0.0</v>
      </c>
      <c r="R76" s="5" t="str">
        <f t="array" ref="R76">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195">
        <f t="array" ref="S76">IF(N76="Monthly",IFS(H76="created",O76*P76*(1-Q76/100),H76="cancelled",-(O76*P76*(1-Q76/100)),H76="seats_change",(J76-I76)*P76*(1-Q76/100),H76="price_change",(J76-I76)*O76*(1-Q76/100),H76="discount_added",-(O76*P76*(J76-I76)/100),H76="plan_upgrade",O76*(XLOOKUP(J76,$M:$M,$P:$P)-XLOOKUP(I76,$M:$M,$P:$P))*(1-Q76/100),H76="plan_downgrade",O76*(XLOOKUP(J76,$M:$M,$P:$P)-XLOOKUP(I76,$M:$M,$P:$P))*(1-Q76/100)),IFS(H76="created",O76*P76*(1-Q76/100)/12,H76="cancelled",-(O76*P76*(1-Q76/100))/12,H76="seats_change",(J76-I76)*P76*(1-Q76/100)/12,H76="price_change",(J76-I76)*O76*(1-Q76/100)/12,H76="plan_upgrade",(O76*(XLOOKUP(J76,$M:$M,$P:$P)-XLOOKUP(I76,$M:$M,$P:$P))*(1-Q76/100))/12,H76="plan_downgrade",(O76*(XLOOKUP(J76,$M:$M,$P:$P)-XLOOKUP(I76,$M:$M,$P:$P))*(1-Q76/100))/12,H76="discount_added",-(O76*P76*(J76-I76)/100)/12))</f>
        <v>2465</v>
      </c>
      <c r="T76" s="5">
        <f t="shared" si="1"/>
        <v>1</v>
      </c>
      <c r="U76" s="5">
        <f t="shared" si="2"/>
        <v>0</v>
      </c>
      <c r="V76" s="5">
        <f t="shared" si="3"/>
        <v>0</v>
      </c>
    </row>
    <row r="77" ht="14.25" customHeight="1">
      <c r="A77" s="5" t="s">
        <v>956</v>
      </c>
      <c r="B77" s="5" t="s">
        <v>891</v>
      </c>
      <c r="C77" s="5" t="s">
        <v>154</v>
      </c>
      <c r="D77" s="5" t="s">
        <v>155</v>
      </c>
      <c r="E77" s="5" t="s">
        <v>838</v>
      </c>
      <c r="F77" s="193">
        <v>45809.0</v>
      </c>
      <c r="G77" s="194">
        <v>45833.0</v>
      </c>
      <c r="H77" s="5" t="s">
        <v>875</v>
      </c>
      <c r="I77" s="5" t="s">
        <v>876</v>
      </c>
      <c r="J77" s="5" t="s">
        <v>877</v>
      </c>
      <c r="K77" s="5" t="s">
        <v>44</v>
      </c>
      <c r="L77" s="5" t="s">
        <v>878</v>
      </c>
      <c r="M77" s="5" t="s">
        <v>58</v>
      </c>
      <c r="N77" s="5" t="s">
        <v>53</v>
      </c>
      <c r="O77" s="5">
        <v>10.0</v>
      </c>
      <c r="P77" s="5">
        <v>45.0</v>
      </c>
      <c r="Q77" s="5">
        <v>0.0</v>
      </c>
      <c r="R77" s="5" t="str">
        <f t="array" ref="R77">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195">
        <f t="array" ref="S77">IF(N77="Monthly",IFS(H77="created",O77*P77*(1-Q77/100),H77="cancelled",-(O77*P77*(1-Q77/100)),H77="seats_change",(J77-I77)*P77*(1-Q77/100),H77="price_change",(J77-I77)*O77*(1-Q77/100),H77="discount_added",-(O77*P77*(J77-I77)/100),H77="plan_upgrade",O77*(XLOOKUP(J77,$M:$M,$P:$P)-XLOOKUP(I77,$M:$M,$P:$P))*(1-Q77/100),H77="plan_downgrade",O77*(XLOOKUP(J77,$M:$M,$P:$P)-XLOOKUP(I77,$M:$M,$P:$P))*(1-Q77/100)),IFS(H77="created",O77*P77*(1-Q77/100)/12,H77="cancelled",-(O77*P77*(1-Q77/100))/12,H77="seats_change",(J77-I77)*P77*(1-Q77/100)/12,H77="price_change",(J77-I77)*O77*(1-Q77/100)/12,H77="plan_upgrade",(O77*(XLOOKUP(J77,$M:$M,$P:$P)-XLOOKUP(I77,$M:$M,$P:$P))*(1-Q77/100))/12,H77="plan_downgrade",(O77*(XLOOKUP(J77,$M:$M,$P:$P)-XLOOKUP(I77,$M:$M,$P:$P))*(1-Q77/100))/12,H77="discount_added",-(O77*P77*(J77-I77)/100)/12))</f>
        <v>-450</v>
      </c>
      <c r="T77" s="5">
        <f t="shared" si="1"/>
        <v>0</v>
      </c>
      <c r="U77" s="5">
        <f t="shared" si="2"/>
        <v>1</v>
      </c>
      <c r="V77" s="5">
        <f t="shared" si="3"/>
        <v>0</v>
      </c>
    </row>
    <row r="78" ht="14.25" customHeight="1">
      <c r="A78" s="5" t="s">
        <v>957</v>
      </c>
      <c r="B78" s="5" t="s">
        <v>89</v>
      </c>
      <c r="C78" s="5" t="s">
        <v>87</v>
      </c>
      <c r="D78" s="5" t="s">
        <v>88</v>
      </c>
      <c r="E78" s="5" t="s">
        <v>838</v>
      </c>
      <c r="F78" s="193">
        <v>45839.0</v>
      </c>
      <c r="G78" s="194">
        <v>45843.0</v>
      </c>
      <c r="H78" s="5" t="s">
        <v>903</v>
      </c>
      <c r="I78" s="5">
        <v>75.0</v>
      </c>
      <c r="J78" s="5">
        <v>85.0</v>
      </c>
      <c r="K78" s="5" t="s">
        <v>829</v>
      </c>
      <c r="L78" s="5" t="s">
        <v>904</v>
      </c>
      <c r="M78" s="5" t="s">
        <v>52</v>
      </c>
      <c r="N78" s="5" t="s">
        <v>53</v>
      </c>
      <c r="O78" s="5">
        <v>22.0</v>
      </c>
      <c r="P78" s="5">
        <v>85.0</v>
      </c>
      <c r="Q78" s="5">
        <v>0.0</v>
      </c>
      <c r="R78" s="5" t="str">
        <f t="array" ref="R78">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195">
        <f t="array" ref="S78">IF(N78="Monthly",IFS(H78="created",O78*P78*(1-Q78/100),H78="cancelled",-(O78*P78*(1-Q78/100)),H78="seats_change",(J78-I78)*P78*(1-Q78/100),H78="price_change",(J78-I78)*O78*(1-Q78/100),H78="discount_added",-(O78*P78*(J78-I78)/100),H78="plan_upgrade",O78*(XLOOKUP(J78,$M:$M,$P:$P)-XLOOKUP(I78,$M:$M,$P:$P))*(1-Q78/100),H78="plan_downgrade",O78*(XLOOKUP(J78,$M:$M,$P:$P)-XLOOKUP(I78,$M:$M,$P:$P))*(1-Q78/100)),IFS(H78="created",O78*P78*(1-Q78/100)/12,H78="cancelled",-(O78*P78*(1-Q78/100))/12,H78="seats_change",(J78-I78)*P78*(1-Q78/100)/12,H78="price_change",(J78-I78)*O78*(1-Q78/100)/12,H78="plan_upgrade",(O78*(XLOOKUP(J78,$M:$M,$P:$P)-XLOOKUP(I78,$M:$M,$P:$P))*(1-Q78/100))/12,H78="plan_downgrade",(O78*(XLOOKUP(J78,$M:$M,$P:$P)-XLOOKUP(I78,$M:$M,$P:$P))*(1-Q78/100))/12,H78="discount_added",-(O78*P78*(J78-I78)/100)/12))</f>
        <v>220</v>
      </c>
      <c r="T78" s="5">
        <f t="shared" si="1"/>
        <v>0</v>
      </c>
      <c r="U78" s="5">
        <f t="shared" si="2"/>
        <v>0</v>
      </c>
      <c r="V78" s="5">
        <f t="shared" si="3"/>
        <v>0</v>
      </c>
    </row>
    <row r="79" ht="14.25" customHeight="1">
      <c r="A79" s="5" t="s">
        <v>958</v>
      </c>
      <c r="B79" s="5" t="s">
        <v>883</v>
      </c>
      <c r="C79" s="5" t="s">
        <v>159</v>
      </c>
      <c r="D79" s="5" t="s">
        <v>160</v>
      </c>
      <c r="E79" s="5" t="s">
        <v>860</v>
      </c>
      <c r="F79" s="193">
        <v>45839.0</v>
      </c>
      <c r="G79" s="194">
        <v>45858.0</v>
      </c>
      <c r="H79" s="5" t="s">
        <v>875</v>
      </c>
      <c r="I79" s="5" t="s">
        <v>876</v>
      </c>
      <c r="J79" s="5" t="s">
        <v>875</v>
      </c>
      <c r="K79" s="5" t="s">
        <v>44</v>
      </c>
      <c r="L79" s="5" t="s">
        <v>959</v>
      </c>
      <c r="M79" s="5" t="s">
        <v>93</v>
      </c>
      <c r="N79" s="5" t="s">
        <v>53</v>
      </c>
      <c r="O79" s="5">
        <v>16.0</v>
      </c>
      <c r="P79" s="5">
        <v>110.0</v>
      </c>
      <c r="Q79" s="5">
        <v>0.0</v>
      </c>
      <c r="R79" s="5" t="str">
        <f t="array" ref="R79">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195">
        <f t="array" ref="S79">IF(N79="Monthly",IFS(H79="created",O79*P79*(1-Q79/100),H79="cancelled",-(O79*P79*(1-Q79/100)),H79="seats_change",(J79-I79)*P79*(1-Q79/100),H79="price_change",(J79-I79)*O79*(1-Q79/100),H79="discount_added",-(O79*P79*(J79-I79)/100),H79="plan_upgrade",O79*(XLOOKUP(J79,$M:$M,$P:$P)-XLOOKUP(I79,$M:$M,$P:$P))*(1-Q79/100),H79="plan_downgrade",O79*(XLOOKUP(J79,$M:$M,$P:$P)-XLOOKUP(I79,$M:$M,$P:$P))*(1-Q79/100)),IFS(H79="created",O79*P79*(1-Q79/100)/12,H79="cancelled",-(O79*P79*(1-Q79/100))/12,H79="seats_change",(J79-I79)*P79*(1-Q79/100)/12,H79="price_change",(J79-I79)*O79*(1-Q79/100)/12,H79="plan_upgrade",(O79*(XLOOKUP(J79,$M:$M,$P:$P)-XLOOKUP(I79,$M:$M,$P:$P))*(1-Q79/100))/12,H79="plan_downgrade",(O79*(XLOOKUP(J79,$M:$M,$P:$P)-XLOOKUP(I79,$M:$M,$P:$P))*(1-Q79/100))/12,H79="discount_added",-(O79*P79*(J79-I79)/100)/12))</f>
        <v>-1760</v>
      </c>
      <c r="T79" s="5">
        <f t="shared" si="1"/>
        <v>0</v>
      </c>
      <c r="U79" s="5">
        <f t="shared" si="2"/>
        <v>0</v>
      </c>
      <c r="V79" s="5">
        <f t="shared" si="3"/>
        <v>0</v>
      </c>
    </row>
    <row r="80" ht="14.25" customHeight="1">
      <c r="A80" s="5" t="s">
        <v>960</v>
      </c>
      <c r="B80" s="5" t="s">
        <v>251</v>
      </c>
      <c r="C80" s="5" t="s">
        <v>249</v>
      </c>
      <c r="D80" s="5" t="s">
        <v>250</v>
      </c>
      <c r="E80" s="5" t="s">
        <v>860</v>
      </c>
      <c r="F80" s="193">
        <v>45839.0</v>
      </c>
      <c r="G80" s="194">
        <v>45860.0</v>
      </c>
      <c r="H80" s="5" t="s">
        <v>928</v>
      </c>
      <c r="I80" s="5">
        <v>14.0</v>
      </c>
      <c r="J80" s="5">
        <v>18.0</v>
      </c>
      <c r="K80" s="5" t="s">
        <v>38</v>
      </c>
      <c r="L80" s="5" t="s">
        <v>961</v>
      </c>
      <c r="M80" s="5" t="s">
        <v>93</v>
      </c>
      <c r="N80" s="5" t="s">
        <v>53</v>
      </c>
      <c r="O80" s="5">
        <v>18.0</v>
      </c>
      <c r="P80" s="5">
        <v>110.0</v>
      </c>
      <c r="Q80" s="5">
        <v>0.0</v>
      </c>
      <c r="R80" s="5" t="str">
        <f t="array" ref="R80">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195">
        <f t="array" ref="S80">IF(N80="Monthly",IFS(H80="created",O80*P80*(1-Q80/100),H80="cancelled",-(O80*P80*(1-Q80/100)),H80="seats_change",(J80-I80)*P80*(1-Q80/100),H80="price_change",(J80-I80)*O80*(1-Q80/100),H80="discount_added",-(O80*P80*(J80-I80)/100),H80="plan_upgrade",O80*(XLOOKUP(J80,$M:$M,$P:$P)-XLOOKUP(I80,$M:$M,$P:$P))*(1-Q80/100),H80="plan_downgrade",O80*(XLOOKUP(J80,$M:$M,$P:$P)-XLOOKUP(I80,$M:$M,$P:$P))*(1-Q80/100)),IFS(H80="created",O80*P80*(1-Q80/100)/12,H80="cancelled",-(O80*P80*(1-Q80/100))/12,H80="seats_change",(J80-I80)*P80*(1-Q80/100)/12,H80="price_change",(J80-I80)*O80*(1-Q80/100)/12,H80="plan_upgrade",(O80*(XLOOKUP(J80,$M:$M,$P:$P)-XLOOKUP(I80,$M:$M,$P:$P))*(1-Q80/100))/12,H80="plan_downgrade",(O80*(XLOOKUP(J80,$M:$M,$P:$P)-XLOOKUP(I80,$M:$M,$P:$P))*(1-Q80/100))/12,H80="discount_added",-(O80*P80*(J80-I80)/100)/12))</f>
        <v>440</v>
      </c>
      <c r="T80" s="5">
        <f t="shared" si="1"/>
        <v>0</v>
      </c>
      <c r="U80" s="5">
        <f t="shared" si="2"/>
        <v>0</v>
      </c>
      <c r="V80" s="5">
        <f t="shared" si="3"/>
        <v>0</v>
      </c>
    </row>
    <row r="81" ht="14.25" customHeight="1">
      <c r="A81" s="5" t="s">
        <v>962</v>
      </c>
      <c r="B81" s="5" t="s">
        <v>69</v>
      </c>
      <c r="C81" s="5" t="s">
        <v>67</v>
      </c>
      <c r="D81" s="5" t="s">
        <v>68</v>
      </c>
      <c r="E81" s="5" t="s">
        <v>838</v>
      </c>
      <c r="F81" s="193">
        <v>45870.0</v>
      </c>
      <c r="G81" s="194">
        <v>45872.0</v>
      </c>
      <c r="H81" s="5" t="s">
        <v>903</v>
      </c>
      <c r="I81" s="5">
        <v>90.0</v>
      </c>
      <c r="J81" s="5">
        <v>85.0</v>
      </c>
      <c r="K81" s="5" t="s">
        <v>829</v>
      </c>
      <c r="L81" s="5" t="s">
        <v>963</v>
      </c>
      <c r="M81" s="5" t="s">
        <v>52</v>
      </c>
      <c r="N81" s="5" t="s">
        <v>53</v>
      </c>
      <c r="O81" s="5">
        <v>22.0</v>
      </c>
      <c r="P81" s="5">
        <v>85.0</v>
      </c>
      <c r="Q81" s="5">
        <v>0.0</v>
      </c>
      <c r="R81" s="5" t="str">
        <f t="array" ref="R81">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195">
        <f t="array" ref="S81">IF(N81="Monthly",IFS(H81="created",O81*P81*(1-Q81/100),H81="cancelled",-(O81*P81*(1-Q81/100)),H81="seats_change",(J81-I81)*P81*(1-Q81/100),H81="price_change",(J81-I81)*O81*(1-Q81/100),H81="discount_added",-(O81*P81*(J81-I81)/100),H81="plan_upgrade",O81*(XLOOKUP(J81,$M:$M,$P:$P)-XLOOKUP(I81,$M:$M,$P:$P))*(1-Q81/100),H81="plan_downgrade",O81*(XLOOKUP(J81,$M:$M,$P:$P)-XLOOKUP(I81,$M:$M,$P:$P))*(1-Q81/100)),IFS(H81="created",O81*P81*(1-Q81/100)/12,H81="cancelled",-(O81*P81*(1-Q81/100))/12,H81="seats_change",(J81-I81)*P81*(1-Q81/100)/12,H81="price_change",(J81-I81)*O81*(1-Q81/100)/12,H81="plan_upgrade",(O81*(XLOOKUP(J81,$M:$M,$P:$P)-XLOOKUP(I81,$M:$M,$P:$P))*(1-Q81/100))/12,H81="plan_downgrade",(O81*(XLOOKUP(J81,$M:$M,$P:$P)-XLOOKUP(I81,$M:$M,$P:$P))*(1-Q81/100))/12,H81="discount_added",-(O81*P81*(J81-I81)/100)/12))</f>
        <v>-110</v>
      </c>
      <c r="T81" s="5">
        <f t="shared" si="1"/>
        <v>0</v>
      </c>
      <c r="U81" s="5">
        <f t="shared" si="2"/>
        <v>0</v>
      </c>
      <c r="V81" s="5">
        <f t="shared" si="3"/>
        <v>0</v>
      </c>
    </row>
    <row r="82" ht="14.25" customHeight="1">
      <c r="A82" s="5" t="s">
        <v>964</v>
      </c>
      <c r="B82" s="5" t="s">
        <v>171</v>
      </c>
      <c r="C82" s="5" t="s">
        <v>169</v>
      </c>
      <c r="D82" s="5" t="s">
        <v>170</v>
      </c>
      <c r="E82" s="5" t="s">
        <v>841</v>
      </c>
      <c r="F82" s="193">
        <v>45870.0</v>
      </c>
      <c r="G82" s="194">
        <v>45881.0</v>
      </c>
      <c r="H82" s="5" t="s">
        <v>953</v>
      </c>
      <c r="I82" s="5" t="s">
        <v>119</v>
      </c>
      <c r="J82" s="5" t="s">
        <v>64</v>
      </c>
      <c r="K82" s="5" t="s">
        <v>34</v>
      </c>
      <c r="L82" s="5" t="s">
        <v>965</v>
      </c>
      <c r="M82" s="5" t="s">
        <v>64</v>
      </c>
      <c r="N82" s="5" t="s">
        <v>53</v>
      </c>
      <c r="O82" s="5">
        <v>26.0</v>
      </c>
      <c r="P82" s="5">
        <v>180.0</v>
      </c>
      <c r="Q82" s="5">
        <v>0.0</v>
      </c>
      <c r="R82" s="5" t="str">
        <f t="array" ref="R82">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195">
        <f t="array" ref="S82">IF(N82="Monthly",IFS(H82="created",O82*P82*(1-Q82/100),H82="cancelled",-(O82*P82*(1-Q82/100)),H82="seats_change",(J82-I82)*P82*(1-Q82/100),H82="price_change",(J82-I82)*O82*(1-Q82/100),H82="discount_added",-(O82*P82*(J82-I82)/100),H82="plan_upgrade",O82*(XLOOKUP(J82,$M:$M,$P:$P)-XLOOKUP(I82,$M:$M,$P:$P))*(1-Q82/100),H82="plan_downgrade",O82*(XLOOKUP(J82,$M:$M,$P:$P)-XLOOKUP(I82,$M:$M,$P:$P))*(1-Q82/100)),IFS(H82="created",O82*P82*(1-Q82/100)/12,H82="cancelled",-(O82*P82*(1-Q82/100))/12,H82="seats_change",(J82-I82)*P82*(1-Q82/100)/12,H82="price_change",(J82-I82)*O82*(1-Q82/100)/12,H82="plan_upgrade",(O82*(XLOOKUP(J82,$M:$M,$P:$P)-XLOOKUP(I82,$M:$M,$P:$P))*(1-Q82/100))/12,H82="plan_downgrade",(O82*(XLOOKUP(J82,$M:$M,$P:$P)-XLOOKUP(I82,$M:$M,$P:$P))*(1-Q82/100))/12,H82="discount_added",-(O82*P82*(J82-I82)/100)/12))</f>
        <v>2210</v>
      </c>
      <c r="T82" s="5">
        <f t="shared" si="1"/>
        <v>0</v>
      </c>
      <c r="U82" s="5">
        <f t="shared" si="2"/>
        <v>0</v>
      </c>
      <c r="V82" s="5">
        <f t="shared" si="3"/>
        <v>0</v>
      </c>
    </row>
    <row r="83" ht="14.25" customHeight="1">
      <c r="A83" s="5" t="s">
        <v>966</v>
      </c>
      <c r="B83" s="5" t="s">
        <v>186</v>
      </c>
      <c r="C83" s="5" t="s">
        <v>184</v>
      </c>
      <c r="D83" s="5" t="s">
        <v>185</v>
      </c>
      <c r="E83" s="5" t="s">
        <v>838</v>
      </c>
      <c r="F83" s="193">
        <v>45870.0</v>
      </c>
      <c r="G83" s="194">
        <v>45888.0</v>
      </c>
      <c r="H83" s="5" t="s">
        <v>920</v>
      </c>
      <c r="I83" s="5" t="s">
        <v>119</v>
      </c>
      <c r="J83" s="5" t="s">
        <v>58</v>
      </c>
      <c r="K83" s="5" t="s">
        <v>34</v>
      </c>
      <c r="L83" s="5" t="s">
        <v>967</v>
      </c>
      <c r="M83" s="5" t="s">
        <v>58</v>
      </c>
      <c r="N83" s="5" t="s">
        <v>53</v>
      </c>
      <c r="O83" s="5">
        <v>12.0</v>
      </c>
      <c r="P83" s="5">
        <v>45.0</v>
      </c>
      <c r="Q83" s="5">
        <v>0.0</v>
      </c>
      <c r="R83" s="5" t="str">
        <f t="array" ref="R83">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195">
        <f t="array" ref="S83">IF(N83="Monthly",IFS(H83="created",O83*P83*(1-Q83/100),H83="cancelled",-(O83*P83*(1-Q83/100)),H83="seats_change",(J83-I83)*P83*(1-Q83/100),H83="price_change",(J83-I83)*O83*(1-Q83/100),H83="discount_added",-(O83*P83*(J83-I83)/100),H83="plan_upgrade",O83*(XLOOKUP(J83,$M:$M,$P:$P)-XLOOKUP(I83,$M:$M,$P:$P))*(1-Q83/100),H83="plan_downgrade",O83*(XLOOKUP(J83,$M:$M,$P:$P)-XLOOKUP(I83,$M:$M,$P:$P))*(1-Q83/100)),IFS(H83="created",O83*P83*(1-Q83/100)/12,H83="cancelled",-(O83*P83*(1-Q83/100))/12,H83="seats_change",(J83-I83)*P83*(1-Q83/100)/12,H83="price_change",(J83-I83)*O83*(1-Q83/100)/12,H83="plan_upgrade",(O83*(XLOOKUP(J83,$M:$M,$P:$P)-XLOOKUP(I83,$M:$M,$P:$P))*(1-Q83/100))/12,H83="plan_downgrade",(O83*(XLOOKUP(J83,$M:$M,$P:$P)-XLOOKUP(I83,$M:$M,$P:$P))*(1-Q83/100))/12,H83="discount_added",-(O83*P83*(J83-I83)/100)/12))</f>
        <v>-600</v>
      </c>
      <c r="T83" s="5">
        <f t="shared" si="1"/>
        <v>0</v>
      </c>
      <c r="U83" s="5">
        <f t="shared" si="2"/>
        <v>0</v>
      </c>
      <c r="V83" s="5">
        <f t="shared" si="3"/>
        <v>0</v>
      </c>
    </row>
    <row r="84" ht="14.25" customHeight="1">
      <c r="A84" s="5" t="s">
        <v>968</v>
      </c>
      <c r="B84" s="5" t="s">
        <v>254</v>
      </c>
      <c r="C84" s="5" t="s">
        <v>174</v>
      </c>
      <c r="D84" s="5" t="s">
        <v>175</v>
      </c>
      <c r="E84" s="5" t="s">
        <v>838</v>
      </c>
      <c r="F84" s="193">
        <v>45870.0</v>
      </c>
      <c r="G84" s="194">
        <v>45889.0</v>
      </c>
      <c r="H84" s="5" t="s">
        <v>928</v>
      </c>
      <c r="I84" s="5">
        <v>28.0</v>
      </c>
      <c r="J84" s="5">
        <v>33.0</v>
      </c>
      <c r="K84" s="5" t="s">
        <v>38</v>
      </c>
      <c r="L84" s="5" t="s">
        <v>969</v>
      </c>
      <c r="M84" s="5" t="s">
        <v>209</v>
      </c>
      <c r="N84" s="5" t="s">
        <v>53</v>
      </c>
      <c r="O84" s="5">
        <v>33.0</v>
      </c>
      <c r="P84" s="5">
        <v>150.0</v>
      </c>
      <c r="Q84" s="5">
        <v>0.0</v>
      </c>
      <c r="R84" s="5" t="str">
        <f t="array" ref="R84">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195">
        <f t="array" ref="S84">IF(N84="Monthly",IFS(H84="created",O84*P84*(1-Q84/100),H84="cancelled",-(O84*P84*(1-Q84/100)),H84="seats_change",(J84-I84)*P84*(1-Q84/100),H84="price_change",(J84-I84)*O84*(1-Q84/100),H84="discount_added",-(O84*P84*(J84-I84)/100),H84="plan_upgrade",O84*(XLOOKUP(J84,$M:$M,$P:$P)-XLOOKUP(I84,$M:$M,$P:$P))*(1-Q84/100),H84="plan_downgrade",O84*(XLOOKUP(J84,$M:$M,$P:$P)-XLOOKUP(I84,$M:$M,$P:$P))*(1-Q84/100)),IFS(H84="created",O84*P84*(1-Q84/100)/12,H84="cancelled",-(O84*P84*(1-Q84/100))/12,H84="seats_change",(J84-I84)*P84*(1-Q84/100)/12,H84="price_change",(J84-I84)*O84*(1-Q84/100)/12,H84="plan_upgrade",(O84*(XLOOKUP(J84,$M:$M,$P:$P)-XLOOKUP(I84,$M:$M,$P:$P))*(1-Q84/100))/12,H84="plan_downgrade",(O84*(XLOOKUP(J84,$M:$M,$P:$P)-XLOOKUP(I84,$M:$M,$P:$P))*(1-Q84/100))/12,H84="discount_added",-(O84*P84*(J84-I84)/100)/12))</f>
        <v>750</v>
      </c>
      <c r="T84" s="5">
        <f t="shared" si="1"/>
        <v>0</v>
      </c>
      <c r="U84" s="5">
        <f t="shared" si="2"/>
        <v>0</v>
      </c>
      <c r="V84" s="5">
        <f t="shared" si="3"/>
        <v>0</v>
      </c>
    </row>
    <row r="85" ht="14.25" customHeight="1">
      <c r="A85" s="5" t="s">
        <v>970</v>
      </c>
      <c r="B85" s="5" t="s">
        <v>845</v>
      </c>
      <c r="C85" s="5" t="s">
        <v>179</v>
      </c>
      <c r="D85" s="5" t="s">
        <v>180</v>
      </c>
      <c r="E85" s="5" t="s">
        <v>841</v>
      </c>
      <c r="F85" s="193">
        <v>45870.0</v>
      </c>
      <c r="G85" s="194">
        <v>45899.0</v>
      </c>
      <c r="H85" s="5" t="s">
        <v>875</v>
      </c>
      <c r="I85" s="5" t="s">
        <v>876</v>
      </c>
      <c r="J85" s="5" t="s">
        <v>877</v>
      </c>
      <c r="K85" s="5" t="s">
        <v>44</v>
      </c>
      <c r="L85" s="5" t="s">
        <v>906</v>
      </c>
      <c r="M85" s="5" t="s">
        <v>64</v>
      </c>
      <c r="N85" s="5" t="s">
        <v>53</v>
      </c>
      <c r="O85" s="5">
        <v>26.0</v>
      </c>
      <c r="P85" s="5">
        <v>180.0</v>
      </c>
      <c r="Q85" s="5">
        <v>0.0</v>
      </c>
      <c r="R85" s="5" t="str">
        <f t="array" ref="R85">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195">
        <f t="array" ref="S85">IF(N85="Monthly",IFS(H85="created",O85*P85*(1-Q85/100),H85="cancelled",-(O85*P85*(1-Q85/100)),H85="seats_change",(J85-I85)*P85*(1-Q85/100),H85="price_change",(J85-I85)*O85*(1-Q85/100),H85="discount_added",-(O85*P85*(J85-I85)/100),H85="plan_upgrade",O85*(XLOOKUP(J85,$M:$M,$P:$P)-XLOOKUP(I85,$M:$M,$P:$P))*(1-Q85/100),H85="plan_downgrade",O85*(XLOOKUP(J85,$M:$M,$P:$P)-XLOOKUP(I85,$M:$M,$P:$P))*(1-Q85/100)),IFS(H85="created",O85*P85*(1-Q85/100)/12,H85="cancelled",-(O85*P85*(1-Q85/100))/12,H85="seats_change",(J85-I85)*P85*(1-Q85/100)/12,H85="price_change",(J85-I85)*O85*(1-Q85/100)/12,H85="plan_upgrade",(O85*(XLOOKUP(J85,$M:$M,$P:$P)-XLOOKUP(I85,$M:$M,$P:$P))*(1-Q85/100))/12,H85="plan_downgrade",(O85*(XLOOKUP(J85,$M:$M,$P:$P)-XLOOKUP(I85,$M:$M,$P:$P))*(1-Q85/100))/12,H85="discount_added",-(O85*P85*(J85-I85)/100)/12))</f>
        <v>-4680</v>
      </c>
      <c r="T85" s="5">
        <f t="shared" si="1"/>
        <v>0</v>
      </c>
      <c r="U85" s="5">
        <f t="shared" si="2"/>
        <v>0</v>
      </c>
      <c r="V85" s="5">
        <f t="shared" si="3"/>
        <v>0</v>
      </c>
    </row>
    <row r="86" ht="14.25" customHeight="1">
      <c r="A86" s="5" t="s">
        <v>971</v>
      </c>
      <c r="B86" s="5" t="s">
        <v>166</v>
      </c>
      <c r="C86" s="5" t="s">
        <v>164</v>
      </c>
      <c r="D86" s="5" t="s">
        <v>165</v>
      </c>
      <c r="E86" s="5" t="s">
        <v>841</v>
      </c>
      <c r="F86" s="193">
        <v>45901.0</v>
      </c>
      <c r="G86" s="194">
        <v>45905.0</v>
      </c>
      <c r="H86" s="5" t="s">
        <v>953</v>
      </c>
      <c r="I86" s="5" t="s">
        <v>58</v>
      </c>
      <c r="J86" s="5" t="s">
        <v>119</v>
      </c>
      <c r="K86" s="5" t="s">
        <v>34</v>
      </c>
      <c r="L86" s="5" t="s">
        <v>972</v>
      </c>
      <c r="M86" s="5" t="s">
        <v>119</v>
      </c>
      <c r="N86" s="5" t="s">
        <v>53</v>
      </c>
      <c r="O86" s="5">
        <v>20.0</v>
      </c>
      <c r="P86" s="5">
        <v>95.0</v>
      </c>
      <c r="Q86" s="5">
        <v>0.0</v>
      </c>
      <c r="R86" s="5" t="str">
        <f t="array" ref="R86">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195">
        <f t="array" ref="S86">IF(N86="Monthly",IFS(H86="created",O86*P86*(1-Q86/100),H86="cancelled",-(O86*P86*(1-Q86/100)),H86="seats_change",(J86-I86)*P86*(1-Q86/100),H86="price_change",(J86-I86)*O86*(1-Q86/100),H86="discount_added",-(O86*P86*(J86-I86)/100),H86="plan_upgrade",O86*(XLOOKUP(J86,$M:$M,$P:$P)-XLOOKUP(I86,$M:$M,$P:$P))*(1-Q86/100),H86="plan_downgrade",O86*(XLOOKUP(J86,$M:$M,$P:$P)-XLOOKUP(I86,$M:$M,$P:$P))*(1-Q86/100)),IFS(H86="created",O86*P86*(1-Q86/100)/12,H86="cancelled",-(O86*P86*(1-Q86/100))/12,H86="seats_change",(J86-I86)*P86*(1-Q86/100)/12,H86="price_change",(J86-I86)*O86*(1-Q86/100)/12,H86="plan_upgrade",(O86*(XLOOKUP(J86,$M:$M,$P:$P)-XLOOKUP(I86,$M:$M,$P:$P))*(1-Q86/100))/12,H86="plan_downgrade",(O86*(XLOOKUP(J86,$M:$M,$P:$P)-XLOOKUP(I86,$M:$M,$P:$P))*(1-Q86/100))/12,H86="discount_added",-(O86*P86*(J86-I86)/100)/12))</f>
        <v>1000</v>
      </c>
      <c r="T86" s="5">
        <f t="shared" si="1"/>
        <v>0</v>
      </c>
      <c r="U86" s="5">
        <f t="shared" si="2"/>
        <v>0</v>
      </c>
      <c r="V86" s="5">
        <f t="shared" si="3"/>
        <v>0</v>
      </c>
    </row>
    <row r="87" ht="14.25" customHeight="1">
      <c r="A87" s="5" t="s">
        <v>973</v>
      </c>
      <c r="B87" s="5" t="s">
        <v>84</v>
      </c>
      <c r="C87" s="5" t="s">
        <v>82</v>
      </c>
      <c r="D87" s="5" t="s">
        <v>83</v>
      </c>
      <c r="E87" s="5" t="s">
        <v>841</v>
      </c>
      <c r="F87" s="193">
        <v>45901.0</v>
      </c>
      <c r="G87" s="194">
        <v>45910.0</v>
      </c>
      <c r="H87" s="5" t="s">
        <v>928</v>
      </c>
      <c r="I87" s="5">
        <v>26.0</v>
      </c>
      <c r="J87" s="5">
        <v>31.0</v>
      </c>
      <c r="K87" s="5" t="s">
        <v>38</v>
      </c>
      <c r="L87" s="5" t="s">
        <v>974</v>
      </c>
      <c r="M87" s="5" t="s">
        <v>64</v>
      </c>
      <c r="N87" s="5" t="s">
        <v>53</v>
      </c>
      <c r="O87" s="5">
        <v>31.0</v>
      </c>
      <c r="P87" s="5">
        <v>180.0</v>
      </c>
      <c r="Q87" s="5">
        <v>0.0</v>
      </c>
      <c r="R87" s="5" t="str">
        <f t="array" ref="R87">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195">
        <f t="array" ref="S87">IF(N87="Monthly",IFS(H87="created",O87*P87*(1-Q87/100),H87="cancelled",-(O87*P87*(1-Q87/100)),H87="seats_change",(J87-I87)*P87*(1-Q87/100),H87="price_change",(J87-I87)*O87*(1-Q87/100),H87="discount_added",-(O87*P87*(J87-I87)/100),H87="plan_upgrade",O87*(XLOOKUP(J87,$M:$M,$P:$P)-XLOOKUP(I87,$M:$M,$P:$P))*(1-Q87/100),H87="plan_downgrade",O87*(XLOOKUP(J87,$M:$M,$P:$P)-XLOOKUP(I87,$M:$M,$P:$P))*(1-Q87/100)),IFS(H87="created",O87*P87*(1-Q87/100)/12,H87="cancelled",-(O87*P87*(1-Q87/100))/12,H87="seats_change",(J87-I87)*P87*(1-Q87/100)/12,H87="price_change",(J87-I87)*O87*(1-Q87/100)/12,H87="plan_upgrade",(O87*(XLOOKUP(J87,$M:$M,$P:$P)-XLOOKUP(I87,$M:$M,$P:$P))*(1-Q87/100))/12,H87="plan_downgrade",(O87*(XLOOKUP(J87,$M:$M,$P:$P)-XLOOKUP(I87,$M:$M,$P:$P))*(1-Q87/100))/12,H87="discount_added",-(O87*P87*(J87-I87)/100)/12))</f>
        <v>900</v>
      </c>
      <c r="T87" s="5">
        <f t="shared" si="1"/>
        <v>0</v>
      </c>
      <c r="U87" s="5">
        <f t="shared" si="2"/>
        <v>0</v>
      </c>
      <c r="V87" s="5">
        <f t="shared" si="3"/>
        <v>0</v>
      </c>
    </row>
    <row r="88" ht="14.25" customHeight="1">
      <c r="A88" s="5" t="s">
        <v>975</v>
      </c>
      <c r="B88" s="5" t="s">
        <v>274</v>
      </c>
      <c r="C88" s="5" t="s">
        <v>272</v>
      </c>
      <c r="D88" s="5" t="s">
        <v>273</v>
      </c>
      <c r="E88" s="5" t="s">
        <v>838</v>
      </c>
      <c r="F88" s="193">
        <v>45901.0</v>
      </c>
      <c r="G88" s="194">
        <v>45930.0</v>
      </c>
      <c r="H88" s="5" t="s">
        <v>903</v>
      </c>
      <c r="I88" s="5">
        <v>90.0</v>
      </c>
      <c r="J88" s="5">
        <v>85.0</v>
      </c>
      <c r="K88" s="5" t="s">
        <v>829</v>
      </c>
      <c r="L88" s="5" t="s">
        <v>976</v>
      </c>
      <c r="M88" s="5" t="s">
        <v>52</v>
      </c>
      <c r="N88" s="5" t="s">
        <v>53</v>
      </c>
      <c r="O88" s="5">
        <v>25.0</v>
      </c>
      <c r="P88" s="5">
        <v>85.0</v>
      </c>
      <c r="Q88" s="5">
        <v>0.0</v>
      </c>
      <c r="R88" s="5" t="str">
        <f t="array" ref="R88">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195">
        <f t="array" ref="S88">IF(N88="Monthly",IFS(H88="created",O88*P88*(1-Q88/100),H88="cancelled",-(O88*P88*(1-Q88/100)),H88="seats_change",(J88-I88)*P88*(1-Q88/100),H88="price_change",(J88-I88)*O88*(1-Q88/100),H88="discount_added",-(O88*P88*(J88-I88)/100),H88="plan_upgrade",O88*(XLOOKUP(J88,$M:$M,$P:$P)-XLOOKUP(I88,$M:$M,$P:$P))*(1-Q88/100),H88="plan_downgrade",O88*(XLOOKUP(J88,$M:$M,$P:$P)-XLOOKUP(I88,$M:$M,$P:$P))*(1-Q88/100)),IFS(H88="created",O88*P88*(1-Q88/100)/12,H88="cancelled",-(O88*P88*(1-Q88/100))/12,H88="seats_change",(J88-I88)*P88*(1-Q88/100)/12,H88="price_change",(J88-I88)*O88*(1-Q88/100)/12,H88="plan_upgrade",(O88*(XLOOKUP(J88,$M:$M,$P:$P)-XLOOKUP(I88,$M:$M,$P:$P))*(1-Q88/100))/12,H88="plan_downgrade",(O88*(XLOOKUP(J88,$M:$M,$P:$P)-XLOOKUP(I88,$M:$M,$P:$P))*(1-Q88/100))/12,H88="discount_added",-(O88*P88*(J88-I88)/100)/12))</f>
        <v>-125</v>
      </c>
      <c r="T88" s="5">
        <f t="shared" si="1"/>
        <v>0</v>
      </c>
      <c r="U88" s="5">
        <f t="shared" si="2"/>
        <v>0</v>
      </c>
      <c r="V88" s="5">
        <f t="shared" si="3"/>
        <v>0</v>
      </c>
    </row>
    <row r="89" ht="14.25" customHeight="1">
      <c r="A89" s="5" t="s">
        <v>977</v>
      </c>
      <c r="B89" s="5" t="s">
        <v>236</v>
      </c>
      <c r="C89" s="5" t="s">
        <v>106</v>
      </c>
      <c r="D89" s="5" t="s">
        <v>107</v>
      </c>
      <c r="E89" s="5" t="s">
        <v>841</v>
      </c>
      <c r="F89" s="193">
        <v>45931.0</v>
      </c>
      <c r="G89" s="194">
        <v>45935.0</v>
      </c>
      <c r="H89" s="5" t="s">
        <v>928</v>
      </c>
      <c r="I89" s="5">
        <v>26.0</v>
      </c>
      <c r="J89" s="5">
        <v>31.0</v>
      </c>
      <c r="K89" s="5" t="s">
        <v>38</v>
      </c>
      <c r="L89" s="5" t="s">
        <v>978</v>
      </c>
      <c r="M89" s="5" t="s">
        <v>52</v>
      </c>
      <c r="N89" s="5" t="s">
        <v>53</v>
      </c>
      <c r="O89" s="5">
        <v>31.0</v>
      </c>
      <c r="P89" s="5">
        <v>85.0</v>
      </c>
      <c r="Q89" s="5">
        <v>0.0</v>
      </c>
      <c r="R89" s="5" t="str">
        <f t="array" ref="R89">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195">
        <f t="array" ref="S89">IF(N89="Monthly",IFS(H89="created",O89*P89*(1-Q89/100),H89="cancelled",-(O89*P89*(1-Q89/100)),H89="seats_change",(J89-I89)*P89*(1-Q89/100),H89="price_change",(J89-I89)*O89*(1-Q89/100),H89="discount_added",-(O89*P89*(J89-I89)/100),H89="plan_upgrade",O89*(XLOOKUP(J89,$M:$M,$P:$P)-XLOOKUP(I89,$M:$M,$P:$P))*(1-Q89/100),H89="plan_downgrade",O89*(XLOOKUP(J89,$M:$M,$P:$P)-XLOOKUP(I89,$M:$M,$P:$P))*(1-Q89/100)),IFS(H89="created",O89*P89*(1-Q89/100)/12,H89="cancelled",-(O89*P89*(1-Q89/100))/12,H89="seats_change",(J89-I89)*P89*(1-Q89/100)/12,H89="price_change",(J89-I89)*O89*(1-Q89/100)/12,H89="plan_upgrade",(O89*(XLOOKUP(J89,$M:$M,$P:$P)-XLOOKUP(I89,$M:$M,$P:$P))*(1-Q89/100))/12,H89="plan_downgrade",(O89*(XLOOKUP(J89,$M:$M,$P:$P)-XLOOKUP(I89,$M:$M,$P:$P))*(1-Q89/100))/12,H89="discount_added",-(O89*P89*(J89-I89)/100)/12))</f>
        <v>425</v>
      </c>
      <c r="T89" s="5">
        <f t="shared" si="1"/>
        <v>0</v>
      </c>
      <c r="U89" s="5">
        <f t="shared" si="2"/>
        <v>0</v>
      </c>
      <c r="V89" s="5">
        <f t="shared" si="3"/>
        <v>0</v>
      </c>
    </row>
    <row r="90" ht="14.25" customHeight="1">
      <c r="A90" s="5" t="s">
        <v>979</v>
      </c>
      <c r="B90" s="5" t="s">
        <v>156</v>
      </c>
      <c r="C90" s="5" t="s">
        <v>154</v>
      </c>
      <c r="D90" s="5" t="s">
        <v>155</v>
      </c>
      <c r="E90" s="5" t="s">
        <v>838</v>
      </c>
      <c r="F90" s="193">
        <v>45931.0</v>
      </c>
      <c r="G90" s="194">
        <v>45945.0</v>
      </c>
      <c r="H90" s="5" t="s">
        <v>839</v>
      </c>
      <c r="L90" s="5" t="s">
        <v>941</v>
      </c>
      <c r="M90" s="5" t="s">
        <v>52</v>
      </c>
      <c r="N90" s="5" t="s">
        <v>53</v>
      </c>
      <c r="O90" s="5">
        <v>11.0</v>
      </c>
      <c r="P90" s="5">
        <v>85.0</v>
      </c>
      <c r="Q90" s="5">
        <v>0.0</v>
      </c>
      <c r="R90" s="5" t="str">
        <f t="array" ref="R90">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195">
        <f t="array" ref="S90">IF(N90="Monthly",IFS(H90="created",O90*P90*(1-Q90/100),H90="cancelled",-(O90*P90*(1-Q90/100)),H90="seats_change",(J90-I90)*P90*(1-Q90/100),H90="price_change",(J90-I90)*O90*(1-Q90/100),H90="discount_added",-(O90*P90*(J90-I90)/100),H90="plan_upgrade",O90*(XLOOKUP(J90,$M:$M,$P:$P)-XLOOKUP(I90,$M:$M,$P:$P))*(1-Q90/100),H90="plan_downgrade",O90*(XLOOKUP(J90,$M:$M,$P:$P)-XLOOKUP(I90,$M:$M,$P:$P))*(1-Q90/100)),IFS(H90="created",O90*P90*(1-Q90/100)/12,H90="cancelled",-(O90*P90*(1-Q90/100))/12,H90="seats_change",(J90-I90)*P90*(1-Q90/100)/12,H90="price_change",(J90-I90)*O90*(1-Q90/100)/12,H90="plan_upgrade",(O90*(XLOOKUP(J90,$M:$M,$P:$P)-XLOOKUP(I90,$M:$M,$P:$P))*(1-Q90/100))/12,H90="plan_downgrade",(O90*(XLOOKUP(J90,$M:$M,$P:$P)-XLOOKUP(I90,$M:$M,$P:$P))*(1-Q90/100))/12,H90="discount_added",-(O90*P90*(J90-I90)/100)/12))</f>
        <v>935</v>
      </c>
      <c r="T90" s="5">
        <f t="shared" si="1"/>
        <v>0</v>
      </c>
      <c r="U90" s="5">
        <f t="shared" si="2"/>
        <v>0</v>
      </c>
      <c r="V90" s="5">
        <f t="shared" si="3"/>
        <v>1</v>
      </c>
    </row>
    <row r="91" ht="14.25" customHeight="1">
      <c r="A91" s="5" t="s">
        <v>980</v>
      </c>
      <c r="B91" s="5" t="s">
        <v>130</v>
      </c>
      <c r="C91" s="5" t="s">
        <v>128</v>
      </c>
      <c r="D91" s="5" t="s">
        <v>129</v>
      </c>
      <c r="E91" s="5" t="s">
        <v>860</v>
      </c>
      <c r="F91" s="193">
        <v>45931.0</v>
      </c>
      <c r="G91" s="194">
        <v>45950.0</v>
      </c>
      <c r="H91" s="5" t="s">
        <v>953</v>
      </c>
      <c r="I91" s="5" t="s">
        <v>58</v>
      </c>
      <c r="J91" s="5" t="s">
        <v>119</v>
      </c>
      <c r="K91" s="5" t="s">
        <v>34</v>
      </c>
      <c r="L91" s="5" t="s">
        <v>981</v>
      </c>
      <c r="M91" s="5" t="s">
        <v>119</v>
      </c>
      <c r="N91" s="5" t="s">
        <v>53</v>
      </c>
      <c r="O91" s="5">
        <v>18.0</v>
      </c>
      <c r="P91" s="5">
        <v>95.0</v>
      </c>
      <c r="Q91" s="5">
        <v>0.0</v>
      </c>
      <c r="R91" s="5" t="str">
        <f t="array" ref="R91">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195">
        <f t="array" ref="S91">IF(N91="Monthly",IFS(H91="created",O91*P91*(1-Q91/100),H91="cancelled",-(O91*P91*(1-Q91/100)),H91="seats_change",(J91-I91)*P91*(1-Q91/100),H91="price_change",(J91-I91)*O91*(1-Q91/100),H91="discount_added",-(O91*P91*(J91-I91)/100),H91="plan_upgrade",O91*(XLOOKUP(J91,$M:$M,$P:$P)-XLOOKUP(I91,$M:$M,$P:$P))*(1-Q91/100),H91="plan_downgrade",O91*(XLOOKUP(J91,$M:$M,$P:$P)-XLOOKUP(I91,$M:$M,$P:$P))*(1-Q91/100)),IFS(H91="created",O91*P91*(1-Q91/100)/12,H91="cancelled",-(O91*P91*(1-Q91/100))/12,H91="seats_change",(J91-I91)*P91*(1-Q91/100)/12,H91="price_change",(J91-I91)*O91*(1-Q91/100)/12,H91="plan_upgrade",(O91*(XLOOKUP(J91,$M:$M,$P:$P)-XLOOKUP(I91,$M:$M,$P:$P))*(1-Q91/100))/12,H91="plan_downgrade",(O91*(XLOOKUP(J91,$M:$M,$P:$P)-XLOOKUP(I91,$M:$M,$P:$P))*(1-Q91/100))/12,H91="discount_added",-(O91*P91*(J91-I91)/100)/12))</f>
        <v>900</v>
      </c>
      <c r="T91" s="5">
        <f t="shared" si="1"/>
        <v>0</v>
      </c>
      <c r="U91" s="5">
        <f t="shared" si="2"/>
        <v>0</v>
      </c>
      <c r="V91" s="5">
        <f t="shared" si="3"/>
        <v>0</v>
      </c>
    </row>
    <row r="92" ht="14.25" customHeight="1">
      <c r="A92" s="5" t="s">
        <v>982</v>
      </c>
      <c r="B92" s="5" t="s">
        <v>869</v>
      </c>
      <c r="C92" s="5" t="s">
        <v>213</v>
      </c>
      <c r="D92" s="5" t="s">
        <v>214</v>
      </c>
      <c r="E92" s="5" t="s">
        <v>841</v>
      </c>
      <c r="F92" s="193">
        <v>45962.0</v>
      </c>
      <c r="G92" s="194">
        <v>45962.0</v>
      </c>
      <c r="H92" s="5" t="s">
        <v>924</v>
      </c>
      <c r="I92" s="5">
        <v>0.0</v>
      </c>
      <c r="J92" s="5">
        <v>10.0</v>
      </c>
      <c r="K92" s="5" t="s">
        <v>830</v>
      </c>
      <c r="L92" s="5" t="s">
        <v>983</v>
      </c>
      <c r="M92" s="5" t="s">
        <v>119</v>
      </c>
      <c r="N92" s="5" t="s">
        <v>53</v>
      </c>
      <c r="O92" s="5">
        <v>19.0</v>
      </c>
      <c r="P92" s="5">
        <v>95.0</v>
      </c>
      <c r="Q92" s="5">
        <v>10.0</v>
      </c>
      <c r="R92" s="5" t="str">
        <f t="array" ref="R92">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195">
        <f t="array" ref="S92">IF(N92="Monthly",IFS(H92="created",O92*P92*(1-Q92/100),H92="cancelled",-(O92*P92*(1-Q92/100)),H92="seats_change",(J92-I92)*P92*(1-Q92/100),H92="price_change",(J92-I92)*O92*(1-Q92/100),H92="discount_added",-(O92*P92*(J92-I92)/100),H92="plan_upgrade",O92*(XLOOKUP(J92,$M:$M,$P:$P)-XLOOKUP(I92,$M:$M,$P:$P))*(1-Q92/100),H92="plan_downgrade",O92*(XLOOKUP(J92,$M:$M,$P:$P)-XLOOKUP(I92,$M:$M,$P:$P))*(1-Q92/100)),IFS(H92="created",O92*P92*(1-Q92/100)/12,H92="cancelled",-(O92*P92*(1-Q92/100))/12,H92="seats_change",(J92-I92)*P92*(1-Q92/100)/12,H92="price_change",(J92-I92)*O92*(1-Q92/100)/12,H92="plan_upgrade",(O92*(XLOOKUP(J92,$M:$M,$P:$P)-XLOOKUP(I92,$M:$M,$P:$P))*(1-Q92/100))/12,H92="plan_downgrade",(O92*(XLOOKUP(J92,$M:$M,$P:$P)-XLOOKUP(I92,$M:$M,$P:$P))*(1-Q92/100))/12,H92="discount_added",-(O92*P92*(J92-I92)/100)/12))</f>
        <v>-180.5</v>
      </c>
      <c r="T92" s="5">
        <f t="shared" si="1"/>
        <v>0</v>
      </c>
      <c r="U92" s="5">
        <f t="shared" si="2"/>
        <v>0</v>
      </c>
      <c r="V92" s="5">
        <f t="shared" si="3"/>
        <v>0</v>
      </c>
    </row>
    <row r="93" ht="14.25" customHeight="1">
      <c r="A93" s="5" t="s">
        <v>984</v>
      </c>
      <c r="B93" s="5" t="s">
        <v>233</v>
      </c>
      <c r="C93" s="5" t="s">
        <v>231</v>
      </c>
      <c r="D93" s="5" t="s">
        <v>232</v>
      </c>
      <c r="E93" s="5" t="s">
        <v>838</v>
      </c>
      <c r="F93" s="193">
        <v>45962.0</v>
      </c>
      <c r="G93" s="194">
        <v>45976.0</v>
      </c>
      <c r="H93" s="5" t="s">
        <v>928</v>
      </c>
      <c r="I93" s="5">
        <v>32.0</v>
      </c>
      <c r="J93" s="5">
        <v>29.0</v>
      </c>
      <c r="K93" s="5" t="s">
        <v>38</v>
      </c>
      <c r="L93" s="5" t="s">
        <v>985</v>
      </c>
      <c r="M93" s="5" t="s">
        <v>52</v>
      </c>
      <c r="N93" s="5" t="s">
        <v>53</v>
      </c>
      <c r="O93" s="5">
        <v>29.0</v>
      </c>
      <c r="P93" s="5">
        <v>85.0</v>
      </c>
      <c r="Q93" s="5">
        <v>0.0</v>
      </c>
      <c r="R93" s="5" t="str">
        <f t="array" ref="R93">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195">
        <f t="array" ref="S93">IF(N93="Monthly",IFS(H93="created",O93*P93*(1-Q93/100),H93="cancelled",-(O93*P93*(1-Q93/100)),H93="seats_change",(J93-I93)*P93*(1-Q93/100),H93="price_change",(J93-I93)*O93*(1-Q93/100),H93="discount_added",-(O93*P93*(J93-I93)/100),H93="plan_upgrade",O93*(XLOOKUP(J93,$M:$M,$P:$P)-XLOOKUP(I93,$M:$M,$P:$P))*(1-Q93/100),H93="plan_downgrade",O93*(XLOOKUP(J93,$M:$M,$P:$P)-XLOOKUP(I93,$M:$M,$P:$P))*(1-Q93/100)),IFS(H93="created",O93*P93*(1-Q93/100)/12,H93="cancelled",-(O93*P93*(1-Q93/100))/12,H93="seats_change",(J93-I93)*P93*(1-Q93/100)/12,H93="price_change",(J93-I93)*O93*(1-Q93/100)/12,H93="plan_upgrade",(O93*(XLOOKUP(J93,$M:$M,$P:$P)-XLOOKUP(I93,$M:$M,$P:$P))*(1-Q93/100))/12,H93="plan_downgrade",(O93*(XLOOKUP(J93,$M:$M,$P:$P)-XLOOKUP(I93,$M:$M,$P:$P))*(1-Q93/100))/12,H93="discount_added",-(O93*P93*(J93-I93)/100)/12))</f>
        <v>-255</v>
      </c>
      <c r="T93" s="5">
        <f t="shared" si="1"/>
        <v>0</v>
      </c>
      <c r="U93" s="5">
        <f t="shared" si="2"/>
        <v>0</v>
      </c>
      <c r="V93" s="5">
        <f t="shared" si="3"/>
        <v>0</v>
      </c>
    </row>
    <row r="94" ht="14.25" customHeight="1">
      <c r="A94" s="5" t="s">
        <v>986</v>
      </c>
      <c r="B94" s="5" t="s">
        <v>176</v>
      </c>
      <c r="C94" s="5" t="s">
        <v>174</v>
      </c>
      <c r="D94" s="5" t="s">
        <v>175</v>
      </c>
      <c r="E94" s="5" t="s">
        <v>838</v>
      </c>
      <c r="F94" s="193">
        <v>45992.0</v>
      </c>
      <c r="G94" s="194">
        <v>45999.0</v>
      </c>
      <c r="H94" s="5" t="s">
        <v>928</v>
      </c>
      <c r="I94" s="5">
        <v>22.0</v>
      </c>
      <c r="J94" s="5">
        <v>26.0</v>
      </c>
      <c r="K94" s="5" t="s">
        <v>38</v>
      </c>
      <c r="L94" s="5" t="s">
        <v>987</v>
      </c>
      <c r="M94" s="5" t="s">
        <v>93</v>
      </c>
      <c r="N94" s="5" t="s">
        <v>53</v>
      </c>
      <c r="O94" s="5">
        <v>26.0</v>
      </c>
      <c r="P94" s="5">
        <v>110.0</v>
      </c>
      <c r="Q94" s="5">
        <v>0.0</v>
      </c>
      <c r="R94" s="5" t="str">
        <f t="array" ref="R94">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195">
        <f t="array" ref="S94">IF(N94="Monthly",IFS(H94="created",O94*P94*(1-Q94/100),H94="cancelled",-(O94*P94*(1-Q94/100)),H94="seats_change",(J94-I94)*P94*(1-Q94/100),H94="price_change",(J94-I94)*O94*(1-Q94/100),H94="discount_added",-(O94*P94*(J94-I94)/100),H94="plan_upgrade",O94*(XLOOKUP(J94,$M:$M,$P:$P)-XLOOKUP(I94,$M:$M,$P:$P))*(1-Q94/100),H94="plan_downgrade",O94*(XLOOKUP(J94,$M:$M,$P:$P)-XLOOKUP(I94,$M:$M,$P:$P))*(1-Q94/100)),IFS(H94="created",O94*P94*(1-Q94/100)/12,H94="cancelled",-(O94*P94*(1-Q94/100))/12,H94="seats_change",(J94-I94)*P94*(1-Q94/100)/12,H94="price_change",(J94-I94)*O94*(1-Q94/100)/12,H94="plan_upgrade",(O94*(XLOOKUP(J94,$M:$M,$P:$P)-XLOOKUP(I94,$M:$M,$P:$P))*(1-Q94/100))/12,H94="plan_downgrade",(O94*(XLOOKUP(J94,$M:$M,$P:$P)-XLOOKUP(I94,$M:$M,$P:$P))*(1-Q94/100))/12,H94="discount_added",-(O94*P94*(J94-I94)/100)/12))</f>
        <v>440</v>
      </c>
      <c r="T94" s="5">
        <f t="shared" si="1"/>
        <v>0</v>
      </c>
      <c r="U94" s="5">
        <f t="shared" si="2"/>
        <v>0</v>
      </c>
      <c r="V94" s="5">
        <f t="shared" si="3"/>
        <v>0</v>
      </c>
    </row>
    <row r="95" ht="14.25" customHeight="1">
      <c r="A95" s="5" t="s">
        <v>988</v>
      </c>
      <c r="B95" s="5" t="s">
        <v>57</v>
      </c>
      <c r="C95" s="5" t="s">
        <v>49</v>
      </c>
      <c r="D95" s="5" t="s">
        <v>50</v>
      </c>
      <c r="E95" s="5" t="s">
        <v>838</v>
      </c>
      <c r="F95" s="193">
        <v>45992.0</v>
      </c>
      <c r="G95" s="194">
        <v>46006.0</v>
      </c>
      <c r="H95" s="5" t="s">
        <v>924</v>
      </c>
      <c r="I95" s="5">
        <v>0.0</v>
      </c>
      <c r="J95" s="5">
        <v>12.0</v>
      </c>
      <c r="K95" s="5" t="s">
        <v>830</v>
      </c>
      <c r="L95" s="5" t="s">
        <v>989</v>
      </c>
      <c r="M95" s="5" t="s">
        <v>58</v>
      </c>
      <c r="N95" s="5" t="s">
        <v>53</v>
      </c>
      <c r="O95" s="5">
        <v>15.0</v>
      </c>
      <c r="P95" s="5">
        <v>45.0</v>
      </c>
      <c r="Q95" s="5">
        <v>12.0</v>
      </c>
      <c r="R95" s="5" t="str">
        <f t="array" ref="R95">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195">
        <f t="array" ref="S95">IF(N95="Monthly",IFS(H95="created",O95*P95*(1-Q95/100),H95="cancelled",-(O95*P95*(1-Q95/100)),H95="seats_change",(J95-I95)*P95*(1-Q95/100),H95="price_change",(J95-I95)*O95*(1-Q95/100),H95="discount_added",-(O95*P95*(J95-I95)/100),H95="plan_upgrade",O95*(XLOOKUP(J95,$M:$M,$P:$P)-XLOOKUP(I95,$M:$M,$P:$P))*(1-Q95/100),H95="plan_downgrade",O95*(XLOOKUP(J95,$M:$M,$P:$P)-XLOOKUP(I95,$M:$M,$P:$P))*(1-Q95/100)),IFS(H95="created",O95*P95*(1-Q95/100)/12,H95="cancelled",-(O95*P95*(1-Q95/100))/12,H95="seats_change",(J95-I95)*P95*(1-Q95/100)/12,H95="price_change",(J95-I95)*O95*(1-Q95/100)/12,H95="plan_upgrade",(O95*(XLOOKUP(J95,$M:$M,$P:$P)-XLOOKUP(I95,$M:$M,$P:$P))*(1-Q95/100))/12,H95="plan_downgrade",(O95*(XLOOKUP(J95,$M:$M,$P:$P)-XLOOKUP(I95,$M:$M,$P:$P))*(1-Q95/100))/12,H95="discount_added",-(O95*P95*(J95-I95)/100)/12))</f>
        <v>-81</v>
      </c>
      <c r="T95" s="5">
        <f t="shared" si="1"/>
        <v>0</v>
      </c>
      <c r="U95" s="5">
        <f t="shared" si="2"/>
        <v>0</v>
      </c>
      <c r="V95" s="5">
        <f t="shared" si="3"/>
        <v>0</v>
      </c>
    </row>
    <row r="96" ht="14.25" customHeight="1">
      <c r="A96" s="5" t="s">
        <v>990</v>
      </c>
      <c r="B96" s="5" t="s">
        <v>869</v>
      </c>
      <c r="C96" s="5" t="s">
        <v>213</v>
      </c>
      <c r="D96" s="5" t="s">
        <v>214</v>
      </c>
      <c r="E96" s="5" t="s">
        <v>841</v>
      </c>
      <c r="F96" s="193">
        <v>45992.0</v>
      </c>
      <c r="G96" s="194">
        <v>46021.0</v>
      </c>
      <c r="H96" s="5" t="s">
        <v>875</v>
      </c>
      <c r="I96" s="5" t="s">
        <v>876</v>
      </c>
      <c r="J96" s="5" t="s">
        <v>877</v>
      </c>
      <c r="K96" s="5" t="s">
        <v>44</v>
      </c>
      <c r="L96" s="5" t="s">
        <v>906</v>
      </c>
      <c r="M96" s="5" t="s">
        <v>119</v>
      </c>
      <c r="N96" s="5" t="s">
        <v>53</v>
      </c>
      <c r="O96" s="5">
        <v>19.0</v>
      </c>
      <c r="P96" s="5">
        <v>95.0</v>
      </c>
      <c r="Q96" s="5">
        <v>10.0</v>
      </c>
      <c r="R96" s="5" t="str">
        <f t="array" ref="R96">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195">
        <f t="array" ref="S96">IF(N96="Monthly",IFS(H96="created",O96*P96*(1-Q96/100),H96="cancelled",-(O96*P96*(1-Q96/100)),H96="seats_change",(J96-I96)*P96*(1-Q96/100),H96="price_change",(J96-I96)*O96*(1-Q96/100),H96="discount_added",-(O96*P96*(J96-I96)/100),H96="plan_upgrade",O96*(XLOOKUP(J96,$M:$M,$P:$P)-XLOOKUP(I96,$M:$M,$P:$P))*(1-Q96/100),H96="plan_downgrade",O96*(XLOOKUP(J96,$M:$M,$P:$P)-XLOOKUP(I96,$M:$M,$P:$P))*(1-Q96/100)),IFS(H96="created",O96*P96*(1-Q96/100)/12,H96="cancelled",-(O96*P96*(1-Q96/100))/12,H96="seats_change",(J96-I96)*P96*(1-Q96/100)/12,H96="price_change",(J96-I96)*O96*(1-Q96/100)/12,H96="plan_upgrade",(O96*(XLOOKUP(J96,$M:$M,$P:$P)-XLOOKUP(I96,$M:$M,$P:$P))*(1-Q96/100))/12,H96="plan_downgrade",(O96*(XLOOKUP(J96,$M:$M,$P:$P)-XLOOKUP(I96,$M:$M,$P:$P))*(1-Q96/100))/12,H96="discount_added",-(O96*P96*(J96-I96)/100)/12))</f>
        <v>-1624.5</v>
      </c>
      <c r="T96" s="5">
        <f t="shared" si="1"/>
        <v>0</v>
      </c>
      <c r="U96" s="5">
        <f t="shared" si="2"/>
        <v>0</v>
      </c>
      <c r="V96" s="5">
        <f t="shared" si="3"/>
        <v>0</v>
      </c>
    </row>
    <row r="97" ht="14.25" customHeight="1">
      <c r="A97" s="5" t="s">
        <v>991</v>
      </c>
      <c r="B97" s="5" t="s">
        <v>246</v>
      </c>
      <c r="C97" s="5" t="s">
        <v>244</v>
      </c>
      <c r="D97" s="5" t="s">
        <v>245</v>
      </c>
      <c r="E97" s="5" t="s">
        <v>841</v>
      </c>
      <c r="F97" s="193">
        <v>46023.0</v>
      </c>
      <c r="G97" s="194">
        <v>46048.0</v>
      </c>
      <c r="H97" s="5" t="s">
        <v>839</v>
      </c>
      <c r="M97" s="5" t="s">
        <v>119</v>
      </c>
      <c r="N97" s="5" t="s">
        <v>53</v>
      </c>
      <c r="O97" s="5">
        <v>18.0</v>
      </c>
      <c r="P97" s="5">
        <v>95.0</v>
      </c>
      <c r="Q97" s="5">
        <v>0.0</v>
      </c>
      <c r="R97" s="5" t="str">
        <f t="array" ref="R97">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195">
        <f t="array" ref="S97">IF(N97="Monthly",IFS(H97="created",O97*P97*(1-Q97/100),H97="cancelled",-(O97*P97*(1-Q97/100)),H97="seats_change",(J97-I97)*P97*(1-Q97/100),H97="price_change",(J97-I97)*O97*(1-Q97/100),H97="discount_added",-(O97*P97*(J97-I97)/100),H97="plan_upgrade",O97*(XLOOKUP(J97,$M:$M,$P:$P)-XLOOKUP(I97,$M:$M,$P:$P))*(1-Q97/100),H97="plan_downgrade",O97*(XLOOKUP(J97,$M:$M,$P:$P)-XLOOKUP(I97,$M:$M,$P:$P))*(1-Q97/100)),IFS(H97="created",O97*P97*(1-Q97/100)/12,H97="cancelled",-(O97*P97*(1-Q97/100))/12,H97="seats_change",(J97-I97)*P97*(1-Q97/100)/12,H97="price_change",(J97-I97)*O97*(1-Q97/100)/12,H97="plan_upgrade",(O97*(XLOOKUP(J97,$M:$M,$P:$P)-XLOOKUP(I97,$M:$M,$P:$P))*(1-Q97/100))/12,H97="plan_downgrade",(O97*(XLOOKUP(J97,$M:$M,$P:$P)-XLOOKUP(I97,$M:$M,$P:$P))*(1-Q97/100))/12,H97="discount_added",-(O97*P97*(J97-I97)/100)/12))</f>
        <v>1710</v>
      </c>
      <c r="T97" s="5">
        <f t="shared" si="1"/>
        <v>1</v>
      </c>
      <c r="U97" s="5">
        <f t="shared" si="2"/>
        <v>0</v>
      </c>
      <c r="V97" s="5">
        <f t="shared" si="3"/>
        <v>0</v>
      </c>
    </row>
    <row r="98" ht="14.25" customHeight="1">
      <c r="A98" s="5" t="s">
        <v>992</v>
      </c>
      <c r="B98" s="5" t="s">
        <v>57</v>
      </c>
      <c r="C98" s="5" t="s">
        <v>49</v>
      </c>
      <c r="D98" s="5" t="s">
        <v>50</v>
      </c>
      <c r="E98" s="5" t="s">
        <v>838</v>
      </c>
      <c r="F98" s="193">
        <v>46054.0</v>
      </c>
      <c r="G98" s="194">
        <v>46073.0</v>
      </c>
      <c r="H98" s="5" t="s">
        <v>875</v>
      </c>
      <c r="I98" s="5" t="s">
        <v>876</v>
      </c>
      <c r="J98" s="5" t="s">
        <v>877</v>
      </c>
      <c r="K98" s="5" t="s">
        <v>44</v>
      </c>
      <c r="L98" s="5" t="s">
        <v>993</v>
      </c>
      <c r="M98" s="5" t="s">
        <v>58</v>
      </c>
      <c r="N98" s="5" t="s">
        <v>53</v>
      </c>
      <c r="O98" s="5">
        <v>15.0</v>
      </c>
      <c r="P98" s="5">
        <v>45.0</v>
      </c>
      <c r="Q98" s="5">
        <v>12.0</v>
      </c>
      <c r="R98" s="5" t="str">
        <f t="array" ref="R98">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195">
        <f t="array" ref="S98">IF(N98="Monthly",IFS(H98="created",O98*P98*(1-Q98/100),H98="cancelled",-(O98*P98*(1-Q98/100)),H98="seats_change",(J98-I98)*P98*(1-Q98/100),H98="price_change",(J98-I98)*O98*(1-Q98/100),H98="discount_added",-(O98*P98*(J98-I98)/100),H98="plan_upgrade",O98*(XLOOKUP(J98,$M:$M,$P:$P)-XLOOKUP(I98,$M:$M,$P:$P))*(1-Q98/100),H98="plan_downgrade",O98*(XLOOKUP(J98,$M:$M,$P:$P)-XLOOKUP(I98,$M:$M,$P:$P))*(1-Q98/100)),IFS(H98="created",O98*P98*(1-Q98/100)/12,H98="cancelled",-(O98*P98*(1-Q98/100))/12,H98="seats_change",(J98-I98)*P98*(1-Q98/100)/12,H98="price_change",(J98-I98)*O98*(1-Q98/100)/12,H98="plan_upgrade",(O98*(XLOOKUP(J98,$M:$M,$P:$P)-XLOOKUP(I98,$M:$M,$P:$P))*(1-Q98/100))/12,H98="plan_downgrade",(O98*(XLOOKUP(J98,$M:$M,$P:$P)-XLOOKUP(I98,$M:$M,$P:$P))*(1-Q98/100))/12,H98="discount_added",-(O98*P98*(J98-I98)/100)/12))</f>
        <v>-594</v>
      </c>
      <c r="T98" s="5">
        <f t="shared" si="1"/>
        <v>0</v>
      </c>
      <c r="U98" s="5">
        <f t="shared" si="2"/>
        <v>0</v>
      </c>
      <c r="V98" s="5">
        <f t="shared" si="3"/>
        <v>0</v>
      </c>
    </row>
    <row r="99" ht="14.25" customHeight="1">
      <c r="A99" s="5" t="s">
        <v>994</v>
      </c>
      <c r="B99" s="5" t="s">
        <v>311</v>
      </c>
      <c r="C99" s="5" t="s">
        <v>309</v>
      </c>
      <c r="D99" s="5" t="s">
        <v>310</v>
      </c>
      <c r="E99" s="5" t="s">
        <v>860</v>
      </c>
      <c r="F99" s="193">
        <v>46054.0</v>
      </c>
      <c r="G99" s="194">
        <v>46063.0</v>
      </c>
      <c r="H99" s="5" t="s">
        <v>839</v>
      </c>
      <c r="M99" s="5" t="s">
        <v>93</v>
      </c>
      <c r="N99" s="5" t="s">
        <v>53</v>
      </c>
      <c r="O99" s="5">
        <v>28.0</v>
      </c>
      <c r="P99" s="5">
        <v>110.0</v>
      </c>
      <c r="Q99" s="5">
        <v>0.0</v>
      </c>
      <c r="R99" s="5" t="str">
        <f t="array" ref="R99">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195">
        <f t="array" ref="S99">IF(N99="Monthly",IFS(H99="created",O99*P99*(1-Q99/100),H99="cancelled",-(O99*P99*(1-Q99/100)),H99="seats_change",(J99-I99)*P99*(1-Q99/100),H99="price_change",(J99-I99)*O99*(1-Q99/100),H99="discount_added",-(O99*P99*(J99-I99)/100),H99="plan_upgrade",O99*(XLOOKUP(J99,$M:$M,$P:$P)-XLOOKUP(I99,$M:$M,$P:$P))*(1-Q99/100),H99="plan_downgrade",O99*(XLOOKUP(J99,$M:$M,$P:$P)-XLOOKUP(I99,$M:$M,$P:$P))*(1-Q99/100)),IFS(H99="created",O99*P99*(1-Q99/100)/12,H99="cancelled",-(O99*P99*(1-Q99/100))/12,H99="seats_change",(J99-I99)*P99*(1-Q99/100)/12,H99="price_change",(J99-I99)*O99*(1-Q99/100)/12,H99="plan_upgrade",(O99*(XLOOKUP(J99,$M:$M,$P:$P)-XLOOKUP(I99,$M:$M,$P:$P))*(1-Q99/100))/12,H99="plan_downgrade",(O99*(XLOOKUP(J99,$M:$M,$P:$P)-XLOOKUP(I99,$M:$M,$P:$P))*(1-Q99/100))/12,H99="discount_added",-(O99*P99*(J99-I99)/100)/12))</f>
        <v>3080</v>
      </c>
      <c r="T99" s="5">
        <f t="shared" si="1"/>
        <v>1</v>
      </c>
      <c r="U99" s="5">
        <f t="shared" si="2"/>
        <v>0</v>
      </c>
      <c r="V99" s="5">
        <f t="shared" si="3"/>
        <v>0</v>
      </c>
    </row>
    <row r="100" ht="14.25" customHeight="1">
      <c r="A100" s="5" t="s">
        <v>995</v>
      </c>
      <c r="B100" s="5" t="s">
        <v>348</v>
      </c>
      <c r="C100" s="5" t="s">
        <v>346</v>
      </c>
      <c r="D100" s="5" t="s">
        <v>347</v>
      </c>
      <c r="E100" s="5" t="s">
        <v>841</v>
      </c>
      <c r="F100" s="193">
        <v>46054.0</v>
      </c>
      <c r="G100" s="194">
        <v>46073.0</v>
      </c>
      <c r="H100" s="5" t="s">
        <v>839</v>
      </c>
      <c r="M100" s="5" t="s">
        <v>119</v>
      </c>
      <c r="N100" s="5" t="s">
        <v>53</v>
      </c>
      <c r="O100" s="5">
        <v>32.0</v>
      </c>
      <c r="P100" s="5">
        <v>95.0</v>
      </c>
      <c r="Q100" s="5">
        <v>0.0</v>
      </c>
      <c r="R100" s="5" t="str">
        <f t="array" ref="R100">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195">
        <f t="array" ref="S100">IF(N100="Monthly",IFS(H100="created",O100*P100*(1-Q100/100),H100="cancelled",-(O100*P100*(1-Q100/100)),H100="seats_change",(J100-I100)*P100*(1-Q100/100),H100="price_change",(J100-I100)*O100*(1-Q100/100),H100="discount_added",-(O100*P100*(J100-I100)/100),H100="plan_upgrade",O100*(XLOOKUP(J100,$M:$M,$P:$P)-XLOOKUP(I100,$M:$M,$P:$P))*(1-Q100/100),H100="plan_downgrade",O100*(XLOOKUP(J100,$M:$M,$P:$P)-XLOOKUP(I100,$M:$M,$P:$P))*(1-Q100/100)),IFS(H100="created",O100*P100*(1-Q100/100)/12,H100="cancelled",-(O100*P100*(1-Q100/100))/12,H100="seats_change",(J100-I100)*P100*(1-Q100/100)/12,H100="price_change",(J100-I100)*O100*(1-Q100/100)/12,H100="plan_upgrade",(O100*(XLOOKUP(J100,$M:$M,$P:$P)-XLOOKUP(I100,$M:$M,$P:$P))*(1-Q100/100))/12,H100="plan_downgrade",(O100*(XLOOKUP(J100,$M:$M,$P:$P)-XLOOKUP(I100,$M:$M,$P:$P))*(1-Q100/100))/12,H100="discount_added",-(O100*P100*(J100-I100)/100)/12))</f>
        <v>3040</v>
      </c>
      <c r="T100" s="5">
        <f t="shared" si="1"/>
        <v>1</v>
      </c>
      <c r="U100" s="5">
        <f t="shared" si="2"/>
        <v>0</v>
      </c>
      <c r="V100" s="5">
        <f t="shared" si="3"/>
        <v>0</v>
      </c>
    </row>
    <row r="101" ht="14.25" customHeight="1">
      <c r="A101" s="5" t="s">
        <v>996</v>
      </c>
      <c r="B101" s="5" t="s">
        <v>997</v>
      </c>
      <c r="C101" s="5" t="s">
        <v>998</v>
      </c>
      <c r="D101" s="5" t="s">
        <v>999</v>
      </c>
      <c r="E101" s="5" t="s">
        <v>838</v>
      </c>
      <c r="F101" s="193">
        <v>46082.0</v>
      </c>
      <c r="G101" s="194">
        <v>46089.0</v>
      </c>
      <c r="H101" s="5" t="s">
        <v>839</v>
      </c>
      <c r="M101" s="5" t="s">
        <v>209</v>
      </c>
      <c r="N101" s="5" t="s">
        <v>53</v>
      </c>
      <c r="O101" s="5">
        <v>20.0</v>
      </c>
      <c r="P101" s="5">
        <v>150.0</v>
      </c>
      <c r="Q101" s="5">
        <v>0.0</v>
      </c>
      <c r="R101" s="5" t="str">
        <f t="array" ref="R101">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195">
        <f t="array" ref="S101">IF(N101="Monthly",IFS(H101="created",O101*P101*(1-Q101/100),H101="cancelled",-(O101*P101*(1-Q101/100)),H101="seats_change",(J101-I101)*P101*(1-Q101/100),H101="price_change",(J101-I101)*O101*(1-Q101/100),H101="discount_added",-(O101*P101*(J101-I101)/100),H101="plan_upgrade",O101*(XLOOKUP(J101,$M:$M,$P:$P)-XLOOKUP(I101,$M:$M,$P:$P))*(1-Q101/100),H101="plan_downgrade",O101*(XLOOKUP(J101,$M:$M,$P:$P)-XLOOKUP(I101,$M:$M,$P:$P))*(1-Q101/100)),IFS(H101="created",O101*P101*(1-Q101/100)/12,H101="cancelled",-(O101*P101*(1-Q101/100))/12,H101="seats_change",(J101-I101)*P101*(1-Q101/100)/12,H101="price_change",(J101-I101)*O101*(1-Q101/100)/12,H101="plan_upgrade",(O101*(XLOOKUP(J101,$M:$M,$P:$P)-XLOOKUP(I101,$M:$M,$P:$P))*(1-Q101/100))/12,H101="plan_downgrade",(O101*(XLOOKUP(J101,$M:$M,$P:$P)-XLOOKUP(I101,$M:$M,$P:$P))*(1-Q101/100))/12,H101="discount_added",-(O101*P101*(J101-I101)/100)/12))</f>
        <v>3000</v>
      </c>
      <c r="T101" s="5">
        <f t="shared" si="1"/>
        <v>1</v>
      </c>
      <c r="U101" s="5">
        <f t="shared" si="2"/>
        <v>0</v>
      </c>
      <c r="V101" s="5">
        <f t="shared" si="3"/>
        <v>0</v>
      </c>
    </row>
    <row r="102" ht="14.25" customHeight="1">
      <c r="A102" s="5" t="s">
        <v>1000</v>
      </c>
      <c r="B102" s="5" t="s">
        <v>118</v>
      </c>
      <c r="C102" s="5" t="s">
        <v>116</v>
      </c>
      <c r="D102" s="5" t="s">
        <v>117</v>
      </c>
      <c r="E102" s="5" t="s">
        <v>838</v>
      </c>
      <c r="F102" s="193">
        <v>46082.0</v>
      </c>
      <c r="G102" s="194">
        <v>46096.0</v>
      </c>
      <c r="H102" s="5" t="s">
        <v>928</v>
      </c>
      <c r="I102" s="5">
        <v>23.0</v>
      </c>
      <c r="J102" s="5">
        <v>27.0</v>
      </c>
      <c r="K102" s="5" t="s">
        <v>38</v>
      </c>
      <c r="L102" s="5" t="s">
        <v>1001</v>
      </c>
      <c r="M102" s="5" t="s">
        <v>119</v>
      </c>
      <c r="N102" s="5" t="s">
        <v>53</v>
      </c>
      <c r="O102" s="5">
        <v>27.0</v>
      </c>
      <c r="P102" s="5">
        <v>95.0</v>
      </c>
      <c r="Q102" s="5">
        <v>0.0</v>
      </c>
      <c r="R102" s="5" t="str">
        <f t="array" ref="R102">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195">
        <f t="array" ref="S102">IF(N102="Monthly",IFS(H102="created",O102*P102*(1-Q102/100),H102="cancelled",-(O102*P102*(1-Q102/100)),H102="seats_change",(J102-I102)*P102*(1-Q102/100),H102="price_change",(J102-I102)*O102*(1-Q102/100),H102="discount_added",-(O102*P102*(J102-I102)/100),H102="plan_upgrade",O102*(XLOOKUP(J102,$M:$M,$P:$P)-XLOOKUP(I102,$M:$M,$P:$P))*(1-Q102/100),H102="plan_downgrade",O102*(XLOOKUP(J102,$M:$M,$P:$P)-XLOOKUP(I102,$M:$M,$P:$P))*(1-Q102/100)),IFS(H102="created",O102*P102*(1-Q102/100)/12,H102="cancelled",-(O102*P102*(1-Q102/100))/12,H102="seats_change",(J102-I102)*P102*(1-Q102/100)/12,H102="price_change",(J102-I102)*O102*(1-Q102/100)/12,H102="plan_upgrade",(O102*(XLOOKUP(J102,$M:$M,$P:$P)-XLOOKUP(I102,$M:$M,$P:$P))*(1-Q102/100))/12,H102="plan_downgrade",(O102*(XLOOKUP(J102,$M:$M,$P:$P)-XLOOKUP(I102,$M:$M,$P:$P))*(1-Q102/100))/12,H102="discount_added",-(O102*P102*(J102-I102)/100)/12))</f>
        <v>380</v>
      </c>
      <c r="T102" s="5">
        <f t="shared" si="1"/>
        <v>0</v>
      </c>
      <c r="U102" s="5">
        <f t="shared" si="2"/>
        <v>0</v>
      </c>
      <c r="V102" s="5">
        <f t="shared" si="3"/>
        <v>0</v>
      </c>
    </row>
    <row r="103" ht="14.25" customHeight="1">
      <c r="S103" s="192"/>
    </row>
    <row r="104" ht="14.25" customHeight="1">
      <c r="S104" s="192"/>
    </row>
    <row r="105" ht="14.25" customHeight="1">
      <c r="S105" s="192"/>
    </row>
    <row r="106" ht="14.25" customHeight="1">
      <c r="S106" s="192"/>
    </row>
    <row r="107" ht="14.25" customHeight="1">
      <c r="S107" s="192"/>
    </row>
    <row r="108" ht="14.25" customHeight="1">
      <c r="S108" s="192"/>
    </row>
    <row r="109" ht="14.25" customHeight="1">
      <c r="S109" s="192"/>
    </row>
    <row r="110" ht="14.25" customHeight="1">
      <c r="S110" s="192"/>
    </row>
    <row r="111" ht="14.25" customHeight="1">
      <c r="S111" s="192"/>
    </row>
    <row r="112" ht="14.25" customHeight="1">
      <c r="S112" s="192"/>
    </row>
    <row r="113" ht="14.25" customHeight="1">
      <c r="S113" s="192"/>
    </row>
    <row r="114" ht="14.25" customHeight="1">
      <c r="S114" s="192"/>
    </row>
    <row r="115" ht="14.25" customHeight="1">
      <c r="S115" s="192"/>
    </row>
    <row r="116" ht="14.25" customHeight="1">
      <c r="S116" s="192"/>
    </row>
    <row r="117" ht="14.25" customHeight="1">
      <c r="S117" s="192"/>
    </row>
    <row r="118" ht="14.25" customHeight="1">
      <c r="S118" s="192"/>
    </row>
    <row r="119" ht="14.25" customHeight="1">
      <c r="S119" s="192"/>
    </row>
    <row r="120" ht="14.25" customHeight="1">
      <c r="S120" s="192"/>
    </row>
    <row r="121" ht="14.25" customHeight="1">
      <c r="S121" s="192"/>
    </row>
    <row r="122" ht="14.25" customHeight="1">
      <c r="S122" s="192"/>
    </row>
    <row r="123" ht="14.25" customHeight="1">
      <c r="S123" s="192"/>
    </row>
    <row r="124" ht="14.25" customHeight="1">
      <c r="S124" s="192"/>
    </row>
    <row r="125" ht="14.25" customHeight="1">
      <c r="S125" s="192"/>
    </row>
    <row r="126" ht="14.25" customHeight="1">
      <c r="S126" s="192"/>
    </row>
    <row r="127" ht="14.25" customHeight="1">
      <c r="S127" s="192"/>
    </row>
    <row r="128" ht="14.25" customHeight="1">
      <c r="S128" s="192"/>
    </row>
    <row r="129" ht="14.25" customHeight="1">
      <c r="S129" s="192"/>
    </row>
    <row r="130" ht="14.25" customHeight="1">
      <c r="S130" s="192"/>
    </row>
    <row r="131" ht="14.25" customHeight="1">
      <c r="S131" s="192"/>
    </row>
    <row r="132" ht="14.25" customHeight="1">
      <c r="S132" s="192"/>
    </row>
    <row r="133" ht="14.25" customHeight="1">
      <c r="S133" s="192"/>
    </row>
    <row r="134" ht="14.25" customHeight="1">
      <c r="S134" s="192"/>
    </row>
    <row r="135" ht="14.25" customHeight="1">
      <c r="S135" s="192"/>
    </row>
    <row r="136" ht="14.25" customHeight="1">
      <c r="S136" s="192"/>
    </row>
    <row r="137" ht="14.25" customHeight="1">
      <c r="S137" s="192"/>
    </row>
    <row r="138" ht="14.25" customHeight="1">
      <c r="S138" s="192"/>
    </row>
    <row r="139" ht="14.25" customHeight="1">
      <c r="S139" s="192"/>
    </row>
    <row r="140" ht="14.25" customHeight="1">
      <c r="S140" s="192"/>
    </row>
    <row r="141" ht="14.25" customHeight="1">
      <c r="S141" s="192"/>
    </row>
    <row r="142" ht="14.25" customHeight="1">
      <c r="S142" s="192"/>
    </row>
    <row r="143" ht="14.25" customHeight="1">
      <c r="S143" s="192"/>
    </row>
    <row r="144" ht="14.25" customHeight="1">
      <c r="S144" s="192"/>
    </row>
    <row r="145" ht="14.25" customHeight="1">
      <c r="S145" s="192"/>
    </row>
    <row r="146" ht="14.25" customHeight="1">
      <c r="S146" s="192"/>
    </row>
    <row r="147" ht="14.25" customHeight="1">
      <c r="S147" s="192"/>
    </row>
    <row r="148" ht="14.25" customHeight="1">
      <c r="S148" s="192"/>
    </row>
    <row r="149" ht="14.25" customHeight="1">
      <c r="S149" s="192"/>
    </row>
    <row r="150" ht="14.25" customHeight="1">
      <c r="S150" s="192"/>
    </row>
    <row r="151" ht="14.25" customHeight="1">
      <c r="S151" s="192"/>
    </row>
    <row r="152" ht="14.25" customHeight="1">
      <c r="S152" s="192"/>
    </row>
    <row r="153" ht="14.25" customHeight="1">
      <c r="S153" s="192"/>
    </row>
    <row r="154" ht="14.25" customHeight="1">
      <c r="S154" s="192"/>
    </row>
    <row r="155" ht="14.25" customHeight="1">
      <c r="S155" s="192"/>
    </row>
    <row r="156" ht="14.25" customHeight="1">
      <c r="S156" s="192"/>
    </row>
    <row r="157" ht="14.25" customHeight="1">
      <c r="S157" s="192"/>
    </row>
    <row r="158" ht="14.25" customHeight="1">
      <c r="S158" s="192"/>
    </row>
    <row r="159" ht="14.25" customHeight="1">
      <c r="S159" s="192"/>
    </row>
    <row r="160" ht="14.25" customHeight="1">
      <c r="S160" s="192"/>
    </row>
    <row r="161" ht="14.25" customHeight="1">
      <c r="S161" s="192"/>
    </row>
    <row r="162" ht="14.25" customHeight="1">
      <c r="S162" s="192"/>
    </row>
    <row r="163" ht="14.25" customHeight="1">
      <c r="S163" s="192"/>
    </row>
    <row r="164" ht="14.25" customHeight="1">
      <c r="S164" s="192"/>
    </row>
    <row r="165" ht="14.25" customHeight="1">
      <c r="S165" s="192"/>
    </row>
    <row r="166" ht="14.25" customHeight="1">
      <c r="S166" s="192"/>
    </row>
    <row r="167" ht="14.25" customHeight="1">
      <c r="S167" s="192"/>
    </row>
    <row r="168" ht="14.25" customHeight="1">
      <c r="S168" s="192"/>
    </row>
    <row r="169" ht="14.25" customHeight="1">
      <c r="S169" s="192"/>
    </row>
    <row r="170" ht="14.25" customHeight="1">
      <c r="S170" s="192"/>
    </row>
    <row r="171" ht="14.25" customHeight="1">
      <c r="S171" s="192"/>
    </row>
    <row r="172" ht="14.25" customHeight="1">
      <c r="S172" s="192"/>
    </row>
    <row r="173" ht="14.25" customHeight="1">
      <c r="S173" s="192"/>
    </row>
    <row r="174" ht="14.25" customHeight="1">
      <c r="S174" s="192"/>
    </row>
    <row r="175" ht="14.25" customHeight="1">
      <c r="S175" s="192"/>
    </row>
    <row r="176" ht="14.25" customHeight="1">
      <c r="S176" s="192"/>
    </row>
    <row r="177" ht="14.25" customHeight="1">
      <c r="S177" s="192"/>
    </row>
    <row r="178" ht="14.25" customHeight="1">
      <c r="S178" s="192"/>
    </row>
    <row r="179" ht="14.25" customHeight="1">
      <c r="S179" s="192"/>
    </row>
    <row r="180" ht="14.25" customHeight="1">
      <c r="S180" s="192"/>
    </row>
    <row r="181" ht="14.25" customHeight="1">
      <c r="S181" s="192"/>
    </row>
    <row r="182" ht="14.25" customHeight="1">
      <c r="S182" s="192"/>
    </row>
    <row r="183" ht="14.25" customHeight="1">
      <c r="S183" s="192"/>
    </row>
    <row r="184" ht="14.25" customHeight="1">
      <c r="S184" s="192"/>
    </row>
    <row r="185" ht="14.25" customHeight="1">
      <c r="S185" s="192"/>
    </row>
    <row r="186" ht="14.25" customHeight="1">
      <c r="S186" s="192"/>
    </row>
    <row r="187" ht="14.25" customHeight="1">
      <c r="S187" s="192"/>
    </row>
    <row r="188" ht="14.25" customHeight="1">
      <c r="S188" s="192"/>
    </row>
    <row r="189" ht="14.25" customHeight="1">
      <c r="S189" s="192"/>
    </row>
    <row r="190" ht="14.25" customHeight="1">
      <c r="S190" s="192"/>
    </row>
    <row r="191" ht="14.25" customHeight="1">
      <c r="S191" s="192"/>
    </row>
    <row r="192" ht="14.25" customHeight="1">
      <c r="S192" s="192"/>
    </row>
    <row r="193" ht="14.25" customHeight="1">
      <c r="S193" s="192"/>
    </row>
    <row r="194" ht="14.25" customHeight="1">
      <c r="S194" s="192"/>
    </row>
    <row r="195" ht="14.25" customHeight="1">
      <c r="S195" s="192"/>
    </row>
    <row r="196" ht="14.25" customHeight="1">
      <c r="S196" s="192"/>
    </row>
    <row r="197" ht="14.25" customHeight="1">
      <c r="S197" s="192"/>
    </row>
    <row r="198" ht="14.25" customHeight="1">
      <c r="S198" s="192"/>
    </row>
    <row r="199" ht="14.25" customHeight="1">
      <c r="S199" s="192"/>
    </row>
    <row r="200" ht="14.25" customHeight="1">
      <c r="S200" s="192"/>
    </row>
    <row r="201" ht="14.25" customHeight="1">
      <c r="S201" s="192"/>
    </row>
    <row r="202" ht="14.25" customHeight="1">
      <c r="S202" s="192"/>
    </row>
    <row r="203" ht="14.25" customHeight="1">
      <c r="S203" s="192"/>
    </row>
    <row r="204" ht="14.25" customHeight="1">
      <c r="S204" s="192"/>
    </row>
    <row r="205" ht="14.25" customHeight="1">
      <c r="S205" s="192"/>
    </row>
    <row r="206" ht="14.25" customHeight="1">
      <c r="S206" s="192"/>
    </row>
    <row r="207" ht="14.25" customHeight="1">
      <c r="S207" s="192"/>
    </row>
    <row r="208" ht="14.25" customHeight="1">
      <c r="S208" s="192"/>
    </row>
    <row r="209" ht="14.25" customHeight="1">
      <c r="S209" s="192"/>
    </row>
    <row r="210" ht="14.25" customHeight="1">
      <c r="S210" s="192"/>
    </row>
    <row r="211" ht="14.25" customHeight="1">
      <c r="S211" s="192"/>
    </row>
    <row r="212" ht="14.25" customHeight="1">
      <c r="S212" s="192"/>
    </row>
    <row r="213" ht="14.25" customHeight="1">
      <c r="S213" s="192"/>
    </row>
    <row r="214" ht="14.25" customHeight="1">
      <c r="S214" s="192"/>
    </row>
    <row r="215" ht="14.25" customHeight="1">
      <c r="S215" s="192"/>
    </row>
    <row r="216" ht="14.25" customHeight="1">
      <c r="S216" s="192"/>
    </row>
    <row r="217" ht="14.25" customHeight="1">
      <c r="S217" s="192"/>
    </row>
    <row r="218" ht="14.25" customHeight="1">
      <c r="S218" s="192"/>
    </row>
    <row r="219" ht="14.25" customHeight="1">
      <c r="S219" s="192"/>
    </row>
    <row r="220" ht="14.25" customHeight="1">
      <c r="S220" s="192"/>
    </row>
    <row r="221" ht="14.25" customHeight="1">
      <c r="S221" s="192"/>
    </row>
    <row r="222" ht="14.25" customHeight="1">
      <c r="S222" s="192"/>
    </row>
    <row r="223" ht="14.25" customHeight="1">
      <c r="S223" s="192"/>
    </row>
    <row r="224" ht="14.25" customHeight="1">
      <c r="S224" s="192"/>
    </row>
    <row r="225" ht="14.25" customHeight="1">
      <c r="S225" s="192"/>
    </row>
    <row r="226" ht="14.25" customHeight="1">
      <c r="S226" s="192"/>
    </row>
    <row r="227" ht="14.25" customHeight="1">
      <c r="S227" s="192"/>
    </row>
    <row r="228" ht="14.25" customHeight="1">
      <c r="S228" s="192"/>
    </row>
    <row r="229" ht="14.25" customHeight="1">
      <c r="S229" s="192"/>
    </row>
    <row r="230" ht="14.25" customHeight="1">
      <c r="S230" s="192"/>
    </row>
    <row r="231" ht="14.25" customHeight="1">
      <c r="S231" s="192"/>
    </row>
    <row r="232" ht="14.25" customHeight="1">
      <c r="S232" s="192"/>
    </row>
    <row r="233" ht="14.25" customHeight="1">
      <c r="S233" s="192"/>
    </row>
    <row r="234" ht="14.25" customHeight="1">
      <c r="S234" s="192"/>
    </row>
    <row r="235" ht="14.25" customHeight="1">
      <c r="S235" s="192"/>
    </row>
    <row r="236" ht="14.25" customHeight="1">
      <c r="S236" s="192"/>
    </row>
    <row r="237" ht="14.25" customHeight="1">
      <c r="S237" s="192"/>
    </row>
    <row r="238" ht="14.25" customHeight="1">
      <c r="S238" s="192"/>
    </row>
    <row r="239" ht="14.25" customHeight="1">
      <c r="S239" s="192"/>
    </row>
    <row r="240" ht="14.25" customHeight="1">
      <c r="S240" s="192"/>
    </row>
    <row r="241" ht="14.25" customHeight="1">
      <c r="S241" s="192"/>
    </row>
    <row r="242" ht="14.25" customHeight="1">
      <c r="S242" s="192"/>
    </row>
    <row r="243" ht="14.25" customHeight="1">
      <c r="S243" s="192"/>
    </row>
    <row r="244" ht="14.25" customHeight="1">
      <c r="S244" s="192"/>
    </row>
    <row r="245" ht="14.25" customHeight="1">
      <c r="S245" s="192"/>
    </row>
    <row r="246" ht="14.25" customHeight="1">
      <c r="S246" s="192"/>
    </row>
    <row r="247" ht="14.25" customHeight="1">
      <c r="S247" s="192"/>
    </row>
    <row r="248" ht="14.25" customHeight="1">
      <c r="S248" s="192"/>
    </row>
    <row r="249" ht="14.25" customHeight="1">
      <c r="S249" s="192"/>
    </row>
    <row r="250" ht="14.25" customHeight="1">
      <c r="S250" s="192"/>
    </row>
    <row r="251" ht="14.25" customHeight="1">
      <c r="S251" s="192"/>
    </row>
    <row r="252" ht="14.25" customHeight="1">
      <c r="S252" s="192"/>
    </row>
    <row r="253" ht="14.25" customHeight="1">
      <c r="S253" s="192"/>
    </row>
    <row r="254" ht="14.25" customHeight="1">
      <c r="S254" s="192"/>
    </row>
    <row r="255" ht="14.25" customHeight="1">
      <c r="S255" s="192"/>
    </row>
    <row r="256" ht="14.25" customHeight="1">
      <c r="S256" s="192"/>
    </row>
    <row r="257" ht="14.25" customHeight="1">
      <c r="S257" s="192"/>
    </row>
    <row r="258" ht="14.25" customHeight="1">
      <c r="S258" s="192"/>
    </row>
    <row r="259" ht="14.25" customHeight="1">
      <c r="S259" s="192"/>
    </row>
    <row r="260" ht="14.25" customHeight="1">
      <c r="S260" s="192"/>
    </row>
    <row r="261" ht="14.25" customHeight="1">
      <c r="S261" s="192"/>
    </row>
    <row r="262" ht="14.25" customHeight="1">
      <c r="S262" s="192"/>
    </row>
    <row r="263" ht="14.25" customHeight="1">
      <c r="S263" s="192"/>
    </row>
    <row r="264" ht="14.25" customHeight="1">
      <c r="S264" s="192"/>
    </row>
    <row r="265" ht="14.25" customHeight="1">
      <c r="S265" s="192"/>
    </row>
    <row r="266" ht="14.25" customHeight="1">
      <c r="S266" s="192"/>
    </row>
    <row r="267" ht="14.25" customHeight="1">
      <c r="S267" s="192"/>
    </row>
    <row r="268" ht="14.25" customHeight="1">
      <c r="S268" s="192"/>
    </row>
    <row r="269" ht="14.25" customHeight="1">
      <c r="S269" s="192"/>
    </row>
    <row r="270" ht="14.25" customHeight="1">
      <c r="S270" s="192"/>
    </row>
    <row r="271" ht="14.25" customHeight="1">
      <c r="S271" s="192"/>
    </row>
    <row r="272" ht="14.25" customHeight="1">
      <c r="S272" s="192"/>
    </row>
    <row r="273" ht="14.25" customHeight="1">
      <c r="S273" s="192"/>
    </row>
    <row r="274" ht="14.25" customHeight="1">
      <c r="S274" s="192"/>
    </row>
    <row r="275" ht="14.25" customHeight="1">
      <c r="S275" s="192"/>
    </row>
    <row r="276" ht="14.25" customHeight="1">
      <c r="S276" s="192"/>
    </row>
    <row r="277" ht="14.25" customHeight="1">
      <c r="S277" s="192"/>
    </row>
    <row r="278" ht="14.25" customHeight="1">
      <c r="S278" s="192"/>
    </row>
    <row r="279" ht="14.25" customHeight="1">
      <c r="S279" s="192"/>
    </row>
    <row r="280" ht="14.25" customHeight="1">
      <c r="S280" s="192"/>
    </row>
    <row r="281" ht="14.25" customHeight="1">
      <c r="S281" s="192"/>
    </row>
    <row r="282" ht="14.25" customHeight="1">
      <c r="S282" s="192"/>
    </row>
    <row r="283" ht="14.25" customHeight="1">
      <c r="S283" s="192"/>
    </row>
    <row r="284" ht="14.25" customHeight="1">
      <c r="S284" s="192"/>
    </row>
    <row r="285" ht="14.25" customHeight="1">
      <c r="S285" s="192"/>
    </row>
    <row r="286" ht="14.25" customHeight="1">
      <c r="S286" s="192"/>
    </row>
    <row r="287" ht="14.25" customHeight="1">
      <c r="S287" s="192"/>
    </row>
    <row r="288" ht="14.25" customHeight="1">
      <c r="S288" s="192"/>
    </row>
    <row r="289" ht="14.25" customHeight="1">
      <c r="S289" s="192"/>
    </row>
    <row r="290" ht="14.25" customHeight="1">
      <c r="S290" s="192"/>
    </row>
    <row r="291" ht="14.25" customHeight="1">
      <c r="S291" s="192"/>
    </row>
    <row r="292" ht="14.25" customHeight="1">
      <c r="S292" s="192"/>
    </row>
    <row r="293" ht="14.25" customHeight="1">
      <c r="S293" s="192"/>
    </row>
    <row r="294" ht="14.25" customHeight="1">
      <c r="S294" s="192"/>
    </row>
    <row r="295" ht="14.25" customHeight="1">
      <c r="S295" s="192"/>
    </row>
    <row r="296" ht="14.25" customHeight="1">
      <c r="S296" s="192"/>
    </row>
    <row r="297" ht="14.25" customHeight="1">
      <c r="S297" s="192"/>
    </row>
    <row r="298" ht="14.25" customHeight="1">
      <c r="S298" s="192"/>
    </row>
    <row r="299" ht="14.25" customHeight="1">
      <c r="S299" s="192"/>
    </row>
    <row r="300" ht="14.25" customHeight="1">
      <c r="S300" s="192"/>
    </row>
    <row r="301" ht="14.25" customHeight="1">
      <c r="S301" s="192"/>
    </row>
    <row r="302" ht="14.25" customHeight="1">
      <c r="S302" s="192"/>
    </row>
    <row r="303" ht="14.25" customHeight="1">
      <c r="S303" s="192"/>
    </row>
    <row r="304" ht="14.25" customHeight="1">
      <c r="S304" s="192"/>
    </row>
    <row r="305" ht="14.25" customHeight="1">
      <c r="S305" s="192"/>
    </row>
    <row r="306" ht="14.25" customHeight="1">
      <c r="S306" s="192"/>
    </row>
    <row r="307" ht="14.25" customHeight="1">
      <c r="S307" s="192"/>
    </row>
    <row r="308" ht="14.25" customHeight="1">
      <c r="S308" s="192"/>
    </row>
    <row r="309" ht="14.25" customHeight="1">
      <c r="S309" s="192"/>
    </row>
    <row r="310" ht="14.25" customHeight="1">
      <c r="S310" s="192"/>
    </row>
    <row r="311" ht="14.25" customHeight="1">
      <c r="S311" s="192"/>
    </row>
    <row r="312" ht="14.25" customHeight="1">
      <c r="S312" s="192"/>
    </row>
    <row r="313" ht="14.25" customHeight="1">
      <c r="S313" s="192"/>
    </row>
    <row r="314" ht="14.25" customHeight="1">
      <c r="S314" s="192"/>
    </row>
    <row r="315" ht="14.25" customHeight="1">
      <c r="S315" s="192"/>
    </row>
    <row r="316" ht="14.25" customHeight="1">
      <c r="S316" s="192"/>
    </row>
    <row r="317" ht="14.25" customHeight="1">
      <c r="S317" s="192"/>
    </row>
    <row r="318" ht="14.25" customHeight="1">
      <c r="S318" s="192"/>
    </row>
    <row r="319" ht="14.25" customHeight="1">
      <c r="S319" s="192"/>
    </row>
    <row r="320" ht="14.25" customHeight="1">
      <c r="S320" s="192"/>
    </row>
    <row r="321" ht="14.25" customHeight="1">
      <c r="S321" s="192"/>
    </row>
    <row r="322" ht="14.25" customHeight="1">
      <c r="S322" s="192"/>
    </row>
    <row r="323" ht="14.25" customHeight="1">
      <c r="S323" s="192"/>
    </row>
    <row r="324" ht="14.25" customHeight="1">
      <c r="S324" s="192"/>
    </row>
    <row r="325" ht="14.25" customHeight="1">
      <c r="S325" s="192"/>
    </row>
    <row r="326" ht="14.25" customHeight="1">
      <c r="S326" s="192"/>
    </row>
    <row r="327" ht="14.25" customHeight="1">
      <c r="S327" s="192"/>
    </row>
    <row r="328" ht="14.25" customHeight="1">
      <c r="S328" s="192"/>
    </row>
    <row r="329" ht="14.25" customHeight="1">
      <c r="S329" s="192"/>
    </row>
    <row r="330" ht="14.25" customHeight="1">
      <c r="S330" s="192"/>
    </row>
    <row r="331" ht="14.25" customHeight="1">
      <c r="S331" s="192"/>
    </row>
    <row r="332" ht="14.25" customHeight="1">
      <c r="S332" s="192"/>
    </row>
    <row r="333" ht="14.25" customHeight="1">
      <c r="S333" s="192"/>
    </row>
    <row r="334" ht="14.25" customHeight="1">
      <c r="S334" s="192"/>
    </row>
    <row r="335" ht="14.25" customHeight="1">
      <c r="S335" s="192"/>
    </row>
    <row r="336" ht="14.25" customHeight="1">
      <c r="S336" s="192"/>
    </row>
    <row r="337" ht="14.25" customHeight="1">
      <c r="S337" s="192"/>
    </row>
    <row r="338" ht="14.25" customHeight="1">
      <c r="S338" s="192"/>
    </row>
    <row r="339" ht="14.25" customHeight="1">
      <c r="S339" s="192"/>
    </row>
    <row r="340" ht="14.25" customHeight="1">
      <c r="S340" s="192"/>
    </row>
    <row r="341" ht="14.25" customHeight="1">
      <c r="S341" s="192"/>
    </row>
    <row r="342" ht="14.25" customHeight="1">
      <c r="S342" s="192"/>
    </row>
    <row r="343" ht="14.25" customHeight="1">
      <c r="S343" s="192"/>
    </row>
    <row r="344" ht="14.25" customHeight="1">
      <c r="S344" s="192"/>
    </row>
    <row r="345" ht="14.25" customHeight="1">
      <c r="S345" s="192"/>
    </row>
    <row r="346" ht="14.25" customHeight="1">
      <c r="S346" s="192"/>
    </row>
    <row r="347" ht="14.25" customHeight="1">
      <c r="S347" s="192"/>
    </row>
    <row r="348" ht="14.25" customHeight="1">
      <c r="S348" s="192"/>
    </row>
    <row r="349" ht="14.25" customHeight="1">
      <c r="S349" s="192"/>
    </row>
    <row r="350" ht="14.25" customHeight="1">
      <c r="S350" s="192"/>
    </row>
    <row r="351" ht="14.25" customHeight="1">
      <c r="S351" s="192"/>
    </row>
    <row r="352" ht="14.25" customHeight="1">
      <c r="S352" s="192"/>
    </row>
    <row r="353" ht="14.25" customHeight="1">
      <c r="S353" s="192"/>
    </row>
    <row r="354" ht="14.25" customHeight="1">
      <c r="S354" s="192"/>
    </row>
    <row r="355" ht="14.25" customHeight="1">
      <c r="S355" s="192"/>
    </row>
    <row r="356" ht="14.25" customHeight="1">
      <c r="S356" s="192"/>
    </row>
    <row r="357" ht="14.25" customHeight="1">
      <c r="S357" s="192"/>
    </row>
    <row r="358" ht="14.25" customHeight="1">
      <c r="S358" s="192"/>
    </row>
    <row r="359" ht="14.25" customHeight="1">
      <c r="S359" s="192"/>
    </row>
    <row r="360" ht="14.25" customHeight="1">
      <c r="S360" s="192"/>
    </row>
    <row r="361" ht="14.25" customHeight="1">
      <c r="S361" s="192"/>
    </row>
    <row r="362" ht="14.25" customHeight="1">
      <c r="S362" s="192"/>
    </row>
    <row r="363" ht="14.25" customHeight="1">
      <c r="S363" s="192"/>
    </row>
    <row r="364" ht="14.25" customHeight="1">
      <c r="S364" s="192"/>
    </row>
    <row r="365" ht="14.25" customHeight="1">
      <c r="S365" s="192"/>
    </row>
    <row r="366" ht="14.25" customHeight="1">
      <c r="S366" s="192"/>
    </row>
    <row r="367" ht="14.25" customHeight="1">
      <c r="S367" s="192"/>
    </row>
    <row r="368" ht="14.25" customHeight="1">
      <c r="S368" s="192"/>
    </row>
    <row r="369" ht="14.25" customHeight="1">
      <c r="S369" s="192"/>
    </row>
    <row r="370" ht="14.25" customHeight="1">
      <c r="S370" s="192"/>
    </row>
    <row r="371" ht="14.25" customHeight="1">
      <c r="S371" s="192"/>
    </row>
    <row r="372" ht="14.25" customHeight="1">
      <c r="S372" s="192"/>
    </row>
    <row r="373" ht="14.25" customHeight="1">
      <c r="S373" s="192"/>
    </row>
    <row r="374" ht="14.25" customHeight="1">
      <c r="S374" s="192"/>
    </row>
    <row r="375" ht="14.25" customHeight="1">
      <c r="S375" s="192"/>
    </row>
    <row r="376" ht="14.25" customHeight="1">
      <c r="S376" s="192"/>
    </row>
    <row r="377" ht="14.25" customHeight="1">
      <c r="S377" s="192"/>
    </row>
    <row r="378" ht="14.25" customHeight="1">
      <c r="S378" s="192"/>
    </row>
    <row r="379" ht="14.25" customHeight="1">
      <c r="S379" s="192"/>
    </row>
    <row r="380" ht="14.25" customHeight="1">
      <c r="S380" s="192"/>
    </row>
    <row r="381" ht="14.25" customHeight="1">
      <c r="S381" s="192"/>
    </row>
    <row r="382" ht="14.25" customHeight="1">
      <c r="S382" s="192"/>
    </row>
    <row r="383" ht="14.25" customHeight="1">
      <c r="S383" s="192"/>
    </row>
    <row r="384" ht="14.25" customHeight="1">
      <c r="S384" s="192"/>
    </row>
    <row r="385" ht="14.25" customHeight="1">
      <c r="S385" s="192"/>
    </row>
    <row r="386" ht="14.25" customHeight="1">
      <c r="S386" s="192"/>
    </row>
    <row r="387" ht="14.25" customHeight="1">
      <c r="S387" s="192"/>
    </row>
    <row r="388" ht="14.25" customHeight="1">
      <c r="S388" s="192"/>
    </row>
    <row r="389" ht="14.25" customHeight="1">
      <c r="S389" s="192"/>
    </row>
    <row r="390" ht="14.25" customHeight="1">
      <c r="S390" s="192"/>
    </row>
    <row r="391" ht="14.25" customHeight="1">
      <c r="S391" s="192"/>
    </row>
    <row r="392" ht="14.25" customHeight="1">
      <c r="S392" s="192"/>
    </row>
    <row r="393" ht="14.25" customHeight="1">
      <c r="S393" s="192"/>
    </row>
    <row r="394" ht="14.25" customHeight="1">
      <c r="S394" s="192"/>
    </row>
    <row r="395" ht="14.25" customHeight="1">
      <c r="S395" s="192"/>
    </row>
    <row r="396" ht="14.25" customHeight="1">
      <c r="S396" s="192"/>
    </row>
    <row r="397" ht="14.25" customHeight="1">
      <c r="S397" s="192"/>
    </row>
    <row r="398" ht="14.25" customHeight="1">
      <c r="S398" s="192"/>
    </row>
    <row r="399" ht="14.25" customHeight="1">
      <c r="S399" s="192"/>
    </row>
    <row r="400" ht="14.25" customHeight="1">
      <c r="S400" s="192"/>
    </row>
    <row r="401" ht="14.25" customHeight="1">
      <c r="S401" s="192"/>
    </row>
    <row r="402" ht="14.25" customHeight="1">
      <c r="S402" s="192"/>
    </row>
    <row r="403" ht="14.25" customHeight="1">
      <c r="S403" s="192"/>
    </row>
    <row r="404" ht="14.25" customHeight="1">
      <c r="S404" s="192"/>
    </row>
    <row r="405" ht="14.25" customHeight="1">
      <c r="S405" s="192"/>
    </row>
    <row r="406" ht="14.25" customHeight="1">
      <c r="S406" s="192"/>
    </row>
    <row r="407" ht="14.25" customHeight="1">
      <c r="S407" s="192"/>
    </row>
    <row r="408" ht="14.25" customHeight="1">
      <c r="S408" s="192"/>
    </row>
    <row r="409" ht="14.25" customHeight="1">
      <c r="S409" s="192"/>
    </row>
    <row r="410" ht="14.25" customHeight="1">
      <c r="S410" s="192"/>
    </row>
    <row r="411" ht="14.25" customHeight="1">
      <c r="S411" s="192"/>
    </row>
    <row r="412" ht="14.25" customHeight="1">
      <c r="S412" s="192"/>
    </row>
    <row r="413" ht="14.25" customHeight="1">
      <c r="S413" s="192"/>
    </row>
    <row r="414" ht="14.25" customHeight="1">
      <c r="S414" s="192"/>
    </row>
    <row r="415" ht="14.25" customHeight="1">
      <c r="S415" s="192"/>
    </row>
    <row r="416" ht="14.25" customHeight="1">
      <c r="S416" s="192"/>
    </row>
    <row r="417" ht="14.25" customHeight="1">
      <c r="S417" s="192"/>
    </row>
    <row r="418" ht="14.25" customHeight="1">
      <c r="S418" s="192"/>
    </row>
    <row r="419" ht="14.25" customHeight="1">
      <c r="S419" s="192"/>
    </row>
    <row r="420" ht="14.25" customHeight="1">
      <c r="S420" s="192"/>
    </row>
    <row r="421" ht="14.25" customHeight="1">
      <c r="S421" s="192"/>
    </row>
    <row r="422" ht="14.25" customHeight="1">
      <c r="S422" s="192"/>
    </row>
    <row r="423" ht="14.25" customHeight="1">
      <c r="S423" s="192"/>
    </row>
    <row r="424" ht="14.25" customHeight="1">
      <c r="S424" s="192"/>
    </row>
    <row r="425" ht="14.25" customHeight="1">
      <c r="S425" s="192"/>
    </row>
    <row r="426" ht="14.25" customHeight="1">
      <c r="S426" s="192"/>
    </row>
    <row r="427" ht="14.25" customHeight="1">
      <c r="S427" s="192"/>
    </row>
    <row r="428" ht="14.25" customHeight="1">
      <c r="S428" s="192"/>
    </row>
    <row r="429" ht="14.25" customHeight="1">
      <c r="S429" s="192"/>
    </row>
    <row r="430" ht="14.25" customHeight="1">
      <c r="S430" s="192"/>
    </row>
    <row r="431" ht="14.25" customHeight="1">
      <c r="S431" s="192"/>
    </row>
    <row r="432" ht="14.25" customHeight="1">
      <c r="S432" s="192"/>
    </row>
    <row r="433" ht="14.25" customHeight="1">
      <c r="S433" s="192"/>
    </row>
    <row r="434" ht="14.25" customHeight="1">
      <c r="S434" s="192"/>
    </row>
    <row r="435" ht="14.25" customHeight="1">
      <c r="S435" s="192"/>
    </row>
    <row r="436" ht="14.25" customHeight="1">
      <c r="S436" s="192"/>
    </row>
    <row r="437" ht="14.25" customHeight="1">
      <c r="S437" s="192"/>
    </row>
    <row r="438" ht="14.25" customHeight="1">
      <c r="S438" s="192"/>
    </row>
    <row r="439" ht="14.25" customHeight="1">
      <c r="S439" s="192"/>
    </row>
    <row r="440" ht="14.25" customHeight="1">
      <c r="S440" s="192"/>
    </row>
    <row r="441" ht="14.25" customHeight="1">
      <c r="S441" s="192"/>
    </row>
    <row r="442" ht="14.25" customHeight="1">
      <c r="S442" s="192"/>
    </row>
    <row r="443" ht="14.25" customHeight="1">
      <c r="S443" s="192"/>
    </row>
    <row r="444" ht="14.25" customHeight="1">
      <c r="S444" s="192"/>
    </row>
    <row r="445" ht="14.25" customHeight="1">
      <c r="S445" s="192"/>
    </row>
    <row r="446" ht="14.25" customHeight="1">
      <c r="S446" s="192"/>
    </row>
    <row r="447" ht="14.25" customHeight="1">
      <c r="S447" s="192"/>
    </row>
    <row r="448" ht="14.25" customHeight="1">
      <c r="S448" s="192"/>
    </row>
    <row r="449" ht="14.25" customHeight="1">
      <c r="S449" s="192"/>
    </row>
    <row r="450" ht="14.25" customHeight="1">
      <c r="S450" s="192"/>
    </row>
    <row r="451" ht="14.25" customHeight="1">
      <c r="S451" s="192"/>
    </row>
    <row r="452" ht="14.25" customHeight="1">
      <c r="S452" s="192"/>
    </row>
    <row r="453" ht="14.25" customHeight="1">
      <c r="S453" s="192"/>
    </row>
    <row r="454" ht="14.25" customHeight="1">
      <c r="S454" s="192"/>
    </row>
    <row r="455" ht="14.25" customHeight="1">
      <c r="S455" s="192"/>
    </row>
    <row r="456" ht="14.25" customHeight="1">
      <c r="S456" s="192"/>
    </row>
    <row r="457" ht="14.25" customHeight="1">
      <c r="S457" s="192"/>
    </row>
    <row r="458" ht="14.25" customHeight="1">
      <c r="S458" s="192"/>
    </row>
    <row r="459" ht="14.25" customHeight="1">
      <c r="S459" s="192"/>
    </row>
    <row r="460" ht="14.25" customHeight="1">
      <c r="S460" s="192"/>
    </row>
    <row r="461" ht="14.25" customHeight="1">
      <c r="S461" s="192"/>
    </row>
    <row r="462" ht="14.25" customHeight="1">
      <c r="S462" s="192"/>
    </row>
    <row r="463" ht="14.25" customHeight="1">
      <c r="S463" s="192"/>
    </row>
    <row r="464" ht="14.25" customHeight="1">
      <c r="S464" s="192"/>
    </row>
    <row r="465" ht="14.25" customHeight="1">
      <c r="S465" s="192"/>
    </row>
    <row r="466" ht="14.25" customHeight="1">
      <c r="S466" s="192"/>
    </row>
    <row r="467" ht="14.25" customHeight="1">
      <c r="S467" s="192"/>
    </row>
    <row r="468" ht="14.25" customHeight="1">
      <c r="S468" s="192"/>
    </row>
    <row r="469" ht="14.25" customHeight="1">
      <c r="S469" s="192"/>
    </row>
    <row r="470" ht="14.25" customHeight="1">
      <c r="S470" s="192"/>
    </row>
    <row r="471" ht="14.25" customHeight="1">
      <c r="S471" s="192"/>
    </row>
    <row r="472" ht="14.25" customHeight="1">
      <c r="S472" s="192"/>
    </row>
    <row r="473" ht="14.25" customHeight="1">
      <c r="S473" s="192"/>
    </row>
    <row r="474" ht="14.25" customHeight="1">
      <c r="S474" s="192"/>
    </row>
    <row r="475" ht="14.25" customHeight="1">
      <c r="S475" s="192"/>
    </row>
    <row r="476" ht="14.25" customHeight="1">
      <c r="S476" s="192"/>
    </row>
    <row r="477" ht="14.25" customHeight="1">
      <c r="S477" s="192"/>
    </row>
    <row r="478" ht="14.25" customHeight="1">
      <c r="S478" s="192"/>
    </row>
    <row r="479" ht="14.25" customHeight="1">
      <c r="S479" s="192"/>
    </row>
    <row r="480" ht="14.25" customHeight="1">
      <c r="S480" s="192"/>
    </row>
    <row r="481" ht="14.25" customHeight="1">
      <c r="S481" s="192"/>
    </row>
    <row r="482" ht="14.25" customHeight="1">
      <c r="S482" s="192"/>
    </row>
    <row r="483" ht="14.25" customHeight="1">
      <c r="S483" s="192"/>
    </row>
    <row r="484" ht="14.25" customHeight="1">
      <c r="S484" s="192"/>
    </row>
    <row r="485" ht="14.25" customHeight="1">
      <c r="S485" s="192"/>
    </row>
    <row r="486" ht="14.25" customHeight="1">
      <c r="S486" s="192"/>
    </row>
    <row r="487" ht="14.25" customHeight="1">
      <c r="S487" s="192"/>
    </row>
    <row r="488" ht="14.25" customHeight="1">
      <c r="S488" s="192"/>
    </row>
    <row r="489" ht="14.25" customHeight="1">
      <c r="S489" s="192"/>
    </row>
    <row r="490" ht="14.25" customHeight="1">
      <c r="S490" s="192"/>
    </row>
    <row r="491" ht="14.25" customHeight="1">
      <c r="S491" s="192"/>
    </row>
    <row r="492" ht="14.25" customHeight="1">
      <c r="S492" s="192"/>
    </row>
    <row r="493" ht="14.25" customHeight="1">
      <c r="S493" s="192"/>
    </row>
    <row r="494" ht="14.25" customHeight="1">
      <c r="S494" s="192"/>
    </row>
    <row r="495" ht="14.25" customHeight="1">
      <c r="S495" s="192"/>
    </row>
    <row r="496" ht="14.25" customHeight="1">
      <c r="S496" s="192"/>
    </row>
    <row r="497" ht="14.25" customHeight="1">
      <c r="S497" s="192"/>
    </row>
    <row r="498" ht="14.25" customHeight="1">
      <c r="S498" s="192"/>
    </row>
    <row r="499" ht="14.25" customHeight="1">
      <c r="S499" s="192"/>
    </row>
    <row r="500" ht="14.25" customHeight="1">
      <c r="S500" s="192"/>
    </row>
    <row r="501" ht="14.25" customHeight="1">
      <c r="S501" s="192"/>
    </row>
    <row r="502" ht="14.25" customHeight="1">
      <c r="S502" s="192"/>
    </row>
    <row r="503" ht="14.25" customHeight="1">
      <c r="S503" s="192"/>
    </row>
    <row r="504" ht="14.25" customHeight="1">
      <c r="S504" s="192"/>
    </row>
    <row r="505" ht="14.25" customHeight="1">
      <c r="S505" s="192"/>
    </row>
    <row r="506" ht="14.25" customHeight="1">
      <c r="S506" s="192"/>
    </row>
    <row r="507" ht="14.25" customHeight="1">
      <c r="S507" s="192"/>
    </row>
    <row r="508" ht="14.25" customHeight="1">
      <c r="S508" s="192"/>
    </row>
    <row r="509" ht="14.25" customHeight="1">
      <c r="S509" s="192"/>
    </row>
    <row r="510" ht="14.25" customHeight="1">
      <c r="S510" s="192"/>
    </row>
    <row r="511" ht="14.25" customHeight="1">
      <c r="S511" s="192"/>
    </row>
    <row r="512" ht="14.25" customHeight="1">
      <c r="S512" s="192"/>
    </row>
    <row r="513" ht="14.25" customHeight="1">
      <c r="S513" s="192"/>
    </row>
    <row r="514" ht="14.25" customHeight="1">
      <c r="S514" s="192"/>
    </row>
    <row r="515" ht="14.25" customHeight="1">
      <c r="S515" s="192"/>
    </row>
    <row r="516" ht="14.25" customHeight="1">
      <c r="S516" s="192"/>
    </row>
    <row r="517" ht="14.25" customHeight="1">
      <c r="S517" s="192"/>
    </row>
    <row r="518" ht="14.25" customHeight="1">
      <c r="S518" s="192"/>
    </row>
    <row r="519" ht="14.25" customHeight="1">
      <c r="S519" s="192"/>
    </row>
    <row r="520" ht="14.25" customHeight="1">
      <c r="S520" s="192"/>
    </row>
    <row r="521" ht="14.25" customHeight="1">
      <c r="S521" s="192"/>
    </row>
    <row r="522" ht="14.25" customHeight="1">
      <c r="S522" s="192"/>
    </row>
    <row r="523" ht="14.25" customHeight="1">
      <c r="S523" s="192"/>
    </row>
    <row r="524" ht="14.25" customHeight="1">
      <c r="S524" s="192"/>
    </row>
    <row r="525" ht="14.25" customHeight="1">
      <c r="S525" s="192"/>
    </row>
    <row r="526" ht="14.25" customHeight="1">
      <c r="S526" s="192"/>
    </row>
    <row r="527" ht="14.25" customHeight="1">
      <c r="S527" s="192"/>
    </row>
    <row r="528" ht="14.25" customHeight="1">
      <c r="S528" s="192"/>
    </row>
    <row r="529" ht="14.25" customHeight="1">
      <c r="S529" s="192"/>
    </row>
    <row r="530" ht="14.25" customHeight="1">
      <c r="S530" s="192"/>
    </row>
    <row r="531" ht="14.25" customHeight="1">
      <c r="S531" s="192"/>
    </row>
    <row r="532" ht="14.25" customHeight="1">
      <c r="S532" s="192"/>
    </row>
    <row r="533" ht="14.25" customHeight="1">
      <c r="S533" s="192"/>
    </row>
    <row r="534" ht="14.25" customHeight="1">
      <c r="S534" s="192"/>
    </row>
    <row r="535" ht="14.25" customHeight="1">
      <c r="S535" s="192"/>
    </row>
    <row r="536" ht="14.25" customHeight="1">
      <c r="S536" s="192"/>
    </row>
    <row r="537" ht="14.25" customHeight="1">
      <c r="S537" s="192"/>
    </row>
    <row r="538" ht="14.25" customHeight="1">
      <c r="S538" s="192"/>
    </row>
    <row r="539" ht="14.25" customHeight="1">
      <c r="S539" s="192"/>
    </row>
    <row r="540" ht="14.25" customHeight="1">
      <c r="S540" s="192"/>
    </row>
    <row r="541" ht="14.25" customHeight="1">
      <c r="S541" s="192"/>
    </row>
    <row r="542" ht="14.25" customHeight="1">
      <c r="S542" s="192"/>
    </row>
    <row r="543" ht="14.25" customHeight="1">
      <c r="S543" s="192"/>
    </row>
    <row r="544" ht="14.25" customHeight="1">
      <c r="S544" s="192"/>
    </row>
    <row r="545" ht="14.25" customHeight="1">
      <c r="S545" s="192"/>
    </row>
    <row r="546" ht="14.25" customHeight="1">
      <c r="S546" s="192"/>
    </row>
    <row r="547" ht="14.25" customHeight="1">
      <c r="S547" s="192"/>
    </row>
    <row r="548" ht="14.25" customHeight="1">
      <c r="S548" s="192"/>
    </row>
    <row r="549" ht="14.25" customHeight="1">
      <c r="S549" s="192"/>
    </row>
    <row r="550" ht="14.25" customHeight="1">
      <c r="S550" s="192"/>
    </row>
    <row r="551" ht="14.25" customHeight="1">
      <c r="S551" s="192"/>
    </row>
    <row r="552" ht="14.25" customHeight="1">
      <c r="S552" s="192"/>
    </row>
    <row r="553" ht="14.25" customHeight="1">
      <c r="S553" s="192"/>
    </row>
    <row r="554" ht="14.25" customHeight="1">
      <c r="S554" s="192"/>
    </row>
    <row r="555" ht="14.25" customHeight="1">
      <c r="S555" s="192"/>
    </row>
    <row r="556" ht="14.25" customHeight="1">
      <c r="S556" s="192"/>
    </row>
    <row r="557" ht="14.25" customHeight="1">
      <c r="S557" s="192"/>
    </row>
    <row r="558" ht="14.25" customHeight="1">
      <c r="S558" s="192"/>
    </row>
    <row r="559" ht="14.25" customHeight="1">
      <c r="S559" s="192"/>
    </row>
    <row r="560" ht="14.25" customHeight="1">
      <c r="S560" s="192"/>
    </row>
    <row r="561" ht="14.25" customHeight="1">
      <c r="S561" s="192"/>
    </row>
    <row r="562" ht="14.25" customHeight="1">
      <c r="S562" s="192"/>
    </row>
    <row r="563" ht="14.25" customHeight="1">
      <c r="S563" s="192"/>
    </row>
    <row r="564" ht="14.25" customHeight="1">
      <c r="S564" s="192"/>
    </row>
    <row r="565" ht="14.25" customHeight="1">
      <c r="S565" s="192"/>
    </row>
    <row r="566" ht="14.25" customHeight="1">
      <c r="S566" s="192"/>
    </row>
    <row r="567" ht="14.25" customHeight="1">
      <c r="S567" s="192"/>
    </row>
    <row r="568" ht="14.25" customHeight="1">
      <c r="S568" s="192"/>
    </row>
    <row r="569" ht="14.25" customHeight="1">
      <c r="S569" s="192"/>
    </row>
    <row r="570" ht="14.25" customHeight="1">
      <c r="S570" s="192"/>
    </row>
    <row r="571" ht="14.25" customHeight="1">
      <c r="S571" s="192"/>
    </row>
    <row r="572" ht="14.25" customHeight="1">
      <c r="S572" s="192"/>
    </row>
    <row r="573" ht="14.25" customHeight="1">
      <c r="S573" s="192"/>
    </row>
    <row r="574" ht="14.25" customHeight="1">
      <c r="S574" s="192"/>
    </row>
    <row r="575" ht="14.25" customHeight="1">
      <c r="S575" s="192"/>
    </row>
    <row r="576" ht="14.25" customHeight="1">
      <c r="S576" s="192"/>
    </row>
    <row r="577" ht="14.25" customHeight="1">
      <c r="S577" s="192"/>
    </row>
    <row r="578" ht="14.25" customHeight="1">
      <c r="S578" s="192"/>
    </row>
    <row r="579" ht="14.25" customHeight="1">
      <c r="S579" s="192"/>
    </row>
    <row r="580" ht="14.25" customHeight="1">
      <c r="S580" s="192"/>
    </row>
    <row r="581" ht="14.25" customHeight="1">
      <c r="S581" s="192"/>
    </row>
    <row r="582" ht="14.25" customHeight="1">
      <c r="S582" s="192"/>
    </row>
    <row r="583" ht="14.25" customHeight="1">
      <c r="S583" s="192"/>
    </row>
    <row r="584" ht="14.25" customHeight="1">
      <c r="S584" s="192"/>
    </row>
    <row r="585" ht="14.25" customHeight="1">
      <c r="S585" s="192"/>
    </row>
    <row r="586" ht="14.25" customHeight="1">
      <c r="S586" s="192"/>
    </row>
    <row r="587" ht="14.25" customHeight="1">
      <c r="S587" s="192"/>
    </row>
    <row r="588" ht="14.25" customHeight="1">
      <c r="S588" s="192"/>
    </row>
    <row r="589" ht="14.25" customHeight="1">
      <c r="S589" s="192"/>
    </row>
    <row r="590" ht="14.25" customHeight="1">
      <c r="S590" s="192"/>
    </row>
    <row r="591" ht="14.25" customHeight="1">
      <c r="S591" s="192"/>
    </row>
    <row r="592" ht="14.25" customHeight="1">
      <c r="S592" s="192"/>
    </row>
    <row r="593" ht="14.25" customHeight="1">
      <c r="S593" s="192"/>
    </row>
    <row r="594" ht="14.25" customHeight="1">
      <c r="S594" s="192"/>
    </row>
    <row r="595" ht="14.25" customHeight="1">
      <c r="S595" s="192"/>
    </row>
    <row r="596" ht="14.25" customHeight="1">
      <c r="S596" s="192"/>
    </row>
    <row r="597" ht="14.25" customHeight="1">
      <c r="S597" s="192"/>
    </row>
    <row r="598" ht="14.25" customHeight="1">
      <c r="S598" s="192"/>
    </row>
    <row r="599" ht="14.25" customHeight="1">
      <c r="S599" s="192"/>
    </row>
    <row r="600" ht="14.25" customHeight="1">
      <c r="S600" s="192"/>
    </row>
    <row r="601" ht="14.25" customHeight="1">
      <c r="S601" s="192"/>
    </row>
    <row r="602" ht="14.25" customHeight="1">
      <c r="S602" s="192"/>
    </row>
    <row r="603" ht="14.25" customHeight="1">
      <c r="S603" s="192"/>
    </row>
    <row r="604" ht="14.25" customHeight="1">
      <c r="S604" s="192"/>
    </row>
    <row r="605" ht="14.25" customHeight="1">
      <c r="S605" s="192"/>
    </row>
    <row r="606" ht="14.25" customHeight="1">
      <c r="S606" s="192"/>
    </row>
    <row r="607" ht="14.25" customHeight="1">
      <c r="S607" s="192"/>
    </row>
    <row r="608" ht="14.25" customHeight="1">
      <c r="S608" s="192"/>
    </row>
    <row r="609" ht="14.25" customHeight="1">
      <c r="S609" s="192"/>
    </row>
    <row r="610" ht="14.25" customHeight="1">
      <c r="S610" s="192"/>
    </row>
    <row r="611" ht="14.25" customHeight="1">
      <c r="S611" s="192"/>
    </row>
    <row r="612" ht="14.25" customHeight="1">
      <c r="S612" s="192"/>
    </row>
    <row r="613" ht="14.25" customHeight="1">
      <c r="S613" s="192"/>
    </row>
    <row r="614" ht="14.25" customHeight="1">
      <c r="S614" s="192"/>
    </row>
    <row r="615" ht="14.25" customHeight="1">
      <c r="S615" s="192"/>
    </row>
    <row r="616" ht="14.25" customHeight="1">
      <c r="S616" s="192"/>
    </row>
    <row r="617" ht="14.25" customHeight="1">
      <c r="S617" s="192"/>
    </row>
    <row r="618" ht="14.25" customHeight="1">
      <c r="S618" s="192"/>
    </row>
    <row r="619" ht="14.25" customHeight="1">
      <c r="S619" s="192"/>
    </row>
    <row r="620" ht="14.25" customHeight="1">
      <c r="S620" s="192"/>
    </row>
    <row r="621" ht="14.25" customHeight="1">
      <c r="S621" s="192"/>
    </row>
    <row r="622" ht="14.25" customHeight="1">
      <c r="S622" s="192"/>
    </row>
    <row r="623" ht="14.25" customHeight="1">
      <c r="S623" s="192"/>
    </row>
    <row r="624" ht="14.25" customHeight="1">
      <c r="S624" s="192"/>
    </row>
    <row r="625" ht="14.25" customHeight="1">
      <c r="S625" s="192"/>
    </row>
    <row r="626" ht="14.25" customHeight="1">
      <c r="S626" s="192"/>
    </row>
    <row r="627" ht="14.25" customHeight="1">
      <c r="S627" s="192"/>
    </row>
    <row r="628" ht="14.25" customHeight="1">
      <c r="S628" s="192"/>
    </row>
    <row r="629" ht="14.25" customHeight="1">
      <c r="S629" s="192"/>
    </row>
    <row r="630" ht="14.25" customHeight="1">
      <c r="S630" s="192"/>
    </row>
    <row r="631" ht="14.25" customHeight="1">
      <c r="S631" s="192"/>
    </row>
    <row r="632" ht="14.25" customHeight="1">
      <c r="S632" s="192"/>
    </row>
    <row r="633" ht="14.25" customHeight="1">
      <c r="S633" s="192"/>
    </row>
    <row r="634" ht="14.25" customHeight="1">
      <c r="S634" s="192"/>
    </row>
    <row r="635" ht="14.25" customHeight="1">
      <c r="S635" s="192"/>
    </row>
    <row r="636" ht="14.25" customHeight="1">
      <c r="S636" s="192"/>
    </row>
    <row r="637" ht="14.25" customHeight="1">
      <c r="S637" s="192"/>
    </row>
    <row r="638" ht="14.25" customHeight="1">
      <c r="S638" s="192"/>
    </row>
    <row r="639" ht="14.25" customHeight="1">
      <c r="S639" s="192"/>
    </row>
    <row r="640" ht="14.25" customHeight="1">
      <c r="S640" s="192"/>
    </row>
    <row r="641" ht="14.25" customHeight="1">
      <c r="S641" s="192"/>
    </row>
    <row r="642" ht="14.25" customHeight="1">
      <c r="S642" s="192"/>
    </row>
    <row r="643" ht="14.25" customHeight="1">
      <c r="S643" s="192"/>
    </row>
    <row r="644" ht="14.25" customHeight="1">
      <c r="S644" s="192"/>
    </row>
    <row r="645" ht="14.25" customHeight="1">
      <c r="S645" s="192"/>
    </row>
    <row r="646" ht="14.25" customHeight="1">
      <c r="S646" s="192"/>
    </row>
    <row r="647" ht="14.25" customHeight="1">
      <c r="S647" s="192"/>
    </row>
    <row r="648" ht="14.25" customHeight="1">
      <c r="S648" s="192"/>
    </row>
    <row r="649" ht="14.25" customHeight="1">
      <c r="S649" s="192"/>
    </row>
    <row r="650" ht="14.25" customHeight="1">
      <c r="S650" s="192"/>
    </row>
    <row r="651" ht="14.25" customHeight="1">
      <c r="S651" s="192"/>
    </row>
    <row r="652" ht="14.25" customHeight="1">
      <c r="S652" s="192"/>
    </row>
    <row r="653" ht="14.25" customHeight="1">
      <c r="S653" s="192"/>
    </row>
    <row r="654" ht="14.25" customHeight="1">
      <c r="S654" s="192"/>
    </row>
    <row r="655" ht="14.25" customHeight="1">
      <c r="S655" s="192"/>
    </row>
    <row r="656" ht="14.25" customHeight="1">
      <c r="S656" s="192"/>
    </row>
    <row r="657" ht="14.25" customHeight="1">
      <c r="S657" s="192"/>
    </row>
    <row r="658" ht="14.25" customHeight="1">
      <c r="S658" s="192"/>
    </row>
    <row r="659" ht="14.25" customHeight="1">
      <c r="S659" s="192"/>
    </row>
    <row r="660" ht="14.25" customHeight="1">
      <c r="S660" s="192"/>
    </row>
    <row r="661" ht="14.25" customHeight="1">
      <c r="S661" s="192"/>
    </row>
    <row r="662" ht="14.25" customHeight="1">
      <c r="S662" s="192"/>
    </row>
    <row r="663" ht="14.25" customHeight="1">
      <c r="S663" s="192"/>
    </row>
    <row r="664" ht="14.25" customHeight="1">
      <c r="S664" s="192"/>
    </row>
    <row r="665" ht="14.25" customHeight="1">
      <c r="S665" s="192"/>
    </row>
    <row r="666" ht="14.25" customHeight="1">
      <c r="S666" s="192"/>
    </row>
    <row r="667" ht="14.25" customHeight="1">
      <c r="S667" s="192"/>
    </row>
    <row r="668" ht="14.25" customHeight="1">
      <c r="S668" s="192"/>
    </row>
    <row r="669" ht="14.25" customHeight="1">
      <c r="S669" s="192"/>
    </row>
    <row r="670" ht="14.25" customHeight="1">
      <c r="S670" s="192"/>
    </row>
    <row r="671" ht="14.25" customHeight="1">
      <c r="S671" s="192"/>
    </row>
    <row r="672" ht="14.25" customHeight="1">
      <c r="S672" s="192"/>
    </row>
    <row r="673" ht="14.25" customHeight="1">
      <c r="S673" s="192"/>
    </row>
    <row r="674" ht="14.25" customHeight="1">
      <c r="S674" s="192"/>
    </row>
    <row r="675" ht="14.25" customHeight="1">
      <c r="S675" s="192"/>
    </row>
    <row r="676" ht="14.25" customHeight="1">
      <c r="S676" s="192"/>
    </row>
    <row r="677" ht="14.25" customHeight="1">
      <c r="S677" s="192"/>
    </row>
    <row r="678" ht="14.25" customHeight="1">
      <c r="S678" s="192"/>
    </row>
    <row r="679" ht="14.25" customHeight="1">
      <c r="S679" s="192"/>
    </row>
    <row r="680" ht="14.25" customHeight="1">
      <c r="S680" s="192"/>
    </row>
    <row r="681" ht="14.25" customHeight="1">
      <c r="S681" s="192"/>
    </row>
    <row r="682" ht="14.25" customHeight="1">
      <c r="S682" s="192"/>
    </row>
    <row r="683" ht="14.25" customHeight="1">
      <c r="S683" s="192"/>
    </row>
    <row r="684" ht="14.25" customHeight="1">
      <c r="S684" s="192"/>
    </row>
    <row r="685" ht="14.25" customHeight="1">
      <c r="S685" s="192"/>
    </row>
    <row r="686" ht="14.25" customHeight="1">
      <c r="S686" s="192"/>
    </row>
    <row r="687" ht="14.25" customHeight="1">
      <c r="S687" s="192"/>
    </row>
    <row r="688" ht="14.25" customHeight="1">
      <c r="S688" s="192"/>
    </row>
    <row r="689" ht="14.25" customHeight="1">
      <c r="S689" s="192"/>
    </row>
    <row r="690" ht="14.25" customHeight="1">
      <c r="S690" s="192"/>
    </row>
    <row r="691" ht="14.25" customHeight="1">
      <c r="S691" s="192"/>
    </row>
    <row r="692" ht="14.25" customHeight="1">
      <c r="S692" s="192"/>
    </row>
    <row r="693" ht="14.25" customHeight="1">
      <c r="S693" s="192"/>
    </row>
    <row r="694" ht="14.25" customHeight="1">
      <c r="S694" s="192"/>
    </row>
    <row r="695" ht="14.25" customHeight="1">
      <c r="S695" s="192"/>
    </row>
    <row r="696" ht="14.25" customHeight="1">
      <c r="S696" s="192"/>
    </row>
    <row r="697" ht="14.25" customHeight="1">
      <c r="S697" s="192"/>
    </row>
    <row r="698" ht="14.25" customHeight="1">
      <c r="S698" s="192"/>
    </row>
    <row r="699" ht="14.25" customHeight="1">
      <c r="S699" s="192"/>
    </row>
    <row r="700" ht="14.25" customHeight="1">
      <c r="S700" s="192"/>
    </row>
    <row r="701" ht="14.25" customHeight="1">
      <c r="S701" s="192"/>
    </row>
    <row r="702" ht="14.25" customHeight="1">
      <c r="S702" s="192"/>
    </row>
    <row r="703" ht="14.25" customHeight="1">
      <c r="S703" s="192"/>
    </row>
    <row r="704" ht="14.25" customHeight="1">
      <c r="S704" s="192"/>
    </row>
    <row r="705" ht="14.25" customHeight="1">
      <c r="S705" s="192"/>
    </row>
    <row r="706" ht="14.25" customHeight="1">
      <c r="S706" s="192"/>
    </row>
    <row r="707" ht="14.25" customHeight="1">
      <c r="S707" s="192"/>
    </row>
    <row r="708" ht="14.25" customHeight="1">
      <c r="S708" s="192"/>
    </row>
    <row r="709" ht="14.25" customHeight="1">
      <c r="S709" s="192"/>
    </row>
    <row r="710" ht="14.25" customHeight="1">
      <c r="S710" s="192"/>
    </row>
    <row r="711" ht="14.25" customHeight="1">
      <c r="S711" s="192"/>
    </row>
    <row r="712" ht="14.25" customHeight="1">
      <c r="S712" s="192"/>
    </row>
    <row r="713" ht="14.25" customHeight="1">
      <c r="S713" s="192"/>
    </row>
    <row r="714" ht="14.25" customHeight="1">
      <c r="S714" s="192"/>
    </row>
    <row r="715" ht="14.25" customHeight="1">
      <c r="S715" s="192"/>
    </row>
    <row r="716" ht="14.25" customHeight="1">
      <c r="S716" s="192"/>
    </row>
    <row r="717" ht="14.25" customHeight="1">
      <c r="S717" s="192"/>
    </row>
    <row r="718" ht="14.25" customHeight="1">
      <c r="S718" s="192"/>
    </row>
    <row r="719" ht="14.25" customHeight="1">
      <c r="S719" s="192"/>
    </row>
    <row r="720" ht="14.25" customHeight="1">
      <c r="S720" s="192"/>
    </row>
    <row r="721" ht="14.25" customHeight="1">
      <c r="S721" s="192"/>
    </row>
    <row r="722" ht="14.25" customHeight="1">
      <c r="S722" s="192"/>
    </row>
    <row r="723" ht="14.25" customHeight="1">
      <c r="S723" s="192"/>
    </row>
    <row r="724" ht="14.25" customHeight="1">
      <c r="S724" s="192"/>
    </row>
    <row r="725" ht="14.25" customHeight="1">
      <c r="S725" s="192"/>
    </row>
    <row r="726" ht="14.25" customHeight="1">
      <c r="S726" s="192"/>
    </row>
    <row r="727" ht="14.25" customHeight="1">
      <c r="S727" s="192"/>
    </row>
    <row r="728" ht="14.25" customHeight="1">
      <c r="S728" s="192"/>
    </row>
    <row r="729" ht="14.25" customHeight="1">
      <c r="S729" s="192"/>
    </row>
    <row r="730" ht="14.25" customHeight="1">
      <c r="S730" s="192"/>
    </row>
    <row r="731" ht="14.25" customHeight="1">
      <c r="S731" s="192"/>
    </row>
    <row r="732" ht="14.25" customHeight="1">
      <c r="S732" s="192"/>
    </row>
    <row r="733" ht="14.25" customHeight="1">
      <c r="S733" s="192"/>
    </row>
    <row r="734" ht="14.25" customHeight="1">
      <c r="S734" s="192"/>
    </row>
    <row r="735" ht="14.25" customHeight="1">
      <c r="S735" s="192"/>
    </row>
    <row r="736" ht="14.25" customHeight="1">
      <c r="S736" s="192"/>
    </row>
    <row r="737" ht="14.25" customHeight="1">
      <c r="S737" s="192"/>
    </row>
    <row r="738" ht="14.25" customHeight="1">
      <c r="S738" s="192"/>
    </row>
    <row r="739" ht="14.25" customHeight="1">
      <c r="S739" s="192"/>
    </row>
    <row r="740" ht="14.25" customHeight="1">
      <c r="S740" s="192"/>
    </row>
    <row r="741" ht="14.25" customHeight="1">
      <c r="S741" s="192"/>
    </row>
    <row r="742" ht="14.25" customHeight="1">
      <c r="S742" s="192"/>
    </row>
    <row r="743" ht="14.25" customHeight="1">
      <c r="S743" s="192"/>
    </row>
    <row r="744" ht="14.25" customHeight="1">
      <c r="S744" s="192"/>
    </row>
    <row r="745" ht="14.25" customHeight="1">
      <c r="S745" s="192"/>
    </row>
    <row r="746" ht="14.25" customHeight="1">
      <c r="S746" s="192"/>
    </row>
    <row r="747" ht="14.25" customHeight="1">
      <c r="S747" s="192"/>
    </row>
    <row r="748" ht="14.25" customHeight="1">
      <c r="S748" s="192"/>
    </row>
    <row r="749" ht="14.25" customHeight="1">
      <c r="S749" s="192"/>
    </row>
    <row r="750" ht="14.25" customHeight="1">
      <c r="S750" s="192"/>
    </row>
    <row r="751" ht="14.25" customHeight="1">
      <c r="S751" s="192"/>
    </row>
    <row r="752" ht="14.25" customHeight="1">
      <c r="S752" s="192"/>
    </row>
    <row r="753" ht="14.25" customHeight="1">
      <c r="S753" s="192"/>
    </row>
    <row r="754" ht="14.25" customHeight="1">
      <c r="S754" s="192"/>
    </row>
    <row r="755" ht="14.25" customHeight="1">
      <c r="S755" s="192"/>
    </row>
    <row r="756" ht="14.25" customHeight="1">
      <c r="S756" s="192"/>
    </row>
    <row r="757" ht="14.25" customHeight="1">
      <c r="S757" s="192"/>
    </row>
    <row r="758" ht="14.25" customHeight="1">
      <c r="S758" s="192"/>
    </row>
    <row r="759" ht="14.25" customHeight="1">
      <c r="S759" s="192"/>
    </row>
    <row r="760" ht="14.25" customHeight="1">
      <c r="S760" s="192"/>
    </row>
    <row r="761" ht="14.25" customHeight="1">
      <c r="S761" s="192"/>
    </row>
    <row r="762" ht="14.25" customHeight="1">
      <c r="S762" s="192"/>
    </row>
    <row r="763" ht="14.25" customHeight="1">
      <c r="S763" s="192"/>
    </row>
    <row r="764" ht="14.25" customHeight="1">
      <c r="S764" s="192"/>
    </row>
    <row r="765" ht="14.25" customHeight="1">
      <c r="S765" s="192"/>
    </row>
    <row r="766" ht="14.25" customHeight="1">
      <c r="S766" s="192"/>
    </row>
    <row r="767" ht="14.25" customHeight="1">
      <c r="S767" s="192"/>
    </row>
    <row r="768" ht="14.25" customHeight="1">
      <c r="S768" s="192"/>
    </row>
    <row r="769" ht="14.25" customHeight="1">
      <c r="S769" s="192"/>
    </row>
    <row r="770" ht="14.25" customHeight="1">
      <c r="S770" s="192"/>
    </row>
    <row r="771" ht="14.25" customHeight="1">
      <c r="S771" s="192"/>
    </row>
    <row r="772" ht="14.25" customHeight="1">
      <c r="S772" s="192"/>
    </row>
    <row r="773" ht="14.25" customHeight="1">
      <c r="S773" s="192"/>
    </row>
    <row r="774" ht="14.25" customHeight="1">
      <c r="S774" s="192"/>
    </row>
    <row r="775" ht="14.25" customHeight="1">
      <c r="S775" s="192"/>
    </row>
    <row r="776" ht="14.25" customHeight="1">
      <c r="S776" s="192"/>
    </row>
    <row r="777" ht="14.25" customHeight="1">
      <c r="S777" s="192"/>
    </row>
    <row r="778" ht="14.25" customHeight="1">
      <c r="S778" s="192"/>
    </row>
    <row r="779" ht="14.25" customHeight="1">
      <c r="S779" s="192"/>
    </row>
    <row r="780" ht="14.25" customHeight="1">
      <c r="S780" s="192"/>
    </row>
    <row r="781" ht="14.25" customHeight="1">
      <c r="S781" s="192"/>
    </row>
    <row r="782" ht="14.25" customHeight="1">
      <c r="S782" s="192"/>
    </row>
    <row r="783" ht="14.25" customHeight="1">
      <c r="S783" s="192"/>
    </row>
    <row r="784" ht="14.25" customHeight="1">
      <c r="S784" s="192"/>
    </row>
    <row r="785" ht="14.25" customHeight="1">
      <c r="S785" s="192"/>
    </row>
    <row r="786" ht="14.25" customHeight="1">
      <c r="S786" s="192"/>
    </row>
    <row r="787" ht="14.25" customHeight="1">
      <c r="S787" s="192"/>
    </row>
    <row r="788" ht="14.25" customHeight="1">
      <c r="S788" s="192"/>
    </row>
    <row r="789" ht="14.25" customHeight="1">
      <c r="S789" s="192"/>
    </row>
    <row r="790" ht="14.25" customHeight="1">
      <c r="S790" s="192"/>
    </row>
    <row r="791" ht="14.25" customHeight="1">
      <c r="S791" s="192"/>
    </row>
    <row r="792" ht="14.25" customHeight="1">
      <c r="S792" s="192"/>
    </row>
    <row r="793" ht="14.25" customHeight="1">
      <c r="S793" s="192"/>
    </row>
    <row r="794" ht="14.25" customHeight="1">
      <c r="S794" s="192"/>
    </row>
    <row r="795" ht="14.25" customHeight="1">
      <c r="S795" s="192"/>
    </row>
    <row r="796" ht="14.25" customHeight="1">
      <c r="S796" s="192"/>
    </row>
    <row r="797" ht="14.25" customHeight="1">
      <c r="S797" s="192"/>
    </row>
    <row r="798" ht="14.25" customHeight="1">
      <c r="S798" s="192"/>
    </row>
    <row r="799" ht="14.25" customHeight="1">
      <c r="S799" s="192"/>
    </row>
    <row r="800" ht="14.25" customHeight="1">
      <c r="S800" s="192"/>
    </row>
    <row r="801" ht="14.25" customHeight="1">
      <c r="S801" s="192"/>
    </row>
    <row r="802" ht="14.25" customHeight="1">
      <c r="S802" s="192"/>
    </row>
    <row r="803" ht="14.25" customHeight="1">
      <c r="S803" s="192"/>
    </row>
    <row r="804" ht="14.25" customHeight="1">
      <c r="S804" s="192"/>
    </row>
    <row r="805" ht="14.25" customHeight="1">
      <c r="S805" s="192"/>
    </row>
    <row r="806" ht="14.25" customHeight="1">
      <c r="S806" s="192"/>
    </row>
    <row r="807" ht="14.25" customHeight="1">
      <c r="S807" s="192"/>
    </row>
    <row r="808" ht="14.25" customHeight="1">
      <c r="S808" s="192"/>
    </row>
    <row r="809" ht="14.25" customHeight="1">
      <c r="S809" s="192"/>
    </row>
    <row r="810" ht="14.25" customHeight="1">
      <c r="S810" s="192"/>
    </row>
    <row r="811" ht="14.25" customHeight="1">
      <c r="S811" s="192"/>
    </row>
    <row r="812" ht="14.25" customHeight="1">
      <c r="S812" s="192"/>
    </row>
    <row r="813" ht="14.25" customHeight="1">
      <c r="S813" s="192"/>
    </row>
    <row r="814" ht="14.25" customHeight="1">
      <c r="S814" s="192"/>
    </row>
    <row r="815" ht="14.25" customHeight="1">
      <c r="S815" s="192"/>
    </row>
    <row r="816" ht="14.25" customHeight="1">
      <c r="S816" s="192"/>
    </row>
    <row r="817" ht="14.25" customHeight="1">
      <c r="S817" s="192"/>
    </row>
    <row r="818" ht="14.25" customHeight="1">
      <c r="S818" s="192"/>
    </row>
    <row r="819" ht="14.25" customHeight="1">
      <c r="S819" s="192"/>
    </row>
    <row r="820" ht="14.25" customHeight="1">
      <c r="S820" s="192"/>
    </row>
    <row r="821" ht="14.25" customHeight="1">
      <c r="S821" s="192"/>
    </row>
    <row r="822" ht="14.25" customHeight="1">
      <c r="S822" s="192"/>
    </row>
    <row r="823" ht="14.25" customHeight="1">
      <c r="S823" s="192"/>
    </row>
    <row r="824" ht="14.25" customHeight="1">
      <c r="S824" s="192"/>
    </row>
    <row r="825" ht="14.25" customHeight="1">
      <c r="S825" s="192"/>
    </row>
    <row r="826" ht="14.25" customHeight="1">
      <c r="S826" s="192"/>
    </row>
    <row r="827" ht="14.25" customHeight="1">
      <c r="S827" s="192"/>
    </row>
    <row r="828" ht="14.25" customHeight="1">
      <c r="S828" s="192"/>
    </row>
    <row r="829" ht="14.25" customHeight="1">
      <c r="S829" s="192"/>
    </row>
    <row r="830" ht="14.25" customHeight="1">
      <c r="S830" s="192"/>
    </row>
    <row r="831" ht="14.25" customHeight="1">
      <c r="S831" s="192"/>
    </row>
    <row r="832" ht="14.25" customHeight="1">
      <c r="S832" s="192"/>
    </row>
    <row r="833" ht="14.25" customHeight="1">
      <c r="S833" s="192"/>
    </row>
    <row r="834" ht="14.25" customHeight="1">
      <c r="S834" s="192"/>
    </row>
    <row r="835" ht="14.25" customHeight="1">
      <c r="S835" s="192"/>
    </row>
    <row r="836" ht="14.25" customHeight="1">
      <c r="S836" s="192"/>
    </row>
    <row r="837" ht="14.25" customHeight="1">
      <c r="S837" s="192"/>
    </row>
    <row r="838" ht="14.25" customHeight="1">
      <c r="S838" s="192"/>
    </row>
    <row r="839" ht="14.25" customHeight="1">
      <c r="S839" s="192"/>
    </row>
    <row r="840" ht="14.25" customHeight="1">
      <c r="S840" s="192"/>
    </row>
    <row r="841" ht="14.25" customHeight="1">
      <c r="S841" s="192"/>
    </row>
    <row r="842" ht="14.25" customHeight="1">
      <c r="S842" s="192"/>
    </row>
    <row r="843" ht="14.25" customHeight="1">
      <c r="S843" s="192"/>
    </row>
    <row r="844" ht="14.25" customHeight="1">
      <c r="S844" s="192"/>
    </row>
    <row r="845" ht="14.25" customHeight="1">
      <c r="S845" s="192"/>
    </row>
    <row r="846" ht="14.25" customHeight="1">
      <c r="S846" s="192"/>
    </row>
    <row r="847" ht="14.25" customHeight="1">
      <c r="S847" s="192"/>
    </row>
    <row r="848" ht="14.25" customHeight="1">
      <c r="S848" s="192"/>
    </row>
    <row r="849" ht="14.25" customHeight="1">
      <c r="S849" s="192"/>
    </row>
    <row r="850" ht="14.25" customHeight="1">
      <c r="S850" s="192"/>
    </row>
    <row r="851" ht="14.25" customHeight="1">
      <c r="S851" s="192"/>
    </row>
    <row r="852" ht="14.25" customHeight="1">
      <c r="S852" s="192"/>
    </row>
    <row r="853" ht="14.25" customHeight="1">
      <c r="S853" s="192"/>
    </row>
    <row r="854" ht="14.25" customHeight="1">
      <c r="S854" s="192"/>
    </row>
    <row r="855" ht="14.25" customHeight="1">
      <c r="S855" s="192"/>
    </row>
    <row r="856" ht="14.25" customHeight="1">
      <c r="S856" s="192"/>
    </row>
    <row r="857" ht="14.25" customHeight="1">
      <c r="S857" s="192"/>
    </row>
    <row r="858" ht="14.25" customHeight="1">
      <c r="S858" s="192"/>
    </row>
    <row r="859" ht="14.25" customHeight="1">
      <c r="S859" s="192"/>
    </row>
    <row r="860" ht="14.25" customHeight="1">
      <c r="S860" s="192"/>
    </row>
    <row r="861" ht="14.25" customHeight="1">
      <c r="S861" s="192"/>
    </row>
    <row r="862" ht="14.25" customHeight="1">
      <c r="S862" s="192"/>
    </row>
    <row r="863" ht="14.25" customHeight="1">
      <c r="S863" s="192"/>
    </row>
    <row r="864" ht="14.25" customHeight="1">
      <c r="S864" s="192"/>
    </row>
    <row r="865" ht="14.25" customHeight="1">
      <c r="S865" s="192"/>
    </row>
    <row r="866" ht="14.25" customHeight="1">
      <c r="S866" s="192"/>
    </row>
    <row r="867" ht="14.25" customHeight="1">
      <c r="S867" s="192"/>
    </row>
    <row r="868" ht="14.25" customHeight="1">
      <c r="S868" s="192"/>
    </row>
    <row r="869" ht="14.25" customHeight="1">
      <c r="S869" s="192"/>
    </row>
    <row r="870" ht="14.25" customHeight="1">
      <c r="S870" s="192"/>
    </row>
    <row r="871" ht="14.25" customHeight="1">
      <c r="S871" s="192"/>
    </row>
    <row r="872" ht="14.25" customHeight="1">
      <c r="S872" s="192"/>
    </row>
    <row r="873" ht="14.25" customHeight="1">
      <c r="S873" s="192"/>
    </row>
    <row r="874" ht="14.25" customHeight="1">
      <c r="S874" s="192"/>
    </row>
    <row r="875" ht="14.25" customHeight="1">
      <c r="S875" s="192"/>
    </row>
    <row r="876" ht="14.25" customHeight="1">
      <c r="S876" s="192"/>
    </row>
    <row r="877" ht="14.25" customHeight="1">
      <c r="S877" s="192"/>
    </row>
    <row r="878" ht="14.25" customHeight="1">
      <c r="S878" s="192"/>
    </row>
    <row r="879" ht="14.25" customHeight="1">
      <c r="S879" s="192"/>
    </row>
    <row r="880" ht="14.25" customHeight="1">
      <c r="S880" s="192"/>
    </row>
    <row r="881" ht="14.25" customHeight="1">
      <c r="S881" s="192"/>
    </row>
    <row r="882" ht="14.25" customHeight="1">
      <c r="S882" s="192"/>
    </row>
    <row r="883" ht="14.25" customHeight="1">
      <c r="S883" s="192"/>
    </row>
    <row r="884" ht="14.25" customHeight="1">
      <c r="S884" s="192"/>
    </row>
    <row r="885" ht="14.25" customHeight="1">
      <c r="S885" s="192"/>
    </row>
    <row r="886" ht="14.25" customHeight="1">
      <c r="S886" s="192"/>
    </row>
    <row r="887" ht="14.25" customHeight="1">
      <c r="S887" s="192"/>
    </row>
    <row r="888" ht="14.25" customHeight="1">
      <c r="S888" s="192"/>
    </row>
    <row r="889" ht="14.25" customHeight="1">
      <c r="S889" s="192"/>
    </row>
    <row r="890" ht="14.25" customHeight="1">
      <c r="S890" s="192"/>
    </row>
    <row r="891" ht="14.25" customHeight="1">
      <c r="S891" s="192"/>
    </row>
    <row r="892" ht="14.25" customHeight="1">
      <c r="S892" s="192"/>
    </row>
    <row r="893" ht="14.25" customHeight="1">
      <c r="S893" s="192"/>
    </row>
    <row r="894" ht="14.25" customHeight="1">
      <c r="S894" s="192"/>
    </row>
    <row r="895" ht="14.25" customHeight="1">
      <c r="S895" s="192"/>
    </row>
    <row r="896" ht="14.25" customHeight="1">
      <c r="S896" s="192"/>
    </row>
    <row r="897" ht="14.25" customHeight="1">
      <c r="S897" s="192"/>
    </row>
    <row r="898" ht="14.25" customHeight="1">
      <c r="S898" s="192"/>
    </row>
    <row r="899" ht="14.25" customHeight="1">
      <c r="S899" s="192"/>
    </row>
    <row r="900" ht="14.25" customHeight="1">
      <c r="S900" s="192"/>
    </row>
    <row r="901" ht="14.25" customHeight="1">
      <c r="S901" s="192"/>
    </row>
    <row r="902" ht="14.25" customHeight="1">
      <c r="S902" s="192"/>
    </row>
    <row r="903" ht="14.25" customHeight="1">
      <c r="S903" s="192"/>
    </row>
    <row r="904" ht="14.25" customHeight="1">
      <c r="S904" s="192"/>
    </row>
    <row r="905" ht="14.25" customHeight="1">
      <c r="S905" s="192"/>
    </row>
    <row r="906" ht="14.25" customHeight="1">
      <c r="S906" s="192"/>
    </row>
    <row r="907" ht="14.25" customHeight="1">
      <c r="S907" s="192"/>
    </row>
    <row r="908" ht="14.25" customHeight="1">
      <c r="S908" s="192"/>
    </row>
    <row r="909" ht="14.25" customHeight="1">
      <c r="S909" s="192"/>
    </row>
    <row r="910" ht="14.25" customHeight="1">
      <c r="S910" s="192"/>
    </row>
    <row r="911" ht="14.25" customHeight="1">
      <c r="S911" s="192"/>
    </row>
    <row r="912" ht="14.25" customHeight="1">
      <c r="S912" s="192"/>
    </row>
    <row r="913" ht="14.25" customHeight="1">
      <c r="S913" s="192"/>
    </row>
    <row r="914" ht="14.25" customHeight="1">
      <c r="S914" s="192"/>
    </row>
    <row r="915" ht="14.25" customHeight="1">
      <c r="S915" s="192"/>
    </row>
    <row r="916" ht="14.25" customHeight="1">
      <c r="S916" s="192"/>
    </row>
    <row r="917" ht="14.25" customHeight="1">
      <c r="S917" s="192"/>
    </row>
    <row r="918" ht="14.25" customHeight="1">
      <c r="S918" s="192"/>
    </row>
    <row r="919" ht="14.25" customHeight="1">
      <c r="S919" s="192"/>
    </row>
    <row r="920" ht="14.25" customHeight="1">
      <c r="S920" s="192"/>
    </row>
    <row r="921" ht="14.25" customHeight="1">
      <c r="S921" s="192"/>
    </row>
    <row r="922" ht="14.25" customHeight="1">
      <c r="S922" s="192"/>
    </row>
    <row r="923" ht="14.25" customHeight="1">
      <c r="S923" s="192"/>
    </row>
    <row r="924" ht="14.25" customHeight="1">
      <c r="S924" s="192"/>
    </row>
    <row r="925" ht="14.25" customHeight="1">
      <c r="S925" s="192"/>
    </row>
    <row r="926" ht="14.25" customHeight="1">
      <c r="S926" s="192"/>
    </row>
    <row r="927" ht="14.25" customHeight="1">
      <c r="S927" s="192"/>
    </row>
    <row r="928" ht="14.25" customHeight="1">
      <c r="S928" s="192"/>
    </row>
    <row r="929" ht="14.25" customHeight="1">
      <c r="S929" s="192"/>
    </row>
    <row r="930" ht="14.25" customHeight="1">
      <c r="S930" s="192"/>
    </row>
    <row r="931" ht="14.25" customHeight="1">
      <c r="S931" s="192"/>
    </row>
    <row r="932" ht="14.25" customHeight="1">
      <c r="S932" s="192"/>
    </row>
    <row r="933" ht="14.25" customHeight="1">
      <c r="S933" s="192"/>
    </row>
    <row r="934" ht="14.25" customHeight="1">
      <c r="S934" s="192"/>
    </row>
    <row r="935" ht="14.25" customHeight="1">
      <c r="S935" s="192"/>
    </row>
    <row r="936" ht="14.25" customHeight="1">
      <c r="S936" s="192"/>
    </row>
    <row r="937" ht="14.25" customHeight="1">
      <c r="S937" s="192"/>
    </row>
    <row r="938" ht="14.25" customHeight="1">
      <c r="S938" s="192"/>
    </row>
    <row r="939" ht="14.25" customHeight="1">
      <c r="S939" s="192"/>
    </row>
    <row r="940" ht="14.25" customHeight="1">
      <c r="S940" s="192"/>
    </row>
    <row r="941" ht="14.25" customHeight="1">
      <c r="S941" s="192"/>
    </row>
    <row r="942" ht="14.25" customHeight="1">
      <c r="S942" s="192"/>
    </row>
    <row r="943" ht="14.25" customHeight="1">
      <c r="S943" s="192"/>
    </row>
    <row r="944" ht="14.25" customHeight="1">
      <c r="S944" s="192"/>
    </row>
    <row r="945" ht="14.25" customHeight="1">
      <c r="S945" s="192"/>
    </row>
    <row r="946" ht="14.25" customHeight="1">
      <c r="S946" s="192"/>
    </row>
    <row r="947" ht="14.25" customHeight="1">
      <c r="S947" s="192"/>
    </row>
    <row r="948" ht="14.25" customHeight="1">
      <c r="S948" s="192"/>
    </row>
    <row r="949" ht="14.25" customHeight="1">
      <c r="S949" s="192"/>
    </row>
    <row r="950" ht="14.25" customHeight="1">
      <c r="S950" s="192"/>
    </row>
    <row r="951" ht="14.25" customHeight="1">
      <c r="S951" s="192"/>
    </row>
    <row r="952" ht="14.25" customHeight="1">
      <c r="S952" s="192"/>
    </row>
    <row r="953" ht="14.25" customHeight="1">
      <c r="S953" s="192"/>
    </row>
    <row r="954" ht="14.25" customHeight="1">
      <c r="S954" s="192"/>
    </row>
    <row r="955" ht="14.25" customHeight="1">
      <c r="S955" s="192"/>
    </row>
    <row r="956" ht="14.25" customHeight="1">
      <c r="S956" s="192"/>
    </row>
    <row r="957" ht="14.25" customHeight="1">
      <c r="S957" s="192"/>
    </row>
    <row r="958" ht="14.25" customHeight="1">
      <c r="S958" s="192"/>
    </row>
    <row r="959" ht="14.25" customHeight="1">
      <c r="S959" s="192"/>
    </row>
    <row r="960" ht="14.25" customHeight="1">
      <c r="S960" s="192"/>
    </row>
    <row r="961" ht="14.25" customHeight="1">
      <c r="S961" s="192"/>
    </row>
    <row r="962" ht="14.25" customHeight="1">
      <c r="S962" s="192"/>
    </row>
    <row r="963" ht="14.25" customHeight="1">
      <c r="S963" s="192"/>
    </row>
    <row r="964" ht="14.25" customHeight="1">
      <c r="S964" s="192"/>
    </row>
    <row r="965" ht="14.25" customHeight="1">
      <c r="S965" s="192"/>
    </row>
    <row r="966" ht="14.25" customHeight="1">
      <c r="S966" s="192"/>
    </row>
    <row r="967" ht="14.25" customHeight="1">
      <c r="S967" s="192"/>
    </row>
    <row r="968" ht="14.25" customHeight="1">
      <c r="S968" s="192"/>
    </row>
    <row r="969" ht="14.25" customHeight="1">
      <c r="S969" s="192"/>
    </row>
    <row r="970" ht="14.25" customHeight="1">
      <c r="S970" s="192"/>
    </row>
    <row r="971" ht="14.25" customHeight="1">
      <c r="S971" s="192"/>
    </row>
    <row r="972" ht="14.25" customHeight="1">
      <c r="S972" s="192"/>
    </row>
    <row r="973" ht="14.25" customHeight="1">
      <c r="S973" s="192"/>
    </row>
    <row r="974" ht="14.25" customHeight="1">
      <c r="S974" s="192"/>
    </row>
    <row r="975" ht="14.25" customHeight="1">
      <c r="S975" s="192"/>
    </row>
    <row r="976" ht="14.25" customHeight="1">
      <c r="S976" s="192"/>
    </row>
    <row r="977" ht="14.25" customHeight="1">
      <c r="S977" s="192"/>
    </row>
    <row r="978" ht="14.25" customHeight="1">
      <c r="S978" s="192"/>
    </row>
    <row r="979" ht="14.25" customHeight="1">
      <c r="S979" s="192"/>
    </row>
    <row r="980" ht="14.25" customHeight="1">
      <c r="S980" s="192"/>
    </row>
    <row r="981" ht="14.25" customHeight="1">
      <c r="S981" s="192"/>
    </row>
    <row r="982" ht="14.25" customHeight="1">
      <c r="S982" s="192"/>
    </row>
    <row r="983" ht="14.25" customHeight="1">
      <c r="S983" s="192"/>
    </row>
    <row r="984" ht="14.25" customHeight="1">
      <c r="S984" s="192"/>
    </row>
    <row r="985" ht="14.25" customHeight="1">
      <c r="S985" s="192"/>
    </row>
    <row r="986" ht="14.25" customHeight="1">
      <c r="S986" s="192"/>
    </row>
    <row r="987" ht="14.25" customHeight="1">
      <c r="S987" s="192"/>
    </row>
    <row r="988" ht="14.25" customHeight="1">
      <c r="S988" s="192"/>
    </row>
    <row r="989" ht="14.25" customHeight="1">
      <c r="S989" s="192"/>
    </row>
    <row r="990" ht="14.25" customHeight="1">
      <c r="S990" s="192"/>
    </row>
    <row r="991" ht="14.25" customHeight="1">
      <c r="S991" s="192"/>
    </row>
    <row r="992" ht="14.25" customHeight="1">
      <c r="S992" s="192"/>
    </row>
    <row r="993" ht="14.25" customHeight="1">
      <c r="S993" s="192"/>
    </row>
    <row r="994" ht="14.25" customHeight="1">
      <c r="S994" s="192"/>
    </row>
    <row r="995" ht="14.25" customHeight="1">
      <c r="S995" s="192"/>
    </row>
    <row r="996" ht="14.25" customHeight="1">
      <c r="S996" s="192"/>
    </row>
    <row r="997" ht="14.25" customHeight="1">
      <c r="S997" s="192"/>
    </row>
    <row r="998" ht="14.25" customHeight="1">
      <c r="S998" s="192"/>
    </row>
    <row r="999" ht="14.25" customHeight="1">
      <c r="S999" s="192"/>
    </row>
    <row r="1000" ht="14.25" customHeight="1">
      <c r="S1000" s="192"/>
    </row>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12.14"/>
    <col customWidth="1" min="3" max="3" width="12.29"/>
    <col customWidth="1" min="4" max="4" width="10.0"/>
    <col customWidth="1" min="5" max="5" width="11.14"/>
    <col customWidth="1" min="6" max="6" width="10.29"/>
    <col customWidth="1" min="7" max="7" width="11.29"/>
    <col customWidth="1" min="8" max="8" width="12.14"/>
    <col customWidth="1" min="9" max="26" width="8.71"/>
  </cols>
  <sheetData>
    <row r="1" ht="14.25" customHeight="1">
      <c r="A1" s="5" t="s">
        <v>1002</v>
      </c>
    </row>
    <row r="2" ht="14.25" customHeight="1">
      <c r="A2" s="5" t="s">
        <v>814</v>
      </c>
      <c r="B2" s="5" t="s">
        <v>1003</v>
      </c>
      <c r="C2" s="5" t="s">
        <v>1004</v>
      </c>
      <c r="D2" s="5" t="s">
        <v>1005</v>
      </c>
      <c r="E2" s="5" t="s">
        <v>1006</v>
      </c>
      <c r="F2" s="5" t="s">
        <v>1007</v>
      </c>
      <c r="G2" s="5" t="s">
        <v>1008</v>
      </c>
      <c r="H2" s="5" t="s">
        <v>1009</v>
      </c>
    </row>
    <row r="3" ht="14.25" customHeight="1">
      <c r="A3" s="196">
        <v>45292.0</v>
      </c>
      <c r="B3" s="197">
        <f>0</f>
        <v>0</v>
      </c>
      <c r="C3" s="197">
        <f>SUMIFS(Engine!$S$2:$S$102, Engine!$R$2:$R$102, "New", Engine!$F$2:$F$102, Waterfall!A3)</f>
        <v>5800</v>
      </c>
      <c r="D3" s="197">
        <f>SUMIFS(Engine!$S$2:$S$102, Engine!$R$2:$R$102, "Expansion", Engine!$F$2:$F$102, Waterfall!A3)</f>
        <v>0</v>
      </c>
      <c r="E3" s="197">
        <f>SUMIFS(Engine!$S$2:$S$102, Engine!$R$2:$R$102, "Contraction", Engine!$F$2:$F$102, Waterfall!A3)</f>
        <v>0</v>
      </c>
      <c r="F3" s="197">
        <f>SUMIFS(Engine!$S$2:$S$102, Engine!$R$2:$R$102, "Churned", Engine!$F$2:$F$102, Waterfall!A3)</f>
        <v>0</v>
      </c>
      <c r="G3" s="197">
        <f t="shared" ref="G3:G29" si="1">C3+D3+E3+F3</f>
        <v>5800</v>
      </c>
      <c r="H3" s="197">
        <f t="shared" ref="H3:H29" si="2">B3+G3</f>
        <v>5800</v>
      </c>
    </row>
    <row r="4" ht="14.25" customHeight="1">
      <c r="A4" s="196">
        <v>45323.0</v>
      </c>
      <c r="B4" s="197">
        <f t="shared" ref="B4:B29" si="3">H3</f>
        <v>5800</v>
      </c>
      <c r="C4" s="197">
        <f>SUMIFS(Engine!$S$2:$S$102, Engine!$R$2:$R$102, "New", Engine!$F$2:$F$102, Waterfall!A4)</f>
        <v>8615</v>
      </c>
      <c r="D4" s="197">
        <f>SUMIFS(Engine!$S$2:$S$102, Engine!$R$2:$R$102, "Expansion", Engine!$F$2:$F$102, Waterfall!A4)</f>
        <v>0</v>
      </c>
      <c r="E4" s="197">
        <f>SUMIFS(Engine!$S$2:$S$102, Engine!$R$2:$R$102, "Contraction", Engine!$F$2:$F$102, Waterfall!A4)</f>
        <v>0</v>
      </c>
      <c r="F4" s="197">
        <f>SUMIFS(Engine!$S$2:$S$102, Engine!$R$2:$R$102, "Churned", Engine!$F$2:$F$102, Waterfall!A4)</f>
        <v>0</v>
      </c>
      <c r="G4" s="197">
        <f t="shared" si="1"/>
        <v>8615</v>
      </c>
      <c r="H4" s="197">
        <f t="shared" si="2"/>
        <v>14415</v>
      </c>
    </row>
    <row r="5" ht="14.25" customHeight="1">
      <c r="A5" s="196">
        <v>45352.0</v>
      </c>
      <c r="B5" s="197">
        <f t="shared" si="3"/>
        <v>14415</v>
      </c>
      <c r="C5" s="197">
        <f>SUMIFS(Engine!$S$2:$S$102, Engine!$R$2:$R$102, "New", Engine!$F$2:$F$102, Waterfall!A5)</f>
        <v>6075</v>
      </c>
      <c r="D5" s="197">
        <f>SUMIFS(Engine!$S$2:$S$102, Engine!$R$2:$R$102, "Expansion", Engine!$F$2:$F$102, Waterfall!A5)</f>
        <v>0</v>
      </c>
      <c r="E5" s="197">
        <f>SUMIFS(Engine!$S$2:$S$102, Engine!$R$2:$R$102, "Contraction", Engine!$F$2:$F$102, Waterfall!A5)</f>
        <v>0</v>
      </c>
      <c r="F5" s="197">
        <f>SUMIFS(Engine!$S$2:$S$102, Engine!$R$2:$R$102, "Churned", Engine!$F$2:$F$102, Waterfall!A5)</f>
        <v>0</v>
      </c>
      <c r="G5" s="197">
        <f t="shared" si="1"/>
        <v>6075</v>
      </c>
      <c r="H5" s="197">
        <f t="shared" si="2"/>
        <v>20490</v>
      </c>
    </row>
    <row r="6" ht="14.25" customHeight="1">
      <c r="A6" s="196">
        <v>45383.0</v>
      </c>
      <c r="B6" s="197">
        <f t="shared" si="3"/>
        <v>20490</v>
      </c>
      <c r="C6" s="197">
        <f>SUMIFS(Engine!$S$2:$S$102, Engine!$R$2:$R$102, "New", Engine!$F$2:$F$102, Waterfall!A6)</f>
        <v>9444</v>
      </c>
      <c r="D6" s="197">
        <f>SUMIFS(Engine!$S$2:$S$102, Engine!$R$2:$R$102, "Expansion", Engine!$F$2:$F$102, Waterfall!A6)</f>
        <v>0</v>
      </c>
      <c r="E6" s="197">
        <f>SUMIFS(Engine!$S$2:$S$102, Engine!$R$2:$R$102, "Contraction", Engine!$F$2:$F$102, Waterfall!A6)</f>
        <v>0</v>
      </c>
      <c r="F6" s="197">
        <f>SUMIFS(Engine!$S$2:$S$102, Engine!$R$2:$R$102, "Churned", Engine!$F$2:$F$102, Waterfall!A6)</f>
        <v>0</v>
      </c>
      <c r="G6" s="197">
        <f t="shared" si="1"/>
        <v>9444</v>
      </c>
      <c r="H6" s="197">
        <f t="shared" si="2"/>
        <v>29934</v>
      </c>
    </row>
    <row r="7" ht="14.25" customHeight="1">
      <c r="A7" s="196">
        <v>45413.0</v>
      </c>
      <c r="B7" s="197">
        <f t="shared" si="3"/>
        <v>29934</v>
      </c>
      <c r="C7" s="197">
        <f>SUMIFS(Engine!$S$2:$S$102, Engine!$R$2:$R$102, "New", Engine!$F$2:$F$102, Waterfall!A7)</f>
        <v>2565</v>
      </c>
      <c r="D7" s="197">
        <f>SUMIFS(Engine!$S$2:$S$102, Engine!$R$2:$R$102, "Expansion", Engine!$F$2:$F$102, Waterfall!A7)</f>
        <v>0</v>
      </c>
      <c r="E7" s="197">
        <f>SUMIFS(Engine!$S$2:$S$102, Engine!$R$2:$R$102, "Contraction", Engine!$F$2:$F$102, Waterfall!A7)</f>
        <v>0</v>
      </c>
      <c r="F7" s="197">
        <f>SUMIFS(Engine!$S$2:$S$102, Engine!$R$2:$R$102, "Churned", Engine!$F$2:$F$102, Waterfall!A7)</f>
        <v>0</v>
      </c>
      <c r="G7" s="197">
        <f t="shared" si="1"/>
        <v>2565</v>
      </c>
      <c r="H7" s="197">
        <f t="shared" si="2"/>
        <v>32499</v>
      </c>
    </row>
    <row r="8" ht="14.25" customHeight="1">
      <c r="A8" s="196">
        <v>45444.0</v>
      </c>
      <c r="B8" s="197">
        <f t="shared" si="3"/>
        <v>32499</v>
      </c>
      <c r="C8" s="197">
        <f>SUMIFS(Engine!$S$2:$S$102, Engine!$R$2:$R$102, "New", Engine!$F$2:$F$102, Waterfall!A8)</f>
        <v>3490</v>
      </c>
      <c r="D8" s="197">
        <f>SUMIFS(Engine!$S$2:$S$102, Engine!$R$2:$R$102, "Expansion", Engine!$F$2:$F$102, Waterfall!A8)</f>
        <v>0</v>
      </c>
      <c r="E8" s="197">
        <f>SUMIFS(Engine!$S$2:$S$102, Engine!$R$2:$R$102, "Contraction", Engine!$F$2:$F$102, Waterfall!A8)</f>
        <v>0</v>
      </c>
      <c r="F8" s="197">
        <f>SUMIFS(Engine!$S$2:$S$102, Engine!$R$2:$R$102, "Churned", Engine!$F$2:$F$102, Waterfall!A8)</f>
        <v>0</v>
      </c>
      <c r="G8" s="197">
        <f t="shared" si="1"/>
        <v>3490</v>
      </c>
      <c r="H8" s="197">
        <f t="shared" si="2"/>
        <v>35989</v>
      </c>
    </row>
    <row r="9" ht="14.25" customHeight="1">
      <c r="A9" s="196">
        <v>45474.0</v>
      </c>
      <c r="B9" s="197">
        <f t="shared" si="3"/>
        <v>35989</v>
      </c>
      <c r="C9" s="197">
        <f>SUMIFS(Engine!$S$2:$S$102, Engine!$R$2:$R$102, "New", Engine!$F$2:$F$102, Waterfall!A9)</f>
        <v>9364.5</v>
      </c>
      <c r="D9" s="197">
        <f>SUMIFS(Engine!$S$2:$S$102, Engine!$R$2:$R$102, "Expansion", Engine!$F$2:$F$102, Waterfall!A9)</f>
        <v>0</v>
      </c>
      <c r="E9" s="197">
        <f>SUMIFS(Engine!$S$2:$S$102, Engine!$R$2:$R$102, "Contraction", Engine!$F$2:$F$102, Waterfall!A9)</f>
        <v>0</v>
      </c>
      <c r="F9" s="197">
        <f>SUMIFS(Engine!$S$2:$S$102, Engine!$R$2:$R$102, "Churned", Engine!$F$2:$F$102, Waterfall!A9)</f>
        <v>0</v>
      </c>
      <c r="G9" s="197">
        <f t="shared" si="1"/>
        <v>9364.5</v>
      </c>
      <c r="H9" s="197">
        <f t="shared" si="2"/>
        <v>45353.5</v>
      </c>
    </row>
    <row r="10" ht="14.25" customHeight="1">
      <c r="A10" s="196">
        <v>45505.0</v>
      </c>
      <c r="B10" s="197">
        <f t="shared" si="3"/>
        <v>45353.5</v>
      </c>
      <c r="C10" s="197">
        <f>SUMIFS(Engine!$S$2:$S$102, Engine!$R$2:$R$102, "New", Engine!$F$2:$F$102, Waterfall!A10)</f>
        <v>6840</v>
      </c>
      <c r="D10" s="197">
        <f>SUMIFS(Engine!$S$2:$S$102, Engine!$R$2:$R$102, "Expansion", Engine!$F$2:$F$102, Waterfall!A10)</f>
        <v>0</v>
      </c>
      <c r="E10" s="197">
        <f>SUMIFS(Engine!$S$2:$S$102, Engine!$R$2:$R$102, "Contraction", Engine!$F$2:$F$102, Waterfall!A10)</f>
        <v>0</v>
      </c>
      <c r="F10" s="197">
        <f>SUMIFS(Engine!$S$2:$S$102, Engine!$R$2:$R$102, "Churned", Engine!$F$2:$F$102, Waterfall!A10)</f>
        <v>-1900</v>
      </c>
      <c r="G10" s="197">
        <f t="shared" si="1"/>
        <v>4940</v>
      </c>
      <c r="H10" s="197">
        <f t="shared" si="2"/>
        <v>50293.5</v>
      </c>
    </row>
    <row r="11" ht="14.25" customHeight="1">
      <c r="A11" s="196">
        <v>45536.0</v>
      </c>
      <c r="B11" s="197">
        <f t="shared" si="3"/>
        <v>50293.5</v>
      </c>
      <c r="C11" s="197">
        <f>SUMIFS(Engine!$S$2:$S$102, Engine!$R$2:$R$102, "New", Engine!$F$2:$F$102, Waterfall!A11)</f>
        <v>13415</v>
      </c>
      <c r="D11" s="197">
        <f>SUMIFS(Engine!$S$2:$S$102, Engine!$R$2:$R$102, "Expansion", Engine!$F$2:$F$102, Waterfall!A11)</f>
        <v>0</v>
      </c>
      <c r="E11" s="197">
        <f>SUMIFS(Engine!$S$2:$S$102, Engine!$R$2:$R$102, "Contraction", Engine!$F$2:$F$102, Waterfall!A11)</f>
        <v>0</v>
      </c>
      <c r="F11" s="197">
        <f>SUMIFS(Engine!$S$2:$S$102, Engine!$R$2:$R$102, "Churned", Engine!$F$2:$F$102, Waterfall!A11)</f>
        <v>0</v>
      </c>
      <c r="G11" s="197">
        <f t="shared" si="1"/>
        <v>13415</v>
      </c>
      <c r="H11" s="197">
        <f t="shared" si="2"/>
        <v>63708.5</v>
      </c>
    </row>
    <row r="12" ht="14.25" customHeight="1">
      <c r="A12" s="196">
        <v>45566.0</v>
      </c>
      <c r="B12" s="197">
        <f t="shared" si="3"/>
        <v>63708.5</v>
      </c>
      <c r="C12" s="197">
        <f>SUMIFS(Engine!$S$2:$S$102, Engine!$R$2:$R$102, "New", Engine!$F$2:$F$102, Waterfall!A12)</f>
        <v>10130</v>
      </c>
      <c r="D12" s="197">
        <f>SUMIFS(Engine!$S$2:$S$102, Engine!$R$2:$R$102, "Expansion", Engine!$F$2:$F$102, Waterfall!A12)</f>
        <v>0</v>
      </c>
      <c r="E12" s="197">
        <f>SUMIFS(Engine!$S$2:$S$102, Engine!$R$2:$R$102, "Contraction", Engine!$F$2:$F$102, Waterfall!A12)</f>
        <v>0</v>
      </c>
      <c r="F12" s="197">
        <f>SUMIFS(Engine!$S$2:$S$102, Engine!$R$2:$R$102, "Churned", Engine!$F$2:$F$102, Waterfall!A12)</f>
        <v>0</v>
      </c>
      <c r="G12" s="197">
        <f t="shared" si="1"/>
        <v>10130</v>
      </c>
      <c r="H12" s="197">
        <f t="shared" si="2"/>
        <v>73838.5</v>
      </c>
    </row>
    <row r="13" ht="14.25" customHeight="1">
      <c r="A13" s="196">
        <v>45597.0</v>
      </c>
      <c r="B13" s="197">
        <f t="shared" si="3"/>
        <v>73838.5</v>
      </c>
      <c r="C13" s="197">
        <f>SUMIFS(Engine!$S$2:$S$102, Engine!$R$2:$R$102, "New", Engine!$F$2:$F$102, Waterfall!A13)</f>
        <v>4955</v>
      </c>
      <c r="D13" s="197">
        <f>SUMIFS(Engine!$S$2:$S$102, Engine!$R$2:$R$102, "Expansion", Engine!$F$2:$F$102, Waterfall!A13)</f>
        <v>0</v>
      </c>
      <c r="E13" s="197">
        <f>SUMIFS(Engine!$S$2:$S$102, Engine!$R$2:$R$102, "Contraction", Engine!$F$2:$F$102, Waterfall!A13)</f>
        <v>0</v>
      </c>
      <c r="F13" s="197">
        <f>SUMIFS(Engine!$S$2:$S$102, Engine!$R$2:$R$102, "Churned", Engine!$F$2:$F$102, Waterfall!A13)</f>
        <v>-495</v>
      </c>
      <c r="G13" s="197">
        <f t="shared" si="1"/>
        <v>4460</v>
      </c>
      <c r="H13" s="197">
        <f t="shared" si="2"/>
        <v>78298.5</v>
      </c>
    </row>
    <row r="14" ht="14.25" customHeight="1">
      <c r="A14" s="196">
        <v>45627.0</v>
      </c>
      <c r="B14" s="197">
        <f t="shared" si="3"/>
        <v>78298.5</v>
      </c>
      <c r="C14" s="197">
        <f>SUMIFS(Engine!$S$2:$S$102, Engine!$R$2:$R$102, "New", Engine!$F$2:$F$102, Waterfall!A14)</f>
        <v>14915</v>
      </c>
      <c r="D14" s="197">
        <f>SUMIFS(Engine!$S$2:$S$102, Engine!$R$2:$R$102, "Expansion", Engine!$F$2:$F$102, Waterfall!A14)</f>
        <v>0</v>
      </c>
      <c r="E14" s="197">
        <f>SUMIFS(Engine!$S$2:$S$102, Engine!$R$2:$R$102, "Contraction", Engine!$F$2:$F$102, Waterfall!A14)</f>
        <v>0</v>
      </c>
      <c r="F14" s="197">
        <f>SUMIFS(Engine!$S$2:$S$102, Engine!$R$2:$R$102, "Churned", Engine!$F$2:$F$102, Waterfall!A14)</f>
        <v>-2090</v>
      </c>
      <c r="G14" s="197">
        <f t="shared" si="1"/>
        <v>12825</v>
      </c>
      <c r="H14" s="197">
        <f t="shared" si="2"/>
        <v>91123.5</v>
      </c>
    </row>
    <row r="15" ht="14.25" customHeight="1">
      <c r="A15" s="196">
        <v>45658.0</v>
      </c>
      <c r="B15" s="197">
        <f t="shared" si="3"/>
        <v>91123.5</v>
      </c>
      <c r="C15" s="197">
        <f>SUMIFS(Engine!$S$2:$S$102, Engine!$R$2:$R$102, "New", Engine!$F$2:$F$102, Waterfall!A15)</f>
        <v>9940.5</v>
      </c>
      <c r="D15" s="197">
        <f>SUMIFS(Engine!$S$2:$S$102, Engine!$R$2:$R$102, "Expansion", Engine!$F$2:$F$102, Waterfall!A15)</f>
        <v>140</v>
      </c>
      <c r="E15" s="197">
        <f>SUMIFS(Engine!$S$2:$S$102, Engine!$R$2:$R$102, "Contraction", Engine!$F$2:$F$102, Waterfall!A15)</f>
        <v>0</v>
      </c>
      <c r="F15" s="197">
        <f>SUMIFS(Engine!$S$2:$S$102, Engine!$R$2:$R$102, "Churned", Engine!$F$2:$F$102, Waterfall!A15)</f>
        <v>-450</v>
      </c>
      <c r="G15" s="197">
        <f t="shared" si="1"/>
        <v>9630.5</v>
      </c>
      <c r="H15" s="197">
        <f t="shared" si="2"/>
        <v>100754</v>
      </c>
    </row>
    <row r="16" ht="14.25" customHeight="1">
      <c r="A16" s="196">
        <v>45689.0</v>
      </c>
      <c r="B16" s="197">
        <f t="shared" si="3"/>
        <v>100754</v>
      </c>
      <c r="C16" s="197">
        <f>SUMIFS(Engine!$S$2:$S$102, Engine!$R$2:$R$102, "New", Engine!$F$2:$F$102, Waterfall!A16)</f>
        <v>7405</v>
      </c>
      <c r="D16" s="197">
        <f>SUMIFS(Engine!$S$2:$S$102, Engine!$R$2:$R$102, "Expansion", Engine!$F$2:$F$102, Waterfall!A16)</f>
        <v>0</v>
      </c>
      <c r="E16" s="197">
        <f>SUMIFS(Engine!$S$2:$S$102, Engine!$R$2:$R$102, "Contraction", Engine!$F$2:$F$102, Waterfall!A16)</f>
        <v>0</v>
      </c>
      <c r="F16" s="197">
        <f>SUMIFS(Engine!$S$2:$S$102, Engine!$R$2:$R$102, "Churned", Engine!$F$2:$F$102, Waterfall!A16)</f>
        <v>0</v>
      </c>
      <c r="G16" s="197">
        <f t="shared" si="1"/>
        <v>7405</v>
      </c>
      <c r="H16" s="197">
        <f t="shared" si="2"/>
        <v>108159</v>
      </c>
    </row>
    <row r="17" ht="14.25" customHeight="1">
      <c r="A17" s="196">
        <v>45717.0</v>
      </c>
      <c r="B17" s="197">
        <f t="shared" si="3"/>
        <v>108159</v>
      </c>
      <c r="C17" s="197">
        <f>SUMIFS(Engine!$S$2:$S$102, Engine!$R$2:$R$102, "New", Engine!$F$2:$F$102, Waterfall!A17)</f>
        <v>19390</v>
      </c>
      <c r="D17" s="197">
        <f>SUMIFS(Engine!$S$2:$S$102, Engine!$R$2:$R$102, "Expansion", Engine!$F$2:$F$102, Waterfall!A17)</f>
        <v>0</v>
      </c>
      <c r="E17" s="197">
        <f>SUMIFS(Engine!$S$2:$S$102, Engine!$R$2:$R$102, "Contraction", Engine!$F$2:$F$102, Waterfall!A17)</f>
        <v>-1009.5</v>
      </c>
      <c r="F17" s="197">
        <f>SUMIFS(Engine!$S$2:$S$102, Engine!$R$2:$R$102, "Churned", Engine!$F$2:$F$102, Waterfall!A17)</f>
        <v>0</v>
      </c>
      <c r="G17" s="197">
        <f t="shared" si="1"/>
        <v>18380.5</v>
      </c>
      <c r="H17" s="197">
        <f t="shared" si="2"/>
        <v>126539.5</v>
      </c>
    </row>
    <row r="18" ht="14.25" customHeight="1">
      <c r="A18" s="196">
        <v>45748.0</v>
      </c>
      <c r="B18" s="197">
        <f t="shared" si="3"/>
        <v>126539.5</v>
      </c>
      <c r="C18" s="197">
        <f>SUMIFS(Engine!$S$2:$S$102, Engine!$R$2:$R$102, "New", Engine!$F$2:$F$102, Waterfall!A18)</f>
        <v>5780</v>
      </c>
      <c r="D18" s="197">
        <f>SUMIFS(Engine!$S$2:$S$102, Engine!$R$2:$R$102, "Expansion", Engine!$F$2:$F$102, Waterfall!A18)</f>
        <v>755</v>
      </c>
      <c r="E18" s="197">
        <f>SUMIFS(Engine!$S$2:$S$102, Engine!$R$2:$R$102, "Contraction", Engine!$F$2:$F$102, Waterfall!A18)</f>
        <v>0</v>
      </c>
      <c r="F18" s="197">
        <f>SUMIFS(Engine!$S$2:$S$102, Engine!$R$2:$R$102, "Churned", Engine!$F$2:$F$102, Waterfall!A18)</f>
        <v>0</v>
      </c>
      <c r="G18" s="197">
        <f t="shared" si="1"/>
        <v>6535</v>
      </c>
      <c r="H18" s="197">
        <f t="shared" si="2"/>
        <v>133074.5</v>
      </c>
    </row>
    <row r="19" ht="14.25" customHeight="1">
      <c r="A19" s="196">
        <v>45778.0</v>
      </c>
      <c r="B19" s="197">
        <f t="shared" si="3"/>
        <v>133074.5</v>
      </c>
      <c r="C19" s="197">
        <f>SUMIFS(Engine!$S$2:$S$102, Engine!$R$2:$R$102, "New", Engine!$F$2:$F$102, Waterfall!A19)</f>
        <v>12060</v>
      </c>
      <c r="D19" s="197">
        <f>SUMIFS(Engine!$S$2:$S$102, Engine!$R$2:$R$102, "Expansion", Engine!$F$2:$F$102, Waterfall!A19)</f>
        <v>330</v>
      </c>
      <c r="E19" s="197">
        <f>SUMIFS(Engine!$S$2:$S$102, Engine!$R$2:$R$102, "Contraction", Engine!$F$2:$F$102, Waterfall!A19)</f>
        <v>0</v>
      </c>
      <c r="F19" s="197">
        <f>SUMIFS(Engine!$S$2:$S$102, Engine!$R$2:$R$102, "Churned", Engine!$F$2:$F$102, Waterfall!A19)</f>
        <v>-2375</v>
      </c>
      <c r="G19" s="197">
        <f t="shared" si="1"/>
        <v>10015</v>
      </c>
      <c r="H19" s="197">
        <f t="shared" si="2"/>
        <v>143089.5</v>
      </c>
    </row>
    <row r="20" ht="14.25" customHeight="1">
      <c r="A20" s="196">
        <v>45809.0</v>
      </c>
      <c r="B20" s="197">
        <f t="shared" si="3"/>
        <v>143089.5</v>
      </c>
      <c r="C20" s="197">
        <f>SUMIFS(Engine!$S$2:$S$102, Engine!$R$2:$R$102, "New", Engine!$F$2:$F$102, Waterfall!A20)</f>
        <v>8630</v>
      </c>
      <c r="D20" s="197">
        <f>SUMIFS(Engine!$S$2:$S$102, Engine!$R$2:$R$102, "Expansion", Engine!$F$2:$F$102, Waterfall!A20)</f>
        <v>1700</v>
      </c>
      <c r="E20" s="197">
        <f>SUMIFS(Engine!$S$2:$S$102, Engine!$R$2:$R$102, "Contraction", Engine!$F$2:$F$102, Waterfall!A20)</f>
        <v>0</v>
      </c>
      <c r="F20" s="197">
        <f>SUMIFS(Engine!$S$2:$S$102, Engine!$R$2:$R$102, "Churned", Engine!$F$2:$F$102, Waterfall!A20)</f>
        <v>-1305</v>
      </c>
      <c r="G20" s="197">
        <f t="shared" si="1"/>
        <v>9025</v>
      </c>
      <c r="H20" s="197">
        <f t="shared" si="2"/>
        <v>152114.5</v>
      </c>
    </row>
    <row r="21" ht="14.25" customHeight="1">
      <c r="A21" s="196">
        <v>45839.0</v>
      </c>
      <c r="B21" s="197">
        <f t="shared" si="3"/>
        <v>152114.5</v>
      </c>
      <c r="C21" s="197">
        <f>SUMIFS(Engine!$S$2:$S$102, Engine!$R$2:$R$102, "New", Engine!$F$2:$F$102, Waterfall!A21)</f>
        <v>0</v>
      </c>
      <c r="D21" s="197">
        <f>SUMIFS(Engine!$S$2:$S$102, Engine!$R$2:$R$102, "Expansion", Engine!$F$2:$F$102, Waterfall!A21)</f>
        <v>660</v>
      </c>
      <c r="E21" s="197">
        <f>SUMIFS(Engine!$S$2:$S$102, Engine!$R$2:$R$102, "Contraction", Engine!$F$2:$F$102, Waterfall!A21)</f>
        <v>0</v>
      </c>
      <c r="F21" s="197">
        <f>SUMIFS(Engine!$S$2:$S$102, Engine!$R$2:$R$102, "Churned", Engine!$F$2:$F$102, Waterfall!A21)</f>
        <v>-1760</v>
      </c>
      <c r="G21" s="197">
        <f t="shared" si="1"/>
        <v>-1100</v>
      </c>
      <c r="H21" s="197">
        <f t="shared" si="2"/>
        <v>151014.5</v>
      </c>
    </row>
    <row r="22" ht="14.25" customHeight="1">
      <c r="A22" s="196">
        <v>45870.0</v>
      </c>
      <c r="B22" s="197">
        <f t="shared" si="3"/>
        <v>151014.5</v>
      </c>
      <c r="C22" s="197">
        <f>SUMIFS(Engine!$S$2:$S$102, Engine!$R$2:$R$102, "New", Engine!$F$2:$F$102, Waterfall!A22)</f>
        <v>0</v>
      </c>
      <c r="D22" s="197">
        <f>SUMIFS(Engine!$S$2:$S$102, Engine!$R$2:$R$102, "Expansion", Engine!$F$2:$F$102, Waterfall!A22)</f>
        <v>2960</v>
      </c>
      <c r="E22" s="197">
        <f>SUMIFS(Engine!$S$2:$S$102, Engine!$R$2:$R$102, "Contraction", Engine!$F$2:$F$102, Waterfall!A22)</f>
        <v>-710</v>
      </c>
      <c r="F22" s="197">
        <f>SUMIFS(Engine!$S$2:$S$102, Engine!$R$2:$R$102, "Churned", Engine!$F$2:$F$102, Waterfall!A22)</f>
        <v>-4680</v>
      </c>
      <c r="G22" s="197">
        <f t="shared" si="1"/>
        <v>-2430</v>
      </c>
      <c r="H22" s="197">
        <f t="shared" si="2"/>
        <v>148584.5</v>
      </c>
    </row>
    <row r="23" ht="14.25" customHeight="1">
      <c r="A23" s="196">
        <v>45901.0</v>
      </c>
      <c r="B23" s="197">
        <f t="shared" si="3"/>
        <v>148584.5</v>
      </c>
      <c r="C23" s="197">
        <f>SUMIFS(Engine!$S$2:$S$102, Engine!$R$2:$R$102, "New", Engine!$F$2:$F$102, Waterfall!A23)</f>
        <v>0</v>
      </c>
      <c r="D23" s="197">
        <f>SUMIFS(Engine!$S$2:$S$102, Engine!$R$2:$R$102, "Expansion", Engine!$F$2:$F$102, Waterfall!A23)</f>
        <v>1900</v>
      </c>
      <c r="E23" s="197">
        <f>SUMIFS(Engine!$S$2:$S$102, Engine!$R$2:$R$102, "Contraction", Engine!$F$2:$F$102, Waterfall!A23)</f>
        <v>-125</v>
      </c>
      <c r="F23" s="197">
        <f>SUMIFS(Engine!$S$2:$S$102, Engine!$R$2:$R$102, "Churned", Engine!$F$2:$F$102, Waterfall!A23)</f>
        <v>0</v>
      </c>
      <c r="G23" s="197">
        <f t="shared" si="1"/>
        <v>1775</v>
      </c>
      <c r="H23" s="197">
        <f t="shared" si="2"/>
        <v>150359.5</v>
      </c>
    </row>
    <row r="24" ht="14.25" customHeight="1">
      <c r="A24" s="196">
        <v>45931.0</v>
      </c>
      <c r="B24" s="197">
        <f t="shared" si="3"/>
        <v>150359.5</v>
      </c>
      <c r="C24" s="197">
        <f>SUMIFS(Engine!$S$2:$S$102, Engine!$R$2:$R$102, "New", Engine!$F$2:$F$102, Waterfall!A24)</f>
        <v>935</v>
      </c>
      <c r="D24" s="197">
        <f>SUMIFS(Engine!$S$2:$S$102, Engine!$R$2:$R$102, "Expansion", Engine!$F$2:$F$102, Waterfall!A24)</f>
        <v>1325</v>
      </c>
      <c r="E24" s="197">
        <f>SUMIFS(Engine!$S$2:$S$102, Engine!$R$2:$R$102, "Contraction", Engine!$F$2:$F$102, Waterfall!A24)</f>
        <v>0</v>
      </c>
      <c r="F24" s="197">
        <f>SUMIFS(Engine!$S$2:$S$102, Engine!$R$2:$R$102, "Churned", Engine!$F$2:$F$102, Waterfall!A24)</f>
        <v>0</v>
      </c>
      <c r="G24" s="197">
        <f t="shared" si="1"/>
        <v>2260</v>
      </c>
      <c r="H24" s="197">
        <f t="shared" si="2"/>
        <v>152619.5</v>
      </c>
    </row>
    <row r="25" ht="14.25" customHeight="1">
      <c r="A25" s="196">
        <v>45962.0</v>
      </c>
      <c r="B25" s="197">
        <f t="shared" si="3"/>
        <v>152619.5</v>
      </c>
      <c r="C25" s="197">
        <f>SUMIFS(Engine!$S$2:$S$102, Engine!$R$2:$R$102, "New", Engine!$F$2:$F$102, Waterfall!A25)</f>
        <v>0</v>
      </c>
      <c r="D25" s="197">
        <f>SUMIFS(Engine!$S$2:$S$102, Engine!$R$2:$R$102, "Expansion", Engine!$F$2:$F$102, Waterfall!A25)</f>
        <v>0</v>
      </c>
      <c r="E25" s="197">
        <f>SUMIFS(Engine!$S$2:$S$102, Engine!$R$2:$R$102, "Contraction", Engine!$F$2:$F$102, Waterfall!A25)</f>
        <v>-435.5</v>
      </c>
      <c r="F25" s="197">
        <f>SUMIFS(Engine!$S$2:$S$102, Engine!$R$2:$R$102, "Churned", Engine!$F$2:$F$102, Waterfall!A25)</f>
        <v>0</v>
      </c>
      <c r="G25" s="198">
        <f t="shared" si="1"/>
        <v>-435.5</v>
      </c>
      <c r="H25" s="197">
        <f t="shared" si="2"/>
        <v>152184</v>
      </c>
    </row>
    <row r="26" ht="14.25" customHeight="1">
      <c r="A26" s="196">
        <v>45992.0</v>
      </c>
      <c r="B26" s="197">
        <f t="shared" si="3"/>
        <v>152184</v>
      </c>
      <c r="C26" s="197">
        <f>SUMIFS(Engine!$S$2:$S$102, Engine!$R$2:$R$102, "New", Engine!$F$2:$F$102, Waterfall!A26)</f>
        <v>0</v>
      </c>
      <c r="D26" s="197">
        <f>SUMIFS(Engine!$S$2:$S$102, Engine!$R$2:$R$102, "Expansion", Engine!$F$2:$F$102, Waterfall!A26)</f>
        <v>440</v>
      </c>
      <c r="E26" s="197">
        <f>SUMIFS(Engine!$S$2:$S$102, Engine!$R$2:$R$102, "Contraction", Engine!$F$2:$F$102, Waterfall!A26)</f>
        <v>-81</v>
      </c>
      <c r="F26" s="197">
        <f>SUMIFS(Engine!$S$2:$S$102, Engine!$R$2:$R$102, "Churned", Engine!$F$2:$F$102, Waterfall!A26)</f>
        <v>-1624.5</v>
      </c>
      <c r="G26" s="197">
        <f t="shared" si="1"/>
        <v>-1265.5</v>
      </c>
      <c r="H26" s="197">
        <f t="shared" si="2"/>
        <v>150918.5</v>
      </c>
    </row>
    <row r="27" ht="14.25" customHeight="1">
      <c r="A27" s="196">
        <v>46023.0</v>
      </c>
      <c r="B27" s="197">
        <f t="shared" si="3"/>
        <v>150918.5</v>
      </c>
      <c r="C27" s="197">
        <f>SUMIFS(Engine!$S$2:$S$102, Engine!$R$2:$R$102, "New", Engine!$F$2:$F$102, Waterfall!A27)</f>
        <v>1710</v>
      </c>
      <c r="D27" s="197">
        <f>SUMIFS(Engine!$S$2:$S$102, Engine!$R$2:$R$102, "Expansion", Engine!$F$2:$F$102, Waterfall!A27)</f>
        <v>0</v>
      </c>
      <c r="E27" s="197">
        <f>SUMIFS(Engine!$S$2:$S$102, Engine!$R$2:$R$102, "Contraction", Engine!$F$2:$F$102, Waterfall!A27)</f>
        <v>0</v>
      </c>
      <c r="F27" s="197">
        <f>SUMIFS(Engine!$S$2:$S$102, Engine!$R$2:$R$102, "Churned", Engine!$F$2:$F$102, Waterfall!A27)</f>
        <v>0</v>
      </c>
      <c r="G27" s="197">
        <f t="shared" si="1"/>
        <v>1710</v>
      </c>
      <c r="H27" s="197">
        <f t="shared" si="2"/>
        <v>152628.5</v>
      </c>
    </row>
    <row r="28" ht="14.25" customHeight="1">
      <c r="A28" s="196">
        <v>46054.0</v>
      </c>
      <c r="B28" s="197">
        <f t="shared" si="3"/>
        <v>152628.5</v>
      </c>
      <c r="C28" s="197">
        <f>SUMIFS(Engine!$S$2:$S$102, Engine!$R$2:$R$102, "New", Engine!$F$2:$F$102, Waterfall!A28)</f>
        <v>6120</v>
      </c>
      <c r="D28" s="197">
        <f>SUMIFS(Engine!$S$2:$S$102, Engine!$R$2:$R$102, "Expansion", Engine!$F$2:$F$102, Waterfall!A28)</f>
        <v>0</v>
      </c>
      <c r="E28" s="197">
        <f>SUMIFS(Engine!$S$2:$S$102, Engine!$R$2:$R$102, "Contraction", Engine!$F$2:$F$102, Waterfall!A28)</f>
        <v>0</v>
      </c>
      <c r="F28" s="197">
        <f>SUMIFS(Engine!$S$2:$S$102, Engine!$R$2:$R$102, "Churned", Engine!$F$2:$F$102, Waterfall!A28)</f>
        <v>-594</v>
      </c>
      <c r="G28" s="197">
        <f t="shared" si="1"/>
        <v>5526</v>
      </c>
      <c r="H28" s="197">
        <f t="shared" si="2"/>
        <v>158154.5</v>
      </c>
    </row>
    <row r="29" ht="14.25" customHeight="1">
      <c r="A29" s="196">
        <v>46082.0</v>
      </c>
      <c r="B29" s="197">
        <f t="shared" si="3"/>
        <v>158154.5</v>
      </c>
      <c r="C29" s="197">
        <f>SUMIFS(Engine!$S$2:$S$102, Engine!$R$2:$R$102, "New", Engine!$F$2:$F$102, Waterfall!A29)</f>
        <v>3000</v>
      </c>
      <c r="D29" s="197">
        <f>SUMIFS(Engine!$S$2:$S$102, Engine!$R$2:$R$102, "Expansion", Engine!$F$2:$F$102, Waterfall!A29)</f>
        <v>380</v>
      </c>
      <c r="E29" s="197">
        <f>SUMIFS(Engine!$S$2:$S$102, Engine!$R$2:$R$102, "Contraction", Engine!$F$2:$F$102, Waterfall!A29)</f>
        <v>0</v>
      </c>
      <c r="F29" s="197">
        <f>SUMIFS(Engine!$S$2:$S$102, Engine!$R$2:$R$102, "Churned", Engine!$F$2:$F$102, Waterfall!A29)</f>
        <v>0</v>
      </c>
      <c r="G29" s="197">
        <f t="shared" si="1"/>
        <v>3380</v>
      </c>
      <c r="H29" s="197">
        <f t="shared" si="2"/>
        <v>161534.5</v>
      </c>
    </row>
    <row r="30" ht="14.25" customHeight="1"/>
    <row r="31" ht="14.25" customHeight="1">
      <c r="A31" s="5" t="s">
        <v>1010</v>
      </c>
      <c r="B31" s="197">
        <f>H28</f>
        <v>158154.5</v>
      </c>
    </row>
    <row r="32" ht="14.25" customHeight="1">
      <c r="A32" s="5" t="s">
        <v>1011</v>
      </c>
      <c r="B32" s="197">
        <f>SUM(Engine!$S$2:$S$102)</f>
        <v>161534.5</v>
      </c>
    </row>
    <row r="33" ht="14.25" customHeight="1">
      <c r="A33" s="5" t="s">
        <v>1012</v>
      </c>
      <c r="B33" s="197">
        <f>B31-B32</f>
        <v>-3380</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7" width="8.71"/>
    <col customWidth="1" min="28" max="28" width="12.14"/>
  </cols>
  <sheetData>
    <row r="1" ht="14.25" customHeight="1">
      <c r="A1" s="199" t="s">
        <v>1013</v>
      </c>
    </row>
    <row r="2" ht="14.25" customHeight="1"/>
    <row r="3" ht="14.25" customHeight="1">
      <c r="A3" s="25" t="s">
        <v>1014</v>
      </c>
    </row>
    <row r="4" ht="14.25" customHeight="1">
      <c r="A4" s="25" t="s">
        <v>814</v>
      </c>
      <c r="B4" s="200">
        <f>Waterfall!A3</f>
        <v>45292</v>
      </c>
      <c r="C4" s="200">
        <f>Waterfall!A4</f>
        <v>45323</v>
      </c>
      <c r="D4" s="200">
        <f>Waterfall!A5</f>
        <v>45352</v>
      </c>
      <c r="E4" s="200">
        <f>Waterfall!A6</f>
        <v>45383</v>
      </c>
      <c r="F4" s="200">
        <f>Waterfall!A7</f>
        <v>45413</v>
      </c>
      <c r="G4" s="200">
        <f>Waterfall!A8</f>
        <v>45444</v>
      </c>
      <c r="H4" s="200">
        <f>Waterfall!A9</f>
        <v>45474</v>
      </c>
      <c r="I4" s="200">
        <f>Waterfall!A10</f>
        <v>45505</v>
      </c>
      <c r="J4" s="200">
        <f>Waterfall!A11</f>
        <v>45536</v>
      </c>
      <c r="K4" s="200">
        <f>Waterfall!A12</f>
        <v>45566</v>
      </c>
      <c r="L4" s="200">
        <f>Waterfall!A13</f>
        <v>45597</v>
      </c>
      <c r="M4" s="200">
        <f>Waterfall!A14</f>
        <v>45627</v>
      </c>
      <c r="N4" s="200">
        <f>Waterfall!A15</f>
        <v>45658</v>
      </c>
      <c r="O4" s="200">
        <f>Waterfall!A16</f>
        <v>45689</v>
      </c>
      <c r="P4" s="200">
        <f>Waterfall!A17</f>
        <v>45717</v>
      </c>
      <c r="Q4" s="200">
        <f>Waterfall!A18</f>
        <v>45748</v>
      </c>
      <c r="R4" s="200">
        <f>Waterfall!A19</f>
        <v>45778</v>
      </c>
      <c r="S4" s="200">
        <f>Waterfall!A20</f>
        <v>45809</v>
      </c>
      <c r="T4" s="200">
        <f>Waterfall!A21</f>
        <v>45839</v>
      </c>
      <c r="U4" s="200">
        <f>Waterfall!A22</f>
        <v>45870</v>
      </c>
      <c r="V4" s="200">
        <f>Waterfall!A23</f>
        <v>45901</v>
      </c>
      <c r="W4" s="200">
        <f>Waterfall!A24</f>
        <v>45931</v>
      </c>
      <c r="X4" s="200">
        <f>Waterfall!A25</f>
        <v>45962</v>
      </c>
      <c r="Y4" s="200">
        <f>Waterfall!A26</f>
        <v>45992</v>
      </c>
      <c r="Z4" s="200">
        <f>Waterfall!A27</f>
        <v>46023</v>
      </c>
      <c r="AA4" s="200">
        <f>Waterfall!A28</f>
        <v>46054</v>
      </c>
      <c r="AB4" s="200">
        <f>Waterfall!A29</f>
        <v>46082</v>
      </c>
    </row>
    <row r="5" ht="14.25" customHeight="1">
      <c r="A5" s="25" t="s">
        <v>494</v>
      </c>
      <c r="B5" s="83">
        <f>Waterfall!B3</f>
        <v>0</v>
      </c>
      <c r="C5" s="83">
        <f>Waterfall!B4</f>
        <v>5800</v>
      </c>
      <c r="D5" s="83">
        <f>Waterfall!B5</f>
        <v>14415</v>
      </c>
      <c r="E5" s="83">
        <f>Waterfall!B6</f>
        <v>20490</v>
      </c>
      <c r="F5" s="83">
        <f>Waterfall!B7</f>
        <v>29934</v>
      </c>
      <c r="G5" s="83">
        <f>Waterfall!B8</f>
        <v>32499</v>
      </c>
      <c r="H5" s="83">
        <f>Waterfall!B9</f>
        <v>35989</v>
      </c>
      <c r="I5" s="83">
        <f>Waterfall!B10</f>
        <v>45353.5</v>
      </c>
      <c r="J5" s="83">
        <f>Waterfall!B11</f>
        <v>50293.5</v>
      </c>
      <c r="K5" s="83">
        <f>Waterfall!B12</f>
        <v>63708.5</v>
      </c>
      <c r="L5" s="83">
        <f>Waterfall!B13</f>
        <v>73838.5</v>
      </c>
      <c r="M5" s="83">
        <f>Waterfall!B14</f>
        <v>78298.5</v>
      </c>
      <c r="N5" s="83">
        <f>Waterfall!B15</f>
        <v>91123.5</v>
      </c>
      <c r="O5" s="83">
        <f>Waterfall!B16</f>
        <v>100754</v>
      </c>
      <c r="P5" s="83">
        <f>Waterfall!B17</f>
        <v>108159</v>
      </c>
      <c r="Q5" s="83">
        <f>Waterfall!B18</f>
        <v>126539.5</v>
      </c>
      <c r="R5" s="83">
        <f>Waterfall!B19</f>
        <v>133074.5</v>
      </c>
      <c r="S5" s="83">
        <f>Waterfall!B20</f>
        <v>143089.5</v>
      </c>
      <c r="T5" s="83">
        <f>Waterfall!B21</f>
        <v>152114.5</v>
      </c>
      <c r="U5" s="83">
        <f>Waterfall!B22</f>
        <v>151014.5</v>
      </c>
      <c r="V5" s="83">
        <f>Waterfall!B23</f>
        <v>148584.5</v>
      </c>
      <c r="W5" s="83">
        <f>Waterfall!B24</f>
        <v>150359.5</v>
      </c>
      <c r="X5" s="83">
        <f>Waterfall!B25</f>
        <v>152619.5</v>
      </c>
      <c r="Y5" s="83">
        <f>Waterfall!B26</f>
        <v>152184</v>
      </c>
      <c r="Z5" s="83">
        <f>Waterfall!B27</f>
        <v>150918.5</v>
      </c>
      <c r="AA5" s="83">
        <f>Waterfall!B28</f>
        <v>152628.5</v>
      </c>
      <c r="AB5" s="197">
        <f>Waterfall!B29</f>
        <v>158154.5</v>
      </c>
    </row>
    <row r="6" ht="14.25" customHeight="1">
      <c r="A6" s="25" t="s">
        <v>1015</v>
      </c>
      <c r="B6" s="82" t="str">
        <f>IF(Waterfall!B3=0,"-",1+(Waterfall!E3+Waterfall!F3)/Waterfall!B3)</f>
        <v>-</v>
      </c>
      <c r="C6" s="82">
        <f>IF(Waterfall!B4=0,"-",1+(Waterfall!E4+Waterfall!F4)/Waterfall!B4)</f>
        <v>1</v>
      </c>
      <c r="D6" s="82">
        <f>IF(Waterfall!B5=0,"-",1+(Waterfall!E5+Waterfall!F5)/Waterfall!B5)</f>
        <v>1</v>
      </c>
      <c r="E6" s="82">
        <f>IF(Waterfall!B6=0,"-",1+(Waterfall!E6+Waterfall!F6)/Waterfall!B6)</f>
        <v>1</v>
      </c>
      <c r="F6" s="82">
        <f>IF(Waterfall!B7=0,"-",1+(Waterfall!E7+Waterfall!F7)/Waterfall!B7)</f>
        <v>1</v>
      </c>
      <c r="G6" s="82">
        <f>IF(Waterfall!B8=0,"-",1+(Waterfall!E8+Waterfall!F8)/Waterfall!B8)</f>
        <v>1</v>
      </c>
      <c r="H6" s="82">
        <f>IF(Waterfall!B9=0,"-",1+(Waterfall!E9+Waterfall!F9)/Waterfall!B9)</f>
        <v>1</v>
      </c>
      <c r="I6" s="82">
        <f>IF(Waterfall!B10=0,"-",1+(Waterfall!E10+Waterfall!F10)/Waterfall!B10)</f>
        <v>0.9581068716</v>
      </c>
      <c r="J6" s="82">
        <f>IF(Waterfall!B11=0,"-",1+(Waterfall!E11+Waterfall!F11)/Waterfall!B11)</f>
        <v>1</v>
      </c>
      <c r="K6" s="82">
        <f>IF(Waterfall!B12=0,"-",1+(Waterfall!E12+Waterfall!F12)/Waterfall!B12)</f>
        <v>1</v>
      </c>
      <c r="L6" s="82">
        <f>IF(Waterfall!B13=0,"-",1+(Waterfall!E13+Waterfall!F13)/Waterfall!B13)</f>
        <v>0.9932961802</v>
      </c>
      <c r="M6" s="82">
        <f>IF(Waterfall!B14=0,"-",1+(Waterfall!E14+Waterfall!F14)/Waterfall!B14)</f>
        <v>0.9733072792</v>
      </c>
      <c r="N6" s="82">
        <f>IF(Waterfall!B15=0,"-",1+(Waterfall!E15+Waterfall!F15)/Waterfall!B15)</f>
        <v>0.9950616471</v>
      </c>
      <c r="O6" s="82">
        <f>IF(Waterfall!B16=0,"-",1+(Waterfall!E16+Waterfall!F16)/Waterfall!B16)</f>
        <v>1</v>
      </c>
      <c r="P6" s="82">
        <f>IF(Waterfall!B17=0,"-",1+(Waterfall!E17+Waterfall!F17)/Waterfall!B17)</f>
        <v>0.9906665187</v>
      </c>
      <c r="Q6" s="82">
        <f>IF(Waterfall!B18=0,"-",1+(Waterfall!E18+Waterfall!F18)/Waterfall!B18)</f>
        <v>1</v>
      </c>
      <c r="R6" s="82">
        <f>IF(Waterfall!B19=0,"-",1+(Waterfall!E19+Waterfall!F19)/Waterfall!B19)</f>
        <v>0.9821528542</v>
      </c>
      <c r="S6" s="82">
        <f>IF(Waterfall!B20=0,"-",1+(Waterfall!E20+Waterfall!F20)/Waterfall!B20)</f>
        <v>0.990879834</v>
      </c>
      <c r="T6" s="82">
        <f>IF(Waterfall!B21=0,"-",1+(Waterfall!E21+Waterfall!F21)/Waterfall!B21)</f>
        <v>0.9884297684</v>
      </c>
      <c r="U6" s="82">
        <f>IF(Waterfall!B22=0,"-",1+(Waterfall!E22+Waterfall!F22)/Waterfall!B22)</f>
        <v>0.9643080631</v>
      </c>
      <c r="V6" s="82">
        <f>IF(Waterfall!B23=0,"-",1+(Waterfall!E23+Waterfall!F23)/Waterfall!B23)</f>
        <v>0.9991587279</v>
      </c>
      <c r="W6" s="82">
        <f>IF(Waterfall!B24=0,"-",1+(Waterfall!E24+Waterfall!F24)/Waterfall!B24)</f>
        <v>1</v>
      </c>
      <c r="X6" s="82">
        <f>IF(Waterfall!B25=0,"-",1+(Waterfall!E25+Waterfall!F25)/Waterfall!B25)</f>
        <v>0.9971464983</v>
      </c>
      <c r="Y6" s="82">
        <f>IF(Waterfall!B26=0,"-",1+(Waterfall!E26+Waterfall!F26)/Waterfall!B26)</f>
        <v>0.9887931714</v>
      </c>
      <c r="Z6" s="82">
        <f>IF(Waterfall!B27=0,"-",1+(Waterfall!E27+Waterfall!F27)/Waterfall!B27)</f>
        <v>1</v>
      </c>
      <c r="AA6" s="82">
        <f>IF(Waterfall!B28=0,"-",1+(Waterfall!E28+Waterfall!F28)/Waterfall!B28)</f>
        <v>0.9961081974</v>
      </c>
      <c r="AB6" s="82">
        <f>IF(Waterfall!B29=0,"-",1+(Waterfall!E29+Waterfall!F29)/Waterfall!B29)</f>
        <v>1</v>
      </c>
    </row>
    <row r="7" ht="14.25" customHeight="1">
      <c r="A7" s="25" t="s">
        <v>1016</v>
      </c>
      <c r="B7" s="82" t="str">
        <f>IF(Waterfall!B3=0,"-",1+(Waterfall!D3+Waterfall!E3+Waterfall!F3)/Waterfall!B3)</f>
        <v>-</v>
      </c>
      <c r="C7" s="82">
        <f>IF(Waterfall!B4=0,"-",1+(Waterfall!D4+Waterfall!E4+Waterfall!F4)/Waterfall!B4)</f>
        <v>1</v>
      </c>
      <c r="D7" s="82">
        <f>IF(Waterfall!B5=0,"-",1+(Waterfall!D5+Waterfall!E5+Waterfall!F5)/Waterfall!B5)</f>
        <v>1</v>
      </c>
      <c r="E7" s="82">
        <f>IF(Waterfall!B6=0,"-",1+(Waterfall!D6+Waterfall!E6+Waterfall!F6)/Waterfall!B6)</f>
        <v>1</v>
      </c>
      <c r="F7" s="82">
        <f>IF(Waterfall!B7=0,"-",1+(Waterfall!D7+Waterfall!E7+Waterfall!F7)/Waterfall!B7)</f>
        <v>1</v>
      </c>
      <c r="G7" s="82">
        <f>IF(Waterfall!B8=0,"-",1+(Waterfall!D8+Waterfall!E8+Waterfall!F8)/Waterfall!B8)</f>
        <v>1</v>
      </c>
      <c r="H7" s="82">
        <f>IF(Waterfall!B9=0,"-",1+(Waterfall!D9+Waterfall!E9+Waterfall!F9)/Waterfall!B9)</f>
        <v>1</v>
      </c>
      <c r="I7" s="82">
        <f>IF(Waterfall!B10=0,"-",1+(Waterfall!D10+Waterfall!E10+Waterfall!F10)/Waterfall!B10)</f>
        <v>0.9581068716</v>
      </c>
      <c r="J7" s="82">
        <f>IF(Waterfall!B11=0,"-",1+(Waterfall!D11+Waterfall!E11+Waterfall!F11)/Waterfall!B11)</f>
        <v>1</v>
      </c>
      <c r="K7" s="82">
        <f>IF(Waterfall!B12=0,"-",1+(Waterfall!D12+Waterfall!E12+Waterfall!F12)/Waterfall!B12)</f>
        <v>1</v>
      </c>
      <c r="L7" s="82">
        <f>IF(Waterfall!B13=0,"-",1+(Waterfall!D13+Waterfall!E13+Waterfall!F13)/Waterfall!B13)</f>
        <v>0.9932961802</v>
      </c>
      <c r="M7" s="82">
        <f>IF(Waterfall!B14=0,"-",1+(Waterfall!D14+Waterfall!E14+Waterfall!F14)/Waterfall!B14)</f>
        <v>0.9733072792</v>
      </c>
      <c r="N7" s="82">
        <f>IF(Waterfall!B15=0,"-",1+(Waterfall!D15+Waterfall!E15+Waterfall!F15)/Waterfall!B15)</f>
        <v>0.9965980236</v>
      </c>
      <c r="O7" s="82">
        <f>IF(Waterfall!B16=0,"-",1+(Waterfall!D16+Waterfall!E16+Waterfall!F16)/Waterfall!B16)</f>
        <v>1</v>
      </c>
      <c r="P7" s="82">
        <f>IF(Waterfall!B17=0,"-",1+(Waterfall!D17+Waterfall!E17+Waterfall!F17)/Waterfall!B17)</f>
        <v>0.9906665187</v>
      </c>
      <c r="Q7" s="82">
        <f>IF(Waterfall!B18=0,"-",1+(Waterfall!D18+Waterfall!E18+Waterfall!F18)/Waterfall!B18)</f>
        <v>1.005966516</v>
      </c>
      <c r="R7" s="82">
        <f>IF(Waterfall!B19=0,"-",1+(Waterfall!D19+Waterfall!E19+Waterfall!F19)/Waterfall!B19)</f>
        <v>0.9846326682</v>
      </c>
      <c r="S7" s="82">
        <f>IF(Waterfall!B20=0,"-",1+(Waterfall!D20+Waterfall!E20+Waterfall!F20)/Waterfall!B20)</f>
        <v>1.00276051</v>
      </c>
      <c r="T7" s="82">
        <f>IF(Waterfall!B21=0,"-",1+(Waterfall!D21+Waterfall!E21+Waterfall!F21)/Waterfall!B21)</f>
        <v>0.9927686052</v>
      </c>
      <c r="U7" s="82">
        <f>IF(Waterfall!B22=0,"-",1+(Waterfall!D22+Waterfall!E22+Waterfall!F22)/Waterfall!B22)</f>
        <v>0.9839088299</v>
      </c>
      <c r="V7" s="82">
        <f>IF(Waterfall!B23=0,"-",1+(Waterfall!D23+Waterfall!E23+Waterfall!F23)/Waterfall!B23)</f>
        <v>1.011946064</v>
      </c>
      <c r="W7" s="82">
        <f>IF(Waterfall!B24=0,"-",1+(Waterfall!D24+Waterfall!E24+Waterfall!F24)/Waterfall!B24)</f>
        <v>1.008812213</v>
      </c>
      <c r="X7" s="82">
        <f>IF(Waterfall!B25=0,"-",1+(Waterfall!D25+Waterfall!E25+Waterfall!F25)/Waterfall!B25)</f>
        <v>0.9971464983</v>
      </c>
      <c r="Y7" s="82">
        <f>IF(Waterfall!B26=0,"-",1+(Waterfall!D26+Waterfall!E26+Waterfall!F26)/Waterfall!B26)</f>
        <v>0.9916844083</v>
      </c>
      <c r="Z7" s="82">
        <f>IF(Waterfall!B27=0,"-",1+(Waterfall!D27+Waterfall!E27+Waterfall!F27)/Waterfall!B27)</f>
        <v>1</v>
      </c>
      <c r="AA7" s="82">
        <f>IF(Waterfall!B28=0,"-",1+(Waterfall!D28+Waterfall!E28+Waterfall!F28)/Waterfall!B28)</f>
        <v>0.9961081974</v>
      </c>
      <c r="AB7" s="82">
        <f>IF(Waterfall!B29=0,"-",1+(Waterfall!D29+Waterfall!E29+Waterfall!F29)/Waterfall!B29)</f>
        <v>1.002402714</v>
      </c>
    </row>
    <row r="8" ht="14.25" customHeight="1"/>
    <row r="9" ht="14.25" customHeight="1">
      <c r="A9" s="25" t="s">
        <v>1017</v>
      </c>
    </row>
    <row r="10" ht="14.25" customHeight="1">
      <c r="A10" s="25" t="s">
        <v>814</v>
      </c>
      <c r="B10" s="200">
        <f t="shared" ref="B10:AB10" si="1">B4</f>
        <v>45292</v>
      </c>
      <c r="C10" s="200">
        <f t="shared" si="1"/>
        <v>45323</v>
      </c>
      <c r="D10" s="200">
        <f t="shared" si="1"/>
        <v>45352</v>
      </c>
      <c r="E10" s="200">
        <f t="shared" si="1"/>
        <v>45383</v>
      </c>
      <c r="F10" s="200">
        <f t="shared" si="1"/>
        <v>45413</v>
      </c>
      <c r="G10" s="200">
        <f t="shared" si="1"/>
        <v>45444</v>
      </c>
      <c r="H10" s="200">
        <f t="shared" si="1"/>
        <v>45474</v>
      </c>
      <c r="I10" s="200">
        <f t="shared" si="1"/>
        <v>45505</v>
      </c>
      <c r="J10" s="200">
        <f t="shared" si="1"/>
        <v>45536</v>
      </c>
      <c r="K10" s="200">
        <f t="shared" si="1"/>
        <v>45566</v>
      </c>
      <c r="L10" s="200">
        <f t="shared" si="1"/>
        <v>45597</v>
      </c>
      <c r="M10" s="200">
        <f t="shared" si="1"/>
        <v>45627</v>
      </c>
      <c r="N10" s="200">
        <f t="shared" si="1"/>
        <v>45658</v>
      </c>
      <c r="O10" s="200">
        <f t="shared" si="1"/>
        <v>45689</v>
      </c>
      <c r="P10" s="200">
        <f t="shared" si="1"/>
        <v>45717</v>
      </c>
      <c r="Q10" s="200">
        <f t="shared" si="1"/>
        <v>45748</v>
      </c>
      <c r="R10" s="200">
        <f t="shared" si="1"/>
        <v>45778</v>
      </c>
      <c r="S10" s="200">
        <f t="shared" si="1"/>
        <v>45809</v>
      </c>
      <c r="T10" s="200">
        <f t="shared" si="1"/>
        <v>45839</v>
      </c>
      <c r="U10" s="200">
        <f t="shared" si="1"/>
        <v>45870</v>
      </c>
      <c r="V10" s="200">
        <f t="shared" si="1"/>
        <v>45901</v>
      </c>
      <c r="W10" s="200">
        <f t="shared" si="1"/>
        <v>45931</v>
      </c>
      <c r="X10" s="200">
        <f t="shared" si="1"/>
        <v>45962</v>
      </c>
      <c r="Y10" s="200">
        <f t="shared" si="1"/>
        <v>45992</v>
      </c>
      <c r="Z10" s="200">
        <f t="shared" si="1"/>
        <v>46023</v>
      </c>
      <c r="AA10" s="200">
        <f t="shared" si="1"/>
        <v>46054</v>
      </c>
      <c r="AB10" s="200">
        <f t="shared" si="1"/>
        <v>46082</v>
      </c>
    </row>
    <row r="11" ht="14.25" customHeight="1">
      <c r="A11" s="25" t="s">
        <v>1018</v>
      </c>
      <c r="B11" s="82" t="str">
        <f>IF(Waterfall!B3=0,"-",-Waterfall!F3/Waterfall!B3)</f>
        <v>-</v>
      </c>
      <c r="C11" s="82">
        <f>IF(Waterfall!B4=0,"-",-Waterfall!F4/Waterfall!B4)</f>
        <v>0</v>
      </c>
      <c r="D11" s="82">
        <f>IF(Waterfall!B5=0,"-",-Waterfall!F5/Waterfall!B5)</f>
        <v>0</v>
      </c>
      <c r="E11" s="82">
        <f>IF(Waterfall!B6=0,"-",-Waterfall!F6/Waterfall!B6)</f>
        <v>0</v>
      </c>
      <c r="F11" s="82">
        <f>IF(Waterfall!B7=0,"-",-Waterfall!F7/Waterfall!B7)</f>
        <v>0</v>
      </c>
      <c r="G11" s="82">
        <f>IF(Waterfall!B8=0,"-",-Waterfall!F8/Waterfall!B8)</f>
        <v>0</v>
      </c>
      <c r="H11" s="82">
        <f>IF(Waterfall!B9=0,"-",-Waterfall!F9/Waterfall!B9)</f>
        <v>0</v>
      </c>
      <c r="I11" s="82">
        <f>IF(Waterfall!B10=0,"-",-Waterfall!F10/Waterfall!B10)</f>
        <v>0.04189312842</v>
      </c>
      <c r="J11" s="82">
        <f>IF(Waterfall!B11=0,"-",-Waterfall!F11/Waterfall!B11)</f>
        <v>0</v>
      </c>
      <c r="K11" s="82">
        <f>IF(Waterfall!B12=0,"-",-Waterfall!F12/Waterfall!B12)</f>
        <v>0</v>
      </c>
      <c r="L11" s="82">
        <f>IF(Waterfall!B13=0,"-",-Waterfall!F13/Waterfall!B13)</f>
        <v>0.006703819823</v>
      </c>
      <c r="M11" s="82">
        <f>IF(Waterfall!B14=0,"-",-Waterfall!F14/Waterfall!B14)</f>
        <v>0.02669272081</v>
      </c>
      <c r="N11" s="82">
        <f>IF(Waterfall!B15=0,"-",-Waterfall!F15/Waterfall!B15)</f>
        <v>0.004938352895</v>
      </c>
      <c r="O11" s="82">
        <f>IF(Waterfall!B16=0,"-",-Waterfall!F16/Waterfall!B16)</f>
        <v>0</v>
      </c>
      <c r="P11" s="82">
        <f>IF(Waterfall!B17=0,"-",-Waterfall!F17/Waterfall!B17)</f>
        <v>0</v>
      </c>
      <c r="Q11" s="82">
        <f>IF(Waterfall!B18=0,"-",-Waterfall!F18/Waterfall!B18)</f>
        <v>0</v>
      </c>
      <c r="R11" s="82">
        <f>IF(Waterfall!B19=0,"-",-Waterfall!F19/Waterfall!B19)</f>
        <v>0.01784714577</v>
      </c>
      <c r="S11" s="82">
        <f>IF(Waterfall!B20=0,"-",-Waterfall!F20/Waterfall!B20)</f>
        <v>0.00912016605</v>
      </c>
      <c r="T11" s="82">
        <f>IF(Waterfall!B21=0,"-",-Waterfall!F21/Waterfall!B21)</f>
        <v>0.01157023163</v>
      </c>
      <c r="U11" s="82">
        <f>IF(Waterfall!B22=0,"-",-Waterfall!F22/Waterfall!B22)</f>
        <v>0.03099040158</v>
      </c>
      <c r="V11" s="82">
        <f>IF(Waterfall!B23=0,"-",-Waterfall!F23/Waterfall!B23)</f>
        <v>0</v>
      </c>
      <c r="W11" s="82">
        <f>IF(Waterfall!B24=0,"-",-Waterfall!F24/Waterfall!B24)</f>
        <v>0</v>
      </c>
      <c r="X11" s="82">
        <f>IF(Waterfall!B25=0,"-",-Waterfall!F25/Waterfall!B25)</f>
        <v>0</v>
      </c>
      <c r="Y11" s="82">
        <f>IF(Waterfall!B26=0,"-",-Waterfall!F26/Waterfall!B26)</f>
        <v>0.01067457814</v>
      </c>
      <c r="Z11" s="82">
        <f>IF(Waterfall!B27=0,"-",-Waterfall!F27/Waterfall!B27)</f>
        <v>0</v>
      </c>
      <c r="AA11" s="82">
        <f>IF(Waterfall!B28=0,"-",-Waterfall!F28/Waterfall!B28)</f>
        <v>0.003891802645</v>
      </c>
      <c r="AB11" s="82">
        <f>IF(Waterfall!B29=0,"-",-Waterfall!F29/Waterfall!B29)</f>
        <v>0</v>
      </c>
    </row>
    <row r="12" ht="14.25" customHeight="1">
      <c r="A12" s="25" t="s">
        <v>1019</v>
      </c>
      <c r="B12" s="82" t="str">
        <f>IF(Waterfall!B3=0,"-",-(Waterfall!E3+Waterfall!F3)/Waterfall!B3)</f>
        <v>-</v>
      </c>
      <c r="C12" s="82">
        <f>IF(Waterfall!B4=0,"-",-(Waterfall!E4+Waterfall!F4)/Waterfall!B4)</f>
        <v>0</v>
      </c>
      <c r="D12" s="82">
        <f>IF(Waterfall!B5=0,"-",-(Waterfall!E5+Waterfall!F5)/Waterfall!B5)</f>
        <v>0</v>
      </c>
      <c r="E12" s="82">
        <f>IF(Waterfall!B6=0,"-",-(Waterfall!E6+Waterfall!F6)/Waterfall!B6)</f>
        <v>0</v>
      </c>
      <c r="F12" s="82">
        <f>IF(Waterfall!B7=0,"-",-(Waterfall!E7+Waterfall!F7)/Waterfall!B7)</f>
        <v>0</v>
      </c>
      <c r="G12" s="82">
        <f>IF(Waterfall!B8=0,"-",-(Waterfall!E8+Waterfall!F8)/Waterfall!B8)</f>
        <v>0</v>
      </c>
      <c r="H12" s="82">
        <f>IF(Waterfall!B9=0,"-",-(Waterfall!E9+Waterfall!F9)/Waterfall!B9)</f>
        <v>0</v>
      </c>
      <c r="I12" s="82">
        <f>IF(Waterfall!B10=0,"-",-(Waterfall!E10+Waterfall!F10)/Waterfall!B10)</f>
        <v>0.04189312842</v>
      </c>
      <c r="J12" s="82">
        <f>IF(Waterfall!B11=0,"-",-(Waterfall!E11+Waterfall!F11)/Waterfall!B11)</f>
        <v>0</v>
      </c>
      <c r="K12" s="82">
        <f>IF(Waterfall!B12=0,"-",-(Waterfall!E12+Waterfall!F12)/Waterfall!B12)</f>
        <v>0</v>
      </c>
      <c r="L12" s="82">
        <f>IF(Waterfall!B13=0,"-",-(Waterfall!E13+Waterfall!F13)/Waterfall!B13)</f>
        <v>0.006703819823</v>
      </c>
      <c r="M12" s="82">
        <f>IF(Waterfall!B14=0,"-",-(Waterfall!E14+Waterfall!F14)/Waterfall!B14)</f>
        <v>0.02669272081</v>
      </c>
      <c r="N12" s="82">
        <f>IF(Waterfall!B15=0,"-",-(Waterfall!E15+Waterfall!F15)/Waterfall!B15)</f>
        <v>0.004938352895</v>
      </c>
      <c r="O12" s="82">
        <f>IF(Waterfall!B16=0,"-",-(Waterfall!E16+Waterfall!F16)/Waterfall!B16)</f>
        <v>0</v>
      </c>
      <c r="P12" s="82">
        <f>IF(Waterfall!B17=0,"-",-(Waterfall!E17+Waterfall!F17)/Waterfall!B17)</f>
        <v>0.009333481264</v>
      </c>
      <c r="Q12" s="82">
        <f>IF(Waterfall!B18=0,"-",-(Waterfall!E18+Waterfall!F18)/Waterfall!B18)</f>
        <v>0</v>
      </c>
      <c r="R12" s="82">
        <f>IF(Waterfall!B19=0,"-",-(Waterfall!E19+Waterfall!F19)/Waterfall!B19)</f>
        <v>0.01784714577</v>
      </c>
      <c r="S12" s="82">
        <f>IF(Waterfall!B20=0,"-",-(Waterfall!E20+Waterfall!F20)/Waterfall!B20)</f>
        <v>0.00912016605</v>
      </c>
      <c r="T12" s="82">
        <f>IF(Waterfall!B21=0,"-",-(Waterfall!E21+Waterfall!F21)/Waterfall!B21)</f>
        <v>0.01157023163</v>
      </c>
      <c r="U12" s="82">
        <f>IF(Waterfall!B22=0,"-",-(Waterfall!E22+Waterfall!F22)/Waterfall!B22)</f>
        <v>0.03569193687</v>
      </c>
      <c r="V12" s="82">
        <f>IF(Waterfall!B23=0,"-",-(Waterfall!E23+Waterfall!F23)/Waterfall!B23)</f>
        <v>0.0008412721381</v>
      </c>
      <c r="W12" s="82">
        <f>IF(Waterfall!B24=0,"-",-(Waterfall!E24+Waterfall!F24)/Waterfall!B24)</f>
        <v>0</v>
      </c>
      <c r="X12" s="82">
        <f>IF(Waterfall!B25=0,"-",-(Waterfall!E25+Waterfall!F25)/Waterfall!B25)</f>
        <v>0.002853501682</v>
      </c>
      <c r="Y12" s="82">
        <f>IF(Waterfall!B26=0,"-",-(Waterfall!E26+Waterfall!F26)/Waterfall!B26)</f>
        <v>0.01120682858</v>
      </c>
      <c r="Z12" s="82">
        <f>IF(Waterfall!B27=0,"-",-(Waterfall!E27+Waterfall!F27)/Waterfall!B27)</f>
        <v>0</v>
      </c>
      <c r="AA12" s="82">
        <f>IF(Waterfall!B28=0,"-",-(Waterfall!E28+Waterfall!F28)/Waterfall!B28)</f>
        <v>0.003891802645</v>
      </c>
      <c r="AB12" s="82">
        <f>IF(Waterfall!B29=0,"-",-(Waterfall!E29+Waterfall!F29)/Waterfall!B29)</f>
        <v>0</v>
      </c>
    </row>
    <row r="13" ht="14.25" customHeight="1"/>
    <row r="14" ht="14.25" customHeight="1">
      <c r="A14" s="25" t="s">
        <v>1020</v>
      </c>
    </row>
    <row r="15" ht="14.25" customHeight="1">
      <c r="A15" s="25" t="s">
        <v>814</v>
      </c>
      <c r="B15" s="200">
        <f t="shared" ref="B15:AB15" si="2">B4</f>
        <v>45292</v>
      </c>
      <c r="C15" s="200">
        <f t="shared" si="2"/>
        <v>45323</v>
      </c>
      <c r="D15" s="200">
        <f t="shared" si="2"/>
        <v>45352</v>
      </c>
      <c r="E15" s="200">
        <f t="shared" si="2"/>
        <v>45383</v>
      </c>
      <c r="F15" s="200">
        <f t="shared" si="2"/>
        <v>45413</v>
      </c>
      <c r="G15" s="200">
        <f t="shared" si="2"/>
        <v>45444</v>
      </c>
      <c r="H15" s="200">
        <f t="shared" si="2"/>
        <v>45474</v>
      </c>
      <c r="I15" s="200">
        <f t="shared" si="2"/>
        <v>45505</v>
      </c>
      <c r="J15" s="200">
        <f t="shared" si="2"/>
        <v>45536</v>
      </c>
      <c r="K15" s="200">
        <f t="shared" si="2"/>
        <v>45566</v>
      </c>
      <c r="L15" s="200">
        <f t="shared" si="2"/>
        <v>45597</v>
      </c>
      <c r="M15" s="200">
        <f t="shared" si="2"/>
        <v>45627</v>
      </c>
      <c r="N15" s="200">
        <f t="shared" si="2"/>
        <v>45658</v>
      </c>
      <c r="O15" s="200">
        <f t="shared" si="2"/>
        <v>45689</v>
      </c>
      <c r="P15" s="200">
        <f t="shared" si="2"/>
        <v>45717</v>
      </c>
      <c r="Q15" s="200">
        <f t="shared" si="2"/>
        <v>45748</v>
      </c>
      <c r="R15" s="200">
        <f t="shared" si="2"/>
        <v>45778</v>
      </c>
      <c r="S15" s="200">
        <f t="shared" si="2"/>
        <v>45809</v>
      </c>
      <c r="T15" s="200">
        <f t="shared" si="2"/>
        <v>45839</v>
      </c>
      <c r="U15" s="200">
        <f t="shared" si="2"/>
        <v>45870</v>
      </c>
      <c r="V15" s="200">
        <f t="shared" si="2"/>
        <v>45901</v>
      </c>
      <c r="W15" s="200">
        <f t="shared" si="2"/>
        <v>45931</v>
      </c>
      <c r="X15" s="200">
        <f t="shared" si="2"/>
        <v>45962</v>
      </c>
      <c r="Y15" s="200">
        <f t="shared" si="2"/>
        <v>45992</v>
      </c>
      <c r="Z15" s="200">
        <f t="shared" si="2"/>
        <v>46023</v>
      </c>
      <c r="AA15" s="200">
        <f t="shared" si="2"/>
        <v>46054</v>
      </c>
      <c r="AB15" s="200">
        <f t="shared" si="2"/>
        <v>46082</v>
      </c>
    </row>
    <row r="16" ht="14.25" customHeight="1">
      <c r="A16" s="25" t="s">
        <v>1021</v>
      </c>
      <c r="B16" s="50">
        <v>0.0</v>
      </c>
      <c r="C16" s="50">
        <f>B16+COUNTIFS(Engine!$H$2:$H$102,"created",Engine!$F$2:$F$102,B15)-COUNTIFS(Engine!$H$2:$H$102,"cancelled",Engine!$F$2:$F$102,B15)</f>
        <v>2</v>
      </c>
      <c r="D16" s="50">
        <f>C16+COUNTIFS(Engine!$H$2:$H$102,"created",Engine!$F$2:$F$102,C15)-COUNTIFS(Engine!$H$2:$H$102,"cancelled",Engine!$F$2:$F$102,C15)</f>
        <v>5</v>
      </c>
      <c r="E16" s="50">
        <f>D16+COUNTIFS(Engine!$H$2:$H$102,"created",Engine!$F$2:$F$102,D15)-COUNTIFS(Engine!$H$2:$H$102,"cancelled",Engine!$F$2:$F$102,D15)</f>
        <v>7</v>
      </c>
      <c r="F16" s="50">
        <f>E16+COUNTIFS(Engine!$H$2:$H$102,"created",Engine!$F$2:$F$102,E15)-COUNTIFS(Engine!$H$2:$H$102,"cancelled",Engine!$F$2:$F$102,E15)</f>
        <v>11</v>
      </c>
      <c r="G16" s="50">
        <f>F16+COUNTIFS(Engine!$H$2:$H$102,"created",Engine!$F$2:$F$102,F15)-COUNTIFS(Engine!$H$2:$H$102,"cancelled",Engine!$F$2:$F$102,F15)</f>
        <v>13</v>
      </c>
      <c r="H16" s="50">
        <f>G16+COUNTIFS(Engine!$H$2:$H$102,"created",Engine!$F$2:$F$102,G15)-COUNTIFS(Engine!$H$2:$H$102,"cancelled",Engine!$F$2:$F$102,G15)</f>
        <v>16</v>
      </c>
      <c r="I16" s="50">
        <f>H16+COUNTIFS(Engine!$H$2:$H$102,"created",Engine!$F$2:$F$102,H15)-COUNTIFS(Engine!$H$2:$H$102,"cancelled",Engine!$F$2:$F$102,H15)</f>
        <v>20</v>
      </c>
      <c r="J16" s="50">
        <f>I16+COUNTIFS(Engine!$H$2:$H$102,"created",Engine!$F$2:$F$102,I15)-COUNTIFS(Engine!$H$2:$H$102,"cancelled",Engine!$F$2:$F$102,I15)</f>
        <v>21</v>
      </c>
      <c r="K16" s="50">
        <f>J16+COUNTIFS(Engine!$H$2:$H$102,"created",Engine!$F$2:$F$102,J15)-COUNTIFS(Engine!$H$2:$H$102,"cancelled",Engine!$F$2:$F$102,J15)</f>
        <v>26</v>
      </c>
      <c r="L16" s="50">
        <f>K16+COUNTIFS(Engine!$H$2:$H$102,"created",Engine!$F$2:$F$102,K15)-COUNTIFS(Engine!$H$2:$H$102,"cancelled",Engine!$F$2:$F$102,K15)</f>
        <v>29</v>
      </c>
      <c r="M16" s="50">
        <f>L16+COUNTIFS(Engine!$H$2:$H$102,"created",Engine!$F$2:$F$102,L15)-COUNTIFS(Engine!$H$2:$H$102,"cancelled",Engine!$F$2:$F$102,L15)</f>
        <v>31</v>
      </c>
      <c r="N16" s="50">
        <f>M16+COUNTIFS(Engine!$H$2:$H$102,"created",Engine!$F$2:$F$102,M15)-COUNTIFS(Engine!$H$2:$H$102,"cancelled",Engine!$F$2:$F$102,M15)</f>
        <v>34</v>
      </c>
      <c r="O16" s="50">
        <f>N16+COUNTIFS(Engine!$H$2:$H$102,"created",Engine!$F$2:$F$102,N15)-COUNTIFS(Engine!$H$2:$H$102,"cancelled",Engine!$F$2:$F$102,N15)</f>
        <v>37</v>
      </c>
      <c r="P16" s="50">
        <f>O16+COUNTIFS(Engine!$H$2:$H$102,"created",Engine!$F$2:$F$102,O15)-COUNTIFS(Engine!$H$2:$H$102,"cancelled",Engine!$F$2:$F$102,O15)</f>
        <v>41</v>
      </c>
      <c r="Q16" s="50">
        <f>P16+COUNTIFS(Engine!$H$2:$H$102,"created",Engine!$F$2:$F$102,P15)-COUNTIFS(Engine!$H$2:$H$102,"cancelled",Engine!$F$2:$F$102,P15)</f>
        <v>46</v>
      </c>
      <c r="R16" s="50">
        <f>Q16+COUNTIFS(Engine!$H$2:$H$102,"created",Engine!$F$2:$F$102,Q15)-COUNTIFS(Engine!$H$2:$H$102,"cancelled",Engine!$F$2:$F$102,Q15)</f>
        <v>49</v>
      </c>
      <c r="S16" s="50">
        <f>R16+COUNTIFS(Engine!$H$2:$H$102,"created",Engine!$F$2:$F$102,R15)-COUNTIFS(Engine!$H$2:$H$102,"cancelled",Engine!$F$2:$F$102,R15)</f>
        <v>52</v>
      </c>
      <c r="T16" s="50">
        <f>S16+COUNTIFS(Engine!$H$2:$H$102,"created",Engine!$F$2:$F$102,S15)-COUNTIFS(Engine!$H$2:$H$102,"cancelled",Engine!$F$2:$F$102,S15)</f>
        <v>53</v>
      </c>
      <c r="U16" s="50">
        <f>T16+COUNTIFS(Engine!$H$2:$H$102,"created",Engine!$F$2:$F$102,T15)-COUNTIFS(Engine!$H$2:$H$102,"cancelled",Engine!$F$2:$F$102,T15)</f>
        <v>52</v>
      </c>
      <c r="V16" s="50">
        <f>U16+COUNTIFS(Engine!$H$2:$H$102,"created",Engine!$F$2:$F$102,U15)-COUNTIFS(Engine!$H$2:$H$102,"cancelled",Engine!$F$2:$F$102,U15)</f>
        <v>51</v>
      </c>
      <c r="W16" s="50">
        <f>V16+COUNTIFS(Engine!$H$2:$H$102,"created",Engine!$F$2:$F$102,V15)-COUNTIFS(Engine!$H$2:$H$102,"cancelled",Engine!$F$2:$F$102,V15)</f>
        <v>51</v>
      </c>
      <c r="X16" s="50">
        <f>W16+COUNTIFS(Engine!$H$2:$H$102,"created",Engine!$F$2:$F$102,W15)-COUNTIFS(Engine!$H$2:$H$102,"cancelled",Engine!$F$2:$F$102,W15)</f>
        <v>52</v>
      </c>
      <c r="Y16" s="50">
        <f>X16+COUNTIFS(Engine!$H$2:$H$102,"created",Engine!$F$2:$F$102,X15)-COUNTIFS(Engine!$H$2:$H$102,"cancelled",Engine!$F$2:$F$102,X15)</f>
        <v>52</v>
      </c>
      <c r="Z16" s="50">
        <f>Y16+COUNTIFS(Engine!$H$2:$H$102,"created",Engine!$F$2:$F$102,Y15)-COUNTIFS(Engine!$H$2:$H$102,"cancelled",Engine!$F$2:$F$102,Y15)</f>
        <v>51</v>
      </c>
      <c r="AA16" s="50">
        <f>Z16+COUNTIFS(Engine!$H$2:$H$102,"created",Engine!$F$2:$F$102,Z15)-COUNTIFS(Engine!$H$2:$H$102,"cancelled",Engine!$F$2:$F$102,Z15)</f>
        <v>52</v>
      </c>
      <c r="AB16" s="50">
        <f>AA16+COUNTIFS(Engine!$H$2:$H$102,"created",Engine!$F$2:$F$102,AA15)-COUNTIFS(Engine!$H$2:$H$102,"cancelled",Engine!$F$2:$F$102,AA15)</f>
        <v>53</v>
      </c>
    </row>
    <row r="17" ht="14.25" customHeight="1">
      <c r="A17" s="25" t="s">
        <v>1022</v>
      </c>
      <c r="B17" s="50">
        <f>COUNTIFS(Engine!$H$2:$H$102,"cancelled",Engine!$F$2:$F$102,B15)</f>
        <v>0</v>
      </c>
      <c r="C17" s="50">
        <f>COUNTIFS(Engine!$H$2:$H$102,"cancelled",Engine!$F$2:$F$102,C15)</f>
        <v>0</v>
      </c>
      <c r="D17" s="50">
        <f>COUNTIFS(Engine!$H$2:$H$102,"cancelled",Engine!$F$2:$F$102,D15)</f>
        <v>0</v>
      </c>
      <c r="E17" s="50">
        <f>COUNTIFS(Engine!$H$2:$H$102,"cancelled",Engine!$F$2:$F$102,E15)</f>
        <v>0</v>
      </c>
      <c r="F17" s="50">
        <f>COUNTIFS(Engine!$H$2:$H$102,"cancelled",Engine!$F$2:$F$102,F15)</f>
        <v>0</v>
      </c>
      <c r="G17" s="50">
        <f>COUNTIFS(Engine!$H$2:$H$102,"cancelled",Engine!$F$2:$F$102,G15)</f>
        <v>0</v>
      </c>
      <c r="H17" s="50">
        <f>COUNTIFS(Engine!$H$2:$H$102,"cancelled",Engine!$F$2:$F$102,H15)</f>
        <v>0</v>
      </c>
      <c r="I17" s="50">
        <f>COUNTIFS(Engine!$H$2:$H$102,"cancelled",Engine!$F$2:$F$102,I15)</f>
        <v>1</v>
      </c>
      <c r="J17" s="50">
        <f>COUNTIFS(Engine!$H$2:$H$102,"cancelled",Engine!$F$2:$F$102,J15)</f>
        <v>0</v>
      </c>
      <c r="K17" s="50">
        <f>COUNTIFS(Engine!$H$2:$H$102,"cancelled",Engine!$F$2:$F$102,K15)</f>
        <v>0</v>
      </c>
      <c r="L17" s="50">
        <f>COUNTIFS(Engine!$H$2:$H$102,"cancelled",Engine!$F$2:$F$102,L15)</f>
        <v>1</v>
      </c>
      <c r="M17" s="50">
        <f>COUNTIFS(Engine!$H$2:$H$102,"cancelled",Engine!$F$2:$F$102,M15)</f>
        <v>1</v>
      </c>
      <c r="N17" s="50">
        <f>COUNTIFS(Engine!$H$2:$H$102,"cancelled",Engine!$F$2:$F$102,N15)</f>
        <v>1</v>
      </c>
      <c r="O17" s="50">
        <f>COUNTIFS(Engine!$H$2:$H$102,"cancelled",Engine!$F$2:$F$102,O15)</f>
        <v>0</v>
      </c>
      <c r="P17" s="50">
        <f>COUNTIFS(Engine!$H$2:$H$102,"cancelled",Engine!$F$2:$F$102,P15)</f>
        <v>0</v>
      </c>
      <c r="Q17" s="50">
        <f>COUNTIFS(Engine!$H$2:$H$102,"cancelled",Engine!$F$2:$F$102,Q15)</f>
        <v>0</v>
      </c>
      <c r="R17" s="50">
        <f>COUNTIFS(Engine!$H$2:$H$102,"cancelled",Engine!$F$2:$F$102,R15)</f>
        <v>1</v>
      </c>
      <c r="S17" s="50">
        <f>COUNTIFS(Engine!$H$2:$H$102,"cancelled",Engine!$F$2:$F$102,S15)</f>
        <v>2</v>
      </c>
      <c r="T17" s="50">
        <f>COUNTIFS(Engine!$H$2:$H$102,"cancelled",Engine!$F$2:$F$102,T15)</f>
        <v>1</v>
      </c>
      <c r="U17" s="50">
        <f>COUNTIFS(Engine!$H$2:$H$102,"cancelled",Engine!$F$2:$F$102,U15)</f>
        <v>1</v>
      </c>
      <c r="V17" s="50">
        <f>COUNTIFS(Engine!$H$2:$H$102,"cancelled",Engine!$F$2:$F$102,V15)</f>
        <v>0</v>
      </c>
      <c r="W17" s="50">
        <f>COUNTIFS(Engine!$H$2:$H$102,"cancelled",Engine!$F$2:$F$102,W15)</f>
        <v>0</v>
      </c>
      <c r="X17" s="50">
        <f>COUNTIFS(Engine!$H$2:$H$102,"cancelled",Engine!$F$2:$F$102,X15)</f>
        <v>0</v>
      </c>
      <c r="Y17" s="50">
        <f>COUNTIFS(Engine!$H$2:$H$102,"cancelled",Engine!$F$2:$F$102,Y15)</f>
        <v>1</v>
      </c>
      <c r="Z17" s="50">
        <f>COUNTIFS(Engine!$H$2:$H$102,"cancelled",Engine!$F$2:$F$102,Z15)</f>
        <v>0</v>
      </c>
      <c r="AA17" s="50">
        <f>COUNTIFS(Engine!$H$2:$H$102,"cancelled",Engine!$F$2:$F$102,AA15)</f>
        <v>1</v>
      </c>
      <c r="AB17" s="50">
        <f>COUNTIFS(Engine!$H$2:$H$102,"cancelled",Engine!$F$2:$F$102,AB15)</f>
        <v>0</v>
      </c>
    </row>
    <row r="18" ht="14.25" customHeight="1">
      <c r="A18" s="25" t="s">
        <v>1023</v>
      </c>
      <c r="B18" s="82" t="str">
        <f t="shared" ref="B18:AB18" si="3">IF(B16=0,"-",B17/B16)</f>
        <v>-</v>
      </c>
      <c r="C18" s="82">
        <f t="shared" si="3"/>
        <v>0</v>
      </c>
      <c r="D18" s="82">
        <f t="shared" si="3"/>
        <v>0</v>
      </c>
      <c r="E18" s="82">
        <f t="shared" si="3"/>
        <v>0</v>
      </c>
      <c r="F18" s="82">
        <f t="shared" si="3"/>
        <v>0</v>
      </c>
      <c r="G18" s="82">
        <f t="shared" si="3"/>
        <v>0</v>
      </c>
      <c r="H18" s="82">
        <f t="shared" si="3"/>
        <v>0</v>
      </c>
      <c r="I18" s="82">
        <f t="shared" si="3"/>
        <v>0.05</v>
      </c>
      <c r="J18" s="82">
        <f t="shared" si="3"/>
        <v>0</v>
      </c>
      <c r="K18" s="82">
        <f t="shared" si="3"/>
        <v>0</v>
      </c>
      <c r="L18" s="82">
        <f t="shared" si="3"/>
        <v>0.03448275862</v>
      </c>
      <c r="M18" s="82">
        <f t="shared" si="3"/>
        <v>0.03225806452</v>
      </c>
      <c r="N18" s="82">
        <f t="shared" si="3"/>
        <v>0.02941176471</v>
      </c>
      <c r="O18" s="82">
        <f t="shared" si="3"/>
        <v>0</v>
      </c>
      <c r="P18" s="82">
        <f t="shared" si="3"/>
        <v>0</v>
      </c>
      <c r="Q18" s="82">
        <f t="shared" si="3"/>
        <v>0</v>
      </c>
      <c r="R18" s="82">
        <f t="shared" si="3"/>
        <v>0.02040816327</v>
      </c>
      <c r="S18" s="82">
        <f t="shared" si="3"/>
        <v>0.03846153846</v>
      </c>
      <c r="T18" s="82">
        <f t="shared" si="3"/>
        <v>0.01886792453</v>
      </c>
      <c r="U18" s="82">
        <f t="shared" si="3"/>
        <v>0.01923076923</v>
      </c>
      <c r="V18" s="82">
        <f t="shared" si="3"/>
        <v>0</v>
      </c>
      <c r="W18" s="82">
        <f t="shared" si="3"/>
        <v>0</v>
      </c>
      <c r="X18" s="82">
        <f t="shared" si="3"/>
        <v>0</v>
      </c>
      <c r="Y18" s="82">
        <f t="shared" si="3"/>
        <v>0.01923076923</v>
      </c>
      <c r="Z18" s="82">
        <f t="shared" si="3"/>
        <v>0</v>
      </c>
      <c r="AA18" s="82">
        <f t="shared" si="3"/>
        <v>0.01923076923</v>
      </c>
      <c r="AB18" s="82">
        <f t="shared" si="3"/>
        <v>0</v>
      </c>
    </row>
    <row r="19" ht="14.25" customHeight="1">
      <c r="A19" s="201" t="s">
        <v>1024</v>
      </c>
      <c r="B19" s="202">
        <f>0</f>
        <v>0</v>
      </c>
      <c r="C19" s="203">
        <f>COUNTIFS(Engine!$T$2:$T$102,1,Engine!$F$2:$F$102,"&lt;="&amp;B15)+COUNTIFS(Engine!$V$2:$V$102,1,Engine!$F$2:$F$102,"&lt;="&amp;B15)-COUNTIFS(Engine!$U$2:$U$102,1,Engine!$F$2:$F$102,"&lt;="&amp;B15)</f>
        <v>2</v>
      </c>
      <c r="D19" s="203">
        <f>COUNTIFS(Engine!$T$2:$T$102,1,Engine!$F$2:$F$102,"&lt;="&amp;C15)+COUNTIFS(Engine!$V$2:$V$102,1,Engine!$F$2:$F$102,"&lt;="&amp;C15)-COUNTIFS(Engine!$U$2:$U$102,1,Engine!$F$2:$F$102,"&lt;="&amp;C15)</f>
        <v>4</v>
      </c>
      <c r="E19" s="203">
        <f>COUNTIFS(Engine!$T$2:$T$102,1,Engine!$F$2:$F$102,"&lt;="&amp;D15)+COUNTIFS(Engine!$V$2:$V$102,1,Engine!$F$2:$F$102,"&lt;="&amp;D15)-COUNTIFS(Engine!$U$2:$U$102,1,Engine!$F$2:$F$102,"&lt;="&amp;D15)</f>
        <v>6</v>
      </c>
      <c r="F19" s="203">
        <f>COUNTIFS(Engine!$T$2:$T$102,1,Engine!$F$2:$F$102,"&lt;="&amp;E15)+COUNTIFS(Engine!$V$2:$V$102,1,Engine!$F$2:$F$102,"&lt;="&amp;E15)-COUNTIFS(Engine!$U$2:$U$102,1,Engine!$F$2:$F$102,"&lt;="&amp;E15)</f>
        <v>9</v>
      </c>
      <c r="G19" s="203">
        <f>COUNTIFS(Engine!$T$2:$T$102,1,Engine!$F$2:$F$102,"&lt;="&amp;F15)+COUNTIFS(Engine!$V$2:$V$102,1,Engine!$F$2:$F$102,"&lt;="&amp;F15)-COUNTIFS(Engine!$U$2:$U$102,1,Engine!$F$2:$F$102,"&lt;="&amp;F15)</f>
        <v>11</v>
      </c>
      <c r="H19" s="203">
        <f>COUNTIFS(Engine!$T$2:$T$102,1,Engine!$F$2:$F$102,"&lt;="&amp;G15)+COUNTIFS(Engine!$V$2:$V$102,1,Engine!$F$2:$F$102,"&lt;="&amp;G15)-COUNTIFS(Engine!$U$2:$U$102,1,Engine!$F$2:$F$102,"&lt;="&amp;G15)</f>
        <v>13</v>
      </c>
      <c r="I19" s="203">
        <f>COUNTIFS(Engine!$T$2:$T$102,1,Engine!$F$2:$F$102,"&lt;="&amp;H15)+COUNTIFS(Engine!$V$2:$V$102,1,Engine!$F$2:$F$102,"&lt;="&amp;H15)-COUNTIFS(Engine!$U$2:$U$102,1,Engine!$F$2:$F$102,"&lt;="&amp;H15)</f>
        <v>15</v>
      </c>
      <c r="J19" s="203">
        <f>COUNTIFS(Engine!$T$2:$T$102,1,Engine!$F$2:$F$102,"&lt;="&amp;I15)+COUNTIFS(Engine!$V$2:$V$102,1,Engine!$F$2:$F$102,"&lt;="&amp;I15)-COUNTIFS(Engine!$U$2:$U$102,1,Engine!$F$2:$F$102,"&lt;="&amp;I15)</f>
        <v>17</v>
      </c>
      <c r="K19" s="203">
        <f>COUNTIFS(Engine!$T$2:$T$102,1,Engine!$F$2:$F$102,"&lt;="&amp;J15)+COUNTIFS(Engine!$V$2:$V$102,1,Engine!$F$2:$F$102,"&lt;="&amp;J15)-COUNTIFS(Engine!$U$2:$U$102,1,Engine!$F$2:$F$102,"&lt;="&amp;J15)</f>
        <v>20</v>
      </c>
      <c r="L19" s="203">
        <f>COUNTIFS(Engine!$T$2:$T$102,1,Engine!$F$2:$F$102,"&lt;="&amp;K15)+COUNTIFS(Engine!$V$2:$V$102,1,Engine!$F$2:$F$102,"&lt;="&amp;K15)-COUNTIFS(Engine!$U$2:$U$102,1,Engine!$F$2:$F$102,"&lt;="&amp;K15)</f>
        <v>22</v>
      </c>
      <c r="M19" s="203">
        <f>COUNTIFS(Engine!$T$2:$T$102,1,Engine!$F$2:$F$102,"&lt;="&amp;L15)+COUNTIFS(Engine!$V$2:$V$102,1,Engine!$F$2:$F$102,"&lt;="&amp;L15)-COUNTIFS(Engine!$U$2:$U$102,1,Engine!$F$2:$F$102,"&lt;="&amp;L15)</f>
        <v>23</v>
      </c>
      <c r="N19" s="203">
        <f>COUNTIFS(Engine!$T$2:$T$102,1,Engine!$F$2:$F$102,"&lt;="&amp;M15)+COUNTIFS(Engine!$V$2:$V$102,1,Engine!$F$2:$F$102,"&lt;="&amp;M15)-COUNTIFS(Engine!$U$2:$U$102,1,Engine!$F$2:$F$102,"&lt;="&amp;M15)</f>
        <v>25</v>
      </c>
      <c r="O19" s="203">
        <f>COUNTIFS(Engine!$T$2:$T$102,1,Engine!$F$2:$F$102,"&lt;="&amp;N15)+COUNTIFS(Engine!$V$2:$V$102,1,Engine!$F$2:$F$102,"&lt;="&amp;N15)-COUNTIFS(Engine!$U$2:$U$102,1,Engine!$F$2:$F$102,"&lt;="&amp;N15)</f>
        <v>26</v>
      </c>
      <c r="P19" s="203">
        <f>COUNTIFS(Engine!$T$2:$T$102,1,Engine!$F$2:$F$102,"&lt;="&amp;O15)+COUNTIFS(Engine!$V$2:$V$102,1,Engine!$F$2:$F$102,"&lt;="&amp;O15)-COUNTIFS(Engine!$U$2:$U$102,1,Engine!$F$2:$F$102,"&lt;="&amp;O15)</f>
        <v>28</v>
      </c>
      <c r="Q19" s="203">
        <f>COUNTIFS(Engine!$T$2:$T$102,1,Engine!$F$2:$F$102,"&lt;="&amp;P15)+COUNTIFS(Engine!$V$2:$V$102,1,Engine!$F$2:$F$102,"&lt;="&amp;P15)-COUNTIFS(Engine!$U$2:$U$102,1,Engine!$F$2:$F$102,"&lt;="&amp;P15)</f>
        <v>31</v>
      </c>
      <c r="R19" s="203">
        <f>COUNTIFS(Engine!$T$2:$T$102,1,Engine!$F$2:$F$102,"&lt;="&amp;Q15)+COUNTIFS(Engine!$V$2:$V$102,1,Engine!$F$2:$F$102,"&lt;="&amp;Q15)-COUNTIFS(Engine!$U$2:$U$102,1,Engine!$F$2:$F$102,"&lt;="&amp;Q15)</f>
        <v>33</v>
      </c>
      <c r="S19" s="203">
        <f>COUNTIFS(Engine!$T$2:$T$102,1,Engine!$F$2:$F$102,"&lt;="&amp;R15)+COUNTIFS(Engine!$V$2:$V$102,1,Engine!$F$2:$F$102,"&lt;="&amp;R15)-COUNTIFS(Engine!$U$2:$U$102,1,Engine!$F$2:$F$102,"&lt;="&amp;R15)</f>
        <v>36</v>
      </c>
      <c r="T19" s="203">
        <f>COUNTIFS(Engine!$T$2:$T$102,1,Engine!$F$2:$F$102,"&lt;="&amp;S15)+COUNTIFS(Engine!$V$2:$V$102,1,Engine!$F$2:$F$102,"&lt;="&amp;S15)-COUNTIFS(Engine!$U$2:$U$102,1,Engine!$F$2:$F$102,"&lt;="&amp;S15)</f>
        <v>37</v>
      </c>
      <c r="U19" s="203">
        <f>COUNTIFS(Engine!$T$2:$T$102,1,Engine!$F$2:$F$102,"&lt;="&amp;T15)+COUNTIFS(Engine!$V$2:$V$102,1,Engine!$F$2:$F$102,"&lt;="&amp;T15)-COUNTIFS(Engine!$U$2:$U$102,1,Engine!$F$2:$F$102,"&lt;="&amp;T15)</f>
        <v>37</v>
      </c>
      <c r="V19" s="203">
        <f>COUNTIFS(Engine!$T$2:$T$102,1,Engine!$F$2:$F$102,"&lt;="&amp;U15)+COUNTIFS(Engine!$V$2:$V$102,1,Engine!$F$2:$F$102,"&lt;="&amp;U15)-COUNTIFS(Engine!$U$2:$U$102,1,Engine!$F$2:$F$102,"&lt;="&amp;U15)</f>
        <v>37</v>
      </c>
      <c r="W19" s="203">
        <f>COUNTIFS(Engine!$T$2:$T$102,1,Engine!$F$2:$F$102,"&lt;="&amp;V15)+COUNTIFS(Engine!$V$2:$V$102,1,Engine!$F$2:$F$102,"&lt;="&amp;V15)-COUNTIFS(Engine!$U$2:$U$102,1,Engine!$F$2:$F$102,"&lt;="&amp;V15)</f>
        <v>37</v>
      </c>
      <c r="X19" s="203">
        <f>COUNTIFS(Engine!$T$2:$T$102,1,Engine!$F$2:$F$102,"&lt;="&amp;W15)+COUNTIFS(Engine!$V$2:$V$102,1,Engine!$F$2:$F$102,"&lt;="&amp;W15)-COUNTIFS(Engine!$U$2:$U$102,1,Engine!$F$2:$F$102,"&lt;="&amp;W15)</f>
        <v>38</v>
      </c>
      <c r="Y19" s="203">
        <f>COUNTIFS(Engine!$T$2:$T$102,1,Engine!$F$2:$F$102,"&lt;="&amp;X15)+COUNTIFS(Engine!$V$2:$V$102,1,Engine!$F$2:$F$102,"&lt;="&amp;X15)-COUNTIFS(Engine!$U$2:$U$102,1,Engine!$F$2:$F$102,"&lt;="&amp;X15)</f>
        <v>38</v>
      </c>
      <c r="Z19" s="203">
        <f>COUNTIFS(Engine!$T$2:$T$102,1,Engine!$F$2:$F$102,"&lt;="&amp;Y15)+COUNTIFS(Engine!$V$2:$V$102,1,Engine!$F$2:$F$102,"&lt;="&amp;Y15)-COUNTIFS(Engine!$U$2:$U$102,1,Engine!$F$2:$F$102,"&lt;="&amp;Y15)</f>
        <v>38</v>
      </c>
      <c r="AA19" s="203">
        <f>COUNTIFS(Engine!$T$2:$T$102,1,Engine!$F$2:$F$102,"&lt;="&amp;Z15)+COUNTIFS(Engine!$V$2:$V$102,1,Engine!$F$2:$F$102,"&lt;="&amp;Z15)-COUNTIFS(Engine!$U$2:$U$102,1,Engine!$F$2:$F$102,"&lt;="&amp;Z15)</f>
        <v>39</v>
      </c>
      <c r="AB19" s="203">
        <f>COUNTIFS(Engine!$T$2:$T$102,1,Engine!$F$2:$F$102,"&lt;="&amp;AA15)+COUNTIFS(Engine!$V$2:$V$102,1,Engine!$F$2:$F$102,"&lt;="&amp;AA15)-COUNTIFS(Engine!$U$2:$U$102,1,Engine!$F$2:$F$102,"&lt;="&amp;AA15)</f>
        <v>41</v>
      </c>
    </row>
    <row r="20" ht="14.25" customHeight="1">
      <c r="A20" s="201" t="s">
        <v>1025</v>
      </c>
      <c r="B20" s="203">
        <f>COUNTIFS(Engine!$U$2:$U$102,1,Engine!$F$2:$F$102,B15)</f>
        <v>0</v>
      </c>
      <c r="C20" s="203">
        <f>COUNTIFS(Engine!$U$2:$U$102,1,Engine!$F$2:$F$102,C15)</f>
        <v>0</v>
      </c>
      <c r="D20" s="203">
        <f>COUNTIFS(Engine!$U$2:$U$102,1,Engine!$F$2:$F$102,D15)</f>
        <v>0</v>
      </c>
      <c r="E20" s="203">
        <f>COUNTIFS(Engine!$U$2:$U$102,1,Engine!$F$2:$F$102,E15)</f>
        <v>0</v>
      </c>
      <c r="F20" s="203">
        <f>COUNTIFS(Engine!$U$2:$U$102,1,Engine!$F$2:$F$102,F15)</f>
        <v>0</v>
      </c>
      <c r="G20" s="203">
        <f>COUNTIFS(Engine!$U$2:$U$102,1,Engine!$F$2:$F$102,G15)</f>
        <v>0</v>
      </c>
      <c r="H20" s="203">
        <f>COUNTIFS(Engine!$U$2:$U$102,1,Engine!$F$2:$F$102,H15)</f>
        <v>0</v>
      </c>
      <c r="I20" s="203">
        <f>COUNTIFS(Engine!$U$2:$U$102,1,Engine!$F$2:$F$102,I15)</f>
        <v>0</v>
      </c>
      <c r="J20" s="203">
        <f>COUNTIFS(Engine!$U$2:$U$102,1,Engine!$F$2:$F$102,J15)</f>
        <v>0</v>
      </c>
      <c r="K20" s="203">
        <f>COUNTIFS(Engine!$U$2:$U$102,1,Engine!$F$2:$F$102,K15)</f>
        <v>0</v>
      </c>
      <c r="L20" s="203">
        <f>COUNTIFS(Engine!$U$2:$U$102,1,Engine!$F$2:$F$102,L15)</f>
        <v>1</v>
      </c>
      <c r="M20" s="203">
        <f>COUNTIFS(Engine!$U$2:$U$102,1,Engine!$F$2:$F$102,M15)</f>
        <v>0</v>
      </c>
      <c r="N20" s="203">
        <f>COUNTIFS(Engine!$U$2:$U$102,1,Engine!$F$2:$F$102,N15)</f>
        <v>1</v>
      </c>
      <c r="O20" s="203">
        <f>COUNTIFS(Engine!$U$2:$U$102,1,Engine!$F$2:$F$102,O15)</f>
        <v>0</v>
      </c>
      <c r="P20" s="203">
        <f>COUNTIFS(Engine!$U$2:$U$102,1,Engine!$F$2:$F$102,P15)</f>
        <v>0</v>
      </c>
      <c r="Q20" s="203">
        <f>COUNTIFS(Engine!$U$2:$U$102,1,Engine!$F$2:$F$102,Q15)</f>
        <v>0</v>
      </c>
      <c r="R20" s="203">
        <f>COUNTIFS(Engine!$U$2:$U$102,1,Engine!$F$2:$F$102,R15)</f>
        <v>0</v>
      </c>
      <c r="S20" s="203">
        <f>COUNTIFS(Engine!$U$2:$U$102,1,Engine!$F$2:$F$102,S15)</f>
        <v>1</v>
      </c>
      <c r="T20" s="203">
        <f>COUNTIFS(Engine!$U$2:$U$102,1,Engine!$F$2:$F$102,T15)</f>
        <v>0</v>
      </c>
      <c r="U20" s="203">
        <f>COUNTIFS(Engine!$U$2:$U$102,1,Engine!$F$2:$F$102,U15)</f>
        <v>0</v>
      </c>
      <c r="V20" s="203">
        <f>COUNTIFS(Engine!$U$2:$U$102,1,Engine!$F$2:$F$102,V15)</f>
        <v>0</v>
      </c>
      <c r="W20" s="203">
        <f>COUNTIFS(Engine!$U$2:$U$102,1,Engine!$F$2:$F$102,W15)</f>
        <v>0</v>
      </c>
      <c r="X20" s="203">
        <f>COUNTIFS(Engine!$U$2:$U$102,1,Engine!$F$2:$F$102,X15)</f>
        <v>0</v>
      </c>
      <c r="Y20" s="203">
        <f>COUNTIFS(Engine!$U$2:$U$102,1,Engine!$F$2:$F$102,Y15)</f>
        <v>0</v>
      </c>
      <c r="Z20" s="203">
        <f>COUNTIFS(Engine!$U$2:$U$102,1,Engine!$F$2:$F$102,Z15)</f>
        <v>0</v>
      </c>
      <c r="AA20" s="203">
        <f>COUNTIFS(Engine!$U$2:$U$102,1,Engine!$F$2:$F$102,AA15)</f>
        <v>0</v>
      </c>
      <c r="AB20" s="203">
        <f>COUNTIFS(Engine!$U$2:$U$102,1,Engine!$F$2:$F$102,AB15)</f>
        <v>0</v>
      </c>
    </row>
    <row r="21" ht="14.25" customHeight="1">
      <c r="A21" s="201" t="s">
        <v>1026</v>
      </c>
      <c r="B21" s="204" t="str">
        <f t="shared" ref="B21:AB21" si="4">IF(B19=0,"-",B20/B19)</f>
        <v>-</v>
      </c>
      <c r="C21" s="204">
        <f t="shared" si="4"/>
        <v>0</v>
      </c>
      <c r="D21" s="204">
        <f t="shared" si="4"/>
        <v>0</v>
      </c>
      <c r="E21" s="204">
        <f t="shared" si="4"/>
        <v>0</v>
      </c>
      <c r="F21" s="204">
        <f t="shared" si="4"/>
        <v>0</v>
      </c>
      <c r="G21" s="204">
        <f t="shared" si="4"/>
        <v>0</v>
      </c>
      <c r="H21" s="204">
        <f t="shared" si="4"/>
        <v>0</v>
      </c>
      <c r="I21" s="204">
        <f t="shared" si="4"/>
        <v>0</v>
      </c>
      <c r="J21" s="204">
        <f t="shared" si="4"/>
        <v>0</v>
      </c>
      <c r="K21" s="204">
        <f t="shared" si="4"/>
        <v>0</v>
      </c>
      <c r="L21" s="204">
        <f t="shared" si="4"/>
        <v>0.04545454545</v>
      </c>
      <c r="M21" s="204">
        <f t="shared" si="4"/>
        <v>0</v>
      </c>
      <c r="N21" s="204">
        <f t="shared" si="4"/>
        <v>0.04</v>
      </c>
      <c r="O21" s="204">
        <f t="shared" si="4"/>
        <v>0</v>
      </c>
      <c r="P21" s="204">
        <f t="shared" si="4"/>
        <v>0</v>
      </c>
      <c r="Q21" s="204">
        <f t="shared" si="4"/>
        <v>0</v>
      </c>
      <c r="R21" s="204">
        <f t="shared" si="4"/>
        <v>0</v>
      </c>
      <c r="S21" s="204">
        <f t="shared" si="4"/>
        <v>0.02777777778</v>
      </c>
      <c r="T21" s="204">
        <f t="shared" si="4"/>
        <v>0</v>
      </c>
      <c r="U21" s="204">
        <f t="shared" si="4"/>
        <v>0</v>
      </c>
      <c r="V21" s="204">
        <f t="shared" si="4"/>
        <v>0</v>
      </c>
      <c r="W21" s="204">
        <f t="shared" si="4"/>
        <v>0</v>
      </c>
      <c r="X21" s="204">
        <f t="shared" si="4"/>
        <v>0</v>
      </c>
      <c r="Y21" s="204">
        <f t="shared" si="4"/>
        <v>0</v>
      </c>
      <c r="Z21" s="204">
        <f t="shared" si="4"/>
        <v>0</v>
      </c>
      <c r="AA21" s="204">
        <f t="shared" si="4"/>
        <v>0</v>
      </c>
      <c r="AB21" s="204">
        <f t="shared" si="4"/>
        <v>0</v>
      </c>
    </row>
    <row r="22" ht="14.25" customHeight="1"/>
    <row r="23" ht="14.25" customHeight="1">
      <c r="A23" s="25" t="s">
        <v>1027</v>
      </c>
    </row>
    <row r="24" ht="14.25" customHeight="1">
      <c r="A24" s="25" t="s">
        <v>814</v>
      </c>
      <c r="B24" s="200">
        <f t="shared" ref="B24:AB24" si="5">B4</f>
        <v>45292</v>
      </c>
      <c r="C24" s="200">
        <f t="shared" si="5"/>
        <v>45323</v>
      </c>
      <c r="D24" s="200">
        <f t="shared" si="5"/>
        <v>45352</v>
      </c>
      <c r="E24" s="200">
        <f t="shared" si="5"/>
        <v>45383</v>
      </c>
      <c r="F24" s="200">
        <f t="shared" si="5"/>
        <v>45413</v>
      </c>
      <c r="G24" s="200">
        <f t="shared" si="5"/>
        <v>45444</v>
      </c>
      <c r="H24" s="200">
        <f t="shared" si="5"/>
        <v>45474</v>
      </c>
      <c r="I24" s="200">
        <f t="shared" si="5"/>
        <v>45505</v>
      </c>
      <c r="J24" s="200">
        <f t="shared" si="5"/>
        <v>45536</v>
      </c>
      <c r="K24" s="200">
        <f t="shared" si="5"/>
        <v>45566</v>
      </c>
      <c r="L24" s="200">
        <f t="shared" si="5"/>
        <v>45597</v>
      </c>
      <c r="M24" s="200">
        <f t="shared" si="5"/>
        <v>45627</v>
      </c>
      <c r="N24" s="200">
        <f t="shared" si="5"/>
        <v>45658</v>
      </c>
      <c r="O24" s="200">
        <f t="shared" si="5"/>
        <v>45689</v>
      </c>
      <c r="P24" s="200">
        <f t="shared" si="5"/>
        <v>45717</v>
      </c>
      <c r="Q24" s="200">
        <f t="shared" si="5"/>
        <v>45748</v>
      </c>
      <c r="R24" s="200">
        <f t="shared" si="5"/>
        <v>45778</v>
      </c>
      <c r="S24" s="200">
        <f t="shared" si="5"/>
        <v>45809</v>
      </c>
      <c r="T24" s="200">
        <f t="shared" si="5"/>
        <v>45839</v>
      </c>
      <c r="U24" s="200">
        <f t="shared" si="5"/>
        <v>45870</v>
      </c>
      <c r="V24" s="200">
        <f t="shared" si="5"/>
        <v>45901</v>
      </c>
      <c r="W24" s="200">
        <f t="shared" si="5"/>
        <v>45931</v>
      </c>
      <c r="X24" s="200">
        <f t="shared" si="5"/>
        <v>45962</v>
      </c>
      <c r="Y24" s="200">
        <f t="shared" si="5"/>
        <v>45992</v>
      </c>
      <c r="Z24" s="200">
        <f t="shared" si="5"/>
        <v>46023</v>
      </c>
      <c r="AA24" s="200">
        <f t="shared" si="5"/>
        <v>46054</v>
      </c>
      <c r="AB24" s="200">
        <f t="shared" si="5"/>
        <v>46082</v>
      </c>
    </row>
    <row r="25" ht="14.25" customHeight="1">
      <c r="A25" s="25" t="s">
        <v>1028</v>
      </c>
      <c r="B25" s="82" t="str">
        <f t="shared" ref="B25:B26" si="7">IFERROR(AVERAGEIF(B6,"&gt;0"),"-")</f>
        <v>-</v>
      </c>
      <c r="C25" s="82">
        <f t="shared" ref="C25:C26" si="8">IFERROR(AVERAGEIF(B6:C6,"&gt;0"),"-")</f>
        <v>1</v>
      </c>
      <c r="D25" s="82">
        <f t="shared" ref="D25:D26" si="9">IFERROR(AVERAGEIF(B6:D6,"&gt;0"),"-")</f>
        <v>1</v>
      </c>
      <c r="E25" s="82">
        <f t="shared" ref="E25:AB25" si="6">AVERAGEIF(C6:E6,"&gt;0")</f>
        <v>1</v>
      </c>
      <c r="F25" s="82">
        <f t="shared" si="6"/>
        <v>1</v>
      </c>
      <c r="G25" s="82">
        <f t="shared" si="6"/>
        <v>1</v>
      </c>
      <c r="H25" s="82">
        <f t="shared" si="6"/>
        <v>1</v>
      </c>
      <c r="I25" s="82">
        <f t="shared" si="6"/>
        <v>0.9860356239</v>
      </c>
      <c r="J25" s="82">
        <f t="shared" si="6"/>
        <v>0.9860356239</v>
      </c>
      <c r="K25" s="82">
        <f t="shared" si="6"/>
        <v>0.9860356239</v>
      </c>
      <c r="L25" s="82">
        <f t="shared" si="6"/>
        <v>0.9977653934</v>
      </c>
      <c r="M25" s="82">
        <f t="shared" si="6"/>
        <v>0.9888678198</v>
      </c>
      <c r="N25" s="82">
        <f t="shared" si="6"/>
        <v>0.9872217022</v>
      </c>
      <c r="O25" s="82">
        <f t="shared" si="6"/>
        <v>0.9894563088</v>
      </c>
      <c r="P25" s="82">
        <f t="shared" si="6"/>
        <v>0.9952427219</v>
      </c>
      <c r="Q25" s="82">
        <f t="shared" si="6"/>
        <v>0.9968888396</v>
      </c>
      <c r="R25" s="82">
        <f t="shared" si="6"/>
        <v>0.990939791</v>
      </c>
      <c r="S25" s="82">
        <f t="shared" si="6"/>
        <v>0.9910108961</v>
      </c>
      <c r="T25" s="82">
        <f t="shared" si="6"/>
        <v>0.9871541522</v>
      </c>
      <c r="U25" s="82">
        <f t="shared" si="6"/>
        <v>0.9812058885</v>
      </c>
      <c r="V25" s="82">
        <f t="shared" si="6"/>
        <v>0.9839655198</v>
      </c>
      <c r="W25" s="82">
        <f t="shared" si="6"/>
        <v>0.9878222637</v>
      </c>
      <c r="X25" s="82">
        <f t="shared" si="6"/>
        <v>0.9987684087</v>
      </c>
      <c r="Y25" s="82">
        <f t="shared" si="6"/>
        <v>0.9953132232</v>
      </c>
      <c r="Z25" s="82">
        <f t="shared" si="6"/>
        <v>0.9953132232</v>
      </c>
      <c r="AA25" s="82">
        <f t="shared" si="6"/>
        <v>0.9949671229</v>
      </c>
      <c r="AB25" s="82">
        <f t="shared" si="6"/>
        <v>0.9987027325</v>
      </c>
    </row>
    <row r="26" ht="14.25" customHeight="1">
      <c r="A26" s="25" t="s">
        <v>1029</v>
      </c>
      <c r="B26" s="82" t="str">
        <f t="shared" si="7"/>
        <v>-</v>
      </c>
      <c r="C26" s="82">
        <f t="shared" si="8"/>
        <v>1</v>
      </c>
      <c r="D26" s="82">
        <f t="shared" si="9"/>
        <v>1</v>
      </c>
      <c r="E26" s="82">
        <f t="shared" ref="E26:AB26" si="10">AVERAGEIF(C7:E7,"&gt;0")</f>
        <v>1</v>
      </c>
      <c r="F26" s="82">
        <f t="shared" si="10"/>
        <v>1</v>
      </c>
      <c r="G26" s="82">
        <f t="shared" si="10"/>
        <v>1</v>
      </c>
      <c r="H26" s="82">
        <f t="shared" si="10"/>
        <v>1</v>
      </c>
      <c r="I26" s="82">
        <f t="shared" si="10"/>
        <v>0.9860356239</v>
      </c>
      <c r="J26" s="82">
        <f t="shared" si="10"/>
        <v>0.9860356239</v>
      </c>
      <c r="K26" s="82">
        <f t="shared" si="10"/>
        <v>0.9860356239</v>
      </c>
      <c r="L26" s="82">
        <f t="shared" si="10"/>
        <v>0.9977653934</v>
      </c>
      <c r="M26" s="82">
        <f t="shared" si="10"/>
        <v>0.9888678198</v>
      </c>
      <c r="N26" s="82">
        <f t="shared" si="10"/>
        <v>0.9877338276</v>
      </c>
      <c r="O26" s="82">
        <f t="shared" si="10"/>
        <v>0.9899684343</v>
      </c>
      <c r="P26" s="82">
        <f t="shared" si="10"/>
        <v>0.9957548474</v>
      </c>
      <c r="Q26" s="82">
        <f t="shared" si="10"/>
        <v>0.9988776784</v>
      </c>
      <c r="R26" s="82">
        <f t="shared" si="10"/>
        <v>0.9937552344</v>
      </c>
      <c r="S26" s="82">
        <f t="shared" si="10"/>
        <v>0.9977865649</v>
      </c>
      <c r="T26" s="82">
        <f t="shared" si="10"/>
        <v>0.9933872611</v>
      </c>
      <c r="U26" s="82">
        <f t="shared" si="10"/>
        <v>0.9931459817</v>
      </c>
      <c r="V26" s="82">
        <f t="shared" si="10"/>
        <v>0.9962078332</v>
      </c>
      <c r="W26" s="82">
        <f t="shared" si="10"/>
        <v>1.001555703</v>
      </c>
      <c r="X26" s="82">
        <f t="shared" si="10"/>
        <v>1.005968259</v>
      </c>
      <c r="Y26" s="82">
        <f t="shared" si="10"/>
        <v>0.9992143734</v>
      </c>
      <c r="Z26" s="82">
        <f t="shared" si="10"/>
        <v>0.9962769689</v>
      </c>
      <c r="AA26" s="82">
        <f t="shared" si="10"/>
        <v>0.9959308686</v>
      </c>
      <c r="AB26" s="82">
        <f t="shared" si="10"/>
        <v>0.9995036371</v>
      </c>
    </row>
    <row r="27" ht="14.25" customHeight="1">
      <c r="A27" s="25" t="s">
        <v>1030</v>
      </c>
      <c r="B27" s="82" t="str">
        <f>IFERROR(AVERAGE(B21),"-")</f>
        <v>-</v>
      </c>
      <c r="C27" s="82">
        <f>IFERROR(AVERAGE(B21:C21),"-")</f>
        <v>0</v>
      </c>
      <c r="D27" s="82">
        <f>IFERROR(AVERAGE(B21:D21),"-")</f>
        <v>0</v>
      </c>
      <c r="E27" s="82">
        <f t="shared" ref="E27:AB27" si="11">AVERAGE(C21:E21)</f>
        <v>0</v>
      </c>
      <c r="F27" s="82">
        <f t="shared" si="11"/>
        <v>0</v>
      </c>
      <c r="G27" s="82">
        <f t="shared" si="11"/>
        <v>0</v>
      </c>
      <c r="H27" s="82">
        <f t="shared" si="11"/>
        <v>0</v>
      </c>
      <c r="I27" s="82">
        <f t="shared" si="11"/>
        <v>0</v>
      </c>
      <c r="J27" s="82">
        <f t="shared" si="11"/>
        <v>0</v>
      </c>
      <c r="K27" s="82">
        <f t="shared" si="11"/>
        <v>0</v>
      </c>
      <c r="L27" s="82">
        <f t="shared" si="11"/>
        <v>0.01515151515</v>
      </c>
      <c r="M27" s="82">
        <f t="shared" si="11"/>
        <v>0.01515151515</v>
      </c>
      <c r="N27" s="82">
        <f t="shared" si="11"/>
        <v>0.02848484848</v>
      </c>
      <c r="O27" s="82">
        <f t="shared" si="11"/>
        <v>0.01333333333</v>
      </c>
      <c r="P27" s="82">
        <f t="shared" si="11"/>
        <v>0.01333333333</v>
      </c>
      <c r="Q27" s="82">
        <f t="shared" si="11"/>
        <v>0</v>
      </c>
      <c r="R27" s="82">
        <f t="shared" si="11"/>
        <v>0</v>
      </c>
      <c r="S27" s="82">
        <f t="shared" si="11"/>
        <v>0.009259259259</v>
      </c>
      <c r="T27" s="82">
        <f t="shared" si="11"/>
        <v>0.009259259259</v>
      </c>
      <c r="U27" s="82">
        <f t="shared" si="11"/>
        <v>0.009259259259</v>
      </c>
      <c r="V27" s="82">
        <f t="shared" si="11"/>
        <v>0</v>
      </c>
      <c r="W27" s="82">
        <f t="shared" si="11"/>
        <v>0</v>
      </c>
      <c r="X27" s="82">
        <f t="shared" si="11"/>
        <v>0</v>
      </c>
      <c r="Y27" s="82">
        <f t="shared" si="11"/>
        <v>0</v>
      </c>
      <c r="Z27" s="82">
        <f t="shared" si="11"/>
        <v>0</v>
      </c>
      <c r="AA27" s="82">
        <f t="shared" si="11"/>
        <v>0</v>
      </c>
      <c r="AB27" s="82">
        <f t="shared" si="11"/>
        <v>0</v>
      </c>
    </row>
    <row r="28" ht="14.25" customHeight="1">
      <c r="A28" s="25"/>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row>
    <row r="29" ht="14.25" customHeight="1">
      <c r="A29" s="25" t="s">
        <v>1031</v>
      </c>
      <c r="B29" s="82" t="str">
        <f t="shared" ref="B29:B30" si="13">IFERROR(AVERAGEIF(B6,"&gt;0"),"-")</f>
        <v>-</v>
      </c>
      <c r="C29" s="82">
        <f t="shared" ref="C29:C30" si="14">IFERROR(AVERAGEIF(B6:C6,"&gt;0"),"-")</f>
        <v>1</v>
      </c>
      <c r="D29" s="82">
        <f t="shared" ref="D29:D30" si="15">IFERROR(AVERAGEIF(B6:D6,"&gt;0"),"-")</f>
        <v>1</v>
      </c>
      <c r="E29" s="82">
        <f t="shared" ref="E29:E30" si="16">AVERAGEIF(B6:E6,"&gt;0")</f>
        <v>1</v>
      </c>
      <c r="F29" s="82">
        <f t="shared" ref="F29:F30" si="17">AVERAGEIF(B6:F6,"&gt;0")</f>
        <v>1</v>
      </c>
      <c r="G29" s="82">
        <f t="shared" ref="G29:G30" si="18">AVERAGEIF(B6:G6,"&gt;0")</f>
        <v>1</v>
      </c>
      <c r="H29" s="82">
        <f t="shared" ref="H29:H30" si="19">AVERAGEIF(B6:H6,"&gt;0")</f>
        <v>1</v>
      </c>
      <c r="I29" s="82">
        <f t="shared" ref="I29:I30" si="20">AVERAGEIF(B6:I6,"&gt;0")</f>
        <v>0.9940152674</v>
      </c>
      <c r="J29" s="82">
        <f t="shared" ref="J29:J30" si="21">AVERAGEIF(B6:J6,"&gt;0")</f>
        <v>0.9947633589</v>
      </c>
      <c r="K29" s="82">
        <f t="shared" ref="K29:K30" si="22">AVERAGEIF(B6:K6,"&gt;0")</f>
        <v>0.995345208</v>
      </c>
      <c r="L29" s="82">
        <f t="shared" ref="L29:L30" si="23">AVERAGEIF(B6:L6,"&gt;0")</f>
        <v>0.9951403052</v>
      </c>
      <c r="M29" s="82">
        <f t="shared" ref="M29:AB29" si="12">AVERAGEIF(B6:M6,"&gt;0")</f>
        <v>0.9931554846</v>
      </c>
      <c r="N29" s="82">
        <f t="shared" si="12"/>
        <v>0.9933143315</v>
      </c>
      <c r="O29" s="82">
        <f t="shared" si="12"/>
        <v>0.9933143315</v>
      </c>
      <c r="P29" s="82">
        <f t="shared" si="12"/>
        <v>0.9925365414</v>
      </c>
      <c r="Q29" s="82">
        <f t="shared" si="12"/>
        <v>0.9925365414</v>
      </c>
      <c r="R29" s="82">
        <f t="shared" si="12"/>
        <v>0.9910492793</v>
      </c>
      <c r="S29" s="82">
        <f t="shared" si="12"/>
        <v>0.9902892654</v>
      </c>
      <c r="T29" s="82">
        <f t="shared" si="12"/>
        <v>0.9893250794</v>
      </c>
      <c r="U29" s="82">
        <f t="shared" si="12"/>
        <v>0.9898418454</v>
      </c>
      <c r="V29" s="82">
        <f t="shared" si="12"/>
        <v>0.9897717394</v>
      </c>
      <c r="W29" s="82">
        <f t="shared" si="12"/>
        <v>0.9897717394</v>
      </c>
      <c r="X29" s="82">
        <f t="shared" si="12"/>
        <v>0.9900925992</v>
      </c>
      <c r="Y29" s="82">
        <f t="shared" si="12"/>
        <v>0.9913830903</v>
      </c>
      <c r="Z29" s="82">
        <f t="shared" si="12"/>
        <v>0.9917946197</v>
      </c>
      <c r="AA29" s="82">
        <f t="shared" si="12"/>
        <v>0.9914703028</v>
      </c>
      <c r="AB29" s="82">
        <f t="shared" si="12"/>
        <v>0.9922480929</v>
      </c>
    </row>
    <row r="30" ht="14.25" customHeight="1">
      <c r="A30" s="25" t="s">
        <v>1032</v>
      </c>
      <c r="B30" s="82" t="str">
        <f t="shared" si="13"/>
        <v>-</v>
      </c>
      <c r="C30" s="82">
        <f t="shared" si="14"/>
        <v>1</v>
      </c>
      <c r="D30" s="82">
        <f t="shared" si="15"/>
        <v>1</v>
      </c>
      <c r="E30" s="82">
        <f t="shared" si="16"/>
        <v>1</v>
      </c>
      <c r="F30" s="82">
        <f t="shared" si="17"/>
        <v>1</v>
      </c>
      <c r="G30" s="82">
        <f t="shared" si="18"/>
        <v>1</v>
      </c>
      <c r="H30" s="82">
        <f t="shared" si="19"/>
        <v>1</v>
      </c>
      <c r="I30" s="82">
        <f t="shared" si="20"/>
        <v>0.9940152674</v>
      </c>
      <c r="J30" s="82">
        <f t="shared" si="21"/>
        <v>0.9947633589</v>
      </c>
      <c r="K30" s="82">
        <f t="shared" si="22"/>
        <v>0.995345208</v>
      </c>
      <c r="L30" s="82">
        <f t="shared" si="23"/>
        <v>0.9951403052</v>
      </c>
      <c r="M30" s="82">
        <f t="shared" ref="M30:AB30" si="24">AVERAGEIF(B7:M7,"&gt;0")</f>
        <v>0.9931554846</v>
      </c>
      <c r="N30" s="82">
        <f t="shared" si="24"/>
        <v>0.9934423629</v>
      </c>
      <c r="O30" s="82">
        <f t="shared" si="24"/>
        <v>0.9934423629</v>
      </c>
      <c r="P30" s="82">
        <f t="shared" si="24"/>
        <v>0.9926645728</v>
      </c>
      <c r="Q30" s="82">
        <f t="shared" si="24"/>
        <v>0.9931617825</v>
      </c>
      <c r="R30" s="82">
        <f t="shared" si="24"/>
        <v>0.9918811715</v>
      </c>
      <c r="S30" s="82">
        <f t="shared" si="24"/>
        <v>0.992111214</v>
      </c>
      <c r="T30" s="82">
        <f t="shared" si="24"/>
        <v>0.9915085978</v>
      </c>
      <c r="U30" s="82">
        <f t="shared" si="24"/>
        <v>0.993658761</v>
      </c>
      <c r="V30" s="82">
        <f t="shared" si="24"/>
        <v>0.9946542663</v>
      </c>
      <c r="W30" s="82">
        <f t="shared" si="24"/>
        <v>0.9953886174</v>
      </c>
      <c r="X30" s="82">
        <f t="shared" si="24"/>
        <v>0.9957094773</v>
      </c>
      <c r="Y30" s="82">
        <f t="shared" si="24"/>
        <v>0.9972409047</v>
      </c>
      <c r="Z30" s="82">
        <f t="shared" si="24"/>
        <v>0.9975244027</v>
      </c>
      <c r="AA30" s="82">
        <f t="shared" si="24"/>
        <v>0.9972000859</v>
      </c>
      <c r="AB30" s="82">
        <f t="shared" si="24"/>
        <v>0.9981781021</v>
      </c>
    </row>
    <row r="31" ht="14.25" customHeight="1">
      <c r="A31" s="25" t="s">
        <v>1033</v>
      </c>
      <c r="B31" s="82" t="str">
        <f>IFERROR(AVERAGE(B21),"-")</f>
        <v>-</v>
      </c>
      <c r="C31" s="82">
        <f>IFERROR(AVERAGE(B21:C21),"-")</f>
        <v>0</v>
      </c>
      <c r="D31" s="82">
        <f>IFERROR(AVERAGE(B21:D21),"-")</f>
        <v>0</v>
      </c>
      <c r="E31" s="82">
        <f>AVERAGE(B21:E21)</f>
        <v>0</v>
      </c>
      <c r="F31" s="82">
        <f>AVERAGE(B21:F21)</f>
        <v>0</v>
      </c>
      <c r="G31" s="82">
        <f>AVERAGE(B21:G21)</f>
        <v>0</v>
      </c>
      <c r="H31" s="82">
        <f>AVERAGE(B21:H21)</f>
        <v>0</v>
      </c>
      <c r="I31" s="82">
        <f>AVERAGE(B21:I21)</f>
        <v>0</v>
      </c>
      <c r="J31" s="82">
        <f>AVERAGE(B21:J21)</f>
        <v>0</v>
      </c>
      <c r="K31" s="82">
        <f>AVERAGE(B21:K21)</f>
        <v>0</v>
      </c>
      <c r="L31" s="82">
        <f>AVERAGE(B21:L21)</f>
        <v>0.004545454545</v>
      </c>
      <c r="M31" s="82">
        <f t="shared" ref="M31:AB31" si="25">AVERAGE(B21:M21)</f>
        <v>0.004132231405</v>
      </c>
      <c r="N31" s="82">
        <f t="shared" si="25"/>
        <v>0.007121212121</v>
      </c>
      <c r="O31" s="82">
        <f t="shared" si="25"/>
        <v>0.007121212121</v>
      </c>
      <c r="P31" s="82">
        <f t="shared" si="25"/>
        <v>0.007121212121</v>
      </c>
      <c r="Q31" s="82">
        <f t="shared" si="25"/>
        <v>0.007121212121</v>
      </c>
      <c r="R31" s="82">
        <f t="shared" si="25"/>
        <v>0.007121212121</v>
      </c>
      <c r="S31" s="82">
        <f t="shared" si="25"/>
        <v>0.009436026936</v>
      </c>
      <c r="T31" s="82">
        <f t="shared" si="25"/>
        <v>0.009436026936</v>
      </c>
      <c r="U31" s="82">
        <f t="shared" si="25"/>
        <v>0.009436026936</v>
      </c>
      <c r="V31" s="82">
        <f t="shared" si="25"/>
        <v>0.009436026936</v>
      </c>
      <c r="W31" s="82">
        <f t="shared" si="25"/>
        <v>0.009436026936</v>
      </c>
      <c r="X31" s="82">
        <f t="shared" si="25"/>
        <v>0.005648148148</v>
      </c>
      <c r="Y31" s="82">
        <f t="shared" si="25"/>
        <v>0.005648148148</v>
      </c>
      <c r="Z31" s="82">
        <f t="shared" si="25"/>
        <v>0.002314814815</v>
      </c>
      <c r="AA31" s="82">
        <f t="shared" si="25"/>
        <v>0.002314814815</v>
      </c>
      <c r="AB31" s="82">
        <f t="shared" si="25"/>
        <v>0.002314814815</v>
      </c>
    </row>
    <row r="32" ht="19.5" customHeight="1"/>
    <row r="33" ht="14.25" customHeight="1">
      <c r="A33" s="25" t="s">
        <v>1034</v>
      </c>
    </row>
    <row r="34" ht="79.5" customHeight="1">
      <c r="A34" s="205" t="s">
        <v>1035</v>
      </c>
    </row>
    <row r="35" ht="15.0" customHeight="1"/>
    <row r="36" ht="14.25" customHeight="1">
      <c r="A36" s="25" t="s">
        <v>1036</v>
      </c>
    </row>
    <row r="37" ht="94.5" customHeight="1">
      <c r="A37" s="205" t="s">
        <v>1037</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4:AA34"/>
    <mergeCell ref="A37:AA37"/>
  </mergeCell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50.86"/>
    <col customWidth="1" min="2" max="2" width="24.43"/>
    <col customWidth="1" min="3" max="3" width="21.86"/>
    <col customWidth="1" min="4" max="4" width="25.43"/>
    <col customWidth="1" min="5" max="5" width="21.86"/>
    <col customWidth="1" min="6" max="6" width="25.43"/>
    <col customWidth="1" min="7" max="7" width="16.43"/>
    <col customWidth="1" min="8" max="8" width="8.71"/>
    <col customWidth="1" min="9" max="10" width="18.14"/>
    <col customWidth="1" min="11" max="26" width="8.71"/>
  </cols>
  <sheetData>
    <row r="1" ht="14.25" customHeight="1">
      <c r="A1" s="206" t="s">
        <v>1038</v>
      </c>
    </row>
    <row r="2" ht="14.25" customHeight="1"/>
    <row r="3" ht="14.25" customHeight="1">
      <c r="A3" s="207" t="s">
        <v>1039</v>
      </c>
      <c r="B3" s="208"/>
    </row>
    <row r="4" ht="14.25" customHeight="1">
      <c r="A4" s="209" t="s">
        <v>507</v>
      </c>
      <c r="B4" s="210">
        <f t="array" ref="B4">COUNTA(UNIQUE(Engine!$C$2:$C$102))</f>
        <v>43</v>
      </c>
      <c r="C4" s="210"/>
    </row>
    <row r="5" ht="14.25" customHeight="1">
      <c r="A5" s="209" t="s">
        <v>508</v>
      </c>
      <c r="B5" s="210">
        <f>COUNTA(Engine!$B$2:$B$102)</f>
        <v>101</v>
      </c>
      <c r="C5" s="210"/>
    </row>
    <row r="6" ht="14.25" customHeight="1">
      <c r="A6" s="209" t="s">
        <v>1040</v>
      </c>
      <c r="B6" s="211">
        <f>SUM(C12:C17)</f>
        <v>144185.5</v>
      </c>
      <c r="C6" s="211"/>
    </row>
    <row r="7" ht="14.25" customHeight="1">
      <c r="A7" s="209" t="s">
        <v>1041</v>
      </c>
      <c r="B7" s="211">
        <f>B6/B4</f>
        <v>3353.151163</v>
      </c>
      <c r="C7" s="211"/>
    </row>
    <row r="8" ht="14.25" customHeight="1">
      <c r="A8" s="209" t="s">
        <v>1042</v>
      </c>
      <c r="B8" s="211">
        <f>B6/B5</f>
        <v>1427.579208</v>
      </c>
      <c r="C8" s="211"/>
    </row>
    <row r="9" ht="14.25" customHeight="1"/>
    <row r="10" ht="14.25" customHeight="1">
      <c r="A10" s="209" t="s">
        <v>1043</v>
      </c>
    </row>
    <row r="11" ht="14.25" customHeight="1">
      <c r="A11" s="209" t="s">
        <v>1044</v>
      </c>
      <c r="B11" s="209" t="s">
        <v>1045</v>
      </c>
      <c r="C11" s="209" t="s">
        <v>1040</v>
      </c>
      <c r="D11" s="209" t="s">
        <v>1046</v>
      </c>
    </row>
    <row r="12" ht="14.25" customHeight="1">
      <c r="A12" s="212" t="s">
        <v>58</v>
      </c>
      <c r="B12" s="213">
        <v>5.0</v>
      </c>
      <c r="C12" s="197">
        <v>3105.0</v>
      </c>
      <c r="D12" s="197">
        <f t="shared" ref="D12:D18" si="1">C12/B12</f>
        <v>621</v>
      </c>
    </row>
    <row r="13" ht="14.25" customHeight="1">
      <c r="A13" s="212" t="s">
        <v>119</v>
      </c>
      <c r="B13" s="213">
        <v>8.0</v>
      </c>
      <c r="C13" s="197">
        <v>15475.5</v>
      </c>
      <c r="D13" s="197">
        <f t="shared" si="1"/>
        <v>1934.4375</v>
      </c>
    </row>
    <row r="14" ht="14.25" customHeight="1">
      <c r="A14" s="212" t="s">
        <v>64</v>
      </c>
      <c r="B14" s="213">
        <v>6.0</v>
      </c>
      <c r="C14" s="197">
        <v>32580.0</v>
      </c>
      <c r="D14" s="197">
        <f t="shared" si="1"/>
        <v>5430</v>
      </c>
    </row>
    <row r="15" ht="14.25" customHeight="1">
      <c r="A15" s="212" t="s">
        <v>52</v>
      </c>
      <c r="B15" s="213">
        <v>14.0</v>
      </c>
      <c r="C15" s="197">
        <v>29325.0</v>
      </c>
      <c r="D15" s="197">
        <f t="shared" si="1"/>
        <v>2094.642857</v>
      </c>
    </row>
    <row r="16" ht="14.25" customHeight="1">
      <c r="A16" s="212" t="s">
        <v>93</v>
      </c>
      <c r="B16" s="213">
        <v>11.0</v>
      </c>
      <c r="C16" s="197">
        <v>26950.0</v>
      </c>
      <c r="D16" s="197">
        <f t="shared" si="1"/>
        <v>2450</v>
      </c>
    </row>
    <row r="17" ht="14.25" customHeight="1">
      <c r="A17" s="212" t="s">
        <v>209</v>
      </c>
      <c r="B17" s="213">
        <v>7.0</v>
      </c>
      <c r="C17" s="197">
        <v>36750.0</v>
      </c>
      <c r="D17" s="197">
        <f t="shared" si="1"/>
        <v>5250</v>
      </c>
    </row>
    <row r="18" ht="14.25" customHeight="1">
      <c r="A18" s="209" t="s">
        <v>528</v>
      </c>
      <c r="B18" s="214">
        <v>51.0</v>
      </c>
      <c r="C18" s="215">
        <v>144185.5</v>
      </c>
      <c r="D18" s="197">
        <f t="shared" si="1"/>
        <v>2827.166667</v>
      </c>
    </row>
    <row r="19" ht="14.25" customHeight="1"/>
    <row r="20" ht="14.25" customHeight="1">
      <c r="A20" s="207" t="s">
        <v>1047</v>
      </c>
      <c r="B20" s="208"/>
      <c r="C20" s="208"/>
      <c r="D20" s="208"/>
    </row>
    <row r="21" ht="14.25" customHeight="1">
      <c r="A21" s="209" t="s">
        <v>1048</v>
      </c>
      <c r="B21" s="211">
        <f t="array" ref="B21">SUMPRODUCT(E28:E33,C28:C33/B28:B33)</f>
        <v>43255.65</v>
      </c>
    </row>
    <row r="22" ht="14.25" customHeight="1">
      <c r="A22" s="209" t="s">
        <v>1049</v>
      </c>
      <c r="B22" s="211">
        <f>B6-B21</f>
        <v>100929.85</v>
      </c>
    </row>
    <row r="23" ht="14.25" customHeight="1">
      <c r="A23" s="209" t="s">
        <v>1050</v>
      </c>
      <c r="B23" s="216">
        <f>B22/B6</f>
        <v>0.7</v>
      </c>
    </row>
    <row r="24" ht="14.25" customHeight="1">
      <c r="A24" s="209" t="s">
        <v>1051</v>
      </c>
      <c r="B24" s="211">
        <f>B22/B4</f>
        <v>2347.205814</v>
      </c>
    </row>
    <row r="25" ht="14.25" customHeight="1"/>
    <row r="26" ht="14.25" customHeight="1">
      <c r="A26" s="209" t="s">
        <v>1052</v>
      </c>
    </row>
    <row r="27" ht="14.25" customHeight="1">
      <c r="A27" s="209" t="s">
        <v>1044</v>
      </c>
      <c r="B27" s="209" t="s">
        <v>1053</v>
      </c>
      <c r="C27" s="209" t="s">
        <v>1054</v>
      </c>
      <c r="D27" s="209" t="s">
        <v>588</v>
      </c>
      <c r="E27" s="209" t="s">
        <v>1040</v>
      </c>
      <c r="F27" s="209" t="s">
        <v>1048</v>
      </c>
    </row>
    <row r="28" ht="14.25" customHeight="1">
      <c r="A28" s="212" t="s">
        <v>58</v>
      </c>
      <c r="B28" s="217">
        <f>Ref!B2</f>
        <v>45</v>
      </c>
      <c r="C28" s="217">
        <f>Ref!C2</f>
        <v>13.5</v>
      </c>
      <c r="D28" s="218">
        <f>Ref!D2</f>
        <v>0.7</v>
      </c>
      <c r="E28" s="217">
        <f t="shared" ref="E28:E33" si="2">C12</f>
        <v>3105</v>
      </c>
      <c r="F28" s="217">
        <f t="shared" ref="F28:F33" si="3">E28*C28/B28</f>
        <v>931.5</v>
      </c>
    </row>
    <row r="29" ht="14.25" customHeight="1">
      <c r="A29" s="212" t="s">
        <v>119</v>
      </c>
      <c r="B29" s="217">
        <f>Ref!B3</f>
        <v>95</v>
      </c>
      <c r="C29" s="217">
        <f>Ref!C3</f>
        <v>28.5</v>
      </c>
      <c r="D29" s="218">
        <f>Ref!D3</f>
        <v>0.7</v>
      </c>
      <c r="E29" s="217">
        <f t="shared" si="2"/>
        <v>15475.5</v>
      </c>
      <c r="F29" s="217">
        <f t="shared" si="3"/>
        <v>4642.65</v>
      </c>
    </row>
    <row r="30" ht="14.25" customHeight="1">
      <c r="A30" s="212" t="s">
        <v>64</v>
      </c>
      <c r="B30" s="217">
        <f>Ref!B4</f>
        <v>180</v>
      </c>
      <c r="C30" s="217">
        <f>Ref!C4</f>
        <v>54</v>
      </c>
      <c r="D30" s="218">
        <f>Ref!D4</f>
        <v>0.7</v>
      </c>
      <c r="E30" s="217">
        <f t="shared" si="2"/>
        <v>32580</v>
      </c>
      <c r="F30" s="217">
        <f t="shared" si="3"/>
        <v>9774</v>
      </c>
    </row>
    <row r="31" ht="14.25" customHeight="1">
      <c r="A31" s="212" t="s">
        <v>52</v>
      </c>
      <c r="B31" s="217">
        <f>Ref!B5</f>
        <v>85</v>
      </c>
      <c r="C31" s="217">
        <f>Ref!C5</f>
        <v>25.5</v>
      </c>
      <c r="D31" s="218">
        <f>Ref!D5</f>
        <v>0.7</v>
      </c>
      <c r="E31" s="217">
        <f t="shared" si="2"/>
        <v>29325</v>
      </c>
      <c r="F31" s="217">
        <f t="shared" si="3"/>
        <v>8797.5</v>
      </c>
    </row>
    <row r="32" ht="14.25" customHeight="1">
      <c r="A32" s="212" t="s">
        <v>93</v>
      </c>
      <c r="B32" s="217">
        <f>Ref!B6</f>
        <v>110</v>
      </c>
      <c r="C32" s="217">
        <f>Ref!C6</f>
        <v>33</v>
      </c>
      <c r="D32" s="218">
        <f>Ref!D6</f>
        <v>0.7</v>
      </c>
      <c r="E32" s="217">
        <f t="shared" si="2"/>
        <v>26950</v>
      </c>
      <c r="F32" s="217">
        <f t="shared" si="3"/>
        <v>8085</v>
      </c>
    </row>
    <row r="33" ht="14.25" customHeight="1">
      <c r="A33" s="212" t="s">
        <v>209</v>
      </c>
      <c r="B33" s="217">
        <f>Ref!B7</f>
        <v>150</v>
      </c>
      <c r="C33" s="217">
        <f>Ref!C7</f>
        <v>45</v>
      </c>
      <c r="D33" s="218">
        <f>Ref!D7</f>
        <v>0.7</v>
      </c>
      <c r="E33" s="217">
        <f t="shared" si="2"/>
        <v>36750</v>
      </c>
      <c r="F33" s="217">
        <f t="shared" si="3"/>
        <v>11025</v>
      </c>
    </row>
    <row r="34" ht="14.25" customHeight="1"/>
    <row r="35" ht="14.25" customHeight="1">
      <c r="A35" s="207" t="s">
        <v>1055</v>
      </c>
      <c r="B35" s="207"/>
    </row>
    <row r="36" ht="14.25" customHeight="1">
      <c r="A36" s="209" t="s">
        <v>1056</v>
      </c>
    </row>
    <row r="37" ht="14.25" customHeight="1">
      <c r="A37" s="209" t="s">
        <v>1057</v>
      </c>
      <c r="B37" s="216">
        <f>1-Retention!AA29</f>
        <v>0.008529697219</v>
      </c>
    </row>
    <row r="38" ht="14.25" customHeight="1">
      <c r="A38" s="209" t="s">
        <v>1058</v>
      </c>
      <c r="B38" s="219">
        <f>1/B37</f>
        <v>117.2374557</v>
      </c>
    </row>
    <row r="39" ht="14.25" customHeight="1"/>
    <row r="40" ht="14.25" customHeight="1">
      <c r="A40" s="209" t="s">
        <v>1059</v>
      </c>
    </row>
    <row r="41" ht="14.25" customHeight="1">
      <c r="A41" s="25" t="s">
        <v>1060</v>
      </c>
      <c r="B41" s="25" t="s">
        <v>1061</v>
      </c>
      <c r="C41" s="25" t="s">
        <v>1062</v>
      </c>
      <c r="D41" s="25" t="s">
        <v>1063</v>
      </c>
    </row>
    <row r="42" ht="14.25" customHeight="1">
      <c r="A42" s="212" t="s">
        <v>837</v>
      </c>
      <c r="B42" s="212" t="s">
        <v>147</v>
      </c>
      <c r="C42" s="219">
        <f t="array" ref="C42">(INDEX(Engine!$G$2:$G$102,MATCH(1,(Engine!$B$2:$B$102="SUB001")*(Engine!$H$2:$H$102="cancelled"),0))-INDEX(Engine!$G$2:$G$102,MATCH(1,(Engine!$B$2:$B$102="SUB001")*(Engine!$H$2:$H$102="created"),0)))/30.44</f>
        <v>7.621550591</v>
      </c>
      <c r="D42" s="211">
        <f t="array" ref="D42">-INDEX(Engine!$S$2:$S$102,MATCH(1,(Engine!$B$2:$B$102="SUB001")*(Engine!$H$2:$H$102="cancelled"),0))</f>
        <v>1900</v>
      </c>
    </row>
    <row r="43" ht="14.25" customHeight="1">
      <c r="A43" s="212" t="s">
        <v>847</v>
      </c>
      <c r="B43" s="212" t="s">
        <v>849</v>
      </c>
      <c r="C43" s="219">
        <f t="array" ref="C43">(INDEX(Engine!$G$2:$G$102,MATCH(1,(Engine!$B$2:$B$102="SUB005")*(Engine!$H$2:$H$102="cancelled"),0))-INDEX(Engine!$G$2:$G$102,MATCH(1,(Engine!$B$2:$B$102="SUB005")*(Engine!$H$2:$H$102="created"),0)))/30.44</f>
        <v>8.574244415</v>
      </c>
      <c r="D43" s="211">
        <f t="array" ref="D43">-INDEX(Engine!$S$2:$S$102,MATCH(1,(Engine!$B$2:$B$102="SUB005")*(Engine!$H$2:$H$102="cancelled"),0))</f>
        <v>495</v>
      </c>
    </row>
    <row r="44" ht="14.25" customHeight="1">
      <c r="A44" s="212" t="s">
        <v>855</v>
      </c>
      <c r="B44" s="212" t="s">
        <v>88</v>
      </c>
      <c r="C44" s="219">
        <f t="array" ref="C44">(INDEX(Engine!$G$2:$G$102,MATCH(1,(Engine!$B$2:$B$102="SUB008")*(Engine!$H$2:$H$102="cancelled"),0))-INDEX(Engine!$G$2:$G$102,MATCH(1,(Engine!$B$2:$B$102="SUB008")*(Engine!$H$2:$H$102="created"),0)))/30.44</f>
        <v>8.245729304</v>
      </c>
      <c r="D44" s="211">
        <f t="array" ref="D44">-INDEX(Engine!$S$2:$S$102,MATCH(1,(Engine!$B$2:$B$102="SUB008")*(Engine!$H$2:$H$102="cancelled"),0))</f>
        <v>2090</v>
      </c>
    </row>
    <row r="45" ht="14.25" customHeight="1">
      <c r="A45" s="212" t="s">
        <v>865</v>
      </c>
      <c r="B45" s="212" t="s">
        <v>202</v>
      </c>
      <c r="C45" s="219">
        <f t="array" ref="C45">(INDEX(Engine!$G$2:$G$102,MATCH(1,(Engine!$B$2:$B$102="SUB013")*(Engine!$H$2:$H$102="cancelled"),0))-INDEX(Engine!$G$2:$G$102,MATCH(1,(Engine!$B$2:$B$102="SUB013")*(Engine!$H$2:$H$102="created"),0)))/30.44</f>
        <v>6.73455979</v>
      </c>
      <c r="D45" s="211">
        <f t="array" ref="D45">-INDEX(Engine!$S$2:$S$102,MATCH(1,(Engine!$B$2:$B$102="SUB013")*(Engine!$H$2:$H$102="cancelled"),0))</f>
        <v>450</v>
      </c>
    </row>
    <row r="46" ht="14.25" customHeight="1">
      <c r="A46" s="212" t="s">
        <v>887</v>
      </c>
      <c r="B46" s="212" t="s">
        <v>263</v>
      </c>
      <c r="C46" s="219">
        <f t="array" ref="C46">(INDEX(Engine!$G$2:$G$102,MATCH(1,(Engine!$B$2:$B$102="SUB021")*(Engine!$H$2:$H$102="cancelled"),0))-INDEX(Engine!$G$2:$G$102,MATCH(1,(Engine!$B$2:$B$102="SUB021")*(Engine!$H$2:$H$102="created"),0)))/30.44</f>
        <v>7.358738502</v>
      </c>
      <c r="D46" s="211">
        <f t="array" ref="D46">-INDEX(Engine!$S$2:$S$102,MATCH(1,(Engine!$B$2:$B$102="SUB021")*(Engine!$H$2:$H$102="cancelled"),0))</f>
        <v>2375</v>
      </c>
    </row>
    <row r="47" ht="14.25" customHeight="1">
      <c r="A47" s="212" t="s">
        <v>863</v>
      </c>
      <c r="B47" s="212" t="s">
        <v>117</v>
      </c>
      <c r="C47" s="219">
        <f t="array" ref="C47">(INDEX(Engine!$G$2:$G$102,MATCH(1,(Engine!$B$2:$B$102="SUB049")*(Engine!$H$2:$H$102="cancelled"),0))-INDEX(Engine!$G$2:$G$102,MATCH(1,(Engine!$B$2:$B$102="SUB049")*(Engine!$H$2:$H$102="created"),0)))/30.44</f>
        <v>11.99080158</v>
      </c>
      <c r="D47" s="211">
        <f t="array" ref="D47">-INDEX(Engine!$S$2:$S$102,MATCH(1,(Engine!$B$2:$B$102="SUB049")*(Engine!$H$2:$H$102="cancelled"),0))</f>
        <v>855</v>
      </c>
    </row>
    <row r="48" ht="14.25" customHeight="1">
      <c r="A48" s="212" t="s">
        <v>891</v>
      </c>
      <c r="B48" s="212" t="s">
        <v>155</v>
      </c>
      <c r="C48" s="219">
        <f t="array" ref="C48">(INDEX(Engine!$G$2:$G$102,MATCH(1,(Engine!$B$2:$B$102="SUB023")*(Engine!$H$2:$H$102="cancelled"),0))-INDEX(Engine!$G$2:$G$102,MATCH(1,(Engine!$B$2:$B$102="SUB023")*(Engine!$H$2:$H$102="created"),0)))/30.44</f>
        <v>7.424441524</v>
      </c>
      <c r="D48" s="211">
        <f t="array" ref="D48">-INDEX(Engine!$S$2:$S$102,MATCH(1,(Engine!$B$2:$B$102="SUB023")*(Engine!$H$2:$H$102="cancelled"),0))</f>
        <v>450</v>
      </c>
    </row>
    <row r="49" ht="14.25" customHeight="1">
      <c r="A49" s="212" t="s">
        <v>883</v>
      </c>
      <c r="B49" s="212" t="s">
        <v>160</v>
      </c>
      <c r="C49" s="219">
        <f t="array" ref="C49">(INDEX(Engine!$G$2:$G$102,MATCH(1,(Engine!$B$2:$B$102="SUB060")*(Engine!$H$2:$H$102="cancelled"),0))-INDEX(Engine!$G$2:$G$102,MATCH(1,(Engine!$B$2:$B$102="SUB060")*(Engine!$H$2:$H$102="created"),0)))/30.44</f>
        <v>10.08541393</v>
      </c>
      <c r="D49" s="211">
        <f t="array" ref="D49">-INDEX(Engine!$S$2:$S$102,MATCH(1,(Engine!$B$2:$B$102="SUB060")*(Engine!$H$2:$H$102="cancelled"),0))</f>
        <v>1760</v>
      </c>
    </row>
    <row r="50" ht="14.25" customHeight="1">
      <c r="A50" s="212" t="s">
        <v>845</v>
      </c>
      <c r="B50" s="212" t="s">
        <v>180</v>
      </c>
      <c r="C50" s="219">
        <f t="array" ref="C50">(INDEX(Engine!$G$2:$G$102,MATCH(1,(Engine!$B$2:$B$102="SUB055")*(Engine!$H$2:$H$102="cancelled"),0))-INDEX(Engine!$G$2:$G$102,MATCH(1,(Engine!$B$2:$B$102="SUB055")*(Engine!$H$2:$H$102="created"),0)))/30.44</f>
        <v>18.33114323</v>
      </c>
      <c r="D50" s="211">
        <f t="array" ref="D50">-INDEX(Engine!$S$2:$S$102,MATCH(1,(Engine!$B$2:$B$102="SUB055")*(Engine!$H$2:$H$102="cancelled"),0))</f>
        <v>4680</v>
      </c>
    </row>
    <row r="51" ht="14.25" customHeight="1">
      <c r="A51" s="212" t="s">
        <v>869</v>
      </c>
      <c r="B51" s="212" t="s">
        <v>214</v>
      </c>
      <c r="C51" s="219">
        <f t="array" ref="C51">(INDEX(Engine!$G$2:$G$102,MATCH(1,(Engine!$B$2:$B$102="SUB015")*(Engine!$H$2:$H$102="cancelled"),0))-INDEX(Engine!$G$2:$G$102,MATCH(1,(Engine!$B$2:$B$102="SUB015")*(Engine!$H$2:$H$102="created"),0)))/30.44</f>
        <v>17.27989488</v>
      </c>
      <c r="D51" s="211">
        <f t="array" ref="D51">-INDEX(Engine!$S$2:$S$102,MATCH(1,(Engine!$B$2:$B$102="SUB015")*(Engine!$H$2:$H$102="cancelled"),0))</f>
        <v>1624.5</v>
      </c>
    </row>
    <row r="52" ht="14.25" customHeight="1">
      <c r="A52" s="212" t="s">
        <v>57</v>
      </c>
      <c r="B52" s="212" t="s">
        <v>50</v>
      </c>
      <c r="C52" s="219">
        <f t="array" ref="C52">(INDEX(Engine!$G$2:$G$102,MATCH(1,(Engine!$B$2:$B$102="SUB050")*(Engine!$H$2:$H$102="cancelled"),0))-INDEX(Engine!$G$2:$G$102,MATCH(1,(Engine!$B$2:$B$102="SUB050")*(Engine!$H$2:$H$102="created"),0)))/30.44</f>
        <v>22.66754271</v>
      </c>
      <c r="D52" s="211">
        <f t="array" ref="D52">-INDEX(Engine!$S$2:$S$102,MATCH(1,(Engine!$B$2:$B$102="SUB050")*(Engine!$H$2:$H$102="cancelled"),0))</f>
        <v>594</v>
      </c>
    </row>
    <row r="53" ht="14.25" customHeight="1">
      <c r="A53" s="209" t="s">
        <v>1064</v>
      </c>
      <c r="C53" s="219">
        <f t="shared" ref="C53:D53" si="4">AVERAGE(C42:C52)</f>
        <v>11.4830964</v>
      </c>
      <c r="D53" s="211">
        <f t="shared" si="4"/>
        <v>1570.318182</v>
      </c>
    </row>
    <row r="54" ht="14.25" customHeight="1">
      <c r="A54" s="209" t="s">
        <v>1065</v>
      </c>
      <c r="C54" s="219">
        <f t="shared" ref="C54:D54" si="5">MEDIAN(C42:C52)</f>
        <v>8.574244415</v>
      </c>
      <c r="D54" s="211">
        <f t="shared" si="5"/>
        <v>1624.5</v>
      </c>
    </row>
    <row r="55" ht="14.25" customHeight="1"/>
    <row r="56" ht="14.25" customHeight="1">
      <c r="A56" s="209" t="s">
        <v>1066</v>
      </c>
    </row>
    <row r="57" ht="14.25" customHeight="1">
      <c r="A57" s="209" t="s">
        <v>1067</v>
      </c>
      <c r="B57" s="211">
        <f>B7/B37</f>
        <v>393114.911</v>
      </c>
    </row>
    <row r="58" ht="14.25" customHeight="1">
      <c r="A58" s="220" t="s">
        <v>1068</v>
      </c>
      <c r="B58" s="221">
        <f>B7*B23/B37</f>
        <v>275180.4377</v>
      </c>
    </row>
    <row r="59" ht="14.25" customHeight="1">
      <c r="A59" s="209" t="s">
        <v>1069</v>
      </c>
      <c r="B59" s="211">
        <f>B7*C53*B23</f>
        <v>26953.19064</v>
      </c>
    </row>
    <row r="60" ht="14.25" customHeight="1"/>
    <row r="61" ht="14.25" customHeight="1">
      <c r="A61" s="209" t="s">
        <v>1070</v>
      </c>
    </row>
    <row r="62" ht="14.25" customHeight="1">
      <c r="A62" s="222" t="s">
        <v>1071</v>
      </c>
    </row>
    <row r="63" ht="14.25" customHeight="1"/>
    <row r="64" ht="14.25" customHeight="1">
      <c r="A64" s="223" t="s">
        <v>1072</v>
      </c>
      <c r="B64" s="58"/>
      <c r="C64" s="58"/>
      <c r="D64" s="58"/>
      <c r="E64" s="58"/>
      <c r="F64" s="58"/>
      <c r="G64" s="58"/>
      <c r="H64" s="58"/>
      <c r="I64" s="58"/>
      <c r="J64" s="59"/>
    </row>
    <row r="65" ht="14.25" customHeight="1">
      <c r="A65" s="209" t="s">
        <v>1073</v>
      </c>
    </row>
    <row r="66" ht="14.25" customHeight="1">
      <c r="A66" s="224" t="s">
        <v>814</v>
      </c>
      <c r="B66" s="224" t="s">
        <v>1074</v>
      </c>
      <c r="C66" s="224" t="s">
        <v>1075</v>
      </c>
      <c r="D66" s="224" t="s">
        <v>1076</v>
      </c>
      <c r="E66" s="224" t="s">
        <v>1077</v>
      </c>
      <c r="F66" s="224" t="s">
        <v>1078</v>
      </c>
      <c r="G66" s="224" t="s">
        <v>1079</v>
      </c>
      <c r="H66" s="224" t="s">
        <v>1080</v>
      </c>
      <c r="I66" s="224" t="s">
        <v>1081</v>
      </c>
      <c r="J66" s="224" t="s">
        <v>506</v>
      </c>
    </row>
    <row r="67" ht="14.25" customHeight="1">
      <c r="A67" s="225" t="s">
        <v>1082</v>
      </c>
      <c r="B67" s="226">
        <v>11500.0</v>
      </c>
      <c r="C67" s="226">
        <v>7200.0</v>
      </c>
      <c r="D67" s="226">
        <v>4200.0</v>
      </c>
      <c r="E67" s="226">
        <v>2100.0</v>
      </c>
      <c r="F67" s="226">
        <v>1800.0</v>
      </c>
      <c r="G67" s="226">
        <v>1050.0</v>
      </c>
      <c r="H67" s="226">
        <v>0.0</v>
      </c>
      <c r="I67" s="226">
        <v>27850.0</v>
      </c>
      <c r="J67" s="227">
        <v>2.0</v>
      </c>
    </row>
    <row r="68" ht="14.25" customHeight="1">
      <c r="A68" s="225" t="s">
        <v>1083</v>
      </c>
      <c r="B68" s="226">
        <v>11500.0</v>
      </c>
      <c r="C68" s="226">
        <v>7200.0</v>
      </c>
      <c r="D68" s="226">
        <v>4500.0</v>
      </c>
      <c r="E68" s="226">
        <v>2100.0</v>
      </c>
      <c r="F68" s="226">
        <v>1600.0</v>
      </c>
      <c r="G68" s="226">
        <v>1050.0</v>
      </c>
      <c r="H68" s="226">
        <v>0.0</v>
      </c>
      <c r="I68" s="226">
        <v>27950.0</v>
      </c>
      <c r="J68" s="227">
        <v>2.0</v>
      </c>
    </row>
    <row r="69" ht="14.25" customHeight="1">
      <c r="A69" s="225" t="s">
        <v>1084</v>
      </c>
      <c r="B69" s="226">
        <v>11500.0</v>
      </c>
      <c r="C69" s="226">
        <v>7200.0</v>
      </c>
      <c r="D69" s="226">
        <v>5100.0</v>
      </c>
      <c r="E69" s="226">
        <v>2400.0</v>
      </c>
      <c r="F69" s="226">
        <v>2400.0</v>
      </c>
      <c r="G69" s="226">
        <v>1050.0</v>
      </c>
      <c r="H69" s="226">
        <v>2800.0</v>
      </c>
      <c r="I69" s="226">
        <v>32450.0</v>
      </c>
      <c r="J69" s="227">
        <v>3.0</v>
      </c>
    </row>
    <row r="70" ht="14.25" customHeight="1">
      <c r="A70" s="225" t="s">
        <v>1085</v>
      </c>
      <c r="B70" s="226">
        <v>11500.0</v>
      </c>
      <c r="C70" s="226">
        <v>7200.0</v>
      </c>
      <c r="D70" s="226">
        <v>4800.0</v>
      </c>
      <c r="E70" s="226">
        <v>2100.0</v>
      </c>
      <c r="F70" s="226">
        <v>1500.0</v>
      </c>
      <c r="G70" s="226">
        <v>1050.0</v>
      </c>
      <c r="H70" s="226">
        <v>0.0</v>
      </c>
      <c r="I70" s="226">
        <v>28150.0</v>
      </c>
      <c r="J70" s="227">
        <v>2.0</v>
      </c>
    </row>
    <row r="71" ht="14.25" customHeight="1">
      <c r="A71" s="225" t="s">
        <v>1086</v>
      </c>
      <c r="B71" s="226">
        <v>11500.0</v>
      </c>
      <c r="C71" s="226">
        <v>7200.0</v>
      </c>
      <c r="D71" s="226">
        <v>4600.0</v>
      </c>
      <c r="E71" s="226">
        <v>2100.0</v>
      </c>
      <c r="F71" s="226">
        <v>1200.0</v>
      </c>
      <c r="G71" s="226">
        <v>1050.0</v>
      </c>
      <c r="H71" s="226">
        <v>0.0</v>
      </c>
      <c r="I71" s="226">
        <v>27650.0</v>
      </c>
      <c r="J71" s="227">
        <v>2.0</v>
      </c>
    </row>
    <row r="72" ht="14.25" customHeight="1">
      <c r="A72" s="225" t="s">
        <v>1087</v>
      </c>
      <c r="B72" s="226">
        <v>11500.0</v>
      </c>
      <c r="C72" s="226">
        <v>7200.0</v>
      </c>
      <c r="D72" s="226">
        <v>5000.0</v>
      </c>
      <c r="E72" s="226">
        <v>2400.0</v>
      </c>
      <c r="F72" s="226">
        <v>1400.0</v>
      </c>
      <c r="G72" s="226">
        <v>1050.0</v>
      </c>
      <c r="H72" s="226">
        <v>3200.0</v>
      </c>
      <c r="I72" s="226">
        <v>31750.0</v>
      </c>
      <c r="J72" s="227">
        <v>2.0</v>
      </c>
    </row>
    <row r="73" ht="14.25" customHeight="1">
      <c r="A73" s="225" t="s">
        <v>1088</v>
      </c>
      <c r="B73" s="226">
        <v>11500.0</v>
      </c>
      <c r="C73" s="226">
        <v>7200.0</v>
      </c>
      <c r="D73" s="226">
        <v>6500.0</v>
      </c>
      <c r="E73" s="226">
        <v>2400.0</v>
      </c>
      <c r="F73" s="226">
        <v>0.0</v>
      </c>
      <c r="G73" s="226">
        <v>1050.0</v>
      </c>
      <c r="H73" s="226">
        <v>0.0</v>
      </c>
      <c r="I73" s="226">
        <v>28650.0</v>
      </c>
      <c r="J73" s="227">
        <v>0.0</v>
      </c>
    </row>
    <row r="74" ht="14.25" customHeight="1">
      <c r="A74" s="225" t="s">
        <v>1089</v>
      </c>
      <c r="B74" s="226">
        <v>11500.0</v>
      </c>
      <c r="C74" s="226">
        <v>7200.0</v>
      </c>
      <c r="D74" s="226">
        <v>7200.0</v>
      </c>
      <c r="E74" s="226">
        <v>2400.0</v>
      </c>
      <c r="F74" s="226">
        <v>0.0</v>
      </c>
      <c r="G74" s="226">
        <v>1050.0</v>
      </c>
      <c r="H74" s="226">
        <v>0.0</v>
      </c>
      <c r="I74" s="226">
        <v>29350.0</v>
      </c>
      <c r="J74" s="227">
        <v>0.0</v>
      </c>
    </row>
    <row r="75" ht="14.25" customHeight="1">
      <c r="A75" s="225" t="s">
        <v>1090</v>
      </c>
      <c r="B75" s="226">
        <v>11500.0</v>
      </c>
      <c r="C75" s="226">
        <v>7200.0</v>
      </c>
      <c r="D75" s="226">
        <v>6800.0</v>
      </c>
      <c r="E75" s="226">
        <v>2400.0</v>
      </c>
      <c r="F75" s="226">
        <v>0.0</v>
      </c>
      <c r="G75" s="226">
        <v>1050.0</v>
      </c>
      <c r="H75" s="226">
        <v>4500.0</v>
      </c>
      <c r="I75" s="226">
        <v>33450.0</v>
      </c>
      <c r="J75" s="227">
        <v>0.0</v>
      </c>
    </row>
    <row r="76" ht="14.25" customHeight="1">
      <c r="A76" s="225" t="s">
        <v>1091</v>
      </c>
      <c r="B76" s="226">
        <v>11500.0</v>
      </c>
      <c r="C76" s="226">
        <v>7200.0</v>
      </c>
      <c r="D76" s="226">
        <v>3500.0</v>
      </c>
      <c r="E76" s="226">
        <v>1800.0</v>
      </c>
      <c r="F76" s="226">
        <v>0.0</v>
      </c>
      <c r="G76" s="226">
        <v>1050.0</v>
      </c>
      <c r="H76" s="226">
        <v>0.0</v>
      </c>
      <c r="I76" s="226">
        <v>25050.0</v>
      </c>
      <c r="J76" s="227">
        <v>0.0</v>
      </c>
    </row>
    <row r="77" ht="14.25" customHeight="1">
      <c r="A77" s="225" t="s">
        <v>1092</v>
      </c>
      <c r="B77" s="226">
        <v>11500.0</v>
      </c>
      <c r="C77" s="226">
        <v>7200.0</v>
      </c>
      <c r="D77" s="226">
        <v>3200.0</v>
      </c>
      <c r="E77" s="226">
        <v>1800.0</v>
      </c>
      <c r="F77" s="226">
        <v>0.0</v>
      </c>
      <c r="G77" s="226">
        <v>1050.0</v>
      </c>
      <c r="H77" s="226">
        <v>0.0</v>
      </c>
      <c r="I77" s="226">
        <v>24750.0</v>
      </c>
      <c r="J77" s="227">
        <v>0.0</v>
      </c>
    </row>
    <row r="78" ht="14.25" customHeight="1">
      <c r="A78" s="225" t="s">
        <v>1093</v>
      </c>
      <c r="B78" s="226">
        <v>11500.0</v>
      </c>
      <c r="C78" s="226">
        <v>7200.0</v>
      </c>
      <c r="D78" s="226">
        <v>2800.0</v>
      </c>
      <c r="E78" s="226">
        <v>1800.0</v>
      </c>
      <c r="F78" s="226">
        <v>0.0</v>
      </c>
      <c r="G78" s="226">
        <v>1050.0</v>
      </c>
      <c r="H78" s="226">
        <v>0.0</v>
      </c>
      <c r="I78" s="226">
        <v>24350.0</v>
      </c>
      <c r="J78" s="227">
        <v>0.0</v>
      </c>
    </row>
    <row r="79" ht="14.25" customHeight="1">
      <c r="A79" s="225" t="s">
        <v>1094</v>
      </c>
      <c r="B79" s="226">
        <v>11500.0</v>
      </c>
      <c r="C79" s="226">
        <v>7200.0</v>
      </c>
      <c r="D79" s="226">
        <v>3500.0</v>
      </c>
      <c r="E79" s="226">
        <v>2100.0</v>
      </c>
      <c r="F79" s="226">
        <v>800.0</v>
      </c>
      <c r="G79" s="226">
        <v>1050.0</v>
      </c>
      <c r="H79" s="226">
        <v>0.0</v>
      </c>
      <c r="I79" s="226">
        <v>26150.0</v>
      </c>
      <c r="J79" s="227">
        <v>1.0</v>
      </c>
    </row>
    <row r="80" ht="14.25" customHeight="1">
      <c r="A80" s="225" t="s">
        <v>1095</v>
      </c>
      <c r="B80" s="226">
        <v>11500.0</v>
      </c>
      <c r="C80" s="226">
        <v>7200.0</v>
      </c>
      <c r="D80" s="226">
        <v>3800.0</v>
      </c>
      <c r="E80" s="226">
        <v>2100.0</v>
      </c>
      <c r="F80" s="226">
        <v>0.0</v>
      </c>
      <c r="G80" s="226">
        <v>1050.0</v>
      </c>
      <c r="H80" s="226">
        <v>0.0</v>
      </c>
      <c r="I80" s="226">
        <v>25650.0</v>
      </c>
      <c r="J80" s="227">
        <v>0.0</v>
      </c>
    </row>
    <row r="81" ht="14.25" customHeight="1">
      <c r="A81" s="228" t="s">
        <v>528</v>
      </c>
      <c r="B81" s="229">
        <f>SUM('Unit Economics'!$B$67:$B$80)</f>
        <v>161000</v>
      </c>
      <c r="C81" s="229">
        <f>SUM('Unit Economics'!$C$67:$C$80)</f>
        <v>100800</v>
      </c>
      <c r="D81" s="229">
        <f>SUM('Unit Economics'!$D$67:$D$80)</f>
        <v>65500</v>
      </c>
      <c r="E81" s="229">
        <f>SUM('Unit Economics'!$E$67:$E$80)</f>
        <v>30000</v>
      </c>
      <c r="F81" s="229">
        <f>SUM('Unit Economics'!$F$67:$F$80)</f>
        <v>10700</v>
      </c>
      <c r="G81" s="229">
        <f>SUM('Unit Economics'!$G$67:$G$80)</f>
        <v>14700</v>
      </c>
      <c r="H81" s="229">
        <f>SUM('Unit Economics'!$H$67:$H$80)</f>
        <v>10500</v>
      </c>
      <c r="I81" s="229">
        <f>SUM('Unit Economics'!$I$67:$I$80)</f>
        <v>393200</v>
      </c>
      <c r="J81" s="230">
        <f>SUM('Unit Economics'!$J$67:$J$80)</f>
        <v>14</v>
      </c>
    </row>
    <row r="82" ht="14.25" customHeight="1"/>
    <row r="83" ht="14.25" customHeight="1">
      <c r="A83" s="228" t="s">
        <v>1096</v>
      </c>
    </row>
    <row r="84" ht="14.25" customHeight="1">
      <c r="A84" s="25" t="s">
        <v>1097</v>
      </c>
      <c r="B84" s="25" t="s">
        <v>669</v>
      </c>
      <c r="C84" s="25" t="s">
        <v>1098</v>
      </c>
    </row>
    <row r="85" ht="14.25" customHeight="1">
      <c r="A85" s="209" t="s">
        <v>1099</v>
      </c>
      <c r="B85" s="211">
        <f t="array" ref="B85">SUMPRODUCT(('Unit Economics'!$A$67:$A$80&gt;="2025-01")*('Unit Economics'!$A$67:$A$80&lt;="2025-06")*'Unit Economics'!$I$67:$I$80)/SUMPRODUCT(('Unit Economics'!$A$67:$A$80&gt;="2025-01")*('Unit Economics'!$A$67:$A$80&lt;="2025-06")*'Unit Economics'!$J$67:$J$80)</f>
        <v>13523.07692</v>
      </c>
      <c r="C85" s="212" t="s">
        <v>1100</v>
      </c>
    </row>
    <row r="86" ht="14.25" customHeight="1">
      <c r="A86" s="231" t="s">
        <v>1101</v>
      </c>
      <c r="B86" s="232" t="str">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N/A</v>
      </c>
      <c r="C86" s="233" t="str">
        <f t="array" ref="C86">"S&amp;M: "&amp;TEXT(SUMPRODUCT(('Unit Economics'!$A$67:$A$80&gt;="2025-07")*('Unit Economics'!$A$67:$A$80&lt;="2025-12")*'Unit Economics'!$I$67:$I$80),"$#,##0")&amp;" | Customers: "&amp;SUMPRODUCT(('Unit Economics'!$A$67:$A$80&gt;="2025-07")*('Unit Economics'!$A$67:$A$80&lt;="2025-12")*'Unit Economics'!$J$67:$J$80)</f>
        <v>S&amp;M: $165,600 | Customers: 0</v>
      </c>
    </row>
    <row r="87" ht="14.25" customHeight="1">
      <c r="A87" s="209" t="s">
        <v>1102</v>
      </c>
      <c r="B87" s="211">
        <f t="array" ref="B87">SUMPRODUCT(('Unit Economics'!$A$67:$A$80&gt;="2025-01")*('Unit Economics'!$A$67:$A$80&lt;="2025-12")*'Unit Economics'!$I$67:$I$80)/SUMPRODUCT(('Unit Economics'!$A$67:$A$80&gt;="2025-01")*('Unit Economics'!$A$67:$A$80&lt;="2025-12")*'Unit Economics'!$J$67:$J$80)</f>
        <v>26261.53846</v>
      </c>
      <c r="C87" s="212" t="s">
        <v>1100</v>
      </c>
    </row>
    <row r="88" ht="14.25" customHeight="1">
      <c r="A88" s="209" t="s">
        <v>1103</v>
      </c>
      <c r="B88" s="211">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51800</v>
      </c>
      <c r="C88" s="212" t="s">
        <v>1100</v>
      </c>
    </row>
    <row r="89" ht="14.25" customHeight="1">
      <c r="A89" s="209" t="s">
        <v>1104</v>
      </c>
      <c r="B89" s="211">
        <f t="array" ref="B89">SUMPRODUCT(('Unit Economics'!$A$67:$A$80&gt;="2025-03")*('Unit Economics'!$A$67:$A$80&lt;="2026-02")*'Unit Economics'!$I$67:$I$80)/SUMPRODUCT(('Unit Economics'!$A$67:$A$80&gt;="2025-03")*('Unit Economics'!$A$67:$A$80&lt;="2026-02")*'Unit Economics'!$J$67:$J$80)</f>
        <v>33740</v>
      </c>
      <c r="C89" s="212" t="s">
        <v>1100</v>
      </c>
    </row>
    <row r="90" ht="14.25" customHeight="1"/>
    <row r="91" ht="14.25" customHeight="1">
      <c r="A91" s="209" t="s">
        <v>1105</v>
      </c>
    </row>
    <row r="92" ht="14.25" customHeight="1">
      <c r="A92" s="25" t="s">
        <v>493</v>
      </c>
      <c r="B92" s="25" t="s">
        <v>669</v>
      </c>
      <c r="C92" s="25" t="s">
        <v>1098</v>
      </c>
    </row>
    <row r="93" ht="14.25" customHeight="1">
      <c r="A93" s="220" t="s">
        <v>1106</v>
      </c>
      <c r="B93" s="234">
        <f>B58/B85</f>
        <v>20.34895159</v>
      </c>
      <c r="C93" s="235" t="s">
        <v>1107</v>
      </c>
    </row>
    <row r="94" ht="14.25" customHeight="1">
      <c r="A94" s="209" t="s">
        <v>1108</v>
      </c>
      <c r="B94" s="236">
        <f>B58/B89</f>
        <v>8.155911016</v>
      </c>
      <c r="C94" s="212" t="s">
        <v>1107</v>
      </c>
    </row>
    <row r="95" ht="14.25" customHeight="1">
      <c r="A95" s="220" t="s">
        <v>1109</v>
      </c>
      <c r="B95" s="237">
        <f>B85/B24</f>
        <v>5.761351153</v>
      </c>
      <c r="C95" s="235" t="s">
        <v>1110</v>
      </c>
    </row>
    <row r="96" ht="14.25" customHeight="1">
      <c r="A96" s="209" t="s">
        <v>1111</v>
      </c>
      <c r="B96" s="238">
        <f>B89/B24</f>
        <v>14.37453836</v>
      </c>
      <c r="C96" s="212" t="s">
        <v>1110</v>
      </c>
    </row>
    <row r="97" ht="14.25" customHeight="1"/>
    <row r="98" ht="14.25" customHeight="1">
      <c r="A98" s="209" t="s">
        <v>1112</v>
      </c>
    </row>
    <row r="99" ht="14.25" customHeight="1">
      <c r="A99" s="222" t="s">
        <v>1113</v>
      </c>
    </row>
    <row r="100" ht="14.25" customHeight="1"/>
    <row r="101" ht="14.25" customHeight="1">
      <c r="A101" s="209" t="s">
        <v>1114</v>
      </c>
    </row>
    <row r="102" ht="14.25" customHeight="1">
      <c r="A102" s="239" t="s">
        <v>1115</v>
      </c>
    </row>
    <row r="103" ht="14.25" customHeight="1"/>
    <row r="104" ht="14.25" customHeight="1">
      <c r="A104" s="209" t="s">
        <v>1116</v>
      </c>
    </row>
    <row r="105" ht="14.25" customHeight="1">
      <c r="A105" s="239" t="s">
        <v>1117</v>
      </c>
    </row>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64:J64"/>
  </mergeCells>
  <printOptions/>
  <pageMargins bottom="0.75" footer="0.0" header="0.0" left="0.7" right="0.7" top="0.75"/>
  <pageSetup orientation="landscape"/>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4.86"/>
    <col customWidth="1" min="3" max="4" width="18.14"/>
    <col customWidth="1" min="5" max="26" width="8.71"/>
  </cols>
  <sheetData>
    <row r="1" ht="14.25" customHeight="1">
      <c r="A1" s="7" t="s">
        <v>34</v>
      </c>
      <c r="B1" s="7" t="s">
        <v>1118</v>
      </c>
      <c r="C1" s="7" t="s">
        <v>1119</v>
      </c>
      <c r="D1" s="7" t="s">
        <v>1120</v>
      </c>
    </row>
    <row r="2" ht="14.25" customHeight="1">
      <c r="A2" s="8" t="s">
        <v>58</v>
      </c>
      <c r="B2" s="8">
        <v>45.0</v>
      </c>
      <c r="C2" s="240">
        <v>13.5</v>
      </c>
      <c r="D2" s="241">
        <v>0.7</v>
      </c>
    </row>
    <row r="3" ht="14.25" customHeight="1">
      <c r="A3" s="8" t="s">
        <v>119</v>
      </c>
      <c r="B3" s="8">
        <v>95.0</v>
      </c>
      <c r="C3" s="240">
        <v>28.5</v>
      </c>
      <c r="D3" s="241">
        <v>0.7</v>
      </c>
    </row>
    <row r="4" ht="14.25" customHeight="1">
      <c r="A4" s="8" t="s">
        <v>64</v>
      </c>
      <c r="B4" s="8">
        <v>180.0</v>
      </c>
      <c r="C4" s="240">
        <v>54.0</v>
      </c>
      <c r="D4" s="241">
        <v>0.7</v>
      </c>
    </row>
    <row r="5" ht="14.25" customHeight="1">
      <c r="A5" s="8" t="s">
        <v>52</v>
      </c>
      <c r="B5" s="8">
        <v>85.0</v>
      </c>
      <c r="C5" s="240">
        <v>25.5</v>
      </c>
      <c r="D5" s="241">
        <v>0.7</v>
      </c>
    </row>
    <row r="6" ht="14.25" customHeight="1">
      <c r="A6" s="8" t="s">
        <v>93</v>
      </c>
      <c r="B6" s="8">
        <v>110.0</v>
      </c>
      <c r="C6" s="240">
        <v>33.0</v>
      </c>
      <c r="D6" s="241">
        <v>0.7</v>
      </c>
    </row>
    <row r="7" ht="14.25" customHeight="1">
      <c r="A7" s="8" t="s">
        <v>209</v>
      </c>
      <c r="B7" s="8">
        <v>150.0</v>
      </c>
      <c r="C7" s="240">
        <v>45.0</v>
      </c>
      <c r="D7" s="241">
        <v>0.7</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2026-03-29T03:20:14Z</dcterms:created>
  <dc:creator>openpyxl</dc:creator>
</cp:coreProperties>
</file>