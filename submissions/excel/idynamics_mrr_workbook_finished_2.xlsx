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ti\Downloads\idynamics-training\idynamics-analyst-training\submissions\excel\"/>
    </mc:Choice>
  </mc:AlternateContent>
  <xr:revisionPtr revIDLastSave="0" documentId="8_{71FA96C4-0087-43EB-A45E-1C5D2B0B1270}" xr6:coauthVersionLast="47" xr6:coauthVersionMax="47" xr10:uidLastSave="{00000000-0000-0000-0000-000000000000}"/>
  <bookViews>
    <workbookView xWindow="-110" yWindow="-110" windowWidth="38620" windowHeight="21100" activeTab="6" xr2:uid="{478EB4B8-AD5C-4CEB-8AE6-EDB91D22A2E1}"/>
  </bookViews>
  <sheets>
    <sheet name="Raw Snapshot" sheetId="9" r:id="rId1"/>
    <sheet name="Raw Events" sheetId="8" r:id="rId2"/>
    <sheet name="Raw Cash" sheetId="10" r:id="rId3"/>
    <sheet name="Ref" sheetId="4" r:id="rId4"/>
    <sheet name="Engine" sheetId="5" r:id="rId5"/>
    <sheet name="Waterfall" sheetId="6" r:id="rId6"/>
    <sheet name="Growth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5" l="1" a="1"/>
  <c r="S3" i="5" s="1"/>
  <c r="S4" i="5" a="1"/>
  <c r="S4" i="5" s="1"/>
  <c r="S5" i="5" a="1"/>
  <c r="S5" i="5" s="1"/>
  <c r="S6" i="5" a="1"/>
  <c r="S6" i="5" s="1"/>
  <c r="S7" i="5" a="1"/>
  <c r="S7" i="5" s="1"/>
  <c r="S8" i="5" a="1"/>
  <c r="S8" i="5" s="1"/>
  <c r="S9" i="5" a="1"/>
  <c r="S9" i="5" s="1"/>
  <c r="S10" i="5" a="1"/>
  <c r="S10" i="5" s="1"/>
  <c r="S11" i="5" a="1"/>
  <c r="S11" i="5" s="1"/>
  <c r="S12" i="5" a="1"/>
  <c r="S12" i="5" s="1"/>
  <c r="S13" i="5" a="1"/>
  <c r="S13" i="5" s="1"/>
  <c r="S14" i="5" a="1"/>
  <c r="S14" i="5" s="1"/>
  <c r="S15" i="5" a="1"/>
  <c r="S15" i="5" s="1"/>
  <c r="S16" i="5" a="1"/>
  <c r="S16" i="5"/>
  <c r="S17" i="5" a="1"/>
  <c r="S17" i="5"/>
  <c r="S18" i="5" a="1"/>
  <c r="S18" i="5"/>
  <c r="S19" i="5" a="1"/>
  <c r="S19" i="5" s="1"/>
  <c r="S20" i="5" a="1"/>
  <c r="S20" i="5" s="1"/>
  <c r="S21" i="5" a="1"/>
  <c r="S21" i="5" s="1"/>
  <c r="S22" i="5" a="1"/>
  <c r="S22" i="5" s="1"/>
  <c r="S23" i="5" a="1"/>
  <c r="S23" i="5" s="1"/>
  <c r="S24" i="5" a="1"/>
  <c r="S24" i="5" s="1"/>
  <c r="S25" i="5" a="1"/>
  <c r="S25" i="5" s="1"/>
  <c r="S26" i="5" a="1"/>
  <c r="S26" i="5" s="1"/>
  <c r="S27" i="5" a="1"/>
  <c r="S27" i="5" s="1"/>
  <c r="S28" i="5" a="1"/>
  <c r="S28" i="5" s="1"/>
  <c r="S29" i="5" a="1"/>
  <c r="S29" i="5"/>
  <c r="S30" i="5" a="1"/>
  <c r="S30" i="5"/>
  <c r="S31" i="5" a="1"/>
  <c r="S31" i="5"/>
  <c r="S32" i="5" a="1"/>
  <c r="S32" i="5"/>
  <c r="S33" i="5" a="1"/>
  <c r="S33" i="5"/>
  <c r="S34" i="5" a="1"/>
  <c r="S34" i="5"/>
  <c r="S35" i="5" a="1"/>
  <c r="S35" i="5"/>
  <c r="S36" i="5" a="1"/>
  <c r="S36" i="5"/>
  <c r="S37" i="5" a="1"/>
  <c r="S37" i="5"/>
  <c r="S38" i="5" a="1"/>
  <c r="S38" i="5" s="1"/>
  <c r="S39" i="5" a="1"/>
  <c r="S39" i="5" s="1"/>
  <c r="S40" i="5" a="1"/>
  <c r="S40" i="5" s="1"/>
  <c r="S41" i="5" a="1"/>
  <c r="S41" i="5" s="1"/>
  <c r="S42" i="5" a="1"/>
  <c r="S42" i="5"/>
  <c r="S43" i="5" a="1"/>
  <c r="S43" i="5"/>
  <c r="S44" i="5" a="1"/>
  <c r="S44" i="5"/>
  <c r="S45" i="5" a="1"/>
  <c r="S45" i="5"/>
  <c r="S46" i="5" a="1"/>
  <c r="S46" i="5" s="1"/>
  <c r="S47" i="5" a="1"/>
  <c r="S47" i="5" s="1"/>
  <c r="S48" i="5" a="1"/>
  <c r="S48" i="5" s="1"/>
  <c r="S49" i="5" a="1"/>
  <c r="S49" i="5" s="1"/>
  <c r="S50" i="5" a="1"/>
  <c r="S50" i="5" s="1"/>
  <c r="S51" i="5" a="1"/>
  <c r="S51" i="5" s="1"/>
  <c r="S52" i="5" a="1"/>
  <c r="S52" i="5" s="1"/>
  <c r="S53" i="5" a="1"/>
  <c r="S53" i="5" s="1"/>
  <c r="S54" i="5" a="1"/>
  <c r="S54" i="5" s="1"/>
  <c r="S55" i="5" a="1"/>
  <c r="S55" i="5"/>
  <c r="S56" i="5" a="1"/>
  <c r="S56" i="5"/>
  <c r="S57" i="5" a="1"/>
  <c r="S57" i="5"/>
  <c r="S58" i="5" a="1"/>
  <c r="S58" i="5"/>
  <c r="S59" i="5" a="1"/>
  <c r="S59" i="5"/>
  <c r="S60" i="5" a="1"/>
  <c r="S60" i="5"/>
  <c r="S61" i="5" a="1"/>
  <c r="S61" i="5" s="1"/>
  <c r="S62" i="5" a="1"/>
  <c r="S62" i="5" s="1"/>
  <c r="S63" i="5" a="1"/>
  <c r="S63" i="5" s="1"/>
  <c r="S64" i="5" a="1"/>
  <c r="S64" i="5" s="1"/>
  <c r="S65" i="5" a="1"/>
  <c r="S65" i="5" s="1"/>
  <c r="S66" i="5" a="1"/>
  <c r="S66" i="5" s="1"/>
  <c r="S67" i="5" a="1"/>
  <c r="S67" i="5" s="1"/>
  <c r="S68" i="5" a="1"/>
  <c r="S68" i="5"/>
  <c r="S69" i="5" a="1"/>
  <c r="S69" i="5"/>
  <c r="S70" i="5" a="1"/>
  <c r="S70" i="5"/>
  <c r="S71" i="5" a="1"/>
  <c r="S71" i="5"/>
  <c r="S72" i="5" a="1"/>
  <c r="S72" i="5"/>
  <c r="S73" i="5" a="1"/>
  <c r="S73" i="5"/>
  <c r="S74" i="5" a="1"/>
  <c r="S74" i="5"/>
  <c r="S75" i="5" a="1"/>
  <c r="S75" i="5"/>
  <c r="S76" i="5" a="1"/>
  <c r="S76" i="5"/>
  <c r="S77" i="5" a="1"/>
  <c r="S77" i="5" s="1"/>
  <c r="S78" i="5" a="1"/>
  <c r="S78" i="5" s="1"/>
  <c r="S79" i="5" a="1"/>
  <c r="S79" i="5" s="1"/>
  <c r="S80" i="5" a="1"/>
  <c r="S80" i="5" s="1"/>
  <c r="S81" i="5" a="1"/>
  <c r="S81" i="5"/>
  <c r="S82" i="5" a="1"/>
  <c r="S82" i="5"/>
  <c r="S83" i="5" a="1"/>
  <c r="S83" i="5"/>
  <c r="S84" i="5" a="1"/>
  <c r="S84" i="5"/>
  <c r="S85" i="5" a="1"/>
  <c r="S85" i="5"/>
  <c r="S86" i="5" a="1"/>
  <c r="S86" i="5"/>
  <c r="S87" i="5" a="1"/>
  <c r="S87" i="5" s="1"/>
  <c r="S88" i="5" a="1"/>
  <c r="S88" i="5" s="1"/>
  <c r="S89" i="5" a="1"/>
  <c r="S89" i="5" s="1"/>
  <c r="S90" i="5" a="1"/>
  <c r="S90" i="5" s="1"/>
  <c r="S91" i="5" a="1"/>
  <c r="S91" i="5" s="1"/>
  <c r="S92" i="5" a="1"/>
  <c r="S92" i="5" s="1"/>
  <c r="S93" i="5" a="1"/>
  <c r="S93" i="5" s="1"/>
  <c r="S94" i="5" a="1"/>
  <c r="S94" i="5"/>
  <c r="S95" i="5" a="1"/>
  <c r="S95" i="5"/>
  <c r="S96" i="5" a="1"/>
  <c r="S96" i="5"/>
  <c r="S97" i="5" a="1"/>
  <c r="S97" i="5"/>
  <c r="S98" i="5" a="1"/>
  <c r="S98" i="5"/>
  <c r="S2" i="5" a="1"/>
  <c r="S2" i="5" s="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B31" i="6"/>
  <c r="B3" i="6"/>
  <c r="R3" i="5" a="1"/>
  <c r="R3" i="5" s="1"/>
  <c r="R4" i="5" a="1"/>
  <c r="R4" i="5" s="1"/>
  <c r="R5" i="5" a="1"/>
  <c r="R5" i="5" s="1"/>
  <c r="R6" i="5" a="1"/>
  <c r="R6" i="5" s="1"/>
  <c r="R7" i="5" a="1"/>
  <c r="R7" i="5" s="1"/>
  <c r="R8" i="5" a="1"/>
  <c r="R8" i="5"/>
  <c r="R9" i="5" a="1"/>
  <c r="R9" i="5"/>
  <c r="R10" i="5" a="1"/>
  <c r="R10" i="5"/>
  <c r="R11" i="5" a="1"/>
  <c r="R11" i="5"/>
  <c r="R12" i="5" a="1"/>
  <c r="R12" i="5"/>
  <c r="R13" i="5" a="1"/>
  <c r="R13" i="5" s="1"/>
  <c r="R14" i="5" a="1"/>
  <c r="R14" i="5" s="1"/>
  <c r="R15" i="5" a="1"/>
  <c r="R15" i="5" s="1"/>
  <c r="R16" i="5" a="1"/>
  <c r="R16" i="5" s="1"/>
  <c r="R17" i="5" a="1"/>
  <c r="R17" i="5" s="1"/>
  <c r="R18" i="5" a="1"/>
  <c r="R18" i="5" s="1"/>
  <c r="R19" i="5" a="1"/>
  <c r="R19" i="5" s="1"/>
  <c r="R20" i="5" a="1"/>
  <c r="R20" i="5" s="1"/>
  <c r="R21" i="5" a="1"/>
  <c r="R21" i="5" s="1"/>
  <c r="R22" i="5" a="1"/>
  <c r="R22" i="5" s="1"/>
  <c r="R23" i="5" a="1"/>
  <c r="R23" i="5" s="1"/>
  <c r="R24" i="5" a="1"/>
  <c r="R24" i="5" s="1"/>
  <c r="R25" i="5" a="1"/>
  <c r="R25" i="5" s="1"/>
  <c r="R26" i="5" a="1"/>
  <c r="R26" i="5" s="1"/>
  <c r="R27" i="5" a="1"/>
  <c r="R27" i="5" s="1"/>
  <c r="R28" i="5" a="1"/>
  <c r="R28" i="5" s="1"/>
  <c r="R29" i="5" a="1"/>
  <c r="R29" i="5" s="1"/>
  <c r="R30" i="5" a="1"/>
  <c r="R30" i="5" s="1"/>
  <c r="R31" i="5" a="1"/>
  <c r="R31" i="5" s="1"/>
  <c r="R32" i="5" a="1"/>
  <c r="R32" i="5" s="1"/>
  <c r="R33" i="5" a="1"/>
  <c r="R33" i="5" s="1"/>
  <c r="R34" i="5" a="1"/>
  <c r="R34" i="5" s="1"/>
  <c r="R35" i="5" a="1"/>
  <c r="R35" i="5" s="1"/>
  <c r="R36" i="5" a="1"/>
  <c r="R36" i="5" s="1"/>
  <c r="R37" i="5" a="1"/>
  <c r="R37" i="5" s="1"/>
  <c r="R38" i="5" a="1"/>
  <c r="R38" i="5" s="1"/>
  <c r="R39" i="5" a="1"/>
  <c r="R39" i="5" s="1"/>
  <c r="R40" i="5" a="1"/>
  <c r="R40" i="5" s="1"/>
  <c r="R41" i="5" a="1"/>
  <c r="R41" i="5" s="1"/>
  <c r="R42" i="5" a="1"/>
  <c r="R42" i="5" s="1"/>
  <c r="R43" i="5" a="1"/>
  <c r="R43" i="5" s="1"/>
  <c r="R44" i="5" a="1"/>
  <c r="R44" i="5" s="1"/>
  <c r="R45" i="5" a="1"/>
  <c r="R45" i="5" s="1"/>
  <c r="R46" i="5" a="1"/>
  <c r="R46" i="5" s="1"/>
  <c r="R47" i="5" a="1"/>
  <c r="R47" i="5" s="1"/>
  <c r="R48" i="5" a="1"/>
  <c r="R48" i="5" s="1"/>
  <c r="R49" i="5" a="1"/>
  <c r="R49" i="5" s="1"/>
  <c r="R50" i="5" a="1"/>
  <c r="R50" i="5" s="1"/>
  <c r="R51" i="5" a="1"/>
  <c r="R51" i="5" s="1"/>
  <c r="R52" i="5" a="1"/>
  <c r="R52" i="5" s="1"/>
  <c r="R53" i="5" a="1"/>
  <c r="R53" i="5" s="1"/>
  <c r="R54" i="5" a="1"/>
  <c r="R54" i="5" s="1"/>
  <c r="R55" i="5" a="1"/>
  <c r="R55" i="5" s="1"/>
  <c r="R56" i="5" a="1"/>
  <c r="R56" i="5" s="1"/>
  <c r="R57" i="5" a="1"/>
  <c r="R57" i="5" s="1"/>
  <c r="R58" i="5" a="1"/>
  <c r="R58" i="5" s="1"/>
  <c r="R59" i="5" a="1"/>
  <c r="R59" i="5" s="1"/>
  <c r="R60" i="5" a="1"/>
  <c r="R60" i="5" s="1"/>
  <c r="R61" i="5" a="1"/>
  <c r="R61" i="5" s="1"/>
  <c r="R62" i="5" a="1"/>
  <c r="R62" i="5" s="1"/>
  <c r="R63" i="5" a="1"/>
  <c r="R63" i="5" s="1"/>
  <c r="R64" i="5" a="1"/>
  <c r="R64" i="5" s="1"/>
  <c r="R65" i="5" a="1"/>
  <c r="R65" i="5" s="1"/>
  <c r="R66" i="5" a="1"/>
  <c r="R66" i="5" s="1"/>
  <c r="R67" i="5" a="1"/>
  <c r="R67" i="5" s="1"/>
  <c r="R68" i="5" a="1"/>
  <c r="R68" i="5" s="1"/>
  <c r="R69" i="5" a="1"/>
  <c r="R69" i="5" s="1"/>
  <c r="R70" i="5" a="1"/>
  <c r="R70" i="5" s="1"/>
  <c r="R71" i="5" a="1"/>
  <c r="R71" i="5" s="1"/>
  <c r="R72" i="5" a="1"/>
  <c r="R72" i="5" s="1"/>
  <c r="R73" i="5" a="1"/>
  <c r="R73" i="5" s="1"/>
  <c r="R74" i="5" a="1"/>
  <c r="R74" i="5" s="1"/>
  <c r="R75" i="5" a="1"/>
  <c r="R75" i="5" s="1"/>
  <c r="R76" i="5" a="1"/>
  <c r="R76" i="5" s="1"/>
  <c r="R77" i="5" a="1"/>
  <c r="R77" i="5" s="1"/>
  <c r="R78" i="5" a="1"/>
  <c r="R78" i="5" s="1"/>
  <c r="R79" i="5" a="1"/>
  <c r="R79" i="5" s="1"/>
  <c r="R80" i="5" a="1"/>
  <c r="R80" i="5" s="1"/>
  <c r="R81" i="5" a="1"/>
  <c r="R81" i="5" s="1"/>
  <c r="R82" i="5" a="1"/>
  <c r="R82" i="5" s="1"/>
  <c r="R83" i="5" a="1"/>
  <c r="R83" i="5" s="1"/>
  <c r="R84" i="5" a="1"/>
  <c r="R84" i="5" s="1"/>
  <c r="R85" i="5" a="1"/>
  <c r="R85" i="5" s="1"/>
  <c r="R86" i="5" a="1"/>
  <c r="R86" i="5" s="1"/>
  <c r="R87" i="5" a="1"/>
  <c r="R87" i="5" s="1"/>
  <c r="R88" i="5" a="1"/>
  <c r="R88" i="5" s="1"/>
  <c r="R89" i="5" a="1"/>
  <c r="R89" i="5" s="1"/>
  <c r="R90" i="5" a="1"/>
  <c r="R90" i="5" s="1"/>
  <c r="R91" i="5" a="1"/>
  <c r="R91" i="5" s="1"/>
  <c r="R92" i="5" a="1"/>
  <c r="R92" i="5" s="1"/>
  <c r="R93" i="5" a="1"/>
  <c r="R93" i="5" s="1"/>
  <c r="R94" i="5" a="1"/>
  <c r="R94" i="5" s="1"/>
  <c r="R95" i="5" a="1"/>
  <c r="R95" i="5" s="1"/>
  <c r="R96" i="5" a="1"/>
  <c r="R96" i="5" s="1"/>
  <c r="R97" i="5" a="1"/>
  <c r="R97" i="5" s="1"/>
  <c r="R98" i="5" a="1"/>
  <c r="R98" i="5" s="1"/>
  <c r="R2" i="5" a="1"/>
  <c r="R2" i="5" s="1"/>
  <c r="F28" i="6" l="1"/>
  <c r="C28" i="6"/>
  <c r="C17" i="6"/>
  <c r="C6" i="6"/>
  <c r="E19" i="11" s="1"/>
  <c r="D22" i="6"/>
  <c r="D9" i="6"/>
  <c r="E5" i="6"/>
  <c r="F11" i="6"/>
  <c r="F8" i="6"/>
  <c r="F7" i="6"/>
  <c r="C24" i="6"/>
  <c r="C20" i="6"/>
  <c r="C12" i="6"/>
  <c r="C7" i="6"/>
  <c r="F3" i="6"/>
  <c r="D24" i="6"/>
  <c r="D18" i="6"/>
  <c r="D13" i="6"/>
  <c r="D7" i="6"/>
  <c r="E27" i="6"/>
  <c r="E23" i="6"/>
  <c r="E20" i="6"/>
  <c r="E16" i="6"/>
  <c r="E13" i="6"/>
  <c r="E7" i="6"/>
  <c r="F27" i="6"/>
  <c r="F26" i="6"/>
  <c r="F23" i="6"/>
  <c r="F22" i="6"/>
  <c r="F20" i="6"/>
  <c r="F17" i="6"/>
  <c r="C26" i="6"/>
  <c r="C21" i="6"/>
  <c r="C14" i="6"/>
  <c r="C8" i="6"/>
  <c r="D3" i="6"/>
  <c r="D25" i="6"/>
  <c r="D20" i="6"/>
  <c r="D16" i="6"/>
  <c r="D10" i="6"/>
  <c r="D4" i="6"/>
  <c r="E25" i="6"/>
  <c r="X20" i="11" s="1"/>
  <c r="E21" i="6"/>
  <c r="E17" i="6"/>
  <c r="E14" i="6"/>
  <c r="E8" i="6"/>
  <c r="F24" i="6"/>
  <c r="F19" i="6"/>
  <c r="F15" i="6"/>
  <c r="C25" i="6"/>
  <c r="C19" i="6"/>
  <c r="C9" i="6"/>
  <c r="E3" i="6"/>
  <c r="D23" i="6"/>
  <c r="D17" i="6"/>
  <c r="D11" i="6"/>
  <c r="D6" i="6"/>
  <c r="E26" i="6"/>
  <c r="E22" i="6"/>
  <c r="E18" i="6"/>
  <c r="Q20" i="11" s="1"/>
  <c r="E15" i="6"/>
  <c r="E11" i="6"/>
  <c r="E4" i="6"/>
  <c r="F25" i="6"/>
  <c r="F18" i="6"/>
  <c r="F13" i="6"/>
  <c r="F16" i="6"/>
  <c r="C3" i="6"/>
  <c r="C23" i="6"/>
  <c r="C16" i="6"/>
  <c r="C11" i="6"/>
  <c r="C5" i="6"/>
  <c r="D27" i="6"/>
  <c r="D21" i="6"/>
  <c r="D12" i="6"/>
  <c r="D5" i="6"/>
  <c r="E10" i="6"/>
  <c r="F14" i="6"/>
  <c r="C27" i="6"/>
  <c r="C22" i="6"/>
  <c r="C15" i="6"/>
  <c r="C10" i="6"/>
  <c r="C4" i="6"/>
  <c r="C19" i="11" s="1"/>
  <c r="D26" i="6"/>
  <c r="D19" i="6"/>
  <c r="D14" i="6"/>
  <c r="D8" i="6"/>
  <c r="E28" i="6"/>
  <c r="E24" i="6"/>
  <c r="W20" i="11" s="1"/>
  <c r="E19" i="6"/>
  <c r="R20" i="11" s="1"/>
  <c r="E12" i="6"/>
  <c r="F21" i="6"/>
  <c r="F12" i="6"/>
  <c r="F9" i="6"/>
  <c r="F6" i="6"/>
  <c r="C13" i="6"/>
  <c r="D28" i="6"/>
  <c r="E6" i="6"/>
  <c r="E20" i="11" s="1"/>
  <c r="F5" i="6"/>
  <c r="F10" i="6"/>
  <c r="F4" i="6"/>
  <c r="E9" i="6"/>
  <c r="H20" i="11" s="1"/>
  <c r="D15" i="6"/>
  <c r="C18" i="6"/>
  <c r="O20" i="11" l="1"/>
  <c r="L20" i="11"/>
  <c r="F20" i="11"/>
  <c r="N20" i="11"/>
  <c r="D20" i="11"/>
  <c r="P20" i="11"/>
  <c r="M20" i="11"/>
  <c r="G20" i="11"/>
  <c r="V20" i="11"/>
  <c r="B20" i="11"/>
  <c r="Y20" i="11"/>
  <c r="U20" i="11"/>
  <c r="J20" i="11"/>
  <c r="S20" i="11"/>
  <c r="Z20" i="11"/>
  <c r="T20" i="11"/>
  <c r="C20" i="11"/>
  <c r="C21" i="11" s="1"/>
  <c r="C24" i="11"/>
  <c r="K20" i="11"/>
  <c r="D19" i="11"/>
  <c r="I20" i="11"/>
  <c r="AA20" i="11"/>
  <c r="AA19" i="11"/>
  <c r="AA23" i="11"/>
  <c r="P19" i="11"/>
  <c r="P23" i="11"/>
  <c r="E21" i="11"/>
  <c r="E23" i="11"/>
  <c r="W19" i="11"/>
  <c r="W23" i="11" s="1"/>
  <c r="S19" i="11"/>
  <c r="S23" i="11" s="1"/>
  <c r="K19" i="11"/>
  <c r="K23" i="11" s="1"/>
  <c r="F19" i="11"/>
  <c r="F23" i="11" s="1"/>
  <c r="Y19" i="11"/>
  <c r="Y23" i="11" s="1"/>
  <c r="T19" i="11"/>
  <c r="T23" i="11" s="1"/>
  <c r="M19" i="11"/>
  <c r="M23" i="11" s="1"/>
  <c r="G19" i="11"/>
  <c r="G23" i="11" s="1"/>
  <c r="X19" i="11"/>
  <c r="X23" i="11" s="1"/>
  <c r="R19" i="11"/>
  <c r="R23" i="11"/>
  <c r="H19" i="11"/>
  <c r="H23" i="11" s="1"/>
  <c r="B19" i="11"/>
  <c r="B23" i="11" s="1"/>
  <c r="V19" i="11"/>
  <c r="V23" i="11" s="1"/>
  <c r="O19" i="11"/>
  <c r="O23" i="11" s="1"/>
  <c r="J19" i="11"/>
  <c r="J23" i="11" s="1"/>
  <c r="Z19" i="11"/>
  <c r="Z23" i="11"/>
  <c r="U19" i="11"/>
  <c r="U23" i="11"/>
  <c r="N19" i="11"/>
  <c r="N23" i="11" s="1"/>
  <c r="I19" i="11"/>
  <c r="I23" i="11" s="1"/>
  <c r="C23" i="11"/>
  <c r="L19" i="11"/>
  <c r="L23" i="11" s="1"/>
  <c r="Q19" i="11"/>
  <c r="Q23" i="11" s="1"/>
  <c r="E24" i="11"/>
  <c r="G9" i="6"/>
  <c r="H7" i="11" s="1"/>
  <c r="G19" i="6"/>
  <c r="R7" i="11" s="1"/>
  <c r="G11" i="6"/>
  <c r="J7" i="11" s="1"/>
  <c r="G3" i="6"/>
  <c r="G5" i="6"/>
  <c r="D7" i="11" s="1"/>
  <c r="G23" i="6"/>
  <c r="V7" i="11" s="1"/>
  <c r="G16" i="6"/>
  <c r="O7" i="11" s="1"/>
  <c r="G28" i="6"/>
  <c r="AA7" i="11" s="1"/>
  <c r="G17" i="6"/>
  <c r="P7" i="11" s="1"/>
  <c r="G6" i="6"/>
  <c r="E7" i="11" s="1"/>
  <c r="G8" i="6"/>
  <c r="G7" i="11" s="1"/>
  <c r="G24" i="6"/>
  <c r="W7" i="11" s="1"/>
  <c r="G20" i="6"/>
  <c r="S7" i="11" s="1"/>
  <c r="G12" i="6"/>
  <c r="K7" i="11" s="1"/>
  <c r="G7" i="6"/>
  <c r="F7" i="11" s="1"/>
  <c r="G25" i="6"/>
  <c r="X7" i="11" s="1"/>
  <c r="G27" i="6"/>
  <c r="Z7" i="11" s="1"/>
  <c r="G22" i="6"/>
  <c r="U7" i="11" s="1"/>
  <c r="G15" i="6"/>
  <c r="N7" i="11" s="1"/>
  <c r="G10" i="6"/>
  <c r="I7" i="11" s="1"/>
  <c r="G26" i="6"/>
  <c r="Y7" i="11" s="1"/>
  <c r="G4" i="6"/>
  <c r="C7" i="11" s="1"/>
  <c r="G18" i="6"/>
  <c r="Q7" i="11" s="1"/>
  <c r="G14" i="6"/>
  <c r="M7" i="11" s="1"/>
  <c r="G13" i="6"/>
  <c r="L7" i="11" s="1"/>
  <c r="G21" i="6"/>
  <c r="T7" i="11" s="1"/>
  <c r="D21" i="11" l="1"/>
  <c r="D23" i="11"/>
  <c r="D24" i="11"/>
  <c r="AA24" i="11"/>
  <c r="AA21" i="11"/>
  <c r="P24" i="11"/>
  <c r="P21" i="11"/>
  <c r="W24" i="11"/>
  <c r="W21" i="11"/>
  <c r="S24" i="11"/>
  <c r="S21" i="11"/>
  <c r="K24" i="11"/>
  <c r="K21" i="11"/>
  <c r="F24" i="11"/>
  <c r="F21" i="11"/>
  <c r="Y24" i="11"/>
  <c r="Y21" i="11"/>
  <c r="T24" i="11"/>
  <c r="T21" i="11"/>
  <c r="M24" i="11"/>
  <c r="M21" i="11"/>
  <c r="G24" i="11"/>
  <c r="G21" i="11"/>
  <c r="X24" i="11"/>
  <c r="X21" i="11"/>
  <c r="R24" i="11"/>
  <c r="R21" i="11"/>
  <c r="H24" i="11"/>
  <c r="H21" i="11"/>
  <c r="B24" i="11"/>
  <c r="B21" i="11"/>
  <c r="V24" i="11"/>
  <c r="V21" i="11"/>
  <c r="O24" i="11"/>
  <c r="O21" i="11"/>
  <c r="J24" i="11"/>
  <c r="J21" i="11"/>
  <c r="Z24" i="11"/>
  <c r="Z21" i="11"/>
  <c r="U24" i="11"/>
  <c r="U21" i="11"/>
  <c r="N24" i="11"/>
  <c r="N21" i="11"/>
  <c r="I24" i="11"/>
  <c r="I21" i="11"/>
  <c r="L24" i="11"/>
  <c r="L21" i="11"/>
  <c r="Q24" i="11"/>
  <c r="Q21" i="11"/>
  <c r="H3" i="6"/>
  <c r="B7" i="11"/>
  <c r="B8" i="11" s="1"/>
  <c r="C8" i="11" s="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B5" i="11" l="1"/>
  <c r="B4" i="6"/>
  <c r="H4" i="6" s="1"/>
  <c r="C5" i="11" l="1"/>
  <c r="B5" i="6"/>
  <c r="H5" i="6" s="1"/>
  <c r="C11" i="11"/>
  <c r="B6" i="11"/>
  <c r="D11" i="11" l="1"/>
  <c r="C6" i="11"/>
  <c r="D5" i="11"/>
  <c r="B6" i="6"/>
  <c r="H6" i="6" s="1"/>
  <c r="E5" i="11" l="1"/>
  <c r="E6" i="11" s="1"/>
  <c r="B7" i="6"/>
  <c r="H7" i="6" s="1"/>
  <c r="E11" i="11"/>
  <c r="D6" i="11"/>
  <c r="E16" i="11"/>
  <c r="F11" i="11"/>
  <c r="F16" i="11" s="1"/>
  <c r="F5" i="11" l="1"/>
  <c r="G11" i="11" s="1"/>
  <c r="B8" i="6"/>
  <c r="H8" i="6" s="1"/>
  <c r="G5" i="11" s="1"/>
  <c r="F6" i="11"/>
  <c r="B9" i="6"/>
  <c r="H9" i="6" s="1"/>
  <c r="G16" i="11" l="1"/>
  <c r="H11" i="11"/>
  <c r="H16" i="11" s="1"/>
  <c r="G6" i="11"/>
  <c r="H5" i="11"/>
  <c r="B10" i="6"/>
  <c r="H10" i="6" s="1"/>
  <c r="I11" i="11" l="1"/>
  <c r="H6" i="11"/>
  <c r="H14" i="11"/>
  <c r="I5" i="11"/>
  <c r="B11" i="6"/>
  <c r="H11" i="6" s="1"/>
  <c r="I16" i="11" l="1"/>
  <c r="J11" i="11"/>
  <c r="I6" i="11"/>
  <c r="I14" i="11"/>
  <c r="J5" i="11"/>
  <c r="B12" i="6"/>
  <c r="H12" i="6" s="1"/>
  <c r="K11" i="11" l="1"/>
  <c r="K16" i="11" s="1"/>
  <c r="J14" i="11"/>
  <c r="J6" i="11"/>
  <c r="K5" i="11"/>
  <c r="B13" i="6"/>
  <c r="H13" i="6" s="1"/>
  <c r="J16" i="11"/>
  <c r="L11" i="11" l="1"/>
  <c r="K6" i="11"/>
  <c r="K14" i="11"/>
  <c r="L5" i="11"/>
  <c r="B14" i="6"/>
  <c r="H14" i="6" s="1"/>
  <c r="M11" i="11" l="1"/>
  <c r="M16" i="11" s="1"/>
  <c r="L6" i="11"/>
  <c r="L14" i="11"/>
  <c r="M5" i="11"/>
  <c r="B15" i="6"/>
  <c r="H15" i="6" s="1"/>
  <c r="L16" i="11"/>
  <c r="N11" i="11" l="1"/>
  <c r="N16" i="11" s="1"/>
  <c r="M6" i="11"/>
  <c r="M14" i="11"/>
  <c r="N5" i="11"/>
  <c r="B16" i="6"/>
  <c r="H16" i="6" s="1"/>
  <c r="O11" i="11" l="1"/>
  <c r="N6" i="11"/>
  <c r="N12" i="11"/>
  <c r="N14" i="11"/>
  <c r="N15" i="11"/>
  <c r="O5" i="11"/>
  <c r="B17" i="6"/>
  <c r="H17" i="6" s="1"/>
  <c r="O16" i="11" l="1"/>
  <c r="P11" i="11"/>
  <c r="O6" i="11"/>
  <c r="O14" i="11"/>
  <c r="O15" i="11"/>
  <c r="O12" i="11"/>
  <c r="P5" i="11"/>
  <c r="B18" i="6"/>
  <c r="H18" i="6" s="1"/>
  <c r="Q11" i="11" l="1"/>
  <c r="Q16" i="11" s="1"/>
  <c r="P6" i="11"/>
  <c r="P12" i="11"/>
  <c r="P14" i="11"/>
  <c r="P15" i="11"/>
  <c r="Q5" i="11"/>
  <c r="B19" i="6"/>
  <c r="H19" i="6" s="1"/>
  <c r="P16" i="11"/>
  <c r="R11" i="11" l="1"/>
  <c r="R16" i="11" s="1"/>
  <c r="Q6" i="11"/>
  <c r="Q12" i="11"/>
  <c r="Q14" i="11"/>
  <c r="Q15" i="11"/>
  <c r="R5" i="11"/>
  <c r="B20" i="6"/>
  <c r="H20" i="6" s="1"/>
  <c r="S11" i="11" l="1"/>
  <c r="R6" i="11"/>
  <c r="R12" i="11"/>
  <c r="R14" i="11"/>
  <c r="R15" i="11"/>
  <c r="S5" i="11"/>
  <c r="B21" i="6"/>
  <c r="H21" i="6" s="1"/>
  <c r="S16" i="11" l="1"/>
  <c r="T11" i="11"/>
  <c r="S6" i="11"/>
  <c r="S12" i="11"/>
  <c r="S14" i="11"/>
  <c r="S15" i="11"/>
  <c r="T5" i="11"/>
  <c r="B22" i="6"/>
  <c r="H22" i="6" s="1"/>
  <c r="U11" i="11" l="1"/>
  <c r="U16" i="11" s="1"/>
  <c r="T6" i="11"/>
  <c r="T12" i="11"/>
  <c r="T14" i="11"/>
  <c r="T15" i="11"/>
  <c r="U5" i="11"/>
  <c r="B23" i="6"/>
  <c r="H23" i="6" s="1"/>
  <c r="T16" i="11"/>
  <c r="V11" i="11" l="1"/>
  <c r="U6" i="11"/>
  <c r="U12" i="11"/>
  <c r="U14" i="11"/>
  <c r="U15" i="11"/>
  <c r="V5" i="11"/>
  <c r="B24" i="6"/>
  <c r="H24" i="6" s="1"/>
  <c r="W11" i="11" l="1"/>
  <c r="W16" i="11" s="1"/>
  <c r="V6" i="11"/>
  <c r="V12" i="11"/>
  <c r="V14" i="11"/>
  <c r="V15" i="11"/>
  <c r="W5" i="11"/>
  <c r="B25" i="6"/>
  <c r="H25" i="6" s="1"/>
  <c r="V16" i="11"/>
  <c r="X11" i="11" l="1"/>
  <c r="X16" i="11" s="1"/>
  <c r="W6" i="11"/>
  <c r="W12" i="11"/>
  <c r="W14" i="11"/>
  <c r="W15" i="11"/>
  <c r="X5" i="11"/>
  <c r="B26" i="6"/>
  <c r="H26" i="6" s="1"/>
  <c r="Y11" i="11" l="1"/>
  <c r="X6" i="11"/>
  <c r="X12" i="11"/>
  <c r="X14" i="11"/>
  <c r="X15" i="11"/>
  <c r="Y5" i="11"/>
  <c r="B27" i="6"/>
  <c r="H27" i="6" s="1"/>
  <c r="Y16" i="11" l="1"/>
  <c r="Z11" i="11"/>
  <c r="Z16" i="11" s="1"/>
  <c r="Y6" i="11"/>
  <c r="Y12" i="11"/>
  <c r="Y14" i="11"/>
  <c r="Y15" i="11"/>
  <c r="Z5" i="11"/>
  <c r="B28" i="6"/>
  <c r="H28" i="6" s="1"/>
  <c r="AA11" i="11" l="1"/>
  <c r="AA16" i="11" s="1"/>
  <c r="Z6" i="11"/>
  <c r="Z12" i="11"/>
  <c r="Z14" i="11"/>
  <c r="Z15" i="11"/>
  <c r="AA5" i="11"/>
  <c r="B30" i="6"/>
  <c r="B32" i="6" s="1"/>
  <c r="AA6" i="11" l="1"/>
  <c r="AA12" i="11"/>
  <c r="AA14" i="11"/>
  <c r="AA1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<sst xmlns="http://schemas.openxmlformats.org/spreadsheetml/2006/main" count="2264" uniqueCount="389">
  <si>
    <t>Monthly</t>
  </si>
  <si>
    <t>Analytics Starter</t>
  </si>
  <si>
    <t>Eastern Canada</t>
  </si>
  <si>
    <t>James Wilson</t>
  </si>
  <si>
    <t>Capital Education Tech</t>
  </si>
  <si>
    <t>CUST017</t>
  </si>
  <si>
    <t>SUB017</t>
  </si>
  <si>
    <t>Western Canada</t>
  </si>
  <si>
    <t>Michael Rodriguez</t>
  </si>
  <si>
    <t>Calgary Tech Partners</t>
  </si>
  <si>
    <t>CUST038</t>
  </si>
  <si>
    <t>SUB038</t>
  </si>
  <si>
    <t>Sarah Chen</t>
  </si>
  <si>
    <t>Montreal Finance Hub</t>
  </si>
  <si>
    <t>CUST010</t>
  </si>
  <si>
    <t>SUB010</t>
  </si>
  <si>
    <t>Central Canada</t>
  </si>
  <si>
    <t>Jennifer Lee</t>
  </si>
  <si>
    <t>Prairie SaaS Innovations</t>
  </si>
  <si>
    <t>CUST028</t>
  </si>
  <si>
    <t>SUB028</t>
  </si>
  <si>
    <t>Quebec Education Platform</t>
  </si>
  <si>
    <t>CUST034</t>
  </si>
  <si>
    <t>SUB034</t>
  </si>
  <si>
    <t>Marketing Pro</t>
  </si>
  <si>
    <t>Island Media Productions</t>
  </si>
  <si>
    <t>CUST023</t>
  </si>
  <si>
    <t>SUB062</t>
  </si>
  <si>
    <t>SUB045</t>
  </si>
  <si>
    <t>Analytics Growth</t>
  </si>
  <si>
    <t>Alberta Tech Innovators</t>
  </si>
  <si>
    <t>CUST013</t>
  </si>
  <si>
    <t>SUB061</t>
  </si>
  <si>
    <t>Ontario Manufacturing Tech</t>
  </si>
  <si>
    <t>CUST007</t>
  </si>
  <si>
    <t>SUB007</t>
  </si>
  <si>
    <t>Ontario Education Connect</t>
  </si>
  <si>
    <t>CUST026</t>
  </si>
  <si>
    <t>SUB026</t>
  </si>
  <si>
    <t>Central Healthcare Partners</t>
  </si>
  <si>
    <t>CUST019</t>
  </si>
  <si>
    <t>SUB019</t>
  </si>
  <si>
    <t>Sales Hub</t>
  </si>
  <si>
    <t>Atlantic SaaS Systems</t>
  </si>
  <si>
    <t>CUST020</t>
  </si>
  <si>
    <t>SUB020</t>
  </si>
  <si>
    <t>Manitoba Finance Group</t>
  </si>
  <si>
    <t>CUST036</t>
  </si>
  <si>
    <t>SUB036</t>
  </si>
  <si>
    <t>BC Education Innovations</t>
  </si>
  <si>
    <t>CUST040</t>
  </si>
  <si>
    <t>SUB040</t>
  </si>
  <si>
    <t>TechVision Solutions</t>
  </si>
  <si>
    <t>CUST001</t>
  </si>
  <si>
    <t>SUB041</t>
  </si>
  <si>
    <t>Halifax Healthcare Tech</t>
  </si>
  <si>
    <t>CUST029</t>
  </si>
  <si>
    <t>SUB029</t>
  </si>
  <si>
    <t>Quantum Education Platform</t>
  </si>
  <si>
    <t>CUST008</t>
  </si>
  <si>
    <t>SUB059</t>
  </si>
  <si>
    <t>Alberta E-commerce Hub</t>
  </si>
  <si>
    <t>CUST030</t>
  </si>
  <si>
    <t>SUB030</t>
  </si>
  <si>
    <t>Maple Healthcare Systems</t>
  </si>
  <si>
    <t>CUST003</t>
  </si>
  <si>
    <t>SUB003</t>
  </si>
  <si>
    <t>Prairie Commerce Group</t>
  </si>
  <si>
    <t>CUST004</t>
  </si>
  <si>
    <t>SUB004</t>
  </si>
  <si>
    <t>Prairie Health Connect</t>
  </si>
  <si>
    <t>CUST011</t>
  </si>
  <si>
    <t>SUB011</t>
  </si>
  <si>
    <t>Annual</t>
  </si>
  <si>
    <t>Pacific Analytics Inc</t>
  </si>
  <si>
    <t>CUST002</t>
  </si>
  <si>
    <t>SUB054</t>
  </si>
  <si>
    <t>SUB042</t>
  </si>
  <si>
    <t>Ottawa Retail Solutions</t>
  </si>
  <si>
    <t>CUST033</t>
  </si>
  <si>
    <t>SUB033</t>
  </si>
  <si>
    <t>Maritime E-commerce</t>
  </si>
  <si>
    <t>CUST012</t>
  </si>
  <si>
    <t>SUB012</t>
  </si>
  <si>
    <t>Vancouver Health Systems</t>
  </si>
  <si>
    <t>CUST035</t>
  </si>
  <si>
    <t>SUB035</t>
  </si>
  <si>
    <t>Toronto Media Group</t>
  </si>
  <si>
    <t>CUST014</t>
  </si>
  <si>
    <t>SUB014</t>
  </si>
  <si>
    <t>Toronto Commerce Cloud</t>
  </si>
  <si>
    <t>CUST039</t>
  </si>
  <si>
    <t>SUB039</t>
  </si>
  <si>
    <t>SUB051</t>
  </si>
  <si>
    <t>Western Retail Group</t>
  </si>
  <si>
    <t>CUST024</t>
  </si>
  <si>
    <t>SUB024</t>
  </si>
  <si>
    <t>Northern Retail Solutions</t>
  </si>
  <si>
    <t>CUST006</t>
  </si>
  <si>
    <t>SUB043</t>
  </si>
  <si>
    <t>Toronto Tech Ventures</t>
  </si>
  <si>
    <t>CUST022</t>
  </si>
  <si>
    <t>SUB047</t>
  </si>
  <si>
    <t>SUB058</t>
  </si>
  <si>
    <t>Vancouver FinTech Labs</t>
  </si>
  <si>
    <t>CUST018</t>
  </si>
  <si>
    <t>SUB052</t>
  </si>
  <si>
    <t>Pacific Finance Corp</t>
  </si>
  <si>
    <t>CUST027</t>
  </si>
  <si>
    <t>SUB027</t>
  </si>
  <si>
    <t>Quebec Manufacturing</t>
  </si>
  <si>
    <t>CUST016</t>
  </si>
  <si>
    <t>SUB056</t>
  </si>
  <si>
    <t>West Coast Logistics</t>
  </si>
  <si>
    <t>CUST009</t>
  </si>
  <si>
    <t>SUB044</t>
  </si>
  <si>
    <t>Analytics Enterprise</t>
  </si>
  <si>
    <t>BC Retail Networks</t>
  </si>
  <si>
    <t>CUST015</t>
  </si>
  <si>
    <t>SUB046</t>
  </si>
  <si>
    <t>Platform Suite</t>
  </si>
  <si>
    <t>SUB002</t>
  </si>
  <si>
    <t>Montreal Manufacturing Pro</t>
  </si>
  <si>
    <t>CUST025</t>
  </si>
  <si>
    <t>SUB048</t>
  </si>
  <si>
    <t>Calgary Commerce Solutions</t>
  </si>
  <si>
    <t>CUST021</t>
  </si>
  <si>
    <t>SUB057</t>
  </si>
  <si>
    <t>BC Manufacturing Systems</t>
  </si>
  <si>
    <t>CUST032</t>
  </si>
  <si>
    <t>SUB032</t>
  </si>
  <si>
    <t>SUB022</t>
  </si>
  <si>
    <t>Maritime SaaS Ventures</t>
  </si>
  <si>
    <t>CUST037</t>
  </si>
  <si>
    <t>SUB037</t>
  </si>
  <si>
    <t>SUB009</t>
  </si>
  <si>
    <t>SUB006</t>
  </si>
  <si>
    <t>SUB053</t>
  </si>
  <si>
    <t>SUB016</t>
  </si>
  <si>
    <t>SUB018</t>
  </si>
  <si>
    <t>Toronto Digital Media</t>
  </si>
  <si>
    <t>CUST031</t>
  </si>
  <si>
    <t>SUB031</t>
  </si>
  <si>
    <t>SUB025</t>
  </si>
  <si>
    <t>mrr</t>
  </si>
  <si>
    <t>billing_cycle</t>
  </si>
  <si>
    <t>plan_name</t>
  </si>
  <si>
    <t>region</t>
  </si>
  <si>
    <t>account_owner</t>
  </si>
  <si>
    <t>company_name</t>
  </si>
  <si>
    <t>customer_id</t>
  </si>
  <si>
    <t>subscription_id</t>
  </si>
  <si>
    <t>Poor support</t>
  </si>
  <si>
    <t>status</t>
  </si>
  <si>
    <t>churned</t>
  </si>
  <si>
    <t>active</t>
  </si>
  <si>
    <t>cancelled</t>
  </si>
  <si>
    <t>SUB050</t>
  </si>
  <si>
    <t>EVT097</t>
  </si>
  <si>
    <t>created</t>
  </si>
  <si>
    <t>EVT096</t>
  </si>
  <si>
    <t>Switched to competitor</t>
  </si>
  <si>
    <t>SUB015</t>
  </si>
  <si>
    <t>EVT095</t>
  </si>
  <si>
    <t>Retention discount - at-risk account escalated</t>
  </si>
  <si>
    <t>discount_percent</t>
  </si>
  <si>
    <t>discount_added</t>
  </si>
  <si>
    <t>EVT094</t>
  </si>
  <si>
    <t>Year-end headcount increase</t>
  </si>
  <si>
    <t>seats</t>
  </si>
  <si>
    <t>seats_change</t>
  </si>
  <si>
    <t>EVT093</t>
  </si>
  <si>
    <t>Restructuring - reduced team size</t>
  </si>
  <si>
    <t>EVT092</t>
  </si>
  <si>
    <t>Retention discount - customer at-risk of churning</t>
  </si>
  <si>
    <t>EVT091</t>
  </si>
  <si>
    <t>Reached Starter usage limits - upgraded</t>
  </si>
  <si>
    <t>plan_upgrade</t>
  </si>
  <si>
    <t>EVT090</t>
  </si>
  <si>
    <t>Returning customer â€” reactivation</t>
  </si>
  <si>
    <t>EVT089</t>
  </si>
  <si>
    <t>New department added - customer success team</t>
  </si>
  <si>
    <t>EVT088</t>
  </si>
  <si>
    <t>Renewal negotiation - loyalty discount applied</t>
  </si>
  <si>
    <t>price_per_seat</t>
  </si>
  <si>
    <t>price_change</t>
  </si>
  <si>
    <t>EVT087</t>
  </si>
  <si>
    <t>Department expansion - data team scaling</t>
  </si>
  <si>
    <t>EVT086</t>
  </si>
  <si>
    <t>Upgraded for advanced analytics and API access</t>
  </si>
  <si>
    <t>EVT085</t>
  </si>
  <si>
    <t>SUB055</t>
  </si>
  <si>
    <t>EVT084</t>
  </si>
  <si>
    <t>Team expansion - ops team grew</t>
  </si>
  <si>
    <t>EVT083</t>
  </si>
  <si>
    <t>Reduced usage - advanced features no longer needed</t>
  </si>
  <si>
    <t>plan_downgrade</t>
  </si>
  <si>
    <t>EVT082</t>
  </si>
  <si>
    <t>Enterprise SSO and audit logs required</t>
  </si>
  <si>
    <t>EVT081</t>
  </si>
  <si>
    <t>Renewal negotiation - competitive pricing match</t>
  </si>
  <si>
    <t>EVT080</t>
  </si>
  <si>
    <t>Team expansion - mid-year headcount increase</t>
  </si>
  <si>
    <t>EVT079</t>
  </si>
  <si>
    <t>Budget cuts</t>
  </si>
  <si>
    <t>SUB060</t>
  </si>
  <si>
    <t>EVT078</t>
  </si>
  <si>
    <t>Annual price increase applied at renewal</t>
  </si>
  <si>
    <t>EVT077</t>
  </si>
  <si>
    <t>Missing features</t>
  </si>
  <si>
    <t>SUB023</t>
  </si>
  <si>
    <t>EVT076</t>
  </si>
  <si>
    <t>EVT075</t>
  </si>
  <si>
    <t>Growing usage - upgraded for advanced features and higher limits</t>
  </si>
  <si>
    <t>EVT074</t>
  </si>
  <si>
    <t>No longer needed</t>
  </si>
  <si>
    <t>SUB049</t>
  </si>
  <si>
    <t>EVT073</t>
  </si>
  <si>
    <t>EVT072</t>
  </si>
  <si>
    <t>EVT071</t>
  </si>
  <si>
    <t>Department growth - added analytics sub-team</t>
  </si>
  <si>
    <t>EVT070</t>
  </si>
  <si>
    <t>EVT069</t>
  </si>
  <si>
    <t>Company downsizing</t>
  </si>
  <si>
    <t>SUB021</t>
  </si>
  <si>
    <t>EVT068</t>
  </si>
  <si>
    <t>EVT067</t>
  </si>
  <si>
    <t>EVT066</t>
  </si>
  <si>
    <t>EVT065</t>
  </si>
  <si>
    <t>Team expansion - 3 new account managers onboarded</t>
  </si>
  <si>
    <t>EVT064</t>
  </si>
  <si>
    <t>EVT063</t>
  </si>
  <si>
    <t>EVT062</t>
  </si>
  <si>
    <t>New hires onboarded - sales team expansion</t>
  </si>
  <si>
    <t>EVT061</t>
  </si>
  <si>
    <t>EVT060</t>
  </si>
  <si>
    <t>EVT059</t>
  </si>
  <si>
    <t>EVT058</t>
  </si>
  <si>
    <t>Headcount reduction - Q1 restructuring</t>
  </si>
  <si>
    <t>EVT057</t>
  </si>
  <si>
    <t>EVT056</t>
  </si>
  <si>
    <t>Annual contract loyalty discount applied</t>
  </si>
  <si>
    <t>EVT055</t>
  </si>
  <si>
    <t>EVT054</t>
  </si>
  <si>
    <t>Cost reduction initiative - downgraded to starter tier</t>
  </si>
  <si>
    <t>EVT053</t>
  </si>
  <si>
    <t>EVT052</t>
  </si>
  <si>
    <t>EVT051</t>
  </si>
  <si>
    <t>EVT050</t>
  </si>
  <si>
    <t>EVT049</t>
  </si>
  <si>
    <t>EVT048</t>
  </si>
  <si>
    <t>EVT047</t>
  </si>
  <si>
    <t>EVT046</t>
  </si>
  <si>
    <t>EVT045</t>
  </si>
  <si>
    <t>EVT044</t>
  </si>
  <si>
    <t>SUB013</t>
  </si>
  <si>
    <t>EVT043</t>
  </si>
  <si>
    <t>EVT042</t>
  </si>
  <si>
    <t>EVT041</t>
  </si>
  <si>
    <t>EVT040</t>
  </si>
  <si>
    <t>Price too high</t>
  </si>
  <si>
    <t>SUB008</t>
  </si>
  <si>
    <t>EVT039</t>
  </si>
  <si>
    <t>EVT038</t>
  </si>
  <si>
    <t>EVT037</t>
  </si>
  <si>
    <t>EVT036</t>
  </si>
  <si>
    <t>EVT035</t>
  </si>
  <si>
    <t>Atlantic Media Corp</t>
  </si>
  <si>
    <t>CUST005</t>
  </si>
  <si>
    <t>SUB005</t>
  </si>
  <si>
    <t>EVT034</t>
  </si>
  <si>
    <t>EVT033</t>
  </si>
  <si>
    <t>EVT032</t>
  </si>
  <si>
    <t>EVT031</t>
  </si>
  <si>
    <t>EVT030</t>
  </si>
  <si>
    <t>EVT029</t>
  </si>
  <si>
    <t>EVT028</t>
  </si>
  <si>
    <t>EVT027</t>
  </si>
  <si>
    <t>EVT026</t>
  </si>
  <si>
    <t>EVT025</t>
  </si>
  <si>
    <t>EVT024</t>
  </si>
  <si>
    <t>SUB001</t>
  </si>
  <si>
    <t>EVT023</t>
  </si>
  <si>
    <t>EVT022</t>
  </si>
  <si>
    <t>EVT021</t>
  </si>
  <si>
    <t>EVT020</t>
  </si>
  <si>
    <t>EVT019</t>
  </si>
  <si>
    <t>EVT018</t>
  </si>
  <si>
    <t>EVT017</t>
  </si>
  <si>
    <t>EVT016</t>
  </si>
  <si>
    <t>EVT015</t>
  </si>
  <si>
    <t>EVT014</t>
  </si>
  <si>
    <t>EVT013</t>
  </si>
  <si>
    <t>EVT012</t>
  </si>
  <si>
    <t>EVT011</t>
  </si>
  <si>
    <t>EVT010</t>
  </si>
  <si>
    <t>EVT009</t>
  </si>
  <si>
    <t>EVT008</t>
  </si>
  <si>
    <t>EVT007</t>
  </si>
  <si>
    <t>EVT006</t>
  </si>
  <si>
    <t>EVT005</t>
  </si>
  <si>
    <t>EVT004</t>
  </si>
  <si>
    <t>EVT003</t>
  </si>
  <si>
    <t>EVT002</t>
  </si>
  <si>
    <t>EVT001</t>
  </si>
  <si>
    <t>reason</t>
  </si>
  <si>
    <t>field_changed</t>
  </si>
  <si>
    <t>new_value</t>
  </si>
  <si>
    <t>old_value</t>
  </si>
  <si>
    <t>event_type</t>
  </si>
  <si>
    <t>event_date</t>
  </si>
  <si>
    <t>month</t>
  </si>
  <si>
    <t>event_id</t>
  </si>
  <si>
    <t>pct_change</t>
  </si>
  <si>
    <t>prior_month_revenue</t>
  </si>
  <si>
    <t>running_total</t>
  </si>
  <si>
    <t>revenue</t>
  </si>
  <si>
    <t>invoice_count</t>
  </si>
  <si>
    <t>monthly_price</t>
  </si>
  <si>
    <t>movement</t>
  </si>
  <si>
    <t xml:space="preserve"> </t>
  </si>
  <si>
    <t>mrr_delta</t>
  </si>
  <si>
    <t>Month</t>
  </si>
  <si>
    <t>Opening</t>
  </si>
  <si>
    <t>New</t>
  </si>
  <si>
    <t>Expansion</t>
  </si>
  <si>
    <t>Contraction</t>
  </si>
  <si>
    <t>Churned</t>
  </si>
  <si>
    <t>Net</t>
  </si>
  <si>
    <t>Closing</t>
  </si>
  <si>
    <t>MRR Waterfall - January 2024 to February 2026</t>
  </si>
  <si>
    <t>Waterfall Closing MRR:</t>
  </si>
  <si>
    <t>Snapshot MRR:</t>
  </si>
  <si>
    <t>Reconciliation Gap:</t>
  </si>
  <si>
    <t>Growth Analysis — January 2024 to February 2026</t>
  </si>
  <si>
    <t>1. MRR &amp; ARR</t>
  </si>
  <si>
    <t>Closing MRR</t>
  </si>
  <si>
    <t>ARR</t>
  </si>
  <si>
    <t>Net New MRR</t>
  </si>
  <si>
    <t>Cumulative Net New MRR</t>
  </si>
  <si>
    <t>2. Growth Rates</t>
  </si>
  <si>
    <t>MoM Growth %</t>
  </si>
  <si>
    <t>YoY Growth %</t>
  </si>
  <si>
    <t>CMGR (6-month)</t>
  </si>
  <si>
    <t>CMGR (12-month)</t>
  </si>
  <si>
    <t>Trailing 3-month avg MoM</t>
  </si>
  <si>
    <t>3. Growth Quality</t>
  </si>
  <si>
    <t>Gains (New + Expansion)</t>
  </si>
  <si>
    <t>Losses (Contraction + Churned)</t>
  </si>
  <si>
    <t>Quick Ratio</t>
  </si>
  <si>
    <t>New as % of gains</t>
  </si>
  <si>
    <t>Expansion as % of gains</t>
  </si>
  <si>
    <t>4. What the Numbers Say</t>
  </si>
  <si>
    <t>The Growth Story</t>
  </si>
  <si>
    <t>The H2 2025 Problem</t>
  </si>
  <si>
    <t>Where the Business Is Headed</t>
  </si>
  <si>
    <t>SaaS Growth Benchmarks</t>
  </si>
  <si>
    <t>Metric</t>
  </si>
  <si>
    <t>Threshold</t>
  </si>
  <si>
    <t>Label</t>
  </si>
  <si>
    <t>MoM Growth</t>
  </si>
  <si>
    <t>&gt; 10%</t>
  </si>
  <si>
    <t>Exceptional (early stage)</t>
  </si>
  <si>
    <t>5 – 10%</t>
  </si>
  <si>
    <t>Strong</t>
  </si>
  <si>
    <t>2 – 5%</t>
  </si>
  <si>
    <t>Good (post-PMF)</t>
  </si>
  <si>
    <t>0 – 2%</t>
  </si>
  <si>
    <t>Stalling</t>
  </si>
  <si>
    <t>&lt; 0%</t>
  </si>
  <si>
    <t>Declining</t>
  </si>
  <si>
    <t>CMGR 6-month</t>
  </si>
  <si>
    <t>&gt; 15%</t>
  </si>
  <si>
    <t>Exceptional</t>
  </si>
  <si>
    <t>10 – 15%</t>
  </si>
  <si>
    <t>Good</t>
  </si>
  <si>
    <t>Moderate</t>
  </si>
  <si>
    <t>&lt; 2%</t>
  </si>
  <si>
    <t>&gt; 4.0</t>
  </si>
  <si>
    <t>Excellent</t>
  </si>
  <si>
    <t>2.0 – 4.0</t>
  </si>
  <si>
    <t>Healthy</t>
  </si>
  <si>
    <t>1.0 – 2.0</t>
  </si>
  <si>
    <t>Fragile</t>
  </si>
  <si>
    <t>&lt; 1.0</t>
  </si>
  <si>
    <t>Shrinking</t>
  </si>
  <si>
    <t>iDynamics grew from $0 to $152K MRR in 26 months, but the trajectory breaks into two distinct chapters. The first 12 months were explosive: the 6-month CMGR hit 40.9% in Jul 2024, and the 12-month CMGR stood at 26.9% by Jan 2025, reflecting a business that more than doubled every quarter in its early life. Growth was lumpy rather than steady — the best single months were Sep 2024 ($13.4K net new) and Mar 2025 ($18.4K net new), while May 2024 contributed just $2.6K. From mid-2025 onward, the compounding engine stalled: the 6-month CMGR collapsed from 8.9% in Jun 2025 to 0.4% by Feb 2026, and the 12-month CMGR fell from 26.9% to 2.9% over the same window. The business didn't crash — it plateaued, hovering between $148K and $153K for the final eight months.</t>
  </si>
  <si>
    <t>Something broke in Jul 2025. Net new MRR turned negative for the first time at –$1,100, then worsened to –$2,430 in Aug 2025. The Quick Ratio tells the story: it plunged to 0.4x in Jul and 0.5x in Aug, meaning the business lost more than twice what it gained. New customer acquisition fell to zero in both months — gains came entirely from expansion ($660 and $2,960 respectively), which couldn't offset churn of $1,760 and combined losses of $5,390 in Aug. The Sep–Dec 2025 period partially recovered, but erratically: Quick Ratio swung from 15.2x (Sep) to 0.0x (Nov, where gains were literally zero — no new customers and no expansion), back to ∞ in Jan 2026 (gains of $1,710 against zero losses). The core issue is clear: new logo acquisition, which drove 100% of gains for the first 14 months, has essentially stopped.</t>
  </si>
  <si>
    <t>The business is flat, not growing. The trailing 6-month CMGR as of Feb 2026 is 0.4% — essentially zero. The 12-month CMGR has fallen to 2.9%, meaning even the longer-term trend has lost almost all momentum. The Feb 2026 Quick Ratio is 0.0x (losses of $594 against zero gains), confirming that the most recent month added nothing. For the board, the headline is: ARR has stalled at ~$1.82M and the growth engine that built it has gone quiet. The one metric to watch is Gains — specifically, whether new customer acquisition restarts. Expansion alone cannot sustain or grow the base; it appeared in only 9 of 26 months and never exceeded $3K. Until new logo MRR returns to the $5K–$10K/month range that characterized 2024, the business is coasting on its installed base and vulnerable to any churn spike.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</si>
</sst>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64" formatCode="yyyy/mm"/>
    <numFmt numFmtId="165" formatCode="0.0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_(&quot;$&quot;* #,##0.00_);[Red]_(&quot;$&quot;* \(#,##0.00\);_(&quot;$&quot;* &quot;-&quot;??_);_(@_)"/>
    <numFmt numFmtId="169" formatCode="0.0%;[Red]\(0.0%\);&quot;-&quot;"/>
    <numFmt numFmtId="170" formatCode="0.0;[Red]\(0.0\);&quot;-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DE7"/>
        <bgColor indexed="64"/>
      </patternFill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/>
    <xf numFmtId="166" fontId="4" fillId="0" borderId="0" xfId="0" applyNumberFormat="1" applyFont="1"/>
    <xf numFmtId="164" fontId="5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170" fontId="4" fillId="0" borderId="0" xfId="0" applyNumberFormat="1" applyFont="1"/>
    <xf numFmtId="169" fontId="4" fillId="2" borderId="0" xfId="0" applyNumberFormat="1" applyFont="1" applyFill="1"/>
    <xf numFmtId="0" fontId="4" fillId="2" borderId="0" xfId="0" applyFont="1" applyFill="1"/>
    <xf numFmtId="0" fontId="3" fillId="3" borderId="0" xfId="0" applyFont="1" applyFill="1"/>
    <xf numFmtId="0" fontId="0" fillId="3" borderId="0" xfId="0" applyFill="1"/>
    <xf numFmtId="0" fontId="6" fillId="3" borderId="0" xfId="0" applyFont="1" applyFill="1"/>
    <xf numFmtId="0" fontId="4" fillId="0" borderId="0" xfId="0" applyFont="1" applyAlignment="1">
      <alignment vertical="top" wrapText="1"/>
    </xf>
    <xf numFmtId="168" fontId="7" fillId="0" borderId="0" xfId="0" applyNumberFormat="1" applyFont="1"/>
    <xf numFmtId="168" fontId="7" fillId="0" borderId="0" xfId="1" applyNumberFormat="1" applyFont="1"/>
  </cellXfs>
  <cellStyles count="2">
    <cellStyle name="Currency" xfId="1" builtinId="4"/>
    <cellStyle name="Normal" xfId="0" builtinId="0"/>
  </cellStyles>
  <dxfs count="7">
    <dxf>
      <numFmt numFmtId="165" formatCode="0.0"/>
      <alignment horizontal="right" vertical="bottom" textRotation="0" wrapText="0" indent="0" justifyLastLine="0" shrinkToFit="0" readingOrder="0"/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9" formatCode="yyyy/mm/dd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CMGR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Growth!$A$14</c:f>
              <c:strCache>
                <c:ptCount val="1"/>
                <c:pt idx="0">
                  <c:v>CMGR (6-month)</c:v>
                </c:pt>
              </c:strCache>
            </c:strRef>
          </c:tx>
          <c:spPr>
            <a:ln w="28575" cap="rnd">
              <a:solidFill>
                <a:srgbClr val="2563E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563EB"/>
              </a:solidFill>
              <a:ln w="9525">
                <a:solidFill>
                  <a:srgbClr val="2563EB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Growth!$B$14:$AA$14</c:f>
              <c:numCache>
                <c:formatCode>0.0%;[Red]\(0.0%\);"-"</c:formatCode>
                <c:ptCount val="26"/>
                <c:pt idx="6">
                  <c:v>0.40884690544782987</c:v>
                </c:pt>
                <c:pt idx="7">
                  <c:v>0.23154287368284265</c:v>
                </c:pt>
                <c:pt idx="8">
                  <c:v>0.20811767144196236</c:v>
                </c:pt>
                <c:pt idx="9">
                  <c:v>0.16239308723644208</c:v>
                </c:pt>
                <c:pt idx="10">
                  <c:v>0.15783651182127301</c:v>
                </c:pt>
                <c:pt idx="11">
                  <c:v>0.16746383330029158</c:v>
                </c:pt>
                <c:pt idx="12">
                  <c:v>0.14228703661232012</c:v>
                </c:pt>
                <c:pt idx="13">
                  <c:v>0.13612242968021615</c:v>
                </c:pt>
                <c:pt idx="14">
                  <c:v>0.1211699669810884</c:v>
                </c:pt>
                <c:pt idx="15">
                  <c:v>0.10315193112885823</c:v>
                </c:pt>
                <c:pt idx="16">
                  <c:v>0.1057129278252178</c:v>
                </c:pt>
                <c:pt idx="17">
                  <c:v>8.9155871329130276E-2</c:v>
                </c:pt>
                <c:pt idx="18">
                  <c:v>6.9775691876317048E-2</c:v>
                </c:pt>
                <c:pt idx="19">
                  <c:v>5.4350821240941594E-2</c:v>
                </c:pt>
                <c:pt idx="20">
                  <c:v>2.9162910426313804E-2</c:v>
                </c:pt>
                <c:pt idx="21">
                  <c:v>2.310262093949178E-2</c:v>
                </c:pt>
                <c:pt idx="22">
                  <c:v>1.0322918536297632E-2</c:v>
                </c:pt>
                <c:pt idx="23">
                  <c:v>-1.3147301063959338E-3</c:v>
                </c:pt>
                <c:pt idx="24">
                  <c:v>1.7734048751500975E-3</c:v>
                </c:pt>
                <c:pt idx="25">
                  <c:v>3.8329351119641419E-3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3-43BC-8EF4-2724DFFFA895}"/>
            </c:ext>
          </c:extLst>
        </c:ser>
        <c:ser>
          <c:idx val="1"/>
          <c:order val="1"/>
          <c:tx>
            <c:strRef>
              <c:f>Growth!$A$15</c:f>
              <c:strCache>
                <c:ptCount val="1"/>
                <c:pt idx="0">
                  <c:v>CMGR (12-month)</c:v>
                </c:pt>
              </c:strCache>
            </c:strRef>
          </c:tx>
          <c:spPr>
            <a:ln w="28575" cap="rnd">
              <a:solidFill>
                <a:srgbClr val="DC262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C2626"/>
              </a:solidFill>
              <a:ln w="9525">
                <a:solidFill>
                  <a:srgbClr val="DC2626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Growth!$B$15:$AA$15</c:f>
              <c:numCache>
                <c:formatCode>0.0%;[Red]\(0.0%\);"-"</c:formatCode>
                <c:ptCount val="26"/>
                <c:pt idx="12">
                  <c:v>0.26858486380077817</c:v>
                </c:pt>
                <c:pt idx="13">
                  <c:v>0.18287086442430667</c:v>
                </c:pt>
                <c:pt idx="14">
                  <c:v>0.16383213987235035</c:v>
                </c:pt>
                <c:pt idx="15">
                  <c:v>0.13238517250788662</c:v>
                </c:pt>
                <c:pt idx="16">
                  <c:v>0.13147461280792205</c:v>
                </c:pt>
                <c:pt idx="17">
                  <c:v>0.12763029783853597</c:v>
                </c:pt>
                <c:pt idx="18">
                  <c:v>0.10543697464545332</c:v>
                </c:pt>
                <c:pt idx="19">
                  <c:v>9.447321427415023E-2</c:v>
                </c:pt>
                <c:pt idx="20">
                  <c:v>7.4181803188283046E-2</c:v>
                </c:pt>
                <c:pt idx="21">
                  <c:v>6.2373584024187023E-2</c:v>
                </c:pt>
                <c:pt idx="22">
                  <c:v>5.6942341049732281E-2</c:v>
                </c:pt>
                <c:pt idx="23">
                  <c:v>4.2940039175088929E-2</c:v>
                </c:pt>
                <c:pt idx="24">
                  <c:v>3.5216323916700709E-2</c:v>
                </c:pt>
                <c:pt idx="25">
                  <c:v>2.8781842532227042E-2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83-43BC-8EF4-2724DFFFA895}"/>
            </c:ext>
          </c:extLst>
        </c:ser>
        <c:ser>
          <c:idx val="2"/>
          <c:order val="2"/>
          <c:tx>
            <c:strRef>
              <c:f>Growth!$A$16</c:f>
              <c:strCache>
                <c:ptCount val="1"/>
                <c:pt idx="0">
                  <c:v>Trailing 3-month avg MoM</c:v>
                </c:pt>
              </c:strCache>
            </c:strRef>
          </c:tx>
          <c:spPr>
            <a:ln w="28575" cap="rnd">
              <a:solidFill>
                <a:srgbClr val="16A34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6A34A"/>
              </a:solidFill>
              <a:ln w="9525">
                <a:solidFill>
                  <a:srgbClr val="16A34A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Growth!$B$16:$AA$16</c:f>
              <c:numCache>
                <c:formatCode>0.0%;[Red]\(0.0%\);"-"</c:formatCode>
                <c:ptCount val="26"/>
                <c:pt idx="3">
                  <c:v>0.7892295305438024</c:v>
                </c:pt>
                <c:pt idx="4">
                  <c:v>0.32267742625920398</c:v>
                </c:pt>
                <c:pt idx="5">
                  <c:v>0.21799473141452577</c:v>
                </c:pt>
                <c:pt idx="6">
                  <c:v>0.15109364709779383</c:v>
                </c:pt>
                <c:pt idx="7">
                  <c:v>0.15883818682154599</c:v>
                </c:pt>
                <c:pt idx="8">
                  <c:v>0.21195363689080135</c:v>
                </c:pt>
                <c:pt idx="9">
                  <c:v>0.1782206246558026</c:v>
                </c:pt>
                <c:pt idx="10">
                  <c:v>0.16204727794080531</c:v>
                </c:pt>
                <c:pt idx="11">
                  <c:v>0.12773460176455279</c:v>
                </c:pt>
                <c:pt idx="12">
                  <c:v>0.10996152469042891</c:v>
                </c:pt>
                <c:pt idx="13">
                  <c:v>0.11432610722292839</c:v>
                </c:pt>
                <c:pt idx="14">
                  <c:v>0.1163739020941927</c:v>
                </c:pt>
                <c:pt idx="15">
                  <c:v>9.8359806783737805E-2</c:v>
                </c:pt>
                <c:pt idx="16">
                  <c:v>9.8947391581345578E-2</c:v>
                </c:pt>
                <c:pt idx="17">
                  <c:v>6.3324987181216277E-2</c:v>
                </c:pt>
                <c:pt idx="18">
                  <c:v>4.3699871232668643E-2</c:v>
                </c:pt>
                <c:pt idx="19">
                  <c:v>1.3249949298600456E-2</c:v>
                </c:pt>
                <c:pt idx="20">
                  <c:v>-3.792166821408247E-3</c:v>
                </c:pt>
                <c:pt idx="21">
                  <c:v>3.6285125108491394E-3</c:v>
                </c:pt>
                <c:pt idx="22">
                  <c:v>8.0410686344886424E-3</c:v>
                </c:pt>
                <c:pt idx="23">
                  <c:v>1.2871832968572642E-3</c:v>
                </c:pt>
                <c:pt idx="24">
                  <c:v>5.3841836482262005E-5</c:v>
                </c:pt>
                <c:pt idx="25">
                  <c:v>-2.9225848441643301E-4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3-43BC-8EF4-2724DFFFA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860880"/>
        <c:axId val="530859440"/>
      </c:lineChart>
      <c:dateAx>
        <c:axId val="530860880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59440"/>
        <c:crosses val="autoZero"/>
        <c:auto val="1"/>
        <c:lblOffset val="100"/>
        <c:baseTimeUnit val="months"/>
      </c:dateAx>
      <c:valAx>
        <c:axId val="530859440"/>
        <c:scaling>
          <c:orientation val="minMax"/>
        </c:scaling>
        <c:delete val="0"/>
        <c:axPos val="l"/>
        <c:numFmt formatCode="0.0%;[Red]\(0.0%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6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 &amp; YoY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Growth!$A$11</c:f>
              <c:strCache>
                <c:ptCount val="1"/>
                <c:pt idx="0">
                  <c:v>MoM Growth %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rgbClr val="F59E0B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Growth!$B$11:$AA$11</c:f>
              <c:numCache>
                <c:formatCode>0.0%;[Red]\(0.0%\);"-"</c:formatCode>
                <c:ptCount val="26"/>
                <c:pt idx="1">
                  <c:v>1.4853448275862069</c:v>
                </c:pt>
                <c:pt idx="2">
                  <c:v>0.4214360041623309</c:v>
                </c:pt>
                <c:pt idx="3">
                  <c:v>0.46090775988286969</c:v>
                </c:pt>
                <c:pt idx="4">
                  <c:v>8.5688514732411306E-2</c:v>
                </c:pt>
                <c:pt idx="5">
                  <c:v>0.10738791962829626</c:v>
                </c:pt>
                <c:pt idx="6">
                  <c:v>0.26020450693267388</c:v>
                </c:pt>
                <c:pt idx="7">
                  <c:v>0.10892213390366785</c:v>
                </c:pt>
                <c:pt idx="8">
                  <c:v>0.2667342698360623</c:v>
                </c:pt>
                <c:pt idx="9">
                  <c:v>0.15900547022767764</c:v>
                </c:pt>
                <c:pt idx="10">
                  <c:v>6.0402093758676029E-2</c:v>
                </c:pt>
                <c:pt idx="11">
                  <c:v>0.16379624130730475</c:v>
                </c:pt>
                <c:pt idx="12">
                  <c:v>0.10568623900530598</c:v>
                </c:pt>
                <c:pt idx="13">
                  <c:v>7.3495841356174443E-2</c:v>
                </c:pt>
                <c:pt idx="14">
                  <c:v>0.16993962592109765</c:v>
                </c:pt>
                <c:pt idx="15">
                  <c:v>5.1643953073941339E-2</c:v>
                </c:pt>
                <c:pt idx="16">
                  <c:v>7.5258595748997736E-2</c:v>
                </c:pt>
                <c:pt idx="17">
                  <c:v>6.3072412720709764E-2</c:v>
                </c:pt>
                <c:pt idx="18">
                  <c:v>-7.2313947717015797E-3</c:v>
                </c:pt>
                <c:pt idx="19">
                  <c:v>-1.6091170053206812E-2</c:v>
                </c:pt>
                <c:pt idx="20">
                  <c:v>1.1946064360683651E-2</c:v>
                </c:pt>
                <c:pt idx="21">
                  <c:v>1.503064322507058E-2</c:v>
                </c:pt>
                <c:pt idx="22">
                  <c:v>-2.8535016822883053E-3</c:v>
                </c:pt>
                <c:pt idx="23">
                  <c:v>-8.3155916522104825E-3</c:v>
                </c:pt>
                <c:pt idx="24">
                  <c:v>1.1330618843945574E-2</c:v>
                </c:pt>
                <c:pt idx="25">
                  <c:v>-3.8918026449843903E-3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C-427E-91DA-B268B0803B11}"/>
            </c:ext>
          </c:extLst>
        </c:ser>
        <c:ser>
          <c:idx val="1"/>
          <c:order val="1"/>
          <c:tx>
            <c:strRef>
              <c:f>Growth!$A$12</c:f>
              <c:strCache>
                <c:ptCount val="1"/>
                <c:pt idx="0">
                  <c:v>YoY Growth %</c:v>
                </c:pt>
              </c:strCache>
            </c:strRef>
          </c:tx>
          <c:spPr>
            <a:ln w="28575" cap="rnd">
              <a:solidFill>
                <a:srgbClr val="7C3AE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C3AED"/>
              </a:solidFill>
              <a:ln w="9525">
                <a:solidFill>
                  <a:srgbClr val="7C3AED"/>
                </a:solidFill>
                <a:prstDash val="solid"/>
              </a:ln>
              <a:effectLst/>
            </c:spPr>
          </c:marker>
          <c:cat>
            <c:numRef>
              <c:f>Growth!$B$4:$AA$4</c:f>
              <c:numCache>
                <c:formatCode>yyyy/mm</c:formatCode>
                <c:ptCount val="2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</c:numCache>
            </c:numRef>
          </c:cat>
          <c:val>
            <c:numRef>
              <c:f>Growth!$B$12:$AA$12</c:f>
              <c:numCache>
                <c:formatCode>0.0%;[Red]\(0.0%\);"-"</c:formatCode>
                <c:ptCount val="26"/>
                <c:pt idx="12">
                  <c:v>16.371379310344828</c:v>
                </c:pt>
                <c:pt idx="13">
                  <c:v>6.5032258064516126</c:v>
                </c:pt>
                <c:pt idx="14">
                  <c:v>5.1756710590531965</c:v>
                </c:pt>
                <c:pt idx="15">
                  <c:v>3.4455969800227169</c:v>
                </c:pt>
                <c:pt idx="16">
                  <c:v>3.4028893196713743</c:v>
                </c:pt>
                <c:pt idx="17">
                  <c:v>3.2266942676929062</c:v>
                </c:pt>
                <c:pt idx="18">
                  <c:v>2.329720969715678</c:v>
                </c:pt>
                <c:pt idx="19">
                  <c:v>1.9543479773728216</c:v>
                </c:pt>
                <c:pt idx="20">
                  <c:v>1.3601167819050832</c:v>
                </c:pt>
                <c:pt idx="21">
                  <c:v>1.0669366252022996</c:v>
                </c:pt>
                <c:pt idx="22">
                  <c:v>0.94363876702618821</c:v>
                </c:pt>
                <c:pt idx="23">
                  <c:v>0.65619735852990724</c:v>
                </c:pt>
                <c:pt idx="24">
                  <c:v>0.5148629334815491</c:v>
                </c:pt>
                <c:pt idx="25">
                  <c:v>0.40565741177340769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C-427E-91DA-B268B0803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873344"/>
        <c:axId val="528874304"/>
      </c:lineChart>
      <c:dateAx>
        <c:axId val="528873344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74304"/>
        <c:crosses val="autoZero"/>
        <c:auto val="1"/>
        <c:lblOffset val="100"/>
        <c:baseTimeUnit val="months"/>
      </c:dateAx>
      <c:valAx>
        <c:axId val="528874304"/>
        <c:scaling>
          <c:orientation val="minMax"/>
        </c:scaling>
        <c:delete val="0"/>
        <c:axPos val="l"/>
        <c:numFmt formatCode="0.0%;[Red]\(0.0%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0</xdr:rowOff>
    </xdr:from>
    <xdr:to>
      <xdr:col>12</xdr:col>
      <xdr:colOff>279400</xdr:colOff>
      <xdr:row>62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0CD59C-A5D3-721D-3934-9160F8A47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2108200</xdr:colOff>
      <xdr:row>63</xdr:row>
      <xdr:rowOff>69850</xdr:rowOff>
    </xdr:from>
    <xdr:to>
      <xdr:col>12</xdr:col>
      <xdr:colOff>228600</xdr:colOff>
      <xdr:row>84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39040A-67D2-F902-4DE5-594EB67FE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462D2-AD4B-4970-B0D2-0569E29D7B2B}" name="tbl_Plans" displayName="tbl_Plans" ref="A1:B7" totalsRowShown="0">
  <autoFilter ref="A1:B7" xr:uid="{D29462D2-AD4B-4970-B0D2-0569E29D7B2B}"/>
  <tableColumns count="2">
    <tableColumn id="1" xr3:uid="{541659B7-7DC5-4861-BBE5-B38FDE02E799}" name="plan_name"/>
    <tableColumn id="2" xr3:uid="{FB642255-22C9-4118-9638-0FF61B9D75EE}" name="monthly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CD488-A2A9-4594-92D1-28BF2D26397C}" name="Table1" displayName="Table1" ref="A1:S98" totalsRowShown="0">
  <autoFilter ref="A1:S98" xr:uid="{4D0CD488-A2A9-4594-92D1-28BF2D26397C}"/>
  <tableColumns count="19">
    <tableColumn id="1" xr3:uid="{DDD6128B-1A22-4D0E-A5E4-6C1186E068D3}" name="event_id"/>
    <tableColumn id="2" xr3:uid="{7E503140-2172-44C1-8495-EC49CB05E7F9}" name="subscription_id"/>
    <tableColumn id="3" xr3:uid="{29D60F45-CD26-4463-BCE7-85A40B1FB101}" name="customer_id"/>
    <tableColumn id="4" xr3:uid="{CBB36BB2-16F2-4128-B670-673C53E81301}" name="company_name"/>
    <tableColumn id="5" xr3:uid="{F72DC213-8F27-4095-8B0A-46BFA4144CB0}" name="region"/>
    <tableColumn id="6" xr3:uid="{E806E2FB-9408-4E92-8362-1BF5A02EE428}" name="month" dataDxfId="6"/>
    <tableColumn id="7" xr3:uid="{C8796CA6-7E30-4E85-8CA3-EA0DE3834553}" name="event_date" dataDxfId="5"/>
    <tableColumn id="8" xr3:uid="{59EC1976-9299-4B77-8A09-745C78AB7346}" name="event_type"/>
    <tableColumn id="9" xr3:uid="{CD1F2F07-F43E-49D5-B20C-ED54E97D8C70}" name="old_value"/>
    <tableColumn id="10" xr3:uid="{3C34A22C-D0F9-4ADE-98E8-AD179EECD3A3}" name="new_value"/>
    <tableColumn id="11" xr3:uid="{02ABE898-A40D-4BB5-86D1-2A3B4B6B3ECA}" name="field_changed"/>
    <tableColumn id="12" xr3:uid="{16221619-1146-4566-B6B5-688354B0327C}" name="reason"/>
    <tableColumn id="13" xr3:uid="{C6716080-B21B-432F-B2A0-76404D3E3D13}" name="plan_name"/>
    <tableColumn id="14" xr3:uid="{BE836B37-B440-4665-86C5-FA83CE89DB1C}" name="billing_cycle"/>
    <tableColumn id="15" xr3:uid="{B33D19A0-E30C-4A7C-B4C7-B78D2687643F}" name="seats"/>
    <tableColumn id="16" xr3:uid="{4EA55239-D41A-4047-A534-A9A139EF0FBF}" name="price_per_seat"/>
    <tableColumn id="17" xr3:uid="{882DE2BD-1135-4597-BED7-AF92A1E6C4FB}" name="discount_percent"/>
    <tableColumn id="18" xr3:uid="{B1693C78-EFC5-40A3-A8F6-34E68B2CC787}" name="movement">
      <calculatedColumnFormula array="1">_xlfn.IFS(H2="created", "New", H2="cancelled", "Churned", AND(H2="seats_change", J2 &gt; I2), "Expansion", AND(H2="seats_change", J2 &lt; I2), "Contraction", AND(H2="price_change", J2 &gt; I2), "Expansion", AND(H2="price_change", J2 &lt; I2), "Contraction", H2="plan_upgrade", "Expansion", H2="plan_downgrade", "Contraction", H2="discount_added", "Contraction")</calculatedColumnFormula>
    </tableColumn>
    <tableColumn id="19" xr3:uid="{CE231CA8-021E-458F-A8AA-BBE9C812C0DB}" name="mrr_delta" dataDxfId="0">
      <calculatedColumnFormula array="1">_xlfn.IFS(H2="created",O2*P2*(1-Q2/100),H2="cancelled",-(O2*P2*(1-Q2/100)),H2="seats_change",(J2-I2)*P2*(1-Q2/100),H2="price_change",(J2-I2)*O2*(1-Q2/100),H2="discount_added",-(O2*P2*(J2-I2)/100),H2="plan_upgrade",O2*(_xlfn.XLOOKUP(J2,tbl_Plans[plan_name],tbl_Plans[monthly_price])-_xlfn.XLOOKUP(I2,tbl_Plans[plan_name],tbl_Plans[monthly_price]))*(1-Q2/100),H2="plan_downgrade",O2*(_xlfn.XLOOKUP(J2,tbl_Plans[plan_name],tbl_Plans[monthly_price])-_xlfn.XLOOKUP(I2,tbl_Plans[plan_name],tbl_Plans[monthly_price]))*(1-Q2/100))*IF(N2="Annual",1/12,1)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A4DFE2-ACD5-4EE7-8A3C-275A1A41BE9F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6E88-9E79-43C6-BAD5-2E449624F434}">
  <dimension ref="A1:H52"/>
  <sheetViews>
    <sheetView workbookViewId="0">
      <selection activeCell="J2" sqref="J2"/>
    </sheetView>
  </sheetViews>
  <sheetFormatPr defaultRowHeight="14.5" x14ac:dyDescent="0.35"/>
  <cols>
    <col min="1" max="1" width="13.1796875" bestFit="1" customWidth="1"/>
    <col min="2" max="2" width="10.81640625" bestFit="1" customWidth="1"/>
    <col min="3" max="3" width="24.36328125" bestFit="1" customWidth="1"/>
    <col min="4" max="4" width="15.54296875" bestFit="1" customWidth="1"/>
    <col min="5" max="5" width="14.36328125" bestFit="1" customWidth="1"/>
    <col min="6" max="6" width="17" bestFit="1" customWidth="1"/>
    <col min="7" max="7" width="10.6328125" bestFit="1" customWidth="1"/>
    <col min="8" max="8" width="6.81640625" bestFit="1" customWidth="1"/>
  </cols>
  <sheetData>
    <row r="1" spans="1:8" x14ac:dyDescent="0.35">
      <c r="A1" t="s">
        <v>151</v>
      </c>
      <c r="B1" t="s">
        <v>150</v>
      </c>
      <c r="C1" t="s">
        <v>149</v>
      </c>
      <c r="D1" t="s">
        <v>148</v>
      </c>
      <c r="E1" t="s">
        <v>147</v>
      </c>
      <c r="F1" t="s">
        <v>146</v>
      </c>
      <c r="G1" t="s">
        <v>145</v>
      </c>
      <c r="H1" t="s">
        <v>144</v>
      </c>
    </row>
    <row r="2" spans="1:8" x14ac:dyDescent="0.35">
      <c r="A2" t="s">
        <v>143</v>
      </c>
      <c r="B2" t="s">
        <v>123</v>
      </c>
      <c r="C2" t="s">
        <v>122</v>
      </c>
      <c r="D2" t="s">
        <v>12</v>
      </c>
      <c r="E2" t="s">
        <v>2</v>
      </c>
      <c r="F2" t="s">
        <v>116</v>
      </c>
      <c r="G2" t="s">
        <v>73</v>
      </c>
      <c r="H2">
        <v>6840</v>
      </c>
    </row>
    <row r="3" spans="1:8" x14ac:dyDescent="0.35">
      <c r="A3" t="s">
        <v>142</v>
      </c>
      <c r="B3" t="s">
        <v>141</v>
      </c>
      <c r="C3" t="s">
        <v>140</v>
      </c>
      <c r="D3" t="s">
        <v>3</v>
      </c>
      <c r="E3" t="s">
        <v>2</v>
      </c>
      <c r="F3" t="s">
        <v>120</v>
      </c>
      <c r="G3" t="s">
        <v>73</v>
      </c>
      <c r="H3">
        <v>6750</v>
      </c>
    </row>
    <row r="4" spans="1:8" x14ac:dyDescent="0.35">
      <c r="A4" t="s">
        <v>139</v>
      </c>
      <c r="B4" t="s">
        <v>105</v>
      </c>
      <c r="C4" t="s">
        <v>104</v>
      </c>
      <c r="D4" t="s">
        <v>8</v>
      </c>
      <c r="E4" t="s">
        <v>7</v>
      </c>
      <c r="F4" t="s">
        <v>116</v>
      </c>
      <c r="G4" t="s">
        <v>0</v>
      </c>
      <c r="H4">
        <v>6300</v>
      </c>
    </row>
    <row r="5" spans="1:8" x14ac:dyDescent="0.35">
      <c r="A5" t="s">
        <v>138</v>
      </c>
      <c r="B5" t="s">
        <v>111</v>
      </c>
      <c r="C5" t="s">
        <v>110</v>
      </c>
      <c r="D5" t="s">
        <v>12</v>
      </c>
      <c r="E5" t="s">
        <v>2</v>
      </c>
      <c r="F5" t="s">
        <v>120</v>
      </c>
      <c r="G5" t="s">
        <v>73</v>
      </c>
      <c r="H5">
        <v>6300</v>
      </c>
    </row>
    <row r="6" spans="1:8" x14ac:dyDescent="0.35">
      <c r="A6" t="s">
        <v>137</v>
      </c>
      <c r="B6" t="s">
        <v>108</v>
      </c>
      <c r="C6" t="s">
        <v>107</v>
      </c>
      <c r="D6" t="s">
        <v>8</v>
      </c>
      <c r="E6" t="s">
        <v>7</v>
      </c>
      <c r="F6" t="s">
        <v>116</v>
      </c>
      <c r="G6" t="s">
        <v>0</v>
      </c>
      <c r="H6">
        <v>5580</v>
      </c>
    </row>
    <row r="7" spans="1:8" x14ac:dyDescent="0.35">
      <c r="A7" t="s">
        <v>136</v>
      </c>
      <c r="B7" t="s">
        <v>98</v>
      </c>
      <c r="C7" t="s">
        <v>97</v>
      </c>
      <c r="D7" t="s">
        <v>8</v>
      </c>
      <c r="E7" t="s">
        <v>7</v>
      </c>
      <c r="F7" t="s">
        <v>116</v>
      </c>
      <c r="G7" t="s">
        <v>73</v>
      </c>
      <c r="H7">
        <v>5580</v>
      </c>
    </row>
    <row r="8" spans="1:8" x14ac:dyDescent="0.35">
      <c r="A8" t="s">
        <v>135</v>
      </c>
      <c r="B8" t="s">
        <v>114</v>
      </c>
      <c r="C8" t="s">
        <v>113</v>
      </c>
      <c r="D8" t="s">
        <v>8</v>
      </c>
      <c r="E8" t="s">
        <v>7</v>
      </c>
      <c r="F8" t="s">
        <v>120</v>
      </c>
      <c r="G8" t="s">
        <v>73</v>
      </c>
      <c r="H8">
        <v>5400</v>
      </c>
    </row>
    <row r="9" spans="1:8" x14ac:dyDescent="0.35">
      <c r="A9" t="s">
        <v>134</v>
      </c>
      <c r="B9" t="s">
        <v>133</v>
      </c>
      <c r="C9" t="s">
        <v>132</v>
      </c>
      <c r="D9" t="s">
        <v>12</v>
      </c>
      <c r="E9" t="s">
        <v>2</v>
      </c>
      <c r="F9" t="s">
        <v>120</v>
      </c>
      <c r="G9" t="s">
        <v>0</v>
      </c>
      <c r="H9">
        <v>5250</v>
      </c>
    </row>
    <row r="10" spans="1:8" x14ac:dyDescent="0.35">
      <c r="A10" t="s">
        <v>131</v>
      </c>
      <c r="B10" t="s">
        <v>101</v>
      </c>
      <c r="C10" t="s">
        <v>100</v>
      </c>
      <c r="D10" t="s">
        <v>3</v>
      </c>
      <c r="E10" t="s">
        <v>2</v>
      </c>
      <c r="F10" t="s">
        <v>120</v>
      </c>
      <c r="G10" t="s">
        <v>0</v>
      </c>
      <c r="H10">
        <v>4950</v>
      </c>
    </row>
    <row r="11" spans="1:8" x14ac:dyDescent="0.35">
      <c r="A11" t="s">
        <v>130</v>
      </c>
      <c r="B11" t="s">
        <v>129</v>
      </c>
      <c r="C11" t="s">
        <v>128</v>
      </c>
      <c r="D11" t="s">
        <v>8</v>
      </c>
      <c r="E11" t="s">
        <v>7</v>
      </c>
      <c r="F11" t="s">
        <v>116</v>
      </c>
      <c r="G11" t="s">
        <v>0</v>
      </c>
      <c r="H11">
        <v>4680</v>
      </c>
    </row>
    <row r="12" spans="1:8" x14ac:dyDescent="0.35">
      <c r="A12" t="s">
        <v>127</v>
      </c>
      <c r="B12" t="s">
        <v>126</v>
      </c>
      <c r="C12" t="s">
        <v>125</v>
      </c>
      <c r="D12" t="s">
        <v>8</v>
      </c>
      <c r="E12" t="s">
        <v>7</v>
      </c>
      <c r="F12" t="s">
        <v>120</v>
      </c>
      <c r="G12" t="s">
        <v>0</v>
      </c>
      <c r="H12">
        <v>4200</v>
      </c>
    </row>
    <row r="13" spans="1:8" x14ac:dyDescent="0.35">
      <c r="A13" t="s">
        <v>124</v>
      </c>
      <c r="B13" t="s">
        <v>123</v>
      </c>
      <c r="C13" t="s">
        <v>122</v>
      </c>
      <c r="D13" t="s">
        <v>12</v>
      </c>
      <c r="E13" t="s">
        <v>2</v>
      </c>
      <c r="F13" t="s">
        <v>42</v>
      </c>
      <c r="G13" t="s">
        <v>0</v>
      </c>
      <c r="H13">
        <v>3960</v>
      </c>
    </row>
    <row r="14" spans="1:8" x14ac:dyDescent="0.35">
      <c r="A14" t="s">
        <v>121</v>
      </c>
      <c r="B14" t="s">
        <v>75</v>
      </c>
      <c r="C14" t="s">
        <v>74</v>
      </c>
      <c r="D14" t="s">
        <v>8</v>
      </c>
      <c r="E14" t="s">
        <v>7</v>
      </c>
      <c r="F14" t="s">
        <v>120</v>
      </c>
      <c r="G14" t="s">
        <v>73</v>
      </c>
      <c r="H14">
        <v>3900</v>
      </c>
    </row>
    <row r="15" spans="1:8" x14ac:dyDescent="0.35">
      <c r="A15" t="s">
        <v>119</v>
      </c>
      <c r="B15" t="s">
        <v>118</v>
      </c>
      <c r="C15" t="s">
        <v>117</v>
      </c>
      <c r="D15" t="s">
        <v>8</v>
      </c>
      <c r="E15" t="s">
        <v>7</v>
      </c>
      <c r="F15" t="s">
        <v>116</v>
      </c>
      <c r="G15" t="s">
        <v>0</v>
      </c>
      <c r="H15">
        <v>3600</v>
      </c>
    </row>
    <row r="16" spans="1:8" x14ac:dyDescent="0.35">
      <c r="A16" t="s">
        <v>115</v>
      </c>
      <c r="B16" t="s">
        <v>114</v>
      </c>
      <c r="C16" t="s">
        <v>113</v>
      </c>
      <c r="D16" t="s">
        <v>8</v>
      </c>
      <c r="E16" t="s">
        <v>7</v>
      </c>
      <c r="F16" t="s">
        <v>29</v>
      </c>
      <c r="G16" t="s">
        <v>0</v>
      </c>
      <c r="H16">
        <v>3325</v>
      </c>
    </row>
    <row r="17" spans="1:8" x14ac:dyDescent="0.35">
      <c r="A17" t="s">
        <v>112</v>
      </c>
      <c r="B17" t="s">
        <v>111</v>
      </c>
      <c r="C17" t="s">
        <v>110</v>
      </c>
      <c r="D17" t="s">
        <v>12</v>
      </c>
      <c r="E17" t="s">
        <v>2</v>
      </c>
      <c r="F17" t="s">
        <v>24</v>
      </c>
      <c r="G17" t="s">
        <v>0</v>
      </c>
      <c r="H17">
        <v>3230</v>
      </c>
    </row>
    <row r="18" spans="1:8" x14ac:dyDescent="0.35">
      <c r="A18" t="s">
        <v>109</v>
      </c>
      <c r="B18" t="s">
        <v>108</v>
      </c>
      <c r="C18" t="s">
        <v>107</v>
      </c>
      <c r="D18" t="s">
        <v>8</v>
      </c>
      <c r="E18" t="s">
        <v>7</v>
      </c>
      <c r="F18" t="s">
        <v>42</v>
      </c>
      <c r="G18" t="s">
        <v>0</v>
      </c>
      <c r="H18">
        <v>3080</v>
      </c>
    </row>
    <row r="19" spans="1:8" x14ac:dyDescent="0.35">
      <c r="A19" t="s">
        <v>106</v>
      </c>
      <c r="B19" t="s">
        <v>105</v>
      </c>
      <c r="C19" t="s">
        <v>104</v>
      </c>
      <c r="D19" t="s">
        <v>8</v>
      </c>
      <c r="E19" t="s">
        <v>7</v>
      </c>
      <c r="F19" t="s">
        <v>24</v>
      </c>
      <c r="G19" t="s">
        <v>0</v>
      </c>
      <c r="H19">
        <v>2975</v>
      </c>
    </row>
    <row r="20" spans="1:8" x14ac:dyDescent="0.35">
      <c r="A20" t="s">
        <v>103</v>
      </c>
      <c r="B20" t="s">
        <v>95</v>
      </c>
      <c r="C20" t="s">
        <v>94</v>
      </c>
      <c r="D20" t="s">
        <v>8</v>
      </c>
      <c r="E20" t="s">
        <v>7</v>
      </c>
      <c r="F20" t="s">
        <v>42</v>
      </c>
      <c r="G20" t="s">
        <v>0</v>
      </c>
      <c r="H20">
        <v>2860</v>
      </c>
    </row>
    <row r="21" spans="1:8" x14ac:dyDescent="0.35">
      <c r="A21" t="s">
        <v>102</v>
      </c>
      <c r="B21" t="s">
        <v>101</v>
      </c>
      <c r="C21" t="s">
        <v>100</v>
      </c>
      <c r="D21" t="s">
        <v>3</v>
      </c>
      <c r="E21" t="s">
        <v>2</v>
      </c>
      <c r="F21" t="s">
        <v>42</v>
      </c>
      <c r="G21" t="s">
        <v>0</v>
      </c>
      <c r="H21">
        <v>2860</v>
      </c>
    </row>
    <row r="22" spans="1:8" x14ac:dyDescent="0.35">
      <c r="A22" t="s">
        <v>99</v>
      </c>
      <c r="B22" t="s">
        <v>98</v>
      </c>
      <c r="C22" t="s">
        <v>97</v>
      </c>
      <c r="D22" t="s">
        <v>8</v>
      </c>
      <c r="E22" t="s">
        <v>7</v>
      </c>
      <c r="F22" t="s">
        <v>24</v>
      </c>
      <c r="G22" t="s">
        <v>0</v>
      </c>
      <c r="H22">
        <v>2805</v>
      </c>
    </row>
    <row r="23" spans="1:8" x14ac:dyDescent="0.35">
      <c r="A23" t="s">
        <v>96</v>
      </c>
      <c r="B23" t="s">
        <v>95</v>
      </c>
      <c r="C23" t="s">
        <v>94</v>
      </c>
      <c r="D23" t="s">
        <v>8</v>
      </c>
      <c r="E23" t="s">
        <v>7</v>
      </c>
      <c r="F23" t="s">
        <v>24</v>
      </c>
      <c r="G23" t="s">
        <v>0</v>
      </c>
      <c r="H23">
        <v>2635</v>
      </c>
    </row>
    <row r="24" spans="1:8" x14ac:dyDescent="0.35">
      <c r="A24" t="s">
        <v>93</v>
      </c>
      <c r="B24" t="s">
        <v>88</v>
      </c>
      <c r="C24" t="s">
        <v>87</v>
      </c>
      <c r="D24" t="s">
        <v>3</v>
      </c>
      <c r="E24" t="s">
        <v>2</v>
      </c>
      <c r="F24" t="s">
        <v>42</v>
      </c>
      <c r="G24" t="s">
        <v>0</v>
      </c>
      <c r="H24">
        <v>2530</v>
      </c>
    </row>
    <row r="25" spans="1:8" x14ac:dyDescent="0.35">
      <c r="A25" t="s">
        <v>92</v>
      </c>
      <c r="B25" t="s">
        <v>91</v>
      </c>
      <c r="C25" t="s">
        <v>90</v>
      </c>
      <c r="D25" t="s">
        <v>3</v>
      </c>
      <c r="E25" t="s">
        <v>2</v>
      </c>
      <c r="F25" t="s">
        <v>24</v>
      </c>
      <c r="G25" t="s">
        <v>0</v>
      </c>
      <c r="H25">
        <v>2465</v>
      </c>
    </row>
    <row r="26" spans="1:8" x14ac:dyDescent="0.35">
      <c r="A26" t="s">
        <v>89</v>
      </c>
      <c r="B26" t="s">
        <v>88</v>
      </c>
      <c r="C26" t="s">
        <v>87</v>
      </c>
      <c r="D26" t="s">
        <v>3</v>
      </c>
      <c r="E26" t="s">
        <v>2</v>
      </c>
      <c r="F26" t="s">
        <v>24</v>
      </c>
      <c r="G26" t="s">
        <v>0</v>
      </c>
      <c r="H26">
        <v>2380</v>
      </c>
    </row>
    <row r="27" spans="1:8" x14ac:dyDescent="0.35">
      <c r="A27" t="s">
        <v>86</v>
      </c>
      <c r="B27" t="s">
        <v>85</v>
      </c>
      <c r="C27" t="s">
        <v>84</v>
      </c>
      <c r="D27" t="s">
        <v>8</v>
      </c>
      <c r="E27" t="s">
        <v>7</v>
      </c>
      <c r="F27" t="s">
        <v>42</v>
      </c>
      <c r="G27" t="s">
        <v>0</v>
      </c>
      <c r="H27">
        <v>2200</v>
      </c>
    </row>
    <row r="28" spans="1:8" x14ac:dyDescent="0.35">
      <c r="A28" t="s">
        <v>83</v>
      </c>
      <c r="B28" t="s">
        <v>82</v>
      </c>
      <c r="C28" t="s">
        <v>81</v>
      </c>
      <c r="D28" t="s">
        <v>12</v>
      </c>
      <c r="E28" t="s">
        <v>2</v>
      </c>
      <c r="F28" t="s">
        <v>29</v>
      </c>
      <c r="G28" t="s">
        <v>0</v>
      </c>
      <c r="H28">
        <v>2185</v>
      </c>
    </row>
    <row r="29" spans="1:8" x14ac:dyDescent="0.35">
      <c r="A29" t="s">
        <v>80</v>
      </c>
      <c r="B29" t="s">
        <v>79</v>
      </c>
      <c r="C29" t="s">
        <v>78</v>
      </c>
      <c r="D29" t="s">
        <v>3</v>
      </c>
      <c r="E29" t="s">
        <v>2</v>
      </c>
      <c r="F29" t="s">
        <v>24</v>
      </c>
      <c r="G29" t="s">
        <v>0</v>
      </c>
      <c r="H29">
        <v>2125</v>
      </c>
    </row>
    <row r="30" spans="1:8" x14ac:dyDescent="0.35">
      <c r="A30" t="s">
        <v>77</v>
      </c>
      <c r="B30" t="s">
        <v>65</v>
      </c>
      <c r="C30" t="s">
        <v>64</v>
      </c>
      <c r="D30" t="s">
        <v>12</v>
      </c>
      <c r="E30" t="s">
        <v>2</v>
      </c>
      <c r="F30" t="s">
        <v>42</v>
      </c>
      <c r="G30" t="s">
        <v>0</v>
      </c>
      <c r="H30">
        <v>2090</v>
      </c>
    </row>
    <row r="31" spans="1:8" x14ac:dyDescent="0.35">
      <c r="A31" t="s">
        <v>76</v>
      </c>
      <c r="B31" t="s">
        <v>75</v>
      </c>
      <c r="C31" t="s">
        <v>74</v>
      </c>
      <c r="D31" t="s">
        <v>8</v>
      </c>
      <c r="E31" t="s">
        <v>7</v>
      </c>
      <c r="F31" t="s">
        <v>29</v>
      </c>
      <c r="G31" t="s">
        <v>73</v>
      </c>
      <c r="H31">
        <v>1985.5</v>
      </c>
    </row>
    <row r="32" spans="1:8" x14ac:dyDescent="0.35">
      <c r="A32" t="s">
        <v>72</v>
      </c>
      <c r="B32" t="s">
        <v>71</v>
      </c>
      <c r="C32" t="s">
        <v>70</v>
      </c>
      <c r="D32" t="s">
        <v>17</v>
      </c>
      <c r="E32" t="s">
        <v>16</v>
      </c>
      <c r="F32" t="s">
        <v>42</v>
      </c>
      <c r="G32" t="s">
        <v>0</v>
      </c>
      <c r="H32">
        <v>1980</v>
      </c>
    </row>
    <row r="33" spans="1:8" x14ac:dyDescent="0.35">
      <c r="A33" t="s">
        <v>69</v>
      </c>
      <c r="B33" t="s">
        <v>68</v>
      </c>
      <c r="C33" t="s">
        <v>67</v>
      </c>
      <c r="D33" t="s">
        <v>3</v>
      </c>
      <c r="E33" t="s">
        <v>7</v>
      </c>
      <c r="F33" t="s">
        <v>42</v>
      </c>
      <c r="G33" t="s">
        <v>0</v>
      </c>
      <c r="H33">
        <v>1980</v>
      </c>
    </row>
    <row r="34" spans="1:8" x14ac:dyDescent="0.35">
      <c r="A34" t="s">
        <v>66</v>
      </c>
      <c r="B34" t="s">
        <v>65</v>
      </c>
      <c r="C34" t="s">
        <v>64</v>
      </c>
      <c r="D34" t="s">
        <v>12</v>
      </c>
      <c r="E34" t="s">
        <v>2</v>
      </c>
      <c r="F34" t="s">
        <v>24</v>
      </c>
      <c r="G34" t="s">
        <v>0</v>
      </c>
      <c r="H34">
        <v>1955</v>
      </c>
    </row>
    <row r="35" spans="1:8" x14ac:dyDescent="0.35">
      <c r="A35" t="s">
        <v>63</v>
      </c>
      <c r="B35" t="s">
        <v>62</v>
      </c>
      <c r="C35" t="s">
        <v>61</v>
      </c>
      <c r="D35" t="s">
        <v>8</v>
      </c>
      <c r="E35" t="s">
        <v>7</v>
      </c>
      <c r="F35" t="s">
        <v>29</v>
      </c>
      <c r="G35" t="s">
        <v>0</v>
      </c>
      <c r="H35">
        <v>1900</v>
      </c>
    </row>
    <row r="36" spans="1:8" x14ac:dyDescent="0.35">
      <c r="A36" t="s">
        <v>60</v>
      </c>
      <c r="B36" t="s">
        <v>59</v>
      </c>
      <c r="C36" t="s">
        <v>58</v>
      </c>
      <c r="D36" t="s">
        <v>12</v>
      </c>
      <c r="E36" t="s">
        <v>2</v>
      </c>
      <c r="F36" t="s">
        <v>24</v>
      </c>
      <c r="G36" t="s">
        <v>0</v>
      </c>
      <c r="H36">
        <v>1870</v>
      </c>
    </row>
    <row r="37" spans="1:8" x14ac:dyDescent="0.35">
      <c r="A37" t="s">
        <v>57</v>
      </c>
      <c r="B37" t="s">
        <v>56</v>
      </c>
      <c r="C37" t="s">
        <v>55</v>
      </c>
      <c r="D37" t="s">
        <v>12</v>
      </c>
      <c r="E37" t="s">
        <v>2</v>
      </c>
      <c r="F37" t="s">
        <v>24</v>
      </c>
      <c r="G37" t="s">
        <v>0</v>
      </c>
      <c r="H37">
        <v>1870</v>
      </c>
    </row>
    <row r="38" spans="1:8" x14ac:dyDescent="0.35">
      <c r="A38" t="s">
        <v>54</v>
      </c>
      <c r="B38" t="s">
        <v>53</v>
      </c>
      <c r="C38" t="s">
        <v>52</v>
      </c>
      <c r="D38" t="s">
        <v>12</v>
      </c>
      <c r="E38" t="s">
        <v>2</v>
      </c>
      <c r="F38" t="s">
        <v>42</v>
      </c>
      <c r="G38" t="s">
        <v>0</v>
      </c>
      <c r="H38">
        <v>1760</v>
      </c>
    </row>
    <row r="39" spans="1:8" x14ac:dyDescent="0.35">
      <c r="A39" t="s">
        <v>51</v>
      </c>
      <c r="B39" t="s">
        <v>50</v>
      </c>
      <c r="C39" t="s">
        <v>49</v>
      </c>
      <c r="D39" t="s">
        <v>8</v>
      </c>
      <c r="E39" t="s">
        <v>7</v>
      </c>
      <c r="F39" t="s">
        <v>29</v>
      </c>
      <c r="G39" t="s">
        <v>0</v>
      </c>
      <c r="H39">
        <v>1710</v>
      </c>
    </row>
    <row r="40" spans="1:8" x14ac:dyDescent="0.35">
      <c r="A40" t="s">
        <v>48</v>
      </c>
      <c r="B40" t="s">
        <v>47</v>
      </c>
      <c r="C40" t="s">
        <v>46</v>
      </c>
      <c r="D40" t="s">
        <v>17</v>
      </c>
      <c r="E40" t="s">
        <v>16</v>
      </c>
      <c r="F40" t="s">
        <v>29</v>
      </c>
      <c r="G40" t="s">
        <v>0</v>
      </c>
      <c r="H40">
        <v>1710</v>
      </c>
    </row>
    <row r="41" spans="1:8" x14ac:dyDescent="0.35">
      <c r="A41" t="s">
        <v>45</v>
      </c>
      <c r="B41" t="s">
        <v>44</v>
      </c>
      <c r="C41" t="s">
        <v>43</v>
      </c>
      <c r="D41" t="s">
        <v>12</v>
      </c>
      <c r="E41" t="s">
        <v>2</v>
      </c>
      <c r="F41" t="s">
        <v>42</v>
      </c>
      <c r="G41" t="s">
        <v>0</v>
      </c>
      <c r="H41">
        <v>1650</v>
      </c>
    </row>
    <row r="42" spans="1:8" x14ac:dyDescent="0.35">
      <c r="A42" t="s">
        <v>41</v>
      </c>
      <c r="B42" t="s">
        <v>40</v>
      </c>
      <c r="C42" t="s">
        <v>39</v>
      </c>
      <c r="D42" t="s">
        <v>17</v>
      </c>
      <c r="E42" t="s">
        <v>16</v>
      </c>
      <c r="F42" t="s">
        <v>24</v>
      </c>
      <c r="G42" t="s">
        <v>0</v>
      </c>
      <c r="H42">
        <v>1615</v>
      </c>
    </row>
    <row r="43" spans="1:8" x14ac:dyDescent="0.35">
      <c r="A43" t="s">
        <v>38</v>
      </c>
      <c r="B43" t="s">
        <v>37</v>
      </c>
      <c r="C43" t="s">
        <v>36</v>
      </c>
      <c r="D43" t="s">
        <v>3</v>
      </c>
      <c r="E43" t="s">
        <v>2</v>
      </c>
      <c r="F43" t="s">
        <v>29</v>
      </c>
      <c r="G43" t="s">
        <v>0</v>
      </c>
      <c r="H43">
        <v>1520</v>
      </c>
    </row>
    <row r="44" spans="1:8" x14ac:dyDescent="0.35">
      <c r="A44" t="s">
        <v>35</v>
      </c>
      <c r="B44" t="s">
        <v>34</v>
      </c>
      <c r="C44" t="s">
        <v>33</v>
      </c>
      <c r="D44" t="s">
        <v>3</v>
      </c>
      <c r="E44" t="s">
        <v>2</v>
      </c>
      <c r="F44" t="s">
        <v>24</v>
      </c>
      <c r="G44" t="s">
        <v>0</v>
      </c>
      <c r="H44">
        <v>1360</v>
      </c>
    </row>
    <row r="45" spans="1:8" x14ac:dyDescent="0.35">
      <c r="A45" t="s">
        <v>32</v>
      </c>
      <c r="B45" t="s">
        <v>31</v>
      </c>
      <c r="C45" t="s">
        <v>30</v>
      </c>
      <c r="D45" t="s">
        <v>8</v>
      </c>
      <c r="E45" t="s">
        <v>7</v>
      </c>
      <c r="F45" t="s">
        <v>29</v>
      </c>
      <c r="G45" t="s">
        <v>0</v>
      </c>
      <c r="H45">
        <v>1140</v>
      </c>
    </row>
    <row r="46" spans="1:8" x14ac:dyDescent="0.35">
      <c r="A46" t="s">
        <v>28</v>
      </c>
      <c r="B46" t="s">
        <v>14</v>
      </c>
      <c r="C46" t="s">
        <v>13</v>
      </c>
      <c r="D46" t="s">
        <v>12</v>
      </c>
      <c r="E46" t="s">
        <v>2</v>
      </c>
      <c r="F46" t="s">
        <v>24</v>
      </c>
      <c r="G46" t="s">
        <v>0</v>
      </c>
      <c r="H46">
        <v>1105</v>
      </c>
    </row>
    <row r="47" spans="1:8" x14ac:dyDescent="0.35">
      <c r="A47" t="s">
        <v>27</v>
      </c>
      <c r="B47" t="s">
        <v>26</v>
      </c>
      <c r="C47" t="s">
        <v>25</v>
      </c>
      <c r="D47" t="s">
        <v>12</v>
      </c>
      <c r="E47" t="s">
        <v>2</v>
      </c>
      <c r="F47" t="s">
        <v>24</v>
      </c>
      <c r="G47" t="s">
        <v>0</v>
      </c>
      <c r="H47">
        <v>935</v>
      </c>
    </row>
    <row r="48" spans="1:8" x14ac:dyDescent="0.35">
      <c r="A48" t="s">
        <v>23</v>
      </c>
      <c r="B48" t="s">
        <v>22</v>
      </c>
      <c r="C48" t="s">
        <v>21</v>
      </c>
      <c r="D48" t="s">
        <v>12</v>
      </c>
      <c r="E48" t="s">
        <v>2</v>
      </c>
      <c r="F48" t="s">
        <v>1</v>
      </c>
      <c r="G48" t="s">
        <v>0</v>
      </c>
      <c r="H48">
        <v>720</v>
      </c>
    </row>
    <row r="49" spans="1:8" x14ac:dyDescent="0.35">
      <c r="A49" t="s">
        <v>20</v>
      </c>
      <c r="B49" t="s">
        <v>19</v>
      </c>
      <c r="C49" t="s">
        <v>18</v>
      </c>
      <c r="D49" t="s">
        <v>17</v>
      </c>
      <c r="E49" t="s">
        <v>16</v>
      </c>
      <c r="F49" t="s">
        <v>1</v>
      </c>
      <c r="G49" t="s">
        <v>0</v>
      </c>
      <c r="H49">
        <v>675</v>
      </c>
    </row>
    <row r="50" spans="1:8" x14ac:dyDescent="0.35">
      <c r="A50" t="s">
        <v>15</v>
      </c>
      <c r="B50" t="s">
        <v>14</v>
      </c>
      <c r="C50" t="s">
        <v>13</v>
      </c>
      <c r="D50" t="s">
        <v>12</v>
      </c>
      <c r="E50" t="s">
        <v>2</v>
      </c>
      <c r="F50" t="s">
        <v>1</v>
      </c>
      <c r="G50" t="s">
        <v>0</v>
      </c>
      <c r="H50">
        <v>585</v>
      </c>
    </row>
    <row r="51" spans="1:8" x14ac:dyDescent="0.35">
      <c r="A51" t="s">
        <v>11</v>
      </c>
      <c r="B51" t="s">
        <v>10</v>
      </c>
      <c r="C51" t="s">
        <v>9</v>
      </c>
      <c r="D51" t="s">
        <v>8</v>
      </c>
      <c r="E51" t="s">
        <v>7</v>
      </c>
      <c r="F51" t="s">
        <v>1</v>
      </c>
      <c r="G51" t="s">
        <v>0</v>
      </c>
      <c r="H51">
        <v>585</v>
      </c>
    </row>
    <row r="52" spans="1:8" x14ac:dyDescent="0.35">
      <c r="A52" t="s">
        <v>6</v>
      </c>
      <c r="B52" t="s">
        <v>5</v>
      </c>
      <c r="C52" t="s">
        <v>4</v>
      </c>
      <c r="D52" t="s">
        <v>3</v>
      </c>
      <c r="E52" t="s">
        <v>2</v>
      </c>
      <c r="F52" t="s">
        <v>1</v>
      </c>
      <c r="G52" t="s">
        <v>0</v>
      </c>
      <c r="H52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0B75-D7F2-431F-B042-2B626EBE5185}">
  <dimension ref="A1:Q98"/>
  <sheetViews>
    <sheetView workbookViewId="0">
      <selection activeCell="I89" sqref="I89"/>
    </sheetView>
  </sheetViews>
  <sheetFormatPr defaultRowHeight="14.5" x14ac:dyDescent="0.35"/>
  <cols>
    <col min="1" max="1" width="7.54296875" bestFit="1" customWidth="1"/>
    <col min="2" max="2" width="13.1796875" bestFit="1" customWidth="1"/>
    <col min="3" max="3" width="10.81640625" bestFit="1" customWidth="1"/>
    <col min="4" max="4" width="24.36328125" bestFit="1" customWidth="1"/>
    <col min="5" max="5" width="14.36328125" bestFit="1" customWidth="1"/>
    <col min="6" max="6" width="6.7265625" bestFit="1" customWidth="1"/>
    <col min="7" max="8" width="10.08984375" bestFit="1" customWidth="1"/>
    <col min="9" max="9" width="14" bestFit="1" customWidth="1"/>
    <col min="10" max="10" width="14.453125" bestFit="1" customWidth="1"/>
    <col min="11" max="11" width="17" bestFit="1" customWidth="1"/>
    <col min="12" max="12" width="15" bestFit="1" customWidth="1"/>
    <col min="13" max="13" width="53.81640625" bestFit="1" customWidth="1"/>
    <col min="14" max="14" width="17" bestFit="1" customWidth="1"/>
    <col min="15" max="15" width="10.6328125" bestFit="1" customWidth="1"/>
    <col min="16" max="16" width="12.7265625" bestFit="1" customWidth="1"/>
    <col min="17" max="17" width="15" bestFit="1" customWidth="1"/>
  </cols>
  <sheetData>
    <row r="1" spans="1:17" x14ac:dyDescent="0.35">
      <c r="A1" t="s">
        <v>312</v>
      </c>
      <c r="B1" t="s">
        <v>151</v>
      </c>
      <c r="C1" t="s">
        <v>150</v>
      </c>
      <c r="D1" t="s">
        <v>149</v>
      </c>
      <c r="E1" t="s">
        <v>147</v>
      </c>
      <c r="F1" t="s">
        <v>311</v>
      </c>
      <c r="G1" t="s">
        <v>310</v>
      </c>
      <c r="H1" t="s">
        <v>310</v>
      </c>
      <c r="I1" t="s">
        <v>309</v>
      </c>
      <c r="J1" t="s">
        <v>308</v>
      </c>
      <c r="K1" t="s">
        <v>307</v>
      </c>
      <c r="L1" t="s">
        <v>306</v>
      </c>
      <c r="M1" t="s">
        <v>305</v>
      </c>
      <c r="N1" t="s">
        <v>146</v>
      </c>
      <c r="O1" t="s">
        <v>145</v>
      </c>
      <c r="P1" t="s">
        <v>184</v>
      </c>
      <c r="Q1" t="s">
        <v>165</v>
      </c>
    </row>
    <row r="2" spans="1:17" x14ac:dyDescent="0.35">
      <c r="A2" t="s">
        <v>304</v>
      </c>
      <c r="B2" t="s">
        <v>281</v>
      </c>
      <c r="C2" t="s">
        <v>53</v>
      </c>
      <c r="D2" t="s">
        <v>52</v>
      </c>
      <c r="E2" t="s">
        <v>2</v>
      </c>
      <c r="F2" s="2">
        <v>45292</v>
      </c>
      <c r="G2" s="1">
        <v>45299</v>
      </c>
      <c r="H2" s="1">
        <v>45299</v>
      </c>
      <c r="I2" t="s">
        <v>159</v>
      </c>
      <c r="N2" t="s">
        <v>29</v>
      </c>
      <c r="O2" t="s">
        <v>0</v>
      </c>
      <c r="P2">
        <v>95</v>
      </c>
      <c r="Q2">
        <v>0</v>
      </c>
    </row>
    <row r="3" spans="1:17" x14ac:dyDescent="0.35">
      <c r="A3" t="s">
        <v>303</v>
      </c>
      <c r="B3" t="s">
        <v>121</v>
      </c>
      <c r="C3" t="s">
        <v>75</v>
      </c>
      <c r="D3" t="s">
        <v>74</v>
      </c>
      <c r="E3" t="s">
        <v>7</v>
      </c>
      <c r="F3" s="2">
        <v>45292</v>
      </c>
      <c r="G3" s="1">
        <v>45313</v>
      </c>
      <c r="H3" s="1">
        <v>45313</v>
      </c>
      <c r="I3" t="s">
        <v>159</v>
      </c>
      <c r="N3" t="s">
        <v>120</v>
      </c>
      <c r="O3" t="s">
        <v>73</v>
      </c>
      <c r="P3">
        <v>1800</v>
      </c>
      <c r="Q3">
        <v>0</v>
      </c>
    </row>
    <row r="4" spans="1:17" x14ac:dyDescent="0.35">
      <c r="A4" t="s">
        <v>302</v>
      </c>
      <c r="B4" t="s">
        <v>66</v>
      </c>
      <c r="C4" t="s">
        <v>65</v>
      </c>
      <c r="D4" t="s">
        <v>64</v>
      </c>
      <c r="E4" t="s">
        <v>2</v>
      </c>
      <c r="F4" s="2">
        <v>45323</v>
      </c>
      <c r="G4" s="1">
        <v>45327</v>
      </c>
      <c r="H4" s="1">
        <v>45327</v>
      </c>
      <c r="I4" t="s">
        <v>159</v>
      </c>
      <c r="N4" t="s">
        <v>24</v>
      </c>
      <c r="O4" t="s">
        <v>0</v>
      </c>
      <c r="P4">
        <v>85</v>
      </c>
      <c r="Q4">
        <v>0</v>
      </c>
    </row>
    <row r="5" spans="1:17" x14ac:dyDescent="0.35">
      <c r="A5" t="s">
        <v>301</v>
      </c>
      <c r="B5" t="s">
        <v>69</v>
      </c>
      <c r="C5" t="s">
        <v>68</v>
      </c>
      <c r="D5" t="s">
        <v>67</v>
      </c>
      <c r="E5" t="s">
        <v>7</v>
      </c>
      <c r="F5" s="2">
        <v>45323</v>
      </c>
      <c r="G5" s="1">
        <v>45341</v>
      </c>
      <c r="H5" s="1">
        <v>45341</v>
      </c>
      <c r="I5" t="s">
        <v>159</v>
      </c>
      <c r="N5" t="s">
        <v>42</v>
      </c>
      <c r="O5" t="s">
        <v>0</v>
      </c>
      <c r="P5">
        <v>110</v>
      </c>
      <c r="Q5">
        <v>0</v>
      </c>
    </row>
    <row r="6" spans="1:17" x14ac:dyDescent="0.35">
      <c r="A6" t="s">
        <v>300</v>
      </c>
      <c r="B6" t="s">
        <v>191</v>
      </c>
      <c r="C6" t="s">
        <v>68</v>
      </c>
      <c r="D6" t="s">
        <v>67</v>
      </c>
      <c r="E6" t="s">
        <v>7</v>
      </c>
      <c r="F6" s="2">
        <v>45323</v>
      </c>
      <c r="G6" s="1">
        <v>45341</v>
      </c>
      <c r="H6" s="1">
        <v>45341</v>
      </c>
      <c r="I6" t="s">
        <v>159</v>
      </c>
      <c r="N6" t="s">
        <v>116</v>
      </c>
      <c r="O6" t="s">
        <v>0</v>
      </c>
      <c r="P6">
        <v>180</v>
      </c>
      <c r="Q6">
        <v>0</v>
      </c>
    </row>
    <row r="7" spans="1:17" x14ac:dyDescent="0.35">
      <c r="A7" t="s">
        <v>299</v>
      </c>
      <c r="B7" t="s">
        <v>269</v>
      </c>
      <c r="C7" t="s">
        <v>268</v>
      </c>
      <c r="D7" t="s">
        <v>267</v>
      </c>
      <c r="E7" t="s">
        <v>2</v>
      </c>
      <c r="F7" s="2">
        <v>45352</v>
      </c>
      <c r="G7" s="1">
        <v>45355</v>
      </c>
      <c r="H7" s="1">
        <v>45355</v>
      </c>
      <c r="I7" t="s">
        <v>159</v>
      </c>
      <c r="N7" t="s">
        <v>1</v>
      </c>
      <c r="O7" t="s">
        <v>0</v>
      </c>
      <c r="P7">
        <v>45</v>
      </c>
      <c r="Q7">
        <v>0</v>
      </c>
    </row>
    <row r="8" spans="1:17" x14ac:dyDescent="0.35">
      <c r="A8" t="s">
        <v>298</v>
      </c>
      <c r="B8" t="s">
        <v>136</v>
      </c>
      <c r="C8" t="s">
        <v>98</v>
      </c>
      <c r="D8" t="s">
        <v>97</v>
      </c>
      <c r="E8" t="s">
        <v>7</v>
      </c>
      <c r="F8" s="2">
        <v>45352</v>
      </c>
      <c r="G8" s="1">
        <v>45369</v>
      </c>
      <c r="H8" s="1">
        <v>45369</v>
      </c>
      <c r="I8" t="s">
        <v>159</v>
      </c>
      <c r="N8" t="s">
        <v>116</v>
      </c>
      <c r="O8" t="s">
        <v>73</v>
      </c>
      <c r="P8">
        <v>2160</v>
      </c>
      <c r="Q8">
        <v>0</v>
      </c>
    </row>
    <row r="9" spans="1:17" x14ac:dyDescent="0.35">
      <c r="A9" t="s">
        <v>297</v>
      </c>
      <c r="B9" t="s">
        <v>35</v>
      </c>
      <c r="C9" t="s">
        <v>34</v>
      </c>
      <c r="D9" t="s">
        <v>33</v>
      </c>
      <c r="E9" t="s">
        <v>2</v>
      </c>
      <c r="F9" s="2">
        <v>45383</v>
      </c>
      <c r="G9" s="1">
        <v>45383</v>
      </c>
      <c r="H9" s="1">
        <v>45383</v>
      </c>
      <c r="I9" t="s">
        <v>159</v>
      </c>
      <c r="N9" t="s">
        <v>24</v>
      </c>
      <c r="O9" t="s">
        <v>0</v>
      </c>
      <c r="P9">
        <v>85</v>
      </c>
      <c r="Q9">
        <v>0</v>
      </c>
    </row>
    <row r="10" spans="1:17" x14ac:dyDescent="0.35">
      <c r="A10" t="s">
        <v>296</v>
      </c>
      <c r="B10" t="s">
        <v>157</v>
      </c>
      <c r="C10" t="s">
        <v>34</v>
      </c>
      <c r="D10" t="s">
        <v>33</v>
      </c>
      <c r="E10" t="s">
        <v>2</v>
      </c>
      <c r="F10" s="2">
        <v>45383</v>
      </c>
      <c r="G10" s="1">
        <v>45383</v>
      </c>
      <c r="H10" s="1">
        <v>45383</v>
      </c>
      <c r="I10" t="s">
        <v>159</v>
      </c>
      <c r="N10" t="s">
        <v>1</v>
      </c>
      <c r="O10" t="s">
        <v>0</v>
      </c>
      <c r="P10">
        <v>45</v>
      </c>
      <c r="Q10">
        <v>12</v>
      </c>
    </row>
    <row r="11" spans="1:17" x14ac:dyDescent="0.35">
      <c r="A11" t="s">
        <v>295</v>
      </c>
      <c r="B11" t="s">
        <v>261</v>
      </c>
      <c r="C11" t="s">
        <v>59</v>
      </c>
      <c r="D11" t="s">
        <v>58</v>
      </c>
      <c r="E11" t="s">
        <v>2</v>
      </c>
      <c r="F11" s="2">
        <v>45383</v>
      </c>
      <c r="G11" s="1">
        <v>45397</v>
      </c>
      <c r="H11" s="1">
        <v>45397</v>
      </c>
      <c r="I11" t="s">
        <v>159</v>
      </c>
      <c r="N11" t="s">
        <v>29</v>
      </c>
      <c r="O11" t="s">
        <v>0</v>
      </c>
      <c r="P11">
        <v>95</v>
      </c>
      <c r="Q11">
        <v>0</v>
      </c>
    </row>
    <row r="12" spans="1:17" x14ac:dyDescent="0.35">
      <c r="A12" t="s">
        <v>294</v>
      </c>
      <c r="B12" t="s">
        <v>135</v>
      </c>
      <c r="C12" t="s">
        <v>114</v>
      </c>
      <c r="D12" t="s">
        <v>113</v>
      </c>
      <c r="E12" t="s">
        <v>7</v>
      </c>
      <c r="F12" s="2">
        <v>45383</v>
      </c>
      <c r="G12" s="1">
        <v>45411</v>
      </c>
      <c r="H12" s="1">
        <v>45411</v>
      </c>
      <c r="I12" t="s">
        <v>159</v>
      </c>
      <c r="N12" t="s">
        <v>120</v>
      </c>
      <c r="O12" t="s">
        <v>73</v>
      </c>
      <c r="P12">
        <v>1800</v>
      </c>
      <c r="Q12">
        <v>0</v>
      </c>
    </row>
    <row r="13" spans="1:17" x14ac:dyDescent="0.35">
      <c r="A13" t="s">
        <v>293</v>
      </c>
      <c r="B13" t="s">
        <v>15</v>
      </c>
      <c r="C13" t="s">
        <v>14</v>
      </c>
      <c r="D13" t="s">
        <v>13</v>
      </c>
      <c r="E13" t="s">
        <v>2</v>
      </c>
      <c r="F13" s="2">
        <v>45413</v>
      </c>
      <c r="G13" s="1">
        <v>45425</v>
      </c>
      <c r="H13" s="1">
        <v>45425</v>
      </c>
      <c r="I13" t="s">
        <v>159</v>
      </c>
      <c r="N13" t="s">
        <v>1</v>
      </c>
      <c r="O13" t="s">
        <v>0</v>
      </c>
      <c r="P13">
        <v>45</v>
      </c>
      <c r="Q13">
        <v>0</v>
      </c>
    </row>
    <row r="14" spans="1:17" x14ac:dyDescent="0.35">
      <c r="A14" t="s">
        <v>292</v>
      </c>
      <c r="B14" t="s">
        <v>72</v>
      </c>
      <c r="C14" t="s">
        <v>71</v>
      </c>
      <c r="D14" t="s">
        <v>70</v>
      </c>
      <c r="E14" t="s">
        <v>16</v>
      </c>
      <c r="F14" s="2">
        <v>45413</v>
      </c>
      <c r="G14" s="1">
        <v>45439</v>
      </c>
      <c r="H14" s="1">
        <v>45439</v>
      </c>
      <c r="I14" t="s">
        <v>159</v>
      </c>
      <c r="N14" t="s">
        <v>42</v>
      </c>
      <c r="O14" t="s">
        <v>0</v>
      </c>
      <c r="P14">
        <v>110</v>
      </c>
      <c r="Q14">
        <v>0</v>
      </c>
    </row>
    <row r="15" spans="1:17" x14ac:dyDescent="0.35">
      <c r="A15" t="s">
        <v>291</v>
      </c>
      <c r="B15" t="s">
        <v>83</v>
      </c>
      <c r="C15" t="s">
        <v>82</v>
      </c>
      <c r="D15" t="s">
        <v>81</v>
      </c>
      <c r="E15" t="s">
        <v>2</v>
      </c>
      <c r="F15" s="2">
        <v>45444</v>
      </c>
      <c r="G15" s="1">
        <v>45453</v>
      </c>
      <c r="H15" s="1">
        <v>45453</v>
      </c>
      <c r="I15" t="s">
        <v>159</v>
      </c>
      <c r="N15" t="s">
        <v>29</v>
      </c>
      <c r="O15" t="s">
        <v>0</v>
      </c>
      <c r="P15">
        <v>95</v>
      </c>
      <c r="Q15">
        <v>0</v>
      </c>
    </row>
    <row r="16" spans="1:17" x14ac:dyDescent="0.35">
      <c r="A16" t="s">
        <v>290</v>
      </c>
      <c r="B16" t="s">
        <v>216</v>
      </c>
      <c r="C16" t="s">
        <v>82</v>
      </c>
      <c r="D16" t="s">
        <v>81</v>
      </c>
      <c r="E16" t="s">
        <v>2</v>
      </c>
      <c r="F16" s="2">
        <v>45444</v>
      </c>
      <c r="G16" s="1">
        <v>45453</v>
      </c>
      <c r="H16" s="1">
        <v>45453</v>
      </c>
      <c r="I16" t="s">
        <v>159</v>
      </c>
      <c r="N16" t="s">
        <v>1</v>
      </c>
      <c r="O16" t="s">
        <v>0</v>
      </c>
      <c r="P16">
        <v>45</v>
      </c>
      <c r="Q16">
        <v>0</v>
      </c>
    </row>
    <row r="17" spans="1:17" x14ac:dyDescent="0.35">
      <c r="A17" t="s">
        <v>289</v>
      </c>
      <c r="B17" t="s">
        <v>255</v>
      </c>
      <c r="C17" t="s">
        <v>31</v>
      </c>
      <c r="D17" t="s">
        <v>30</v>
      </c>
      <c r="E17" t="s">
        <v>7</v>
      </c>
      <c r="F17" s="2">
        <v>45444</v>
      </c>
      <c r="G17" s="1">
        <v>45467</v>
      </c>
      <c r="H17" s="1">
        <v>45467</v>
      </c>
      <c r="I17" t="s">
        <v>159</v>
      </c>
      <c r="N17" t="s">
        <v>1</v>
      </c>
      <c r="O17" t="s">
        <v>0</v>
      </c>
      <c r="P17">
        <v>45</v>
      </c>
      <c r="Q17">
        <v>0</v>
      </c>
    </row>
    <row r="18" spans="1:17" x14ac:dyDescent="0.35">
      <c r="A18" t="s">
        <v>288</v>
      </c>
      <c r="B18" t="s">
        <v>89</v>
      </c>
      <c r="C18" t="s">
        <v>88</v>
      </c>
      <c r="D18" t="s">
        <v>87</v>
      </c>
      <c r="E18" t="s">
        <v>2</v>
      </c>
      <c r="F18" s="2">
        <v>45474</v>
      </c>
      <c r="G18" s="1">
        <v>45481</v>
      </c>
      <c r="H18" s="1">
        <v>45481</v>
      </c>
      <c r="I18" t="s">
        <v>159</v>
      </c>
      <c r="N18" t="s">
        <v>24</v>
      </c>
      <c r="O18" t="s">
        <v>0</v>
      </c>
      <c r="P18">
        <v>85</v>
      </c>
      <c r="Q18">
        <v>0</v>
      </c>
    </row>
    <row r="19" spans="1:17" x14ac:dyDescent="0.35">
      <c r="A19" t="s">
        <v>287</v>
      </c>
      <c r="B19" t="s">
        <v>54</v>
      </c>
      <c r="C19" t="s">
        <v>53</v>
      </c>
      <c r="D19" t="s">
        <v>52</v>
      </c>
      <c r="E19" t="s">
        <v>2</v>
      </c>
      <c r="F19" s="2">
        <v>45474</v>
      </c>
      <c r="G19" s="1">
        <v>45488</v>
      </c>
      <c r="H19" s="1">
        <v>45488</v>
      </c>
      <c r="I19" t="s">
        <v>159</v>
      </c>
      <c r="N19" t="s">
        <v>42</v>
      </c>
      <c r="O19" t="s">
        <v>0</v>
      </c>
      <c r="P19">
        <v>110</v>
      </c>
      <c r="Q19">
        <v>0</v>
      </c>
    </row>
    <row r="20" spans="1:17" x14ac:dyDescent="0.35">
      <c r="A20" t="s">
        <v>286</v>
      </c>
      <c r="B20" t="s">
        <v>162</v>
      </c>
      <c r="C20" t="s">
        <v>118</v>
      </c>
      <c r="D20" t="s">
        <v>117</v>
      </c>
      <c r="E20" t="s">
        <v>7</v>
      </c>
      <c r="F20" s="2">
        <v>45474</v>
      </c>
      <c r="G20" s="1">
        <v>45495</v>
      </c>
      <c r="H20" s="1">
        <v>45495</v>
      </c>
      <c r="I20" t="s">
        <v>159</v>
      </c>
      <c r="N20" t="s">
        <v>29</v>
      </c>
      <c r="O20" t="s">
        <v>0</v>
      </c>
      <c r="P20">
        <v>95</v>
      </c>
      <c r="Q20">
        <v>10</v>
      </c>
    </row>
    <row r="21" spans="1:17" x14ac:dyDescent="0.35">
      <c r="A21" t="s">
        <v>285</v>
      </c>
      <c r="B21" t="s">
        <v>119</v>
      </c>
      <c r="C21" t="s">
        <v>118</v>
      </c>
      <c r="D21" t="s">
        <v>117</v>
      </c>
      <c r="E21" t="s">
        <v>7</v>
      </c>
      <c r="F21" s="2">
        <v>45474</v>
      </c>
      <c r="G21" s="1">
        <v>45495</v>
      </c>
      <c r="H21" s="1">
        <v>45495</v>
      </c>
      <c r="I21" t="s">
        <v>159</v>
      </c>
      <c r="N21" t="s">
        <v>116</v>
      </c>
      <c r="O21" t="s">
        <v>0</v>
      </c>
      <c r="P21">
        <v>180</v>
      </c>
      <c r="Q21">
        <v>0</v>
      </c>
    </row>
    <row r="22" spans="1:17" x14ac:dyDescent="0.35">
      <c r="A22" t="s">
        <v>284</v>
      </c>
      <c r="B22" t="s">
        <v>138</v>
      </c>
      <c r="C22" t="s">
        <v>111</v>
      </c>
      <c r="D22" t="s">
        <v>110</v>
      </c>
      <c r="E22" t="s">
        <v>2</v>
      </c>
      <c r="F22" s="2">
        <v>45505</v>
      </c>
      <c r="G22" s="1">
        <v>45509</v>
      </c>
      <c r="H22" s="1">
        <v>45509</v>
      </c>
      <c r="I22" t="s">
        <v>159</v>
      </c>
      <c r="N22" t="s">
        <v>120</v>
      </c>
      <c r="O22" t="s">
        <v>73</v>
      </c>
      <c r="P22">
        <v>1800</v>
      </c>
      <c r="Q22">
        <v>0</v>
      </c>
    </row>
    <row r="23" spans="1:17" x14ac:dyDescent="0.35">
      <c r="A23" t="s">
        <v>283</v>
      </c>
      <c r="B23" t="s">
        <v>6</v>
      </c>
      <c r="C23" t="s">
        <v>5</v>
      </c>
      <c r="D23" t="s">
        <v>4</v>
      </c>
      <c r="E23" t="s">
        <v>2</v>
      </c>
      <c r="F23" s="2">
        <v>45505</v>
      </c>
      <c r="G23" s="1">
        <v>45523</v>
      </c>
      <c r="H23" s="1">
        <v>45523</v>
      </c>
      <c r="I23" t="s">
        <v>159</v>
      </c>
      <c r="N23" t="s">
        <v>1</v>
      </c>
      <c r="O23" t="s">
        <v>0</v>
      </c>
      <c r="P23">
        <v>45</v>
      </c>
      <c r="Q23">
        <v>0</v>
      </c>
    </row>
    <row r="24" spans="1:17" x14ac:dyDescent="0.35">
      <c r="A24" t="s">
        <v>282</v>
      </c>
      <c r="B24" t="s">
        <v>281</v>
      </c>
      <c r="C24" t="s">
        <v>53</v>
      </c>
      <c r="D24" t="s">
        <v>52</v>
      </c>
      <c r="E24" t="s">
        <v>2</v>
      </c>
      <c r="F24" s="2">
        <v>45505</v>
      </c>
      <c r="G24" s="1">
        <v>45531</v>
      </c>
      <c r="H24" s="1">
        <v>45531</v>
      </c>
      <c r="I24" t="s">
        <v>156</v>
      </c>
      <c r="J24" t="s">
        <v>155</v>
      </c>
      <c r="K24" t="s">
        <v>154</v>
      </c>
      <c r="L24" t="s">
        <v>153</v>
      </c>
      <c r="M24" t="s">
        <v>209</v>
      </c>
      <c r="N24" t="s">
        <v>29</v>
      </c>
      <c r="O24" t="s">
        <v>0</v>
      </c>
      <c r="P24">
        <v>95</v>
      </c>
      <c r="Q24">
        <v>0</v>
      </c>
    </row>
    <row r="25" spans="1:17" x14ac:dyDescent="0.35">
      <c r="A25" t="s">
        <v>280</v>
      </c>
      <c r="B25" t="s">
        <v>139</v>
      </c>
      <c r="C25" t="s">
        <v>105</v>
      </c>
      <c r="D25" t="s">
        <v>104</v>
      </c>
      <c r="E25" t="s">
        <v>7</v>
      </c>
      <c r="F25" s="2">
        <v>45536</v>
      </c>
      <c r="G25" s="1">
        <v>45537</v>
      </c>
      <c r="H25" s="1">
        <v>45537</v>
      </c>
      <c r="I25" t="s">
        <v>159</v>
      </c>
      <c r="N25" t="s">
        <v>116</v>
      </c>
      <c r="O25" t="s">
        <v>0</v>
      </c>
      <c r="P25">
        <v>180</v>
      </c>
      <c r="Q25">
        <v>0</v>
      </c>
    </row>
    <row r="26" spans="1:17" x14ac:dyDescent="0.35">
      <c r="A26" t="s">
        <v>279</v>
      </c>
      <c r="B26" t="s">
        <v>77</v>
      </c>
      <c r="C26" t="s">
        <v>65</v>
      </c>
      <c r="D26" t="s">
        <v>64</v>
      </c>
      <c r="E26" t="s">
        <v>2</v>
      </c>
      <c r="F26" s="2">
        <v>45536</v>
      </c>
      <c r="G26" s="1">
        <v>45545</v>
      </c>
      <c r="H26" s="1">
        <v>45545</v>
      </c>
      <c r="I26" t="s">
        <v>159</v>
      </c>
      <c r="N26" t="s">
        <v>42</v>
      </c>
      <c r="O26" t="s">
        <v>0</v>
      </c>
      <c r="P26">
        <v>110</v>
      </c>
      <c r="Q26">
        <v>0</v>
      </c>
    </row>
    <row r="27" spans="1:17" x14ac:dyDescent="0.35">
      <c r="A27" t="s">
        <v>278</v>
      </c>
      <c r="B27" t="s">
        <v>41</v>
      </c>
      <c r="C27" t="s">
        <v>40</v>
      </c>
      <c r="D27" t="s">
        <v>39</v>
      </c>
      <c r="E27" t="s">
        <v>16</v>
      </c>
      <c r="F27" s="2">
        <v>45536</v>
      </c>
      <c r="G27" s="1">
        <v>45551</v>
      </c>
      <c r="H27" s="1">
        <v>45551</v>
      </c>
      <c r="I27" t="s">
        <v>159</v>
      </c>
      <c r="N27" t="s">
        <v>24</v>
      </c>
      <c r="O27" t="s">
        <v>0</v>
      </c>
      <c r="P27">
        <v>85</v>
      </c>
      <c r="Q27">
        <v>0</v>
      </c>
    </row>
    <row r="28" spans="1:17" x14ac:dyDescent="0.35">
      <c r="A28" t="s">
        <v>277</v>
      </c>
      <c r="B28" t="s">
        <v>205</v>
      </c>
      <c r="C28" t="s">
        <v>40</v>
      </c>
      <c r="D28" t="s">
        <v>39</v>
      </c>
      <c r="E28" t="s">
        <v>16</v>
      </c>
      <c r="F28" s="2">
        <v>45536</v>
      </c>
      <c r="G28" s="1">
        <v>45551</v>
      </c>
      <c r="H28" s="1">
        <v>45551</v>
      </c>
      <c r="I28" t="s">
        <v>159</v>
      </c>
      <c r="N28" t="s">
        <v>42</v>
      </c>
      <c r="O28" t="s">
        <v>0</v>
      </c>
      <c r="P28">
        <v>110</v>
      </c>
      <c r="Q28">
        <v>0</v>
      </c>
    </row>
    <row r="29" spans="1:17" x14ac:dyDescent="0.35">
      <c r="A29" t="s">
        <v>276</v>
      </c>
      <c r="B29" t="s">
        <v>45</v>
      </c>
      <c r="C29" t="s">
        <v>44</v>
      </c>
      <c r="D29" t="s">
        <v>43</v>
      </c>
      <c r="E29" t="s">
        <v>2</v>
      </c>
      <c r="F29" s="2">
        <v>45536</v>
      </c>
      <c r="G29" s="1">
        <v>45565</v>
      </c>
      <c r="H29" s="1">
        <v>45565</v>
      </c>
      <c r="I29" t="s">
        <v>159</v>
      </c>
      <c r="N29" t="s">
        <v>42</v>
      </c>
      <c r="O29" t="s">
        <v>0</v>
      </c>
      <c r="P29">
        <v>110</v>
      </c>
      <c r="Q29">
        <v>0</v>
      </c>
    </row>
    <row r="30" spans="1:17" x14ac:dyDescent="0.35">
      <c r="A30" t="s">
        <v>275</v>
      </c>
      <c r="B30" t="s">
        <v>99</v>
      </c>
      <c r="C30" t="s">
        <v>98</v>
      </c>
      <c r="D30" t="s">
        <v>97</v>
      </c>
      <c r="E30" t="s">
        <v>7</v>
      </c>
      <c r="F30" s="2">
        <v>45566</v>
      </c>
      <c r="G30" s="1">
        <v>45570</v>
      </c>
      <c r="H30" s="1">
        <v>45570</v>
      </c>
      <c r="I30" t="s">
        <v>159</v>
      </c>
      <c r="N30" t="s">
        <v>24</v>
      </c>
      <c r="O30" t="s">
        <v>0</v>
      </c>
      <c r="P30">
        <v>85</v>
      </c>
      <c r="Q30">
        <v>0</v>
      </c>
    </row>
    <row r="31" spans="1:17" x14ac:dyDescent="0.35">
      <c r="A31" t="s">
        <v>274</v>
      </c>
      <c r="B31" t="s">
        <v>224</v>
      </c>
      <c r="C31" t="s">
        <v>126</v>
      </c>
      <c r="D31" t="s">
        <v>125</v>
      </c>
      <c r="E31" t="s">
        <v>7</v>
      </c>
      <c r="F31" s="2">
        <v>45566</v>
      </c>
      <c r="G31" s="1">
        <v>45579</v>
      </c>
      <c r="H31" s="1">
        <v>45579</v>
      </c>
      <c r="I31" t="s">
        <v>159</v>
      </c>
      <c r="N31" t="s">
        <v>29</v>
      </c>
      <c r="O31" t="s">
        <v>0</v>
      </c>
      <c r="P31">
        <v>95</v>
      </c>
      <c r="Q31">
        <v>0</v>
      </c>
    </row>
    <row r="32" spans="1:17" x14ac:dyDescent="0.35">
      <c r="A32" t="s">
        <v>273</v>
      </c>
      <c r="B32" t="s">
        <v>131</v>
      </c>
      <c r="C32" t="s">
        <v>101</v>
      </c>
      <c r="D32" t="s">
        <v>100</v>
      </c>
      <c r="E32" t="s">
        <v>2</v>
      </c>
      <c r="F32" s="2">
        <v>45566</v>
      </c>
      <c r="G32" s="1">
        <v>45593</v>
      </c>
      <c r="H32" s="1">
        <v>45593</v>
      </c>
      <c r="I32" t="s">
        <v>159</v>
      </c>
      <c r="N32" t="s">
        <v>120</v>
      </c>
      <c r="O32" t="s">
        <v>0</v>
      </c>
      <c r="P32">
        <v>150</v>
      </c>
      <c r="Q32">
        <v>0</v>
      </c>
    </row>
    <row r="33" spans="1:17" x14ac:dyDescent="0.35">
      <c r="A33" t="s">
        <v>272</v>
      </c>
      <c r="B33" t="s">
        <v>60</v>
      </c>
      <c r="C33" t="s">
        <v>59</v>
      </c>
      <c r="D33" t="s">
        <v>58</v>
      </c>
      <c r="E33" t="s">
        <v>2</v>
      </c>
      <c r="F33" s="2">
        <v>45597</v>
      </c>
      <c r="G33" s="1">
        <v>45601</v>
      </c>
      <c r="H33" s="1">
        <v>45601</v>
      </c>
      <c r="I33" t="s">
        <v>159</v>
      </c>
      <c r="N33" t="s">
        <v>24</v>
      </c>
      <c r="O33" t="s">
        <v>0</v>
      </c>
      <c r="P33">
        <v>85</v>
      </c>
      <c r="Q33">
        <v>0</v>
      </c>
    </row>
    <row r="34" spans="1:17" x14ac:dyDescent="0.35">
      <c r="A34" t="s">
        <v>271</v>
      </c>
      <c r="B34" t="s">
        <v>210</v>
      </c>
      <c r="C34" t="s">
        <v>26</v>
      </c>
      <c r="D34" t="s">
        <v>25</v>
      </c>
      <c r="E34" t="s">
        <v>2</v>
      </c>
      <c r="F34" s="2">
        <v>45597</v>
      </c>
      <c r="G34" s="1">
        <v>45607</v>
      </c>
      <c r="H34" s="1">
        <v>45607</v>
      </c>
      <c r="I34" t="s">
        <v>159</v>
      </c>
      <c r="N34" t="s">
        <v>1</v>
      </c>
      <c r="O34" t="s">
        <v>0</v>
      </c>
      <c r="P34">
        <v>45</v>
      </c>
      <c r="Q34">
        <v>0</v>
      </c>
    </row>
    <row r="35" spans="1:17" x14ac:dyDescent="0.35">
      <c r="A35" t="s">
        <v>270</v>
      </c>
      <c r="B35" t="s">
        <v>269</v>
      </c>
      <c r="C35" t="s">
        <v>268</v>
      </c>
      <c r="D35" t="s">
        <v>267</v>
      </c>
      <c r="E35" t="s">
        <v>2</v>
      </c>
      <c r="F35" s="2">
        <v>45597</v>
      </c>
      <c r="G35" s="1">
        <v>45616</v>
      </c>
      <c r="H35" s="1">
        <v>45616</v>
      </c>
      <c r="I35" t="s">
        <v>156</v>
      </c>
      <c r="J35" t="s">
        <v>155</v>
      </c>
      <c r="K35" t="s">
        <v>154</v>
      </c>
      <c r="L35" t="s">
        <v>153</v>
      </c>
      <c r="M35" t="s">
        <v>260</v>
      </c>
      <c r="N35" t="s">
        <v>1</v>
      </c>
      <c r="O35" t="s">
        <v>0</v>
      </c>
      <c r="P35">
        <v>45</v>
      </c>
      <c r="Q35">
        <v>0</v>
      </c>
    </row>
    <row r="36" spans="1:17" x14ac:dyDescent="0.35">
      <c r="A36" t="s">
        <v>266</v>
      </c>
      <c r="B36" t="s">
        <v>96</v>
      </c>
      <c r="C36" t="s">
        <v>95</v>
      </c>
      <c r="D36" t="s">
        <v>94</v>
      </c>
      <c r="E36" t="s">
        <v>7</v>
      </c>
      <c r="F36" s="2">
        <v>45597</v>
      </c>
      <c r="G36" s="1">
        <v>45621</v>
      </c>
      <c r="H36" s="1">
        <v>45621</v>
      </c>
      <c r="I36" t="s">
        <v>159</v>
      </c>
      <c r="N36" t="s">
        <v>24</v>
      </c>
      <c r="O36" t="s">
        <v>0</v>
      </c>
      <c r="P36">
        <v>85</v>
      </c>
      <c r="Q36">
        <v>0</v>
      </c>
    </row>
    <row r="37" spans="1:17" x14ac:dyDescent="0.35">
      <c r="A37" t="s">
        <v>265</v>
      </c>
      <c r="B37" t="s">
        <v>143</v>
      </c>
      <c r="C37" t="s">
        <v>123</v>
      </c>
      <c r="D37" t="s">
        <v>122</v>
      </c>
      <c r="E37" t="s">
        <v>2</v>
      </c>
      <c r="F37" s="2">
        <v>45627</v>
      </c>
      <c r="G37" s="1">
        <v>45635</v>
      </c>
      <c r="H37" s="1">
        <v>45635</v>
      </c>
      <c r="I37" t="s">
        <v>159</v>
      </c>
      <c r="N37" t="s">
        <v>116</v>
      </c>
      <c r="O37" t="s">
        <v>73</v>
      </c>
      <c r="P37">
        <v>2160</v>
      </c>
      <c r="Q37">
        <v>0</v>
      </c>
    </row>
    <row r="38" spans="1:17" x14ac:dyDescent="0.35">
      <c r="A38" t="s">
        <v>264</v>
      </c>
      <c r="B38" t="s">
        <v>112</v>
      </c>
      <c r="C38" t="s">
        <v>111</v>
      </c>
      <c r="D38" t="s">
        <v>110</v>
      </c>
      <c r="E38" t="s">
        <v>2</v>
      </c>
      <c r="F38" s="2">
        <v>45627</v>
      </c>
      <c r="G38" s="1">
        <v>45638</v>
      </c>
      <c r="H38" s="1">
        <v>45638</v>
      </c>
      <c r="I38" t="s">
        <v>159</v>
      </c>
      <c r="N38" t="s">
        <v>24</v>
      </c>
      <c r="O38" t="s">
        <v>0</v>
      </c>
      <c r="P38">
        <v>85</v>
      </c>
      <c r="Q38">
        <v>0</v>
      </c>
    </row>
    <row r="39" spans="1:17" x14ac:dyDescent="0.35">
      <c r="A39" t="s">
        <v>263</v>
      </c>
      <c r="B39" t="s">
        <v>115</v>
      </c>
      <c r="C39" t="s">
        <v>114</v>
      </c>
      <c r="D39" t="s">
        <v>113</v>
      </c>
      <c r="E39" t="s">
        <v>7</v>
      </c>
      <c r="F39" s="2">
        <v>45627</v>
      </c>
      <c r="G39" s="1">
        <v>45646</v>
      </c>
      <c r="H39" s="1">
        <v>45646</v>
      </c>
      <c r="I39" t="s">
        <v>159</v>
      </c>
      <c r="N39" t="s">
        <v>29</v>
      </c>
      <c r="O39" t="s">
        <v>0</v>
      </c>
      <c r="P39">
        <v>95</v>
      </c>
      <c r="Q39">
        <v>0</v>
      </c>
    </row>
    <row r="40" spans="1:17" x14ac:dyDescent="0.35">
      <c r="A40" t="s">
        <v>262</v>
      </c>
      <c r="B40" t="s">
        <v>261</v>
      </c>
      <c r="C40" t="s">
        <v>59</v>
      </c>
      <c r="D40" t="s">
        <v>58</v>
      </c>
      <c r="E40" t="s">
        <v>2</v>
      </c>
      <c r="F40" s="2">
        <v>45627</v>
      </c>
      <c r="G40" s="1">
        <v>45648</v>
      </c>
      <c r="H40" s="1">
        <v>45648</v>
      </c>
      <c r="I40" t="s">
        <v>156</v>
      </c>
      <c r="J40" t="s">
        <v>155</v>
      </c>
      <c r="K40" t="s">
        <v>154</v>
      </c>
      <c r="L40" t="s">
        <v>153</v>
      </c>
      <c r="M40" t="s">
        <v>260</v>
      </c>
      <c r="N40" t="s">
        <v>29</v>
      </c>
      <c r="O40" t="s">
        <v>0</v>
      </c>
      <c r="P40">
        <v>95</v>
      </c>
      <c r="Q40">
        <v>0</v>
      </c>
    </row>
    <row r="41" spans="1:17" x14ac:dyDescent="0.35">
      <c r="A41" t="s">
        <v>259</v>
      </c>
      <c r="B41" t="s">
        <v>38</v>
      </c>
      <c r="C41" t="s">
        <v>37</v>
      </c>
      <c r="D41" t="s">
        <v>36</v>
      </c>
      <c r="E41" t="s">
        <v>2</v>
      </c>
      <c r="F41" s="2">
        <v>45627</v>
      </c>
      <c r="G41" s="1">
        <v>45649</v>
      </c>
      <c r="H41" s="1">
        <v>45649</v>
      </c>
      <c r="I41" t="s">
        <v>159</v>
      </c>
      <c r="N41" t="s">
        <v>29</v>
      </c>
      <c r="O41" t="s">
        <v>0</v>
      </c>
      <c r="P41">
        <v>95</v>
      </c>
      <c r="Q41">
        <v>0</v>
      </c>
    </row>
    <row r="42" spans="1:17" x14ac:dyDescent="0.35">
      <c r="A42" t="s">
        <v>258</v>
      </c>
      <c r="B42" t="s">
        <v>109</v>
      </c>
      <c r="C42" t="s">
        <v>108</v>
      </c>
      <c r="D42" t="s">
        <v>107</v>
      </c>
      <c r="E42" t="s">
        <v>7</v>
      </c>
      <c r="F42" s="2">
        <v>45658</v>
      </c>
      <c r="G42" s="1">
        <v>45663</v>
      </c>
      <c r="H42" s="1">
        <v>45663</v>
      </c>
      <c r="I42" t="s">
        <v>159</v>
      </c>
      <c r="N42" t="s">
        <v>42</v>
      </c>
      <c r="O42" t="s">
        <v>0</v>
      </c>
      <c r="P42">
        <v>110</v>
      </c>
      <c r="Q42">
        <v>0</v>
      </c>
    </row>
    <row r="43" spans="1:17" x14ac:dyDescent="0.35">
      <c r="A43" t="s">
        <v>257</v>
      </c>
      <c r="B43" t="s">
        <v>89</v>
      </c>
      <c r="C43" t="s">
        <v>88</v>
      </c>
      <c r="D43" t="s">
        <v>87</v>
      </c>
      <c r="E43" t="s">
        <v>2</v>
      </c>
      <c r="F43" s="2">
        <v>45658</v>
      </c>
      <c r="G43" s="1">
        <v>45665</v>
      </c>
      <c r="H43" s="1">
        <v>45665</v>
      </c>
      <c r="I43" t="s">
        <v>185</v>
      </c>
      <c r="J43">
        <v>80</v>
      </c>
      <c r="K43">
        <v>85</v>
      </c>
      <c r="L43" t="s">
        <v>184</v>
      </c>
      <c r="M43" t="s">
        <v>207</v>
      </c>
      <c r="N43" t="s">
        <v>24</v>
      </c>
      <c r="O43" t="s">
        <v>0</v>
      </c>
      <c r="P43">
        <v>85</v>
      </c>
      <c r="Q43">
        <v>0</v>
      </c>
    </row>
    <row r="44" spans="1:17" x14ac:dyDescent="0.35">
      <c r="A44" t="s">
        <v>256</v>
      </c>
      <c r="B44" t="s">
        <v>255</v>
      </c>
      <c r="C44" t="s">
        <v>31</v>
      </c>
      <c r="D44" t="s">
        <v>30</v>
      </c>
      <c r="E44" t="s">
        <v>7</v>
      </c>
      <c r="F44" s="2">
        <v>45658</v>
      </c>
      <c r="G44" s="1">
        <v>45672</v>
      </c>
      <c r="H44" s="1">
        <v>45672</v>
      </c>
      <c r="I44" t="s">
        <v>156</v>
      </c>
      <c r="J44" t="s">
        <v>155</v>
      </c>
      <c r="K44" t="s">
        <v>154</v>
      </c>
      <c r="L44" t="s">
        <v>153</v>
      </c>
      <c r="M44" t="s">
        <v>161</v>
      </c>
      <c r="N44" t="s">
        <v>1</v>
      </c>
      <c r="O44" t="s">
        <v>0</v>
      </c>
      <c r="P44">
        <v>45</v>
      </c>
      <c r="Q44">
        <v>0</v>
      </c>
    </row>
    <row r="45" spans="1:17" x14ac:dyDescent="0.35">
      <c r="A45" t="s">
        <v>254</v>
      </c>
      <c r="B45" t="s">
        <v>20</v>
      </c>
      <c r="C45" t="s">
        <v>19</v>
      </c>
      <c r="D45" t="s">
        <v>18</v>
      </c>
      <c r="E45" t="s">
        <v>16</v>
      </c>
      <c r="F45" s="2">
        <v>45658</v>
      </c>
      <c r="G45" s="1">
        <v>45677</v>
      </c>
      <c r="H45" s="1">
        <v>45677</v>
      </c>
      <c r="I45" t="s">
        <v>159</v>
      </c>
      <c r="N45" t="s">
        <v>1</v>
      </c>
      <c r="O45" t="s">
        <v>0</v>
      </c>
      <c r="P45">
        <v>45</v>
      </c>
      <c r="Q45">
        <v>0</v>
      </c>
    </row>
    <row r="46" spans="1:17" x14ac:dyDescent="0.35">
      <c r="A46" t="s">
        <v>253</v>
      </c>
      <c r="B46" t="s">
        <v>76</v>
      </c>
      <c r="C46" t="s">
        <v>75</v>
      </c>
      <c r="D46" t="s">
        <v>74</v>
      </c>
      <c r="E46" t="s">
        <v>7</v>
      </c>
      <c r="F46" s="2">
        <v>45658</v>
      </c>
      <c r="G46" s="1">
        <v>45679</v>
      </c>
      <c r="H46" s="1">
        <v>45679</v>
      </c>
      <c r="I46" t="s">
        <v>159</v>
      </c>
      <c r="N46" t="s">
        <v>29</v>
      </c>
      <c r="O46" t="s">
        <v>73</v>
      </c>
      <c r="P46">
        <v>1140</v>
      </c>
      <c r="Q46">
        <v>5</v>
      </c>
    </row>
    <row r="47" spans="1:17" x14ac:dyDescent="0.35">
      <c r="A47" t="s">
        <v>252</v>
      </c>
      <c r="B47" t="s">
        <v>127</v>
      </c>
      <c r="C47" t="s">
        <v>126</v>
      </c>
      <c r="D47" t="s">
        <v>125</v>
      </c>
      <c r="E47" t="s">
        <v>7</v>
      </c>
      <c r="F47" s="2">
        <v>45658</v>
      </c>
      <c r="G47" s="1">
        <v>45685</v>
      </c>
      <c r="H47" s="1">
        <v>45685</v>
      </c>
      <c r="I47" t="s">
        <v>159</v>
      </c>
      <c r="N47" t="s">
        <v>120</v>
      </c>
      <c r="O47" t="s">
        <v>0</v>
      </c>
      <c r="P47">
        <v>150</v>
      </c>
      <c r="Q47">
        <v>0</v>
      </c>
    </row>
    <row r="48" spans="1:17" x14ac:dyDescent="0.35">
      <c r="A48" t="s">
        <v>251</v>
      </c>
      <c r="B48" t="s">
        <v>57</v>
      </c>
      <c r="C48" t="s">
        <v>56</v>
      </c>
      <c r="D48" t="s">
        <v>55</v>
      </c>
      <c r="E48" t="s">
        <v>2</v>
      </c>
      <c r="F48" s="2">
        <v>45689</v>
      </c>
      <c r="G48" s="1">
        <v>45691</v>
      </c>
      <c r="H48" s="1">
        <v>45691</v>
      </c>
      <c r="I48" t="s">
        <v>159</v>
      </c>
      <c r="N48" t="s">
        <v>24</v>
      </c>
      <c r="O48" t="s">
        <v>0</v>
      </c>
      <c r="P48">
        <v>85</v>
      </c>
      <c r="Q48">
        <v>0</v>
      </c>
    </row>
    <row r="49" spans="1:17" x14ac:dyDescent="0.35">
      <c r="A49" t="s">
        <v>250</v>
      </c>
      <c r="B49" t="s">
        <v>28</v>
      </c>
      <c r="C49" t="s">
        <v>14</v>
      </c>
      <c r="D49" t="s">
        <v>13</v>
      </c>
      <c r="E49" t="s">
        <v>2</v>
      </c>
      <c r="F49" s="2">
        <v>45689</v>
      </c>
      <c r="G49" s="1">
        <v>45696</v>
      </c>
      <c r="H49" s="1">
        <v>45696</v>
      </c>
      <c r="I49" t="s">
        <v>159</v>
      </c>
      <c r="N49" t="s">
        <v>24</v>
      </c>
      <c r="O49" t="s">
        <v>0</v>
      </c>
      <c r="P49">
        <v>85</v>
      </c>
      <c r="Q49">
        <v>0</v>
      </c>
    </row>
    <row r="50" spans="1:17" x14ac:dyDescent="0.35">
      <c r="A50" t="s">
        <v>249</v>
      </c>
      <c r="B50" t="s">
        <v>93</v>
      </c>
      <c r="C50" t="s">
        <v>88</v>
      </c>
      <c r="D50" t="s">
        <v>87</v>
      </c>
      <c r="E50" t="s">
        <v>2</v>
      </c>
      <c r="F50" s="2">
        <v>45689</v>
      </c>
      <c r="G50" s="1">
        <v>45698</v>
      </c>
      <c r="H50" s="1">
        <v>45698</v>
      </c>
      <c r="I50" t="s">
        <v>159</v>
      </c>
      <c r="N50" t="s">
        <v>42</v>
      </c>
      <c r="O50" t="s">
        <v>0</v>
      </c>
      <c r="P50">
        <v>110</v>
      </c>
      <c r="Q50">
        <v>0</v>
      </c>
    </row>
    <row r="51" spans="1:17" x14ac:dyDescent="0.35">
      <c r="A51" t="s">
        <v>248</v>
      </c>
      <c r="B51" t="s">
        <v>63</v>
      </c>
      <c r="C51" t="s">
        <v>62</v>
      </c>
      <c r="D51" t="s">
        <v>61</v>
      </c>
      <c r="E51" t="s">
        <v>7</v>
      </c>
      <c r="F51" s="2">
        <v>45689</v>
      </c>
      <c r="G51" s="1">
        <v>45705</v>
      </c>
      <c r="H51" s="1">
        <v>45705</v>
      </c>
      <c r="I51" t="s">
        <v>159</v>
      </c>
      <c r="N51" t="s">
        <v>29</v>
      </c>
      <c r="O51" t="s">
        <v>0</v>
      </c>
      <c r="P51">
        <v>95</v>
      </c>
      <c r="Q51">
        <v>0</v>
      </c>
    </row>
    <row r="52" spans="1:17" x14ac:dyDescent="0.35">
      <c r="A52" t="s">
        <v>247</v>
      </c>
      <c r="B52" t="s">
        <v>142</v>
      </c>
      <c r="C52" t="s">
        <v>141</v>
      </c>
      <c r="D52" t="s">
        <v>140</v>
      </c>
      <c r="E52" t="s">
        <v>2</v>
      </c>
      <c r="F52" s="2">
        <v>45717</v>
      </c>
      <c r="G52" s="1">
        <v>45719</v>
      </c>
      <c r="H52" s="1">
        <v>45719</v>
      </c>
      <c r="I52" t="s">
        <v>159</v>
      </c>
      <c r="N52" t="s">
        <v>120</v>
      </c>
      <c r="O52" t="s">
        <v>73</v>
      </c>
      <c r="P52">
        <v>1800</v>
      </c>
      <c r="Q52">
        <v>0</v>
      </c>
    </row>
    <row r="53" spans="1:17" x14ac:dyDescent="0.35">
      <c r="A53" t="s">
        <v>246</v>
      </c>
      <c r="B53" t="s">
        <v>103</v>
      </c>
      <c r="C53" t="s">
        <v>95</v>
      </c>
      <c r="D53" t="s">
        <v>94</v>
      </c>
      <c r="E53" t="s">
        <v>7</v>
      </c>
      <c r="F53" s="2">
        <v>45717</v>
      </c>
      <c r="G53" s="1">
        <v>45724</v>
      </c>
      <c r="H53" s="1">
        <v>45724</v>
      </c>
      <c r="I53" t="s">
        <v>159</v>
      </c>
      <c r="N53" t="s">
        <v>42</v>
      </c>
      <c r="O53" t="s">
        <v>0</v>
      </c>
      <c r="P53">
        <v>110</v>
      </c>
      <c r="Q53">
        <v>0</v>
      </c>
    </row>
    <row r="54" spans="1:17" x14ac:dyDescent="0.35">
      <c r="A54" t="s">
        <v>245</v>
      </c>
      <c r="B54" t="s">
        <v>15</v>
      </c>
      <c r="C54" t="s">
        <v>14</v>
      </c>
      <c r="D54" t="s">
        <v>13</v>
      </c>
      <c r="E54" t="s">
        <v>2</v>
      </c>
      <c r="F54" s="2">
        <v>45717</v>
      </c>
      <c r="G54" s="1">
        <v>45729</v>
      </c>
      <c r="H54" s="1">
        <v>45729</v>
      </c>
      <c r="I54" t="s">
        <v>196</v>
      </c>
      <c r="J54" t="s">
        <v>29</v>
      </c>
      <c r="K54" t="s">
        <v>1</v>
      </c>
      <c r="L54" t="s">
        <v>146</v>
      </c>
      <c r="M54" t="s">
        <v>244</v>
      </c>
      <c r="N54" t="s">
        <v>1</v>
      </c>
      <c r="O54" t="s">
        <v>0</v>
      </c>
      <c r="P54">
        <v>45</v>
      </c>
      <c r="Q54">
        <v>0</v>
      </c>
    </row>
    <row r="55" spans="1:17" x14ac:dyDescent="0.35">
      <c r="A55" t="s">
        <v>243</v>
      </c>
      <c r="B55" t="s">
        <v>106</v>
      </c>
      <c r="C55" t="s">
        <v>105</v>
      </c>
      <c r="D55" t="s">
        <v>104</v>
      </c>
      <c r="E55" t="s">
        <v>7</v>
      </c>
      <c r="F55" s="2">
        <v>45717</v>
      </c>
      <c r="G55" s="1">
        <v>45731</v>
      </c>
      <c r="H55" s="1">
        <v>45731</v>
      </c>
      <c r="I55" t="s">
        <v>159</v>
      </c>
      <c r="N55" t="s">
        <v>24</v>
      </c>
      <c r="O55" t="s">
        <v>0</v>
      </c>
      <c r="P55">
        <v>85</v>
      </c>
      <c r="Q55">
        <v>0</v>
      </c>
    </row>
    <row r="56" spans="1:17" x14ac:dyDescent="0.35">
      <c r="A56" t="s">
        <v>242</v>
      </c>
      <c r="B56" t="s">
        <v>76</v>
      </c>
      <c r="C56" t="s">
        <v>75</v>
      </c>
      <c r="D56" t="s">
        <v>74</v>
      </c>
      <c r="E56" t="s">
        <v>7</v>
      </c>
      <c r="F56" s="2">
        <v>45717</v>
      </c>
      <c r="G56" s="1">
        <v>45731</v>
      </c>
      <c r="H56" s="1">
        <v>45731</v>
      </c>
      <c r="I56" t="s">
        <v>166</v>
      </c>
      <c r="J56">
        <v>0</v>
      </c>
      <c r="K56">
        <v>5</v>
      </c>
      <c r="L56" t="s">
        <v>165</v>
      </c>
      <c r="M56" t="s">
        <v>241</v>
      </c>
      <c r="N56" t="s">
        <v>29</v>
      </c>
      <c r="O56" t="s">
        <v>73</v>
      </c>
      <c r="P56">
        <v>1140</v>
      </c>
      <c r="Q56">
        <v>5</v>
      </c>
    </row>
    <row r="57" spans="1:17" x14ac:dyDescent="0.35">
      <c r="A57" t="s">
        <v>240</v>
      </c>
      <c r="B57" t="s">
        <v>130</v>
      </c>
      <c r="C57" t="s">
        <v>129</v>
      </c>
      <c r="D57" t="s">
        <v>128</v>
      </c>
      <c r="E57" t="s">
        <v>7</v>
      </c>
      <c r="F57" s="2">
        <v>45717</v>
      </c>
      <c r="G57" s="1">
        <v>45733</v>
      </c>
      <c r="H57" s="1">
        <v>45733</v>
      </c>
      <c r="I57" t="s">
        <v>159</v>
      </c>
      <c r="N57" t="s">
        <v>116</v>
      </c>
      <c r="O57" t="s">
        <v>0</v>
      </c>
      <c r="P57">
        <v>180</v>
      </c>
      <c r="Q57">
        <v>0</v>
      </c>
    </row>
    <row r="58" spans="1:17" x14ac:dyDescent="0.35">
      <c r="A58" t="s">
        <v>239</v>
      </c>
      <c r="B58" t="s">
        <v>41</v>
      </c>
      <c r="C58" t="s">
        <v>40</v>
      </c>
      <c r="D58" t="s">
        <v>39</v>
      </c>
      <c r="E58" t="s">
        <v>16</v>
      </c>
      <c r="F58" s="2">
        <v>45717</v>
      </c>
      <c r="G58" s="1">
        <v>45736</v>
      </c>
      <c r="H58" s="1">
        <v>45736</v>
      </c>
      <c r="I58" t="s">
        <v>170</v>
      </c>
      <c r="J58">
        <v>22</v>
      </c>
      <c r="K58">
        <v>19</v>
      </c>
      <c r="L58" t="s">
        <v>169</v>
      </c>
      <c r="M58" t="s">
        <v>238</v>
      </c>
      <c r="N58" t="s">
        <v>24</v>
      </c>
      <c r="O58" t="s">
        <v>0</v>
      </c>
      <c r="P58">
        <v>85</v>
      </c>
      <c r="Q58">
        <v>0</v>
      </c>
    </row>
    <row r="59" spans="1:17" x14ac:dyDescent="0.35">
      <c r="A59" t="s">
        <v>237</v>
      </c>
      <c r="B59" t="s">
        <v>80</v>
      </c>
      <c r="C59" t="s">
        <v>79</v>
      </c>
      <c r="D59" t="s">
        <v>78</v>
      </c>
      <c r="E59" t="s">
        <v>2</v>
      </c>
      <c r="F59" s="2">
        <v>45717</v>
      </c>
      <c r="G59" s="1">
        <v>45747</v>
      </c>
      <c r="H59" s="1">
        <v>45747</v>
      </c>
      <c r="I59" t="s">
        <v>159</v>
      </c>
      <c r="N59" t="s">
        <v>24</v>
      </c>
      <c r="O59" t="s">
        <v>0</v>
      </c>
      <c r="P59">
        <v>85</v>
      </c>
      <c r="Q59">
        <v>0</v>
      </c>
    </row>
    <row r="60" spans="1:17" x14ac:dyDescent="0.35">
      <c r="A60" t="s">
        <v>236</v>
      </c>
      <c r="B60" t="s">
        <v>109</v>
      </c>
      <c r="C60" t="s">
        <v>108</v>
      </c>
      <c r="D60" t="s">
        <v>107</v>
      </c>
      <c r="E60" t="s">
        <v>7</v>
      </c>
      <c r="F60" s="2">
        <v>45748</v>
      </c>
      <c r="G60" s="1">
        <v>45753</v>
      </c>
      <c r="H60" s="1">
        <v>45753</v>
      </c>
      <c r="I60" t="s">
        <v>185</v>
      </c>
      <c r="J60">
        <v>100</v>
      </c>
      <c r="K60">
        <v>110</v>
      </c>
      <c r="L60" t="s">
        <v>184</v>
      </c>
      <c r="M60" t="s">
        <v>207</v>
      </c>
      <c r="N60" t="s">
        <v>42</v>
      </c>
      <c r="O60" t="s">
        <v>0</v>
      </c>
      <c r="P60">
        <v>110</v>
      </c>
      <c r="Q60">
        <v>0</v>
      </c>
    </row>
    <row r="61" spans="1:17" x14ac:dyDescent="0.35">
      <c r="A61" t="s">
        <v>235</v>
      </c>
      <c r="B61" t="s">
        <v>23</v>
      </c>
      <c r="C61" t="s">
        <v>22</v>
      </c>
      <c r="D61" t="s">
        <v>21</v>
      </c>
      <c r="E61" t="s">
        <v>2</v>
      </c>
      <c r="F61" s="2">
        <v>45748</v>
      </c>
      <c r="G61" s="1">
        <v>45761</v>
      </c>
      <c r="H61" s="1">
        <v>45761</v>
      </c>
      <c r="I61" t="s">
        <v>159</v>
      </c>
      <c r="N61" t="s">
        <v>1</v>
      </c>
      <c r="O61" t="s">
        <v>0</v>
      </c>
      <c r="P61">
        <v>45</v>
      </c>
      <c r="Q61">
        <v>0</v>
      </c>
    </row>
    <row r="62" spans="1:17" x14ac:dyDescent="0.35">
      <c r="A62" t="s">
        <v>234</v>
      </c>
      <c r="B62" t="s">
        <v>83</v>
      </c>
      <c r="C62" t="s">
        <v>82</v>
      </c>
      <c r="D62" t="s">
        <v>81</v>
      </c>
      <c r="E62" t="s">
        <v>2</v>
      </c>
      <c r="F62" s="2">
        <v>45748</v>
      </c>
      <c r="G62" s="1">
        <v>45762</v>
      </c>
      <c r="H62" s="1">
        <v>45762</v>
      </c>
      <c r="I62" t="s">
        <v>170</v>
      </c>
      <c r="J62">
        <v>18</v>
      </c>
      <c r="K62">
        <v>23</v>
      </c>
      <c r="L62" t="s">
        <v>169</v>
      </c>
      <c r="M62" t="s">
        <v>233</v>
      </c>
      <c r="N62" t="s">
        <v>29</v>
      </c>
      <c r="O62" t="s">
        <v>0</v>
      </c>
      <c r="P62">
        <v>95</v>
      </c>
      <c r="Q62">
        <v>0</v>
      </c>
    </row>
    <row r="63" spans="1:17" x14ac:dyDescent="0.35">
      <c r="A63" t="s">
        <v>232</v>
      </c>
      <c r="B63" t="s">
        <v>102</v>
      </c>
      <c r="C63" t="s">
        <v>101</v>
      </c>
      <c r="D63" t="s">
        <v>100</v>
      </c>
      <c r="E63" t="s">
        <v>2</v>
      </c>
      <c r="F63" s="2">
        <v>45748</v>
      </c>
      <c r="G63" s="1">
        <v>45765</v>
      </c>
      <c r="H63" s="1">
        <v>45765</v>
      </c>
      <c r="I63" t="s">
        <v>159</v>
      </c>
      <c r="N63" t="s">
        <v>42</v>
      </c>
      <c r="O63" t="s">
        <v>0</v>
      </c>
      <c r="P63">
        <v>110</v>
      </c>
      <c r="Q63">
        <v>0</v>
      </c>
    </row>
    <row r="64" spans="1:17" x14ac:dyDescent="0.35">
      <c r="A64" t="s">
        <v>231</v>
      </c>
      <c r="B64" t="s">
        <v>86</v>
      </c>
      <c r="C64" t="s">
        <v>85</v>
      </c>
      <c r="D64" t="s">
        <v>84</v>
      </c>
      <c r="E64" t="s">
        <v>7</v>
      </c>
      <c r="F64" s="2">
        <v>45748</v>
      </c>
      <c r="G64" s="1">
        <v>45775</v>
      </c>
      <c r="H64" s="1">
        <v>45775</v>
      </c>
      <c r="I64" t="s">
        <v>159</v>
      </c>
      <c r="N64" t="s">
        <v>42</v>
      </c>
      <c r="O64" t="s">
        <v>0</v>
      </c>
      <c r="P64">
        <v>110</v>
      </c>
      <c r="Q64">
        <v>0</v>
      </c>
    </row>
    <row r="65" spans="1:17" x14ac:dyDescent="0.35">
      <c r="A65" t="s">
        <v>230</v>
      </c>
      <c r="B65" t="s">
        <v>69</v>
      </c>
      <c r="C65" t="s">
        <v>68</v>
      </c>
      <c r="D65" t="s">
        <v>67</v>
      </c>
      <c r="E65" t="s">
        <v>7</v>
      </c>
      <c r="F65" s="2">
        <v>45778</v>
      </c>
      <c r="G65" s="1">
        <v>45787</v>
      </c>
      <c r="H65" s="1">
        <v>45787</v>
      </c>
      <c r="I65" t="s">
        <v>170</v>
      </c>
      <c r="J65">
        <v>15</v>
      </c>
      <c r="K65">
        <v>18</v>
      </c>
      <c r="L65" t="s">
        <v>169</v>
      </c>
      <c r="M65" t="s">
        <v>229</v>
      </c>
      <c r="N65" t="s">
        <v>42</v>
      </c>
      <c r="O65" t="s">
        <v>0</v>
      </c>
      <c r="P65">
        <v>110</v>
      </c>
      <c r="Q65">
        <v>0</v>
      </c>
    </row>
    <row r="66" spans="1:17" x14ac:dyDescent="0.35">
      <c r="A66" t="s">
        <v>228</v>
      </c>
      <c r="B66" t="s">
        <v>48</v>
      </c>
      <c r="C66" t="s">
        <v>47</v>
      </c>
      <c r="D66" t="s">
        <v>46</v>
      </c>
      <c r="E66" t="s">
        <v>16</v>
      </c>
      <c r="F66" s="2">
        <v>45778</v>
      </c>
      <c r="G66" s="1">
        <v>45789</v>
      </c>
      <c r="H66" s="1">
        <v>45789</v>
      </c>
      <c r="I66" t="s">
        <v>159</v>
      </c>
      <c r="N66" t="s">
        <v>29</v>
      </c>
      <c r="O66" t="s">
        <v>0</v>
      </c>
      <c r="P66">
        <v>95</v>
      </c>
      <c r="Q66">
        <v>0</v>
      </c>
    </row>
    <row r="67" spans="1:17" x14ac:dyDescent="0.35">
      <c r="A67" t="s">
        <v>227</v>
      </c>
      <c r="B67" t="s">
        <v>32</v>
      </c>
      <c r="C67" t="s">
        <v>31</v>
      </c>
      <c r="D67" t="s">
        <v>30</v>
      </c>
      <c r="E67" t="s">
        <v>7</v>
      </c>
      <c r="F67" s="2">
        <v>45778</v>
      </c>
      <c r="G67" s="1">
        <v>45797</v>
      </c>
      <c r="H67" s="1">
        <v>45797</v>
      </c>
      <c r="I67" t="s">
        <v>159</v>
      </c>
      <c r="M67" t="s">
        <v>179</v>
      </c>
      <c r="N67" t="s">
        <v>29</v>
      </c>
      <c r="O67" t="s">
        <v>0</v>
      </c>
      <c r="P67">
        <v>95</v>
      </c>
      <c r="Q67">
        <v>0</v>
      </c>
    </row>
    <row r="68" spans="1:17" x14ac:dyDescent="0.35">
      <c r="A68" t="s">
        <v>226</v>
      </c>
      <c r="B68" t="s">
        <v>124</v>
      </c>
      <c r="C68" t="s">
        <v>123</v>
      </c>
      <c r="D68" t="s">
        <v>122</v>
      </c>
      <c r="E68" t="s">
        <v>2</v>
      </c>
      <c r="F68" s="2">
        <v>45778</v>
      </c>
      <c r="G68" s="1">
        <v>45799</v>
      </c>
      <c r="H68" s="1">
        <v>45799</v>
      </c>
      <c r="I68" t="s">
        <v>159</v>
      </c>
      <c r="N68" t="s">
        <v>42</v>
      </c>
      <c r="O68" t="s">
        <v>0</v>
      </c>
      <c r="P68">
        <v>110</v>
      </c>
      <c r="Q68">
        <v>0</v>
      </c>
    </row>
    <row r="69" spans="1:17" x14ac:dyDescent="0.35">
      <c r="A69" t="s">
        <v>225</v>
      </c>
      <c r="B69" t="s">
        <v>224</v>
      </c>
      <c r="C69" t="s">
        <v>126</v>
      </c>
      <c r="D69" t="s">
        <v>125</v>
      </c>
      <c r="E69" t="s">
        <v>7</v>
      </c>
      <c r="F69" s="2">
        <v>45778</v>
      </c>
      <c r="G69" s="1">
        <v>45803</v>
      </c>
      <c r="H69" s="1">
        <v>45803</v>
      </c>
      <c r="I69" t="s">
        <v>156</v>
      </c>
      <c r="J69" t="s">
        <v>155</v>
      </c>
      <c r="K69" t="s">
        <v>154</v>
      </c>
      <c r="L69" t="s">
        <v>153</v>
      </c>
      <c r="M69" t="s">
        <v>223</v>
      </c>
      <c r="N69" t="s">
        <v>29</v>
      </c>
      <c r="O69" t="s">
        <v>0</v>
      </c>
      <c r="P69">
        <v>95</v>
      </c>
      <c r="Q69">
        <v>0</v>
      </c>
    </row>
    <row r="70" spans="1:17" x14ac:dyDescent="0.35">
      <c r="A70" t="s">
        <v>222</v>
      </c>
      <c r="B70" t="s">
        <v>134</v>
      </c>
      <c r="C70" t="s">
        <v>133</v>
      </c>
      <c r="D70" t="s">
        <v>132</v>
      </c>
      <c r="E70" t="s">
        <v>2</v>
      </c>
      <c r="F70" s="2">
        <v>45778</v>
      </c>
      <c r="G70" s="1">
        <v>45803</v>
      </c>
      <c r="H70" s="1">
        <v>45803</v>
      </c>
      <c r="I70" t="s">
        <v>159</v>
      </c>
      <c r="N70" t="s">
        <v>120</v>
      </c>
      <c r="O70" t="s">
        <v>0</v>
      </c>
      <c r="P70">
        <v>150</v>
      </c>
      <c r="Q70">
        <v>0</v>
      </c>
    </row>
    <row r="71" spans="1:17" x14ac:dyDescent="0.35">
      <c r="A71" t="s">
        <v>221</v>
      </c>
      <c r="B71" t="s">
        <v>139</v>
      </c>
      <c r="C71" t="s">
        <v>105</v>
      </c>
      <c r="D71" t="s">
        <v>104</v>
      </c>
      <c r="E71" t="s">
        <v>7</v>
      </c>
      <c r="F71" s="2">
        <v>45809</v>
      </c>
      <c r="G71" s="1">
        <v>45809</v>
      </c>
      <c r="H71" s="1">
        <v>45809</v>
      </c>
      <c r="I71" t="s">
        <v>170</v>
      </c>
      <c r="J71">
        <v>30</v>
      </c>
      <c r="K71">
        <v>35</v>
      </c>
      <c r="L71" t="s">
        <v>169</v>
      </c>
      <c r="M71" t="s">
        <v>220</v>
      </c>
      <c r="N71" t="s">
        <v>116</v>
      </c>
      <c r="O71" t="s">
        <v>0</v>
      </c>
      <c r="P71">
        <v>180</v>
      </c>
      <c r="Q71">
        <v>0</v>
      </c>
    </row>
    <row r="72" spans="1:17" x14ac:dyDescent="0.35">
      <c r="A72" t="s">
        <v>219</v>
      </c>
      <c r="B72" t="s">
        <v>137</v>
      </c>
      <c r="C72" t="s">
        <v>108</v>
      </c>
      <c r="D72" t="s">
        <v>107</v>
      </c>
      <c r="E72" t="s">
        <v>7</v>
      </c>
      <c r="F72" s="2">
        <v>45809</v>
      </c>
      <c r="G72" s="1">
        <v>45813</v>
      </c>
      <c r="H72" s="1">
        <v>45813</v>
      </c>
      <c r="I72" t="s">
        <v>159</v>
      </c>
      <c r="N72" t="s">
        <v>116</v>
      </c>
      <c r="O72" t="s">
        <v>0</v>
      </c>
      <c r="P72">
        <v>180</v>
      </c>
      <c r="Q72">
        <v>0</v>
      </c>
    </row>
    <row r="73" spans="1:17" x14ac:dyDescent="0.35">
      <c r="A73" t="s">
        <v>218</v>
      </c>
      <c r="B73" t="s">
        <v>11</v>
      </c>
      <c r="C73" t="s">
        <v>10</v>
      </c>
      <c r="D73" t="s">
        <v>9</v>
      </c>
      <c r="E73" t="s">
        <v>7</v>
      </c>
      <c r="F73" s="2">
        <v>45809</v>
      </c>
      <c r="G73" s="1">
        <v>45817</v>
      </c>
      <c r="H73" s="1">
        <v>45817</v>
      </c>
      <c r="I73" t="s">
        <v>159</v>
      </c>
      <c r="N73" t="s">
        <v>1</v>
      </c>
      <c r="O73" t="s">
        <v>0</v>
      </c>
      <c r="P73">
        <v>45</v>
      </c>
      <c r="Q73">
        <v>0</v>
      </c>
    </row>
    <row r="74" spans="1:17" x14ac:dyDescent="0.35">
      <c r="A74" t="s">
        <v>217</v>
      </c>
      <c r="B74" t="s">
        <v>216</v>
      </c>
      <c r="C74" t="s">
        <v>82</v>
      </c>
      <c r="D74" t="s">
        <v>81</v>
      </c>
      <c r="E74" t="s">
        <v>2</v>
      </c>
      <c r="F74" s="2">
        <v>45809</v>
      </c>
      <c r="G74" s="1">
        <v>45818</v>
      </c>
      <c r="H74" s="1">
        <v>45818</v>
      </c>
      <c r="I74" t="s">
        <v>156</v>
      </c>
      <c r="J74" t="s">
        <v>155</v>
      </c>
      <c r="K74" t="s">
        <v>156</v>
      </c>
      <c r="L74" t="s">
        <v>153</v>
      </c>
      <c r="M74" t="s">
        <v>215</v>
      </c>
      <c r="N74" t="s">
        <v>1</v>
      </c>
      <c r="O74" t="s">
        <v>0</v>
      </c>
      <c r="P74">
        <v>45</v>
      </c>
      <c r="Q74">
        <v>0</v>
      </c>
    </row>
    <row r="75" spans="1:17" x14ac:dyDescent="0.35">
      <c r="A75" t="s">
        <v>214</v>
      </c>
      <c r="B75" t="s">
        <v>38</v>
      </c>
      <c r="C75" t="s">
        <v>37</v>
      </c>
      <c r="D75" t="s">
        <v>36</v>
      </c>
      <c r="E75" t="s">
        <v>2</v>
      </c>
      <c r="F75" s="2">
        <v>45809</v>
      </c>
      <c r="G75" s="1">
        <v>45823</v>
      </c>
      <c r="H75" s="1">
        <v>45823</v>
      </c>
      <c r="I75" t="s">
        <v>177</v>
      </c>
      <c r="J75" t="s">
        <v>1</v>
      </c>
      <c r="K75" t="s">
        <v>29</v>
      </c>
      <c r="L75" t="s">
        <v>146</v>
      </c>
      <c r="M75" t="s">
        <v>213</v>
      </c>
      <c r="N75" t="s">
        <v>29</v>
      </c>
      <c r="O75" t="s">
        <v>0</v>
      </c>
      <c r="P75">
        <v>95</v>
      </c>
      <c r="Q75">
        <v>0</v>
      </c>
    </row>
    <row r="76" spans="1:17" x14ac:dyDescent="0.35">
      <c r="A76" t="s">
        <v>212</v>
      </c>
      <c r="B76" t="s">
        <v>92</v>
      </c>
      <c r="C76" t="s">
        <v>91</v>
      </c>
      <c r="D76" t="s">
        <v>90</v>
      </c>
      <c r="E76" t="s">
        <v>2</v>
      </c>
      <c r="F76" s="2">
        <v>45809</v>
      </c>
      <c r="G76" s="1">
        <v>45831</v>
      </c>
      <c r="H76" s="1">
        <v>45831</v>
      </c>
      <c r="I76" t="s">
        <v>159</v>
      </c>
      <c r="N76" t="s">
        <v>24</v>
      </c>
      <c r="O76" t="s">
        <v>0</v>
      </c>
      <c r="P76">
        <v>85</v>
      </c>
      <c r="Q76">
        <v>0</v>
      </c>
    </row>
    <row r="77" spans="1:17" x14ac:dyDescent="0.35">
      <c r="A77" t="s">
        <v>211</v>
      </c>
      <c r="B77" t="s">
        <v>210</v>
      </c>
      <c r="C77" t="s">
        <v>26</v>
      </c>
      <c r="D77" t="s">
        <v>25</v>
      </c>
      <c r="E77" t="s">
        <v>2</v>
      </c>
      <c r="F77" s="2">
        <v>45809</v>
      </c>
      <c r="G77" s="1">
        <v>45833</v>
      </c>
      <c r="H77" s="1">
        <v>45833</v>
      </c>
      <c r="I77" t="s">
        <v>156</v>
      </c>
      <c r="J77" t="s">
        <v>155</v>
      </c>
      <c r="K77" t="s">
        <v>154</v>
      </c>
      <c r="L77" t="s">
        <v>153</v>
      </c>
      <c r="M77" t="s">
        <v>209</v>
      </c>
      <c r="N77" t="s">
        <v>1</v>
      </c>
      <c r="O77" t="s">
        <v>0</v>
      </c>
      <c r="P77">
        <v>45</v>
      </c>
      <c r="Q77">
        <v>0</v>
      </c>
    </row>
    <row r="78" spans="1:17" x14ac:dyDescent="0.35">
      <c r="A78" t="s">
        <v>208</v>
      </c>
      <c r="B78" t="s">
        <v>60</v>
      </c>
      <c r="C78" t="s">
        <v>59</v>
      </c>
      <c r="D78" t="s">
        <v>58</v>
      </c>
      <c r="E78" t="s">
        <v>2</v>
      </c>
      <c r="F78" s="2">
        <v>45839</v>
      </c>
      <c r="G78" s="1">
        <v>45843</v>
      </c>
      <c r="H78" s="1">
        <v>45843</v>
      </c>
      <c r="I78" t="s">
        <v>185</v>
      </c>
      <c r="J78">
        <v>75</v>
      </c>
      <c r="K78">
        <v>85</v>
      </c>
      <c r="L78" t="s">
        <v>184</v>
      </c>
      <c r="M78" t="s">
        <v>207</v>
      </c>
      <c r="N78" t="s">
        <v>24</v>
      </c>
      <c r="O78" t="s">
        <v>0</v>
      </c>
      <c r="P78">
        <v>85</v>
      </c>
      <c r="Q78">
        <v>0</v>
      </c>
    </row>
    <row r="79" spans="1:17" x14ac:dyDescent="0.35">
      <c r="A79" t="s">
        <v>206</v>
      </c>
      <c r="B79" t="s">
        <v>205</v>
      </c>
      <c r="C79" t="s">
        <v>40</v>
      </c>
      <c r="D79" t="s">
        <v>39</v>
      </c>
      <c r="E79" t="s">
        <v>16</v>
      </c>
      <c r="F79" s="2">
        <v>45839</v>
      </c>
      <c r="G79" s="1">
        <v>45858</v>
      </c>
      <c r="H79" s="1">
        <v>45858</v>
      </c>
      <c r="I79" t="s">
        <v>156</v>
      </c>
      <c r="J79" t="s">
        <v>155</v>
      </c>
      <c r="K79" t="s">
        <v>156</v>
      </c>
      <c r="L79" t="s">
        <v>153</v>
      </c>
      <c r="M79" t="s">
        <v>204</v>
      </c>
      <c r="N79" t="s">
        <v>42</v>
      </c>
      <c r="O79" t="s">
        <v>0</v>
      </c>
      <c r="P79">
        <v>110</v>
      </c>
      <c r="Q79">
        <v>0</v>
      </c>
    </row>
    <row r="80" spans="1:17" x14ac:dyDescent="0.35">
      <c r="A80" t="s">
        <v>203</v>
      </c>
      <c r="B80" t="s">
        <v>72</v>
      </c>
      <c r="C80" t="s">
        <v>71</v>
      </c>
      <c r="D80" t="s">
        <v>70</v>
      </c>
      <c r="E80" t="s">
        <v>16</v>
      </c>
      <c r="F80" s="2">
        <v>45839</v>
      </c>
      <c r="G80" s="1">
        <v>45860</v>
      </c>
      <c r="H80" s="1">
        <v>45860</v>
      </c>
      <c r="I80" t="s">
        <v>170</v>
      </c>
      <c r="J80">
        <v>14</v>
      </c>
      <c r="K80">
        <v>18</v>
      </c>
      <c r="L80" t="s">
        <v>169</v>
      </c>
      <c r="M80" t="s">
        <v>202</v>
      </c>
      <c r="N80" t="s">
        <v>42</v>
      </c>
      <c r="O80" t="s">
        <v>0</v>
      </c>
      <c r="P80">
        <v>110</v>
      </c>
      <c r="Q80">
        <v>0</v>
      </c>
    </row>
    <row r="81" spans="1:17" x14ac:dyDescent="0.35">
      <c r="A81" t="s">
        <v>201</v>
      </c>
      <c r="B81" t="s">
        <v>57</v>
      </c>
      <c r="C81" t="s">
        <v>56</v>
      </c>
      <c r="D81" t="s">
        <v>55</v>
      </c>
      <c r="E81" t="s">
        <v>2</v>
      </c>
      <c r="F81" s="2">
        <v>45870</v>
      </c>
      <c r="G81" s="1">
        <v>45872</v>
      </c>
      <c r="H81" s="1">
        <v>45872</v>
      </c>
      <c r="I81" t="s">
        <v>185</v>
      </c>
      <c r="J81">
        <v>90</v>
      </c>
      <c r="K81">
        <v>85</v>
      </c>
      <c r="L81" t="s">
        <v>184</v>
      </c>
      <c r="M81" t="s">
        <v>200</v>
      </c>
      <c r="N81" t="s">
        <v>24</v>
      </c>
      <c r="O81" t="s">
        <v>0</v>
      </c>
      <c r="P81">
        <v>85</v>
      </c>
      <c r="Q81">
        <v>0</v>
      </c>
    </row>
    <row r="82" spans="1:17" x14ac:dyDescent="0.35">
      <c r="A82" t="s">
        <v>199</v>
      </c>
      <c r="B82" t="s">
        <v>130</v>
      </c>
      <c r="C82" t="s">
        <v>129</v>
      </c>
      <c r="D82" t="s">
        <v>128</v>
      </c>
      <c r="E82" t="s">
        <v>7</v>
      </c>
      <c r="F82" s="2">
        <v>45870</v>
      </c>
      <c r="G82" s="1">
        <v>45881</v>
      </c>
      <c r="H82" s="1">
        <v>45881</v>
      </c>
      <c r="I82" t="s">
        <v>177</v>
      </c>
      <c r="J82" t="s">
        <v>29</v>
      </c>
      <c r="K82" t="s">
        <v>116</v>
      </c>
      <c r="L82" t="s">
        <v>146</v>
      </c>
      <c r="M82" t="s">
        <v>198</v>
      </c>
      <c r="N82" t="s">
        <v>116</v>
      </c>
      <c r="O82" t="s">
        <v>0</v>
      </c>
      <c r="P82">
        <v>180</v>
      </c>
      <c r="Q82">
        <v>0</v>
      </c>
    </row>
    <row r="83" spans="1:17" x14ac:dyDescent="0.35">
      <c r="A83" t="s">
        <v>197</v>
      </c>
      <c r="B83" t="s">
        <v>6</v>
      </c>
      <c r="C83" t="s">
        <v>5</v>
      </c>
      <c r="D83" t="s">
        <v>4</v>
      </c>
      <c r="E83" t="s">
        <v>2</v>
      </c>
      <c r="F83" s="2">
        <v>45870</v>
      </c>
      <c r="G83" s="1">
        <v>45888</v>
      </c>
      <c r="H83" s="1">
        <v>45888</v>
      </c>
      <c r="I83" t="s">
        <v>196</v>
      </c>
      <c r="J83" t="s">
        <v>29</v>
      </c>
      <c r="K83" t="s">
        <v>1</v>
      </c>
      <c r="L83" t="s">
        <v>146</v>
      </c>
      <c r="M83" t="s">
        <v>195</v>
      </c>
      <c r="N83" t="s">
        <v>1</v>
      </c>
      <c r="O83" t="s">
        <v>0</v>
      </c>
      <c r="P83">
        <v>45</v>
      </c>
      <c r="Q83">
        <v>0</v>
      </c>
    </row>
    <row r="84" spans="1:17" x14ac:dyDescent="0.35">
      <c r="A84" t="s">
        <v>194</v>
      </c>
      <c r="B84" t="s">
        <v>131</v>
      </c>
      <c r="C84" t="s">
        <v>101</v>
      </c>
      <c r="D84" t="s">
        <v>100</v>
      </c>
      <c r="E84" t="s">
        <v>2</v>
      </c>
      <c r="F84" s="2">
        <v>45870</v>
      </c>
      <c r="G84" s="1">
        <v>45889</v>
      </c>
      <c r="H84" s="1">
        <v>45889</v>
      </c>
      <c r="I84" t="s">
        <v>170</v>
      </c>
      <c r="J84">
        <v>28</v>
      </c>
      <c r="K84">
        <v>33</v>
      </c>
      <c r="L84" t="s">
        <v>169</v>
      </c>
      <c r="M84" t="s">
        <v>193</v>
      </c>
      <c r="N84" t="s">
        <v>120</v>
      </c>
      <c r="O84" t="s">
        <v>0</v>
      </c>
      <c r="P84">
        <v>150</v>
      </c>
      <c r="Q84">
        <v>0</v>
      </c>
    </row>
    <row r="85" spans="1:17" x14ac:dyDescent="0.35">
      <c r="A85" t="s">
        <v>192</v>
      </c>
      <c r="B85" t="s">
        <v>191</v>
      </c>
      <c r="C85" t="s">
        <v>68</v>
      </c>
      <c r="D85" t="s">
        <v>67</v>
      </c>
      <c r="E85" t="s">
        <v>7</v>
      </c>
      <c r="F85" s="2">
        <v>45870</v>
      </c>
      <c r="G85" s="1">
        <v>45899</v>
      </c>
      <c r="H85" s="1">
        <v>45899</v>
      </c>
      <c r="I85" t="s">
        <v>156</v>
      </c>
      <c r="J85" t="s">
        <v>155</v>
      </c>
      <c r="K85" t="s">
        <v>154</v>
      </c>
      <c r="L85" t="s">
        <v>153</v>
      </c>
      <c r="M85" t="s">
        <v>161</v>
      </c>
      <c r="N85" t="s">
        <v>116</v>
      </c>
      <c r="O85" t="s">
        <v>0</v>
      </c>
      <c r="P85">
        <v>180</v>
      </c>
      <c r="Q85">
        <v>0</v>
      </c>
    </row>
    <row r="86" spans="1:17" x14ac:dyDescent="0.35">
      <c r="A86" t="s">
        <v>190</v>
      </c>
      <c r="B86" t="s">
        <v>63</v>
      </c>
      <c r="C86" t="s">
        <v>62</v>
      </c>
      <c r="D86" t="s">
        <v>61</v>
      </c>
      <c r="E86" t="s">
        <v>7</v>
      </c>
      <c r="F86" s="2">
        <v>45901</v>
      </c>
      <c r="G86" s="1">
        <v>45905</v>
      </c>
      <c r="H86" s="1">
        <v>45905</v>
      </c>
      <c r="I86" t="s">
        <v>177</v>
      </c>
      <c r="J86" t="s">
        <v>1</v>
      </c>
      <c r="K86" t="s">
        <v>29</v>
      </c>
      <c r="L86" t="s">
        <v>146</v>
      </c>
      <c r="M86" t="s">
        <v>189</v>
      </c>
      <c r="N86" t="s">
        <v>29</v>
      </c>
      <c r="O86" t="s">
        <v>0</v>
      </c>
      <c r="P86">
        <v>95</v>
      </c>
      <c r="Q86">
        <v>0</v>
      </c>
    </row>
    <row r="87" spans="1:17" x14ac:dyDescent="0.35">
      <c r="A87" t="s">
        <v>188</v>
      </c>
      <c r="B87" t="s">
        <v>137</v>
      </c>
      <c r="C87" t="s">
        <v>108</v>
      </c>
      <c r="D87" t="s">
        <v>107</v>
      </c>
      <c r="E87" t="s">
        <v>7</v>
      </c>
      <c r="F87" s="2">
        <v>45901</v>
      </c>
      <c r="G87" s="1">
        <v>45910</v>
      </c>
      <c r="H87" s="1">
        <v>45910</v>
      </c>
      <c r="I87" t="s">
        <v>170</v>
      </c>
      <c r="J87">
        <v>26</v>
      </c>
      <c r="K87">
        <v>31</v>
      </c>
      <c r="L87" t="s">
        <v>169</v>
      </c>
      <c r="M87" t="s">
        <v>187</v>
      </c>
      <c r="N87" t="s">
        <v>116</v>
      </c>
      <c r="O87" t="s">
        <v>0</v>
      </c>
      <c r="P87">
        <v>180</v>
      </c>
      <c r="Q87">
        <v>0</v>
      </c>
    </row>
    <row r="88" spans="1:17" x14ac:dyDescent="0.35">
      <c r="A88" t="s">
        <v>186</v>
      </c>
      <c r="B88" t="s">
        <v>80</v>
      </c>
      <c r="C88" t="s">
        <v>79</v>
      </c>
      <c r="D88" t="s">
        <v>78</v>
      </c>
      <c r="E88" t="s">
        <v>2</v>
      </c>
      <c r="F88" s="2">
        <v>45901</v>
      </c>
      <c r="G88" s="1">
        <v>45930</v>
      </c>
      <c r="H88" s="1">
        <v>45930</v>
      </c>
      <c r="I88" t="s">
        <v>185</v>
      </c>
      <c r="J88">
        <v>90</v>
      </c>
      <c r="K88">
        <v>85</v>
      </c>
      <c r="L88" t="s">
        <v>184</v>
      </c>
      <c r="M88" t="s">
        <v>183</v>
      </c>
      <c r="N88" t="s">
        <v>24</v>
      </c>
      <c r="O88" t="s">
        <v>0</v>
      </c>
      <c r="P88">
        <v>85</v>
      </c>
      <c r="Q88">
        <v>0</v>
      </c>
    </row>
    <row r="89" spans="1:17" x14ac:dyDescent="0.35">
      <c r="A89" t="s">
        <v>182</v>
      </c>
      <c r="B89" t="s">
        <v>96</v>
      </c>
      <c r="C89" t="s">
        <v>95</v>
      </c>
      <c r="D89" t="s">
        <v>94</v>
      </c>
      <c r="E89" t="s">
        <v>7</v>
      </c>
      <c r="F89" s="2">
        <v>45931</v>
      </c>
      <c r="G89" s="1">
        <v>45935</v>
      </c>
      <c r="H89" s="1">
        <v>45935</v>
      </c>
      <c r="I89" t="s">
        <v>170</v>
      </c>
      <c r="J89">
        <v>26</v>
      </c>
      <c r="K89">
        <v>31</v>
      </c>
      <c r="L89" t="s">
        <v>169</v>
      </c>
      <c r="M89" t="s">
        <v>181</v>
      </c>
      <c r="N89" t="s">
        <v>24</v>
      </c>
      <c r="O89" t="s">
        <v>0</v>
      </c>
      <c r="P89">
        <v>85</v>
      </c>
      <c r="Q89">
        <v>0</v>
      </c>
    </row>
    <row r="90" spans="1:17" x14ac:dyDescent="0.35">
      <c r="A90" t="s">
        <v>180</v>
      </c>
      <c r="B90" t="s">
        <v>27</v>
      </c>
      <c r="C90" t="s">
        <v>26</v>
      </c>
      <c r="D90" t="s">
        <v>25</v>
      </c>
      <c r="E90" t="s">
        <v>2</v>
      </c>
      <c r="F90" s="2">
        <v>45931</v>
      </c>
      <c r="G90" s="1">
        <v>45945</v>
      </c>
      <c r="H90" s="1">
        <v>45945</v>
      </c>
      <c r="I90" t="s">
        <v>159</v>
      </c>
      <c r="M90" t="s">
        <v>179</v>
      </c>
      <c r="N90" t="s">
        <v>24</v>
      </c>
      <c r="O90" t="s">
        <v>0</v>
      </c>
      <c r="P90">
        <v>85</v>
      </c>
      <c r="Q90">
        <v>0</v>
      </c>
    </row>
    <row r="91" spans="1:17" x14ac:dyDescent="0.35">
      <c r="A91" t="s">
        <v>178</v>
      </c>
      <c r="B91" t="s">
        <v>48</v>
      </c>
      <c r="C91" t="s">
        <v>47</v>
      </c>
      <c r="D91" t="s">
        <v>46</v>
      </c>
      <c r="E91" t="s">
        <v>16</v>
      </c>
      <c r="F91" s="2">
        <v>45931</v>
      </c>
      <c r="G91" s="1">
        <v>45950</v>
      </c>
      <c r="H91" s="1">
        <v>45950</v>
      </c>
      <c r="I91" t="s">
        <v>177</v>
      </c>
      <c r="J91" t="s">
        <v>1</v>
      </c>
      <c r="K91" t="s">
        <v>29</v>
      </c>
      <c r="L91" t="s">
        <v>146</v>
      </c>
      <c r="M91" t="s">
        <v>176</v>
      </c>
      <c r="N91" t="s">
        <v>29</v>
      </c>
      <c r="O91" t="s">
        <v>0</v>
      </c>
      <c r="P91">
        <v>95</v>
      </c>
      <c r="Q91">
        <v>0</v>
      </c>
    </row>
    <row r="92" spans="1:17" x14ac:dyDescent="0.35">
      <c r="A92" t="s">
        <v>175</v>
      </c>
      <c r="B92" t="s">
        <v>162</v>
      </c>
      <c r="C92" t="s">
        <v>118</v>
      </c>
      <c r="D92" t="s">
        <v>117</v>
      </c>
      <c r="E92" t="s">
        <v>7</v>
      </c>
      <c r="F92" s="2">
        <v>45962</v>
      </c>
      <c r="G92" s="1">
        <v>45962</v>
      </c>
      <c r="H92" s="1">
        <v>45962</v>
      </c>
      <c r="I92" t="s">
        <v>166</v>
      </c>
      <c r="J92">
        <v>0</v>
      </c>
      <c r="K92">
        <v>10</v>
      </c>
      <c r="L92" t="s">
        <v>165</v>
      </c>
      <c r="M92" t="s">
        <v>174</v>
      </c>
      <c r="N92" t="s">
        <v>29</v>
      </c>
      <c r="O92" t="s">
        <v>0</v>
      </c>
      <c r="P92">
        <v>95</v>
      </c>
      <c r="Q92">
        <v>10</v>
      </c>
    </row>
    <row r="93" spans="1:17" x14ac:dyDescent="0.35">
      <c r="A93" t="s">
        <v>173</v>
      </c>
      <c r="B93" t="s">
        <v>92</v>
      </c>
      <c r="C93" t="s">
        <v>91</v>
      </c>
      <c r="D93" t="s">
        <v>90</v>
      </c>
      <c r="E93" t="s">
        <v>2</v>
      </c>
      <c r="F93" s="2">
        <v>45962</v>
      </c>
      <c r="G93" s="1">
        <v>45976</v>
      </c>
      <c r="H93" s="1">
        <v>45976</v>
      </c>
      <c r="I93" t="s">
        <v>170</v>
      </c>
      <c r="J93">
        <v>32</v>
      </c>
      <c r="K93">
        <v>29</v>
      </c>
      <c r="L93" t="s">
        <v>169</v>
      </c>
      <c r="M93" t="s">
        <v>172</v>
      </c>
      <c r="N93" t="s">
        <v>24</v>
      </c>
      <c r="O93" t="s">
        <v>0</v>
      </c>
      <c r="P93">
        <v>85</v>
      </c>
      <c r="Q93">
        <v>0</v>
      </c>
    </row>
    <row r="94" spans="1:17" x14ac:dyDescent="0.35">
      <c r="A94" t="s">
        <v>171</v>
      </c>
      <c r="B94" t="s">
        <v>102</v>
      </c>
      <c r="C94" t="s">
        <v>101</v>
      </c>
      <c r="D94" t="s">
        <v>100</v>
      </c>
      <c r="E94" t="s">
        <v>2</v>
      </c>
      <c r="F94" s="2">
        <v>45992</v>
      </c>
      <c r="G94" s="1">
        <v>45999</v>
      </c>
      <c r="H94" s="1">
        <v>45999</v>
      </c>
      <c r="I94" t="s">
        <v>170</v>
      </c>
      <c r="J94">
        <v>22</v>
      </c>
      <c r="K94">
        <v>26</v>
      </c>
      <c r="L94" t="s">
        <v>169</v>
      </c>
      <c r="M94" t="s">
        <v>168</v>
      </c>
      <c r="N94" t="s">
        <v>42</v>
      </c>
      <c r="O94" t="s">
        <v>0</v>
      </c>
      <c r="P94">
        <v>110</v>
      </c>
      <c r="Q94">
        <v>0</v>
      </c>
    </row>
    <row r="95" spans="1:17" x14ac:dyDescent="0.35">
      <c r="A95" t="s">
        <v>167</v>
      </c>
      <c r="B95" t="s">
        <v>157</v>
      </c>
      <c r="C95" t="s">
        <v>34</v>
      </c>
      <c r="D95" t="s">
        <v>33</v>
      </c>
      <c r="E95" t="s">
        <v>2</v>
      </c>
      <c r="F95" s="2">
        <v>45992</v>
      </c>
      <c r="G95" s="1">
        <v>46006</v>
      </c>
      <c r="H95" s="1">
        <v>46006</v>
      </c>
      <c r="I95" t="s">
        <v>166</v>
      </c>
      <c r="J95">
        <v>0</v>
      </c>
      <c r="K95">
        <v>12</v>
      </c>
      <c r="L95" t="s">
        <v>165</v>
      </c>
      <c r="M95" t="s">
        <v>164</v>
      </c>
      <c r="N95" t="s">
        <v>1</v>
      </c>
      <c r="O95" t="s">
        <v>0</v>
      </c>
      <c r="P95">
        <v>45</v>
      </c>
      <c r="Q95">
        <v>12</v>
      </c>
    </row>
    <row r="96" spans="1:17" x14ac:dyDescent="0.35">
      <c r="A96" t="s">
        <v>163</v>
      </c>
      <c r="B96" t="s">
        <v>162</v>
      </c>
      <c r="C96" t="s">
        <v>118</v>
      </c>
      <c r="D96" t="s">
        <v>117</v>
      </c>
      <c r="E96" t="s">
        <v>7</v>
      </c>
      <c r="F96" s="2">
        <v>45992</v>
      </c>
      <c r="G96" s="1">
        <v>46021</v>
      </c>
      <c r="H96" s="1">
        <v>46021</v>
      </c>
      <c r="I96" t="s">
        <v>156</v>
      </c>
      <c r="J96" t="s">
        <v>155</v>
      </c>
      <c r="K96" t="s">
        <v>154</v>
      </c>
      <c r="L96" t="s">
        <v>153</v>
      </c>
      <c r="M96" t="s">
        <v>161</v>
      </c>
      <c r="N96" t="s">
        <v>29</v>
      </c>
      <c r="O96" t="s">
        <v>0</v>
      </c>
      <c r="P96">
        <v>95</v>
      </c>
      <c r="Q96">
        <v>10</v>
      </c>
    </row>
    <row r="97" spans="1:17" x14ac:dyDescent="0.35">
      <c r="A97" t="s">
        <v>160</v>
      </c>
      <c r="B97" t="s">
        <v>51</v>
      </c>
      <c r="C97" t="s">
        <v>50</v>
      </c>
      <c r="D97" t="s">
        <v>49</v>
      </c>
      <c r="E97" t="s">
        <v>7</v>
      </c>
      <c r="F97" s="2">
        <v>46023</v>
      </c>
      <c r="G97" s="1">
        <v>46048</v>
      </c>
      <c r="H97" s="1">
        <v>46048</v>
      </c>
      <c r="I97" t="s">
        <v>159</v>
      </c>
      <c r="N97" t="s">
        <v>29</v>
      </c>
      <c r="O97" t="s">
        <v>0</v>
      </c>
      <c r="P97">
        <v>95</v>
      </c>
      <c r="Q97">
        <v>0</v>
      </c>
    </row>
    <row r="98" spans="1:17" x14ac:dyDescent="0.35">
      <c r="A98" t="s">
        <v>158</v>
      </c>
      <c r="B98" t="s">
        <v>157</v>
      </c>
      <c r="C98" t="s">
        <v>34</v>
      </c>
      <c r="D98" t="s">
        <v>33</v>
      </c>
      <c r="E98" t="s">
        <v>2</v>
      </c>
      <c r="F98" s="2">
        <v>46054</v>
      </c>
      <c r="G98" s="1">
        <v>46073</v>
      </c>
      <c r="H98" s="1">
        <v>46073</v>
      </c>
      <c r="I98" t="s">
        <v>156</v>
      </c>
      <c r="J98" t="s">
        <v>155</v>
      </c>
      <c r="K98" t="s">
        <v>154</v>
      </c>
      <c r="L98" t="s">
        <v>153</v>
      </c>
      <c r="M98" t="s">
        <v>152</v>
      </c>
      <c r="N98" t="s">
        <v>1</v>
      </c>
      <c r="O98" t="s">
        <v>0</v>
      </c>
      <c r="P98">
        <v>45</v>
      </c>
      <c r="Q98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8F65-15EB-4CAC-9E2C-7FB67D89F5C4}">
  <dimension ref="A1:F27"/>
  <sheetViews>
    <sheetView workbookViewId="0">
      <selection activeCell="U37" sqref="U37"/>
    </sheetView>
  </sheetViews>
  <sheetFormatPr defaultRowHeight="14.5" x14ac:dyDescent="0.35"/>
  <sheetData>
    <row r="1" spans="1:6" x14ac:dyDescent="0.35">
      <c r="A1" t="s">
        <v>311</v>
      </c>
      <c r="B1" t="s">
        <v>317</v>
      </c>
      <c r="C1" t="s">
        <v>316</v>
      </c>
      <c r="D1" t="s">
        <v>315</v>
      </c>
      <c r="E1" t="s">
        <v>314</v>
      </c>
      <c r="F1" t="s">
        <v>313</v>
      </c>
    </row>
    <row r="2" spans="1:6" x14ac:dyDescent="0.35">
      <c r="A2" s="2">
        <v>45292</v>
      </c>
      <c r="B2">
        <v>2</v>
      </c>
      <c r="C2">
        <v>48700</v>
      </c>
      <c r="D2">
        <v>48700</v>
      </c>
    </row>
    <row r="3" spans="1:6" x14ac:dyDescent="0.35">
      <c r="A3" s="2">
        <v>45323</v>
      </c>
      <c r="B3">
        <v>4</v>
      </c>
      <c r="C3">
        <v>10185</v>
      </c>
      <c r="D3">
        <v>58885</v>
      </c>
      <c r="E3">
        <v>48700</v>
      </c>
      <c r="F3">
        <v>-79.099999999999994</v>
      </c>
    </row>
    <row r="4" spans="1:6" x14ac:dyDescent="0.35">
      <c r="A4" s="2">
        <v>45352</v>
      </c>
      <c r="B4">
        <v>6</v>
      </c>
      <c r="C4">
        <v>77640</v>
      </c>
      <c r="D4">
        <v>136525</v>
      </c>
      <c r="E4">
        <v>10185</v>
      </c>
      <c r="F4">
        <v>662.3</v>
      </c>
    </row>
    <row r="5" spans="1:6" x14ac:dyDescent="0.35">
      <c r="A5" s="2">
        <v>45383</v>
      </c>
      <c r="B5">
        <v>8</v>
      </c>
      <c r="C5">
        <v>78930</v>
      </c>
      <c r="D5">
        <v>215455</v>
      </c>
      <c r="E5">
        <v>77640</v>
      </c>
      <c r="F5">
        <v>1.7</v>
      </c>
    </row>
    <row r="6" spans="1:6" x14ac:dyDescent="0.35">
      <c r="A6" s="2">
        <v>45413</v>
      </c>
      <c r="B6">
        <v>10</v>
      </c>
      <c r="C6">
        <v>17580</v>
      </c>
      <c r="D6">
        <v>233035</v>
      </c>
      <c r="E6">
        <v>78930</v>
      </c>
      <c r="F6">
        <v>-77.7</v>
      </c>
    </row>
    <row r="7" spans="1:6" x14ac:dyDescent="0.35">
      <c r="A7" s="2">
        <v>45444</v>
      </c>
      <c r="B7">
        <v>13</v>
      </c>
      <c r="C7">
        <v>20595</v>
      </c>
      <c r="D7">
        <v>253630</v>
      </c>
      <c r="E7">
        <v>17580</v>
      </c>
      <c r="F7">
        <v>17.2</v>
      </c>
    </row>
    <row r="8" spans="1:6" x14ac:dyDescent="0.35">
      <c r="A8" s="2">
        <v>45474</v>
      </c>
      <c r="B8">
        <v>16</v>
      </c>
      <c r="C8">
        <v>26400</v>
      </c>
      <c r="D8">
        <v>280030</v>
      </c>
      <c r="E8">
        <v>20595</v>
      </c>
      <c r="F8">
        <v>28.2</v>
      </c>
    </row>
    <row r="9" spans="1:6" x14ac:dyDescent="0.35">
      <c r="A9" s="2">
        <v>45505</v>
      </c>
      <c r="B9">
        <v>19</v>
      </c>
      <c r="C9">
        <v>106740</v>
      </c>
      <c r="D9">
        <v>386770</v>
      </c>
      <c r="E9">
        <v>26400</v>
      </c>
      <c r="F9">
        <v>304.3</v>
      </c>
    </row>
    <row r="10" spans="1:6" x14ac:dyDescent="0.35">
      <c r="A10" s="2">
        <v>45536</v>
      </c>
      <c r="B10">
        <v>22</v>
      </c>
      <c r="C10">
        <v>42010</v>
      </c>
      <c r="D10">
        <v>428780</v>
      </c>
      <c r="E10">
        <v>106740</v>
      </c>
      <c r="F10">
        <v>-60.6</v>
      </c>
    </row>
    <row r="11" spans="1:6" x14ac:dyDescent="0.35">
      <c r="A11" s="2">
        <v>45566</v>
      </c>
      <c r="B11">
        <v>25</v>
      </c>
      <c r="C11">
        <v>51390</v>
      </c>
      <c r="D11">
        <v>480170</v>
      </c>
      <c r="E11">
        <v>42010</v>
      </c>
      <c r="F11">
        <v>22.3</v>
      </c>
    </row>
    <row r="12" spans="1:6" x14ac:dyDescent="0.35">
      <c r="A12" s="2">
        <v>45597</v>
      </c>
      <c r="B12">
        <v>28</v>
      </c>
      <c r="C12">
        <v>55700</v>
      </c>
      <c r="D12">
        <v>535870</v>
      </c>
      <c r="E12">
        <v>51390</v>
      </c>
      <c r="F12">
        <v>8.4</v>
      </c>
    </row>
    <row r="13" spans="1:6" x14ac:dyDescent="0.35">
      <c r="A13" s="2">
        <v>45627</v>
      </c>
      <c r="B13">
        <v>31</v>
      </c>
      <c r="C13">
        <v>144560</v>
      </c>
      <c r="D13">
        <v>680430</v>
      </c>
      <c r="E13">
        <v>55700</v>
      </c>
      <c r="F13">
        <v>159.5</v>
      </c>
    </row>
    <row r="14" spans="1:6" x14ac:dyDescent="0.35">
      <c r="A14" s="2">
        <v>45658</v>
      </c>
      <c r="B14">
        <v>33</v>
      </c>
      <c r="C14">
        <v>139635</v>
      </c>
      <c r="D14">
        <v>820065</v>
      </c>
      <c r="E14">
        <v>144560</v>
      </c>
      <c r="F14">
        <v>-3.4</v>
      </c>
    </row>
    <row r="15" spans="1:6" x14ac:dyDescent="0.35">
      <c r="A15" s="2">
        <v>45689</v>
      </c>
      <c r="B15">
        <v>35</v>
      </c>
      <c r="C15">
        <v>74270</v>
      </c>
      <c r="D15">
        <v>894335</v>
      </c>
      <c r="E15">
        <v>139635</v>
      </c>
      <c r="F15">
        <v>-46.8</v>
      </c>
    </row>
    <row r="16" spans="1:6" x14ac:dyDescent="0.35">
      <c r="A16" s="2">
        <v>45717</v>
      </c>
      <c r="B16">
        <v>41</v>
      </c>
      <c r="C16">
        <v>232135</v>
      </c>
      <c r="D16">
        <v>1126470</v>
      </c>
      <c r="E16">
        <v>74270</v>
      </c>
      <c r="F16">
        <v>212.6</v>
      </c>
    </row>
    <row r="17" spans="1:6" x14ac:dyDescent="0.35">
      <c r="A17" s="2">
        <v>45748</v>
      </c>
      <c r="B17">
        <v>43</v>
      </c>
      <c r="C17">
        <v>154340</v>
      </c>
      <c r="D17">
        <v>1280810</v>
      </c>
      <c r="E17">
        <v>232135</v>
      </c>
      <c r="F17">
        <v>-33.5</v>
      </c>
    </row>
    <row r="18" spans="1:6" x14ac:dyDescent="0.35">
      <c r="A18" s="2">
        <v>45778</v>
      </c>
      <c r="B18">
        <v>46</v>
      </c>
      <c r="C18">
        <v>101505</v>
      </c>
      <c r="D18">
        <v>1382315</v>
      </c>
      <c r="E18">
        <v>154340</v>
      </c>
      <c r="F18">
        <v>-34.200000000000003</v>
      </c>
    </row>
    <row r="19" spans="1:6" x14ac:dyDescent="0.35">
      <c r="A19" s="2">
        <v>45809</v>
      </c>
      <c r="B19">
        <v>48</v>
      </c>
      <c r="C19">
        <v>108815</v>
      </c>
      <c r="D19">
        <v>1491130</v>
      </c>
      <c r="E19">
        <v>101505</v>
      </c>
      <c r="F19">
        <v>7.2</v>
      </c>
    </row>
    <row r="20" spans="1:6" x14ac:dyDescent="0.35">
      <c r="A20" s="2">
        <v>45839</v>
      </c>
      <c r="B20">
        <v>46</v>
      </c>
      <c r="C20">
        <v>108170</v>
      </c>
      <c r="D20">
        <v>1599300</v>
      </c>
      <c r="E20">
        <v>108815</v>
      </c>
      <c r="F20">
        <v>-0.6</v>
      </c>
    </row>
    <row r="21" spans="1:6" x14ac:dyDescent="0.35">
      <c r="A21" s="2">
        <v>45870</v>
      </c>
      <c r="B21">
        <v>46</v>
      </c>
      <c r="C21">
        <v>184260</v>
      </c>
      <c r="D21">
        <v>1783560</v>
      </c>
      <c r="E21">
        <v>108170</v>
      </c>
      <c r="F21">
        <v>70.3</v>
      </c>
    </row>
    <row r="22" spans="1:6" x14ac:dyDescent="0.35">
      <c r="A22" s="2">
        <v>45901</v>
      </c>
      <c r="B22">
        <v>44</v>
      </c>
      <c r="C22">
        <v>104855</v>
      </c>
      <c r="D22">
        <v>1888415</v>
      </c>
      <c r="E22">
        <v>184260</v>
      </c>
      <c r="F22">
        <v>-43.1</v>
      </c>
    </row>
    <row r="23" spans="1:6" x14ac:dyDescent="0.35">
      <c r="A23" s="2">
        <v>45931</v>
      </c>
      <c r="B23">
        <v>45</v>
      </c>
      <c r="C23">
        <v>107115</v>
      </c>
      <c r="D23">
        <v>1995530</v>
      </c>
      <c r="E23">
        <v>104855</v>
      </c>
      <c r="F23">
        <v>2.2000000000000002</v>
      </c>
    </row>
    <row r="24" spans="1:6" x14ac:dyDescent="0.35">
      <c r="A24" s="2">
        <v>45962</v>
      </c>
      <c r="B24">
        <v>45</v>
      </c>
      <c r="C24">
        <v>107760</v>
      </c>
      <c r="D24">
        <v>2103290</v>
      </c>
      <c r="E24">
        <v>107115</v>
      </c>
      <c r="F24">
        <v>0.6</v>
      </c>
    </row>
    <row r="25" spans="1:6" x14ac:dyDescent="0.35">
      <c r="A25" s="2">
        <v>45992</v>
      </c>
      <c r="B25">
        <v>46</v>
      </c>
      <c r="C25">
        <v>190280</v>
      </c>
      <c r="D25">
        <v>2293570</v>
      </c>
      <c r="E25">
        <v>107760</v>
      </c>
      <c r="F25">
        <v>76.599999999999994</v>
      </c>
    </row>
    <row r="26" spans="1:6" x14ac:dyDescent="0.35">
      <c r="A26" s="2">
        <v>46023</v>
      </c>
      <c r="B26">
        <v>47</v>
      </c>
      <c r="C26">
        <v>179985</v>
      </c>
      <c r="D26">
        <v>2473555</v>
      </c>
      <c r="E26">
        <v>190280</v>
      </c>
      <c r="F26">
        <v>-5.4</v>
      </c>
    </row>
    <row r="27" spans="1:6" x14ac:dyDescent="0.35">
      <c r="A27" s="2">
        <v>46054</v>
      </c>
      <c r="B27">
        <v>2</v>
      </c>
      <c r="C27">
        <v>2075</v>
      </c>
      <c r="D27">
        <v>2475630</v>
      </c>
      <c r="E27">
        <v>179985</v>
      </c>
      <c r="F27">
        <v>-98.8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7F91-137F-413D-A412-6FCCF6EC5331}">
  <dimension ref="A1:C25"/>
  <sheetViews>
    <sheetView workbookViewId="0">
      <selection activeCell="S2" sqref="S2"/>
    </sheetView>
  </sheetViews>
  <sheetFormatPr defaultRowHeight="14.5" x14ac:dyDescent="0.35"/>
  <cols>
    <col min="1" max="1" width="17" bestFit="1" customWidth="1"/>
    <col min="2" max="2" width="18.1796875" customWidth="1"/>
    <col min="3" max="3" width="29.08984375" customWidth="1"/>
  </cols>
  <sheetData>
    <row r="1" spans="1:3" x14ac:dyDescent="0.35">
      <c r="A1" t="s">
        <v>146</v>
      </c>
      <c r="B1" t="s">
        <v>318</v>
      </c>
    </row>
    <row r="2" spans="1:3" x14ac:dyDescent="0.35">
      <c r="A2" t="s">
        <v>1</v>
      </c>
      <c r="B2">
        <v>45</v>
      </c>
    </row>
    <row r="3" spans="1:3" x14ac:dyDescent="0.35">
      <c r="A3" t="s">
        <v>29</v>
      </c>
      <c r="B3">
        <v>95</v>
      </c>
    </row>
    <row r="4" spans="1:3" x14ac:dyDescent="0.35">
      <c r="A4" t="s">
        <v>116</v>
      </c>
      <c r="B4">
        <v>180</v>
      </c>
    </row>
    <row r="5" spans="1:3" x14ac:dyDescent="0.35">
      <c r="A5" t="s">
        <v>24</v>
      </c>
      <c r="B5">
        <v>85</v>
      </c>
    </row>
    <row r="6" spans="1:3" x14ac:dyDescent="0.35">
      <c r="A6" t="s">
        <v>42</v>
      </c>
      <c r="B6">
        <v>110</v>
      </c>
    </row>
    <row r="7" spans="1:3" x14ac:dyDescent="0.35">
      <c r="A7" t="s">
        <v>120</v>
      </c>
      <c r="B7">
        <v>150</v>
      </c>
    </row>
    <row r="9" spans="1:3" x14ac:dyDescent="0.35">
      <c r="A9" s="17" t="s">
        <v>356</v>
      </c>
      <c r="B9" s="18"/>
      <c r="C9" s="18"/>
    </row>
    <row r="10" spans="1:3" x14ac:dyDescent="0.35">
      <c r="A10" s="8" t="s">
        <v>357</v>
      </c>
      <c r="B10" s="8" t="s">
        <v>358</v>
      </c>
      <c r="C10" s="8" t="s">
        <v>359</v>
      </c>
    </row>
    <row r="11" spans="1:3" x14ac:dyDescent="0.35">
      <c r="A11" s="7" t="s">
        <v>360</v>
      </c>
      <c r="B11" s="7" t="s">
        <v>361</v>
      </c>
      <c r="C11" s="7" t="s">
        <v>362</v>
      </c>
    </row>
    <row r="12" spans="1:3" x14ac:dyDescent="0.35">
      <c r="A12" s="7" t="s">
        <v>360</v>
      </c>
      <c r="B12" s="7" t="s">
        <v>363</v>
      </c>
      <c r="C12" s="7" t="s">
        <v>364</v>
      </c>
    </row>
    <row r="13" spans="1:3" x14ac:dyDescent="0.35">
      <c r="A13" s="7" t="s">
        <v>360</v>
      </c>
      <c r="B13" s="7" t="s">
        <v>365</v>
      </c>
      <c r="C13" s="7" t="s">
        <v>366</v>
      </c>
    </row>
    <row r="14" spans="1:3" x14ac:dyDescent="0.35">
      <c r="A14" s="7" t="s">
        <v>360</v>
      </c>
      <c r="B14" s="7" t="s">
        <v>367</v>
      </c>
      <c r="C14" s="7" t="s">
        <v>368</v>
      </c>
    </row>
    <row r="15" spans="1:3" x14ac:dyDescent="0.35">
      <c r="A15" s="7" t="s">
        <v>360</v>
      </c>
      <c r="B15" s="7" t="s">
        <v>369</v>
      </c>
      <c r="C15" s="7" t="s">
        <v>370</v>
      </c>
    </row>
    <row r="16" spans="1:3" x14ac:dyDescent="0.35">
      <c r="A16" s="7" t="s">
        <v>371</v>
      </c>
      <c r="B16" s="7" t="s">
        <v>372</v>
      </c>
      <c r="C16" s="7" t="s">
        <v>373</v>
      </c>
    </row>
    <row r="17" spans="1:3" x14ac:dyDescent="0.35">
      <c r="A17" s="7" t="s">
        <v>371</v>
      </c>
      <c r="B17" s="7" t="s">
        <v>374</v>
      </c>
      <c r="C17" s="7" t="s">
        <v>364</v>
      </c>
    </row>
    <row r="18" spans="1:3" x14ac:dyDescent="0.35">
      <c r="A18" s="7" t="s">
        <v>371</v>
      </c>
      <c r="B18" s="7" t="s">
        <v>363</v>
      </c>
      <c r="C18" s="7" t="s">
        <v>375</v>
      </c>
    </row>
    <row r="19" spans="1:3" x14ac:dyDescent="0.35">
      <c r="A19" s="7" t="s">
        <v>371</v>
      </c>
      <c r="B19" s="7" t="s">
        <v>365</v>
      </c>
      <c r="C19" s="7" t="s">
        <v>376</v>
      </c>
    </row>
    <row r="20" spans="1:3" x14ac:dyDescent="0.35">
      <c r="A20" s="7" t="s">
        <v>371</v>
      </c>
      <c r="B20" s="7" t="s">
        <v>377</v>
      </c>
      <c r="C20" s="7" t="s">
        <v>368</v>
      </c>
    </row>
    <row r="21" spans="1:3" x14ac:dyDescent="0.35">
      <c r="A21" s="7" t="s">
        <v>349</v>
      </c>
      <c r="B21" s="7" t="s">
        <v>378</v>
      </c>
      <c r="C21" s="7" t="s">
        <v>379</v>
      </c>
    </row>
    <row r="22" spans="1:3" x14ac:dyDescent="0.35">
      <c r="A22" s="7" t="s">
        <v>349</v>
      </c>
      <c r="B22" s="7" t="s">
        <v>380</v>
      </c>
      <c r="C22" s="7" t="s">
        <v>381</v>
      </c>
    </row>
    <row r="23" spans="1:3" x14ac:dyDescent="0.35">
      <c r="A23" s="7" t="s">
        <v>349</v>
      </c>
      <c r="B23" s="7" t="s">
        <v>382</v>
      </c>
      <c r="C23" s="7" t="s">
        <v>383</v>
      </c>
    </row>
    <row r="24" spans="1:3" x14ac:dyDescent="0.35">
      <c r="A24" s="7" t="s">
        <v>349</v>
      </c>
      <c r="B24" s="7" t="s">
        <v>384</v>
      </c>
      <c r="C24" s="7" t="s">
        <v>385</v>
      </c>
    </row>
    <row r="25" spans="1:3" x14ac:dyDescent="0.35">
      <c r="A25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8476-86C9-4499-91B7-D0622595FAF9}">
  <dimension ref="A1:T98"/>
  <sheetViews>
    <sheetView topLeftCell="C1" workbookViewId="0">
      <selection activeCell="S2" sqref="S2"/>
    </sheetView>
  </sheetViews>
  <sheetFormatPr defaultRowHeight="14.5" x14ac:dyDescent="0.35"/>
  <cols>
    <col min="1" max="1" width="9.90625" customWidth="1"/>
    <col min="2" max="2" width="15.81640625" customWidth="1"/>
    <col min="3" max="3" width="13.1796875" customWidth="1"/>
    <col min="4" max="4" width="24.36328125" bestFit="1" customWidth="1"/>
    <col min="5" max="5" width="14.36328125" bestFit="1" customWidth="1"/>
    <col min="6" max="6" width="8.26953125" customWidth="1"/>
    <col min="7" max="7" width="12" customWidth="1"/>
    <col min="8" max="8" width="14" bestFit="1" customWidth="1"/>
    <col min="9" max="9" width="14.453125" bestFit="1" customWidth="1"/>
    <col min="10" max="10" width="17" bestFit="1" customWidth="1"/>
    <col min="11" max="11" width="15" bestFit="1" customWidth="1"/>
    <col min="12" max="12" width="53.81640625" bestFit="1" customWidth="1"/>
    <col min="13" max="13" width="17" bestFit="1" customWidth="1"/>
    <col min="14" max="14" width="13.36328125" customWidth="1"/>
    <col min="15" max="15" width="7.26953125" customWidth="1"/>
    <col min="16" max="16" width="15" customWidth="1"/>
    <col min="17" max="17" width="17.453125" customWidth="1"/>
    <col min="18" max="18" width="11.7265625" customWidth="1"/>
    <col min="19" max="19" width="10.81640625" style="4" customWidth="1"/>
  </cols>
  <sheetData>
    <row r="1" spans="1:19" x14ac:dyDescent="0.35">
      <c r="A1" t="s">
        <v>312</v>
      </c>
      <c r="B1" t="s">
        <v>151</v>
      </c>
      <c r="C1" t="s">
        <v>150</v>
      </c>
      <c r="D1" t="s">
        <v>149</v>
      </c>
      <c r="E1" t="s">
        <v>147</v>
      </c>
      <c r="F1" t="s">
        <v>311</v>
      </c>
      <c r="G1" t="s">
        <v>310</v>
      </c>
      <c r="H1" t="s">
        <v>309</v>
      </c>
      <c r="I1" t="s">
        <v>308</v>
      </c>
      <c r="J1" t="s">
        <v>307</v>
      </c>
      <c r="K1" t="s">
        <v>306</v>
      </c>
      <c r="L1" t="s">
        <v>305</v>
      </c>
      <c r="M1" t="s">
        <v>146</v>
      </c>
      <c r="N1" t="s">
        <v>145</v>
      </c>
      <c r="O1" t="s">
        <v>169</v>
      </c>
      <c r="P1" t="s">
        <v>184</v>
      </c>
      <c r="Q1" t="s">
        <v>165</v>
      </c>
      <c r="R1" t="s">
        <v>319</v>
      </c>
      <c r="S1" s="4" t="s">
        <v>321</v>
      </c>
    </row>
    <row r="2" spans="1:19" x14ac:dyDescent="0.35">
      <c r="A2" t="s">
        <v>304</v>
      </c>
      <c r="B2" t="s">
        <v>281</v>
      </c>
      <c r="C2" t="s">
        <v>53</v>
      </c>
      <c r="D2" t="s">
        <v>52</v>
      </c>
      <c r="E2" t="s">
        <v>2</v>
      </c>
      <c r="F2" s="2">
        <v>45292</v>
      </c>
      <c r="G2" s="1">
        <v>45299</v>
      </c>
      <c r="H2" t="s">
        <v>159</v>
      </c>
      <c r="M2" t="s">
        <v>29</v>
      </c>
      <c r="N2" t="s">
        <v>0</v>
      </c>
      <c r="O2">
        <v>20</v>
      </c>
      <c r="P2">
        <v>95</v>
      </c>
      <c r="Q2">
        <v>0</v>
      </c>
      <c r="R2" t="str" cm="1">
        <f t="array" ref="R2">_xlfn.IFS(H2="created", "New", H2="cancelled", "Churned", AND(H2="seats_change", J2 &gt; I2), "Expansion", AND(H2="seats_change", J2 &lt; I2), "Contraction", AND(H2="price_change", J2 &gt; I2), "Expansion", AND(H2="price_change", J2 &lt; I2), "Contraction", H2="plan_upgrade", "Expansion", H2="plan_downgrade", "Contraction", H2="discount_added", "Contraction")</f>
        <v>New</v>
      </c>
      <c r="S2" s="5" cm="1">
        <f t="array" ref="S2">_xlfn.IFS(H2="created",O2*P2*(1-Q2/100),H2="cancelled",-(O2*P2*(1-Q2/100)),H2="seats_change",(J2-I2)*P2*(1-Q2/100),H2="price_change",(J2-I2)*O2*(1-Q2/100),H2="discount_added",-(O2*P2*(J2-I2)/100),H2="plan_upgrade",O2*(_xlfn.XLOOKUP(J2,tbl_Plans[plan_name],tbl_Plans[monthly_price])-_xlfn.XLOOKUP(I2,tbl_Plans[plan_name],tbl_Plans[monthly_price]))*(1-Q2/100),H2="plan_downgrade",O2*(_xlfn.XLOOKUP(J2,tbl_Plans[plan_name],tbl_Plans[monthly_price])-_xlfn.XLOOKUP(I2,tbl_Plans[plan_name],tbl_Plans[monthly_price]))*(1-Q2/100))*IF(N2="Annual",1/12,1)</f>
        <v>1900</v>
      </c>
    </row>
    <row r="3" spans="1:19" x14ac:dyDescent="0.35">
      <c r="A3" t="s">
        <v>303</v>
      </c>
      <c r="B3" t="s">
        <v>121</v>
      </c>
      <c r="C3" t="s">
        <v>75</v>
      </c>
      <c r="D3" t="s">
        <v>74</v>
      </c>
      <c r="E3" t="s">
        <v>7</v>
      </c>
      <c r="F3" s="2">
        <v>45292</v>
      </c>
      <c r="G3" s="1">
        <v>45313</v>
      </c>
      <c r="H3" t="s">
        <v>159</v>
      </c>
      <c r="M3" t="s">
        <v>120</v>
      </c>
      <c r="N3" t="s">
        <v>73</v>
      </c>
      <c r="O3">
        <v>26</v>
      </c>
      <c r="P3">
        <v>1800</v>
      </c>
      <c r="Q3">
        <v>0</v>
      </c>
      <c r="R3" t="str" cm="1">
        <f t="array" ref="R3">_xlfn.IFS(H3="created", "New", H3="cancelled", "Churned", AND(H3="seats_change", J3 &gt; I3), "Expansion", AND(H3="seats_change", J3 &lt; I3), "Contraction", AND(H3="price_change", J3 &gt; I3), "Expansion", AND(H3="price_change", J3 &lt; I3), "Contraction", H3="plan_upgrade", "Expansion", H3="plan_downgrade", "Contraction", H3="discount_added", "Contraction")</f>
        <v>New</v>
      </c>
      <c r="S3" s="5" cm="1">
        <f t="array" ref="S3">_xlfn.IFS(H3="created",O3*P3*(1-Q3/100),H3="cancelled",-(O3*P3*(1-Q3/100)),H3="seats_change",(J3-I3)*P3*(1-Q3/100),H3="price_change",(J3-I3)*O3*(1-Q3/100),H3="discount_added",-(O3*P3*(J3-I3)/100),H3="plan_upgrade",O3*(_xlfn.XLOOKUP(J3,tbl_Plans[plan_name],tbl_Plans[monthly_price])-_xlfn.XLOOKUP(I3,tbl_Plans[plan_name],tbl_Plans[monthly_price]))*(1-Q3/100),H3="plan_downgrade",O3*(_xlfn.XLOOKUP(J3,tbl_Plans[plan_name],tbl_Plans[monthly_price])-_xlfn.XLOOKUP(I3,tbl_Plans[plan_name],tbl_Plans[monthly_price]))*(1-Q3/100))*IF(N3="Annual",1/12,1)</f>
        <v>3900</v>
      </c>
    </row>
    <row r="4" spans="1:19" x14ac:dyDescent="0.35">
      <c r="A4" t="s">
        <v>302</v>
      </c>
      <c r="B4" t="s">
        <v>66</v>
      </c>
      <c r="C4" t="s">
        <v>65</v>
      </c>
      <c r="D4" t="s">
        <v>64</v>
      </c>
      <c r="E4" t="s">
        <v>2</v>
      </c>
      <c r="F4" s="2">
        <v>45323</v>
      </c>
      <c r="G4" s="1">
        <v>45327</v>
      </c>
      <c r="H4" t="s">
        <v>159</v>
      </c>
      <c r="M4" t="s">
        <v>24</v>
      </c>
      <c r="N4" t="s">
        <v>0</v>
      </c>
      <c r="O4">
        <v>23</v>
      </c>
      <c r="P4">
        <v>85</v>
      </c>
      <c r="Q4">
        <v>0</v>
      </c>
      <c r="R4" t="str" cm="1">
        <f t="array" ref="R4">_xlfn.IFS(H4="created", "New", H4="cancelled", "Churned", AND(H4="seats_change", J4 &gt; I4), "Expansion", AND(H4="seats_change", J4 &lt; I4), "Contraction", AND(H4="price_change", J4 &gt; I4), "Expansion", AND(H4="price_change", J4 &lt; I4), "Contraction", H4="plan_upgrade", "Expansion", H4="plan_downgrade", "Contraction", H4="discount_added", "Contraction")</f>
        <v>New</v>
      </c>
      <c r="S4" s="5" cm="1">
        <f t="array" ref="S4">_xlfn.IFS(H4="created",O4*P4*(1-Q4/100),H4="cancelled",-(O4*P4*(1-Q4/100)),H4="seats_change",(J4-I4)*P4*(1-Q4/100),H4="price_change",(J4-I4)*O4*(1-Q4/100),H4="discount_added",-(O4*P4*(J4-I4)/100),H4="plan_upgrade",O4*(_xlfn.XLOOKUP(J4,tbl_Plans[plan_name],tbl_Plans[monthly_price])-_xlfn.XLOOKUP(I4,tbl_Plans[plan_name],tbl_Plans[monthly_price]))*(1-Q4/100),H4="plan_downgrade",O4*(_xlfn.XLOOKUP(J4,tbl_Plans[plan_name],tbl_Plans[monthly_price])-_xlfn.XLOOKUP(I4,tbl_Plans[plan_name],tbl_Plans[monthly_price]))*(1-Q4/100))*IF(N4="Annual",1/12,1)</f>
        <v>1955</v>
      </c>
    </row>
    <row r="5" spans="1:19" x14ac:dyDescent="0.35">
      <c r="A5" t="s">
        <v>301</v>
      </c>
      <c r="B5" t="s">
        <v>69</v>
      </c>
      <c r="C5" t="s">
        <v>68</v>
      </c>
      <c r="D5" t="s">
        <v>67</v>
      </c>
      <c r="E5" t="s">
        <v>7</v>
      </c>
      <c r="F5" s="2">
        <v>45323</v>
      </c>
      <c r="G5" s="1">
        <v>45341</v>
      </c>
      <c r="H5" t="s">
        <v>159</v>
      </c>
      <c r="M5" t="s">
        <v>42</v>
      </c>
      <c r="N5" t="s">
        <v>0</v>
      </c>
      <c r="O5">
        <v>18</v>
      </c>
      <c r="P5">
        <v>110</v>
      </c>
      <c r="Q5">
        <v>0</v>
      </c>
      <c r="R5" t="str" cm="1">
        <f t="array" ref="R5">_xlfn.IFS(H5="created", "New", H5="cancelled", "Churned", AND(H5="seats_change", J5 &gt; I5), "Expansion", AND(H5="seats_change", J5 &lt; I5), "Contraction", AND(H5="price_change", J5 &gt; I5), "Expansion", AND(H5="price_change", J5 &lt; I5), "Contraction", H5="plan_upgrade", "Expansion", H5="plan_downgrade", "Contraction", H5="discount_added", "Contraction")</f>
        <v>New</v>
      </c>
      <c r="S5" s="5" cm="1">
        <f t="array" ref="S5">_xlfn.IFS(H5="created",O5*P5*(1-Q5/100),H5="cancelled",-(O5*P5*(1-Q5/100)),H5="seats_change",(J5-I5)*P5*(1-Q5/100),H5="price_change",(J5-I5)*O5*(1-Q5/100),H5="discount_added",-(O5*P5*(J5-I5)/100),H5="plan_upgrade",O5*(_xlfn.XLOOKUP(J5,tbl_Plans[plan_name],tbl_Plans[monthly_price])-_xlfn.XLOOKUP(I5,tbl_Plans[plan_name],tbl_Plans[monthly_price]))*(1-Q5/100),H5="plan_downgrade",O5*(_xlfn.XLOOKUP(J5,tbl_Plans[plan_name],tbl_Plans[monthly_price])-_xlfn.XLOOKUP(I5,tbl_Plans[plan_name],tbl_Plans[monthly_price]))*(1-Q5/100))*IF(N5="Annual",1/12,1)</f>
        <v>1980</v>
      </c>
    </row>
    <row r="6" spans="1:19" x14ac:dyDescent="0.35">
      <c r="A6" t="s">
        <v>300</v>
      </c>
      <c r="B6" t="s">
        <v>191</v>
      </c>
      <c r="C6" t="s">
        <v>68</v>
      </c>
      <c r="D6" t="s">
        <v>67</v>
      </c>
      <c r="E6" t="s">
        <v>7</v>
      </c>
      <c r="F6" s="2">
        <v>45323</v>
      </c>
      <c r="G6" s="1">
        <v>45341</v>
      </c>
      <c r="H6" t="s">
        <v>159</v>
      </c>
      <c r="M6" t="s">
        <v>116</v>
      </c>
      <c r="N6" t="s">
        <v>0</v>
      </c>
      <c r="O6">
        <v>26</v>
      </c>
      <c r="P6">
        <v>180</v>
      </c>
      <c r="Q6">
        <v>0</v>
      </c>
      <c r="R6" t="str" cm="1">
        <f t="array" ref="R6">_xlfn.IFS(H6="created", "New", H6="cancelled", "Churned", AND(H6="seats_change", J6 &gt; I6), "Expansion", AND(H6="seats_change", J6 &lt; I6), "Contraction", AND(H6="price_change", J6 &gt; I6), "Expansion", AND(H6="price_change", J6 &lt; I6), "Contraction", H6="plan_upgrade", "Expansion", H6="plan_downgrade", "Contraction", H6="discount_added", "Contraction")</f>
        <v>New</v>
      </c>
      <c r="S6" s="5" cm="1">
        <f t="array" ref="S6">_xlfn.IFS(H6="created",O6*P6*(1-Q6/100),H6="cancelled",-(O6*P6*(1-Q6/100)),H6="seats_change",(J6-I6)*P6*(1-Q6/100),H6="price_change",(J6-I6)*O6*(1-Q6/100),H6="discount_added",-(O6*P6*(J6-I6)/100),H6="plan_upgrade",O6*(_xlfn.XLOOKUP(J6,tbl_Plans[plan_name],tbl_Plans[monthly_price])-_xlfn.XLOOKUP(I6,tbl_Plans[plan_name],tbl_Plans[monthly_price]))*(1-Q6/100),H6="plan_downgrade",O6*(_xlfn.XLOOKUP(J6,tbl_Plans[plan_name],tbl_Plans[monthly_price])-_xlfn.XLOOKUP(I6,tbl_Plans[plan_name],tbl_Plans[monthly_price]))*(1-Q6/100))*IF(N6="Annual",1/12,1)</f>
        <v>4680</v>
      </c>
    </row>
    <row r="7" spans="1:19" x14ac:dyDescent="0.35">
      <c r="A7" t="s">
        <v>299</v>
      </c>
      <c r="B7" t="s">
        <v>269</v>
      </c>
      <c r="C7" t="s">
        <v>268</v>
      </c>
      <c r="D7" t="s">
        <v>267</v>
      </c>
      <c r="E7" t="s">
        <v>2</v>
      </c>
      <c r="F7" s="2">
        <v>45352</v>
      </c>
      <c r="G7" s="1">
        <v>45355</v>
      </c>
      <c r="H7" t="s">
        <v>159</v>
      </c>
      <c r="M7" t="s">
        <v>1</v>
      </c>
      <c r="N7" t="s">
        <v>0</v>
      </c>
      <c r="O7">
        <v>11</v>
      </c>
      <c r="P7">
        <v>45</v>
      </c>
      <c r="Q7">
        <v>0</v>
      </c>
      <c r="R7" t="str" cm="1">
        <f t="array" ref="R7">_xlfn.IFS(H7="created", "New", H7="cancelled", "Churned", AND(H7="seats_change", J7 &gt; I7), "Expansion", AND(H7="seats_change", J7 &lt; I7), "Contraction", AND(H7="price_change", J7 &gt; I7), "Expansion", AND(H7="price_change", J7 &lt; I7), "Contraction", H7="plan_upgrade", "Expansion", H7="plan_downgrade", "Contraction", H7="discount_added", "Contraction")</f>
        <v>New</v>
      </c>
      <c r="S7" s="5" cm="1">
        <f t="array" ref="S7">_xlfn.IFS(H7="created",O7*P7*(1-Q7/100),H7="cancelled",-(O7*P7*(1-Q7/100)),H7="seats_change",(J7-I7)*P7*(1-Q7/100),H7="price_change",(J7-I7)*O7*(1-Q7/100),H7="discount_added",-(O7*P7*(J7-I7)/100),H7="plan_upgrade",O7*(_xlfn.XLOOKUP(J7,tbl_Plans[plan_name],tbl_Plans[monthly_price])-_xlfn.XLOOKUP(I7,tbl_Plans[plan_name],tbl_Plans[monthly_price]))*(1-Q7/100),H7="plan_downgrade",O7*(_xlfn.XLOOKUP(J7,tbl_Plans[plan_name],tbl_Plans[monthly_price])-_xlfn.XLOOKUP(I7,tbl_Plans[plan_name],tbl_Plans[monthly_price]))*(1-Q7/100))*IF(N7="Annual",1/12,1)</f>
        <v>495</v>
      </c>
    </row>
    <row r="8" spans="1:19" x14ac:dyDescent="0.35">
      <c r="A8" t="s">
        <v>298</v>
      </c>
      <c r="B8" t="s">
        <v>136</v>
      </c>
      <c r="C8" t="s">
        <v>98</v>
      </c>
      <c r="D8" t="s">
        <v>97</v>
      </c>
      <c r="E8" t="s">
        <v>7</v>
      </c>
      <c r="F8" s="2">
        <v>45352</v>
      </c>
      <c r="G8" s="1">
        <v>45369</v>
      </c>
      <c r="H8" t="s">
        <v>159</v>
      </c>
      <c r="M8" t="s">
        <v>116</v>
      </c>
      <c r="N8" t="s">
        <v>73</v>
      </c>
      <c r="O8">
        <v>31</v>
      </c>
      <c r="P8">
        <v>2160</v>
      </c>
      <c r="Q8">
        <v>0</v>
      </c>
      <c r="R8" t="str" cm="1">
        <f t="array" ref="R8">_xlfn.IFS(H8="created", "New", H8="cancelled", "Churned", AND(H8="seats_change", J8 &gt; I8), "Expansion", AND(H8="seats_change", J8 &lt; I8), "Contraction", AND(H8="price_change", J8 &gt; I8), "Expansion", AND(H8="price_change", J8 &lt; I8), "Contraction", H8="plan_upgrade", "Expansion", H8="plan_downgrade", "Contraction", H8="discount_added", "Contraction")</f>
        <v>New</v>
      </c>
      <c r="S8" s="5" cm="1">
        <f t="array" ref="S8">_xlfn.IFS(H8="created",O8*P8*(1-Q8/100),H8="cancelled",-(O8*P8*(1-Q8/100)),H8="seats_change",(J8-I8)*P8*(1-Q8/100),H8="price_change",(J8-I8)*O8*(1-Q8/100),H8="discount_added",-(O8*P8*(J8-I8)/100),H8="plan_upgrade",O8*(_xlfn.XLOOKUP(J8,tbl_Plans[plan_name],tbl_Plans[monthly_price])-_xlfn.XLOOKUP(I8,tbl_Plans[plan_name],tbl_Plans[monthly_price]))*(1-Q8/100),H8="plan_downgrade",O8*(_xlfn.XLOOKUP(J8,tbl_Plans[plan_name],tbl_Plans[monthly_price])-_xlfn.XLOOKUP(I8,tbl_Plans[plan_name],tbl_Plans[monthly_price]))*(1-Q8/100))*IF(N8="Annual",1/12,1)</f>
        <v>5580</v>
      </c>
    </row>
    <row r="9" spans="1:19" x14ac:dyDescent="0.35">
      <c r="A9" t="s">
        <v>297</v>
      </c>
      <c r="B9" t="s">
        <v>35</v>
      </c>
      <c r="C9" t="s">
        <v>34</v>
      </c>
      <c r="D9" t="s">
        <v>33</v>
      </c>
      <c r="E9" t="s">
        <v>2</v>
      </c>
      <c r="F9" s="2">
        <v>45383</v>
      </c>
      <c r="G9" s="1">
        <v>45383</v>
      </c>
      <c r="H9" t="s">
        <v>159</v>
      </c>
      <c r="M9" t="s">
        <v>24</v>
      </c>
      <c r="N9" t="s">
        <v>0</v>
      </c>
      <c r="O9">
        <v>16</v>
      </c>
      <c r="P9">
        <v>85</v>
      </c>
      <c r="Q9">
        <v>0</v>
      </c>
      <c r="R9" t="str" cm="1">
        <f t="array" ref="R9">_xlfn.IFS(H9="created", "New", H9="cancelled", "Churned", AND(H9="seats_change", J9 &gt; I9), "Expansion", AND(H9="seats_change", J9 &lt; I9), "Contraction", AND(H9="price_change", J9 &gt; I9), "Expansion", AND(H9="price_change", J9 &lt; I9), "Contraction", H9="plan_upgrade", "Expansion", H9="plan_downgrade", "Contraction", H9="discount_added", "Contraction")</f>
        <v>New</v>
      </c>
      <c r="S9" s="5" cm="1">
        <f t="array" ref="S9">_xlfn.IFS(H9="created",O9*P9*(1-Q9/100),H9="cancelled",-(O9*P9*(1-Q9/100)),H9="seats_change",(J9-I9)*P9*(1-Q9/100),H9="price_change",(J9-I9)*O9*(1-Q9/100),H9="discount_added",-(O9*P9*(J9-I9)/100),H9="plan_upgrade",O9*(_xlfn.XLOOKUP(J9,tbl_Plans[plan_name],tbl_Plans[monthly_price])-_xlfn.XLOOKUP(I9,tbl_Plans[plan_name],tbl_Plans[monthly_price]))*(1-Q9/100),H9="plan_downgrade",O9*(_xlfn.XLOOKUP(J9,tbl_Plans[plan_name],tbl_Plans[monthly_price])-_xlfn.XLOOKUP(I9,tbl_Plans[plan_name],tbl_Plans[monthly_price]))*(1-Q9/100))*IF(N9="Annual",1/12,1)</f>
        <v>1360</v>
      </c>
    </row>
    <row r="10" spans="1:19" x14ac:dyDescent="0.35">
      <c r="A10" t="s">
        <v>296</v>
      </c>
      <c r="B10" t="s">
        <v>157</v>
      </c>
      <c r="C10" t="s">
        <v>34</v>
      </c>
      <c r="D10" t="s">
        <v>33</v>
      </c>
      <c r="E10" t="s">
        <v>2</v>
      </c>
      <c r="F10" s="2">
        <v>45383</v>
      </c>
      <c r="G10" s="1">
        <v>45383</v>
      </c>
      <c r="H10" t="s">
        <v>159</v>
      </c>
      <c r="M10" t="s">
        <v>1</v>
      </c>
      <c r="N10" t="s">
        <v>0</v>
      </c>
      <c r="O10">
        <v>15</v>
      </c>
      <c r="P10">
        <v>45</v>
      </c>
      <c r="Q10">
        <v>12</v>
      </c>
      <c r="R10" t="str" cm="1">
        <f t="array" ref="R10">_xlfn.IFS(H10="created", "New", H10="cancelled", "Churned", AND(H10="seats_change", J10 &gt; I10), "Expansion", AND(H10="seats_change", J10 &lt; I10), "Contraction", AND(H10="price_change", J10 &gt; I10), "Expansion", AND(H10="price_change", J10 &lt; I10), "Contraction", H10="plan_upgrade", "Expansion", H10="plan_downgrade", "Contraction", H10="discount_added", "Contraction")</f>
        <v>New</v>
      </c>
      <c r="S10" s="5" cm="1">
        <f t="array" ref="S10">_xlfn.IFS(H10="created",O10*P10*(1-Q10/100),H10="cancelled",-(O10*P10*(1-Q10/100)),H10="seats_change",(J10-I10)*P10*(1-Q10/100),H10="price_change",(J10-I10)*O10*(1-Q10/100),H10="discount_added",-(O10*P10*(J10-I10)/100),H10="plan_upgrade",O10*(_xlfn.XLOOKUP(J10,tbl_Plans[plan_name],tbl_Plans[monthly_price])-_xlfn.XLOOKUP(I10,tbl_Plans[plan_name],tbl_Plans[monthly_price]))*(1-Q10/100),H10="plan_downgrade",O10*(_xlfn.XLOOKUP(J10,tbl_Plans[plan_name],tbl_Plans[monthly_price])-_xlfn.XLOOKUP(I10,tbl_Plans[plan_name],tbl_Plans[monthly_price]))*(1-Q10/100))*IF(N10="Annual",1/12,1)</f>
        <v>594</v>
      </c>
    </row>
    <row r="11" spans="1:19" x14ac:dyDescent="0.35">
      <c r="A11" t="s">
        <v>295</v>
      </c>
      <c r="B11" t="s">
        <v>261</v>
      </c>
      <c r="C11" t="s">
        <v>59</v>
      </c>
      <c r="D11" t="s">
        <v>58</v>
      </c>
      <c r="E11" t="s">
        <v>2</v>
      </c>
      <c r="F11" s="2">
        <v>45383</v>
      </c>
      <c r="G11" s="1">
        <v>45397</v>
      </c>
      <c r="H11" t="s">
        <v>159</v>
      </c>
      <c r="M11" t="s">
        <v>29</v>
      </c>
      <c r="N11" t="s">
        <v>0</v>
      </c>
      <c r="O11">
        <v>22</v>
      </c>
      <c r="P11">
        <v>95</v>
      </c>
      <c r="Q11">
        <v>0</v>
      </c>
      <c r="R11" t="str" cm="1">
        <f t="array" ref="R11">_xlfn.IFS(H11="created", "New", H11="cancelled", "Churned", AND(H11="seats_change", J11 &gt; I11), "Expansion", AND(H11="seats_change", J11 &lt; I11), "Contraction", AND(H11="price_change", J11 &gt; I11), "Expansion", AND(H11="price_change", J11 &lt; I11), "Contraction", H11="plan_upgrade", "Expansion", H11="plan_downgrade", "Contraction", H11="discount_added", "Contraction")</f>
        <v>New</v>
      </c>
      <c r="S11" s="5" cm="1">
        <f t="array" ref="S11">_xlfn.IFS(H11="created",O11*P11*(1-Q11/100),H11="cancelled",-(O11*P11*(1-Q11/100)),H11="seats_change",(J11-I11)*P11*(1-Q11/100),H11="price_change",(J11-I11)*O11*(1-Q11/100),H11="discount_added",-(O11*P11*(J11-I11)/100),H11="plan_upgrade",O11*(_xlfn.XLOOKUP(J11,tbl_Plans[plan_name],tbl_Plans[monthly_price])-_xlfn.XLOOKUP(I11,tbl_Plans[plan_name],tbl_Plans[monthly_price]))*(1-Q11/100),H11="plan_downgrade",O11*(_xlfn.XLOOKUP(J11,tbl_Plans[plan_name],tbl_Plans[monthly_price])-_xlfn.XLOOKUP(I11,tbl_Plans[plan_name],tbl_Plans[monthly_price]))*(1-Q11/100))*IF(N11="Annual",1/12,1)</f>
        <v>2090</v>
      </c>
    </row>
    <row r="12" spans="1:19" x14ac:dyDescent="0.35">
      <c r="A12" t="s">
        <v>294</v>
      </c>
      <c r="B12" t="s">
        <v>135</v>
      </c>
      <c r="C12" t="s">
        <v>114</v>
      </c>
      <c r="D12" t="s">
        <v>113</v>
      </c>
      <c r="E12" t="s">
        <v>7</v>
      </c>
      <c r="F12" s="2">
        <v>45383</v>
      </c>
      <c r="G12" s="1">
        <v>45411</v>
      </c>
      <c r="H12" t="s">
        <v>159</v>
      </c>
      <c r="M12" t="s">
        <v>120</v>
      </c>
      <c r="N12" t="s">
        <v>73</v>
      </c>
      <c r="O12">
        <v>36</v>
      </c>
      <c r="P12">
        <v>1800</v>
      </c>
      <c r="Q12">
        <v>0</v>
      </c>
      <c r="R12" t="str" cm="1">
        <f t="array" ref="R12">_xlfn.IFS(H12="created", "New", H12="cancelled", "Churned", AND(H12="seats_change", J12 &gt; I12), "Expansion", AND(H12="seats_change", J12 &lt; I12), "Contraction", AND(H12="price_change", J12 &gt; I12), "Expansion", AND(H12="price_change", J12 &lt; I12), "Contraction", H12="plan_upgrade", "Expansion", H12="plan_downgrade", "Contraction", H12="discount_added", "Contraction")</f>
        <v>New</v>
      </c>
      <c r="S12" s="5" cm="1">
        <f t="array" ref="S12">_xlfn.IFS(H12="created",O12*P12*(1-Q12/100),H12="cancelled",-(O12*P12*(1-Q12/100)),H12="seats_change",(J12-I12)*P12*(1-Q12/100),H12="price_change",(J12-I12)*O12*(1-Q12/100),H12="discount_added",-(O12*P12*(J12-I12)/100),H12="plan_upgrade",O12*(_xlfn.XLOOKUP(J12,tbl_Plans[plan_name],tbl_Plans[monthly_price])-_xlfn.XLOOKUP(I12,tbl_Plans[plan_name],tbl_Plans[monthly_price]))*(1-Q12/100),H12="plan_downgrade",O12*(_xlfn.XLOOKUP(J12,tbl_Plans[plan_name],tbl_Plans[monthly_price])-_xlfn.XLOOKUP(I12,tbl_Plans[plan_name],tbl_Plans[monthly_price]))*(1-Q12/100))*IF(N12="Annual",1/12,1)</f>
        <v>5400</v>
      </c>
    </row>
    <row r="13" spans="1:19" x14ac:dyDescent="0.35">
      <c r="A13" t="s">
        <v>293</v>
      </c>
      <c r="B13" t="s">
        <v>15</v>
      </c>
      <c r="C13" t="s">
        <v>14</v>
      </c>
      <c r="D13" t="s">
        <v>13</v>
      </c>
      <c r="E13" t="s">
        <v>2</v>
      </c>
      <c r="F13" s="2">
        <v>45413</v>
      </c>
      <c r="G13" s="1">
        <v>45425</v>
      </c>
      <c r="H13" t="s">
        <v>159</v>
      </c>
      <c r="M13" t="s">
        <v>1</v>
      </c>
      <c r="N13" t="s">
        <v>0</v>
      </c>
      <c r="O13">
        <v>13</v>
      </c>
      <c r="P13">
        <v>45</v>
      </c>
      <c r="Q13">
        <v>0</v>
      </c>
      <c r="R13" t="str" cm="1">
        <f t="array" ref="R13">_xlfn.IFS(H13="created", "New", H13="cancelled", "Churned", AND(H13="seats_change", J13 &gt; I13), "Expansion", AND(H13="seats_change", J13 &lt; I13), "Contraction", AND(H13="price_change", J13 &gt; I13), "Expansion", AND(H13="price_change", J13 &lt; I13), "Contraction", H13="plan_upgrade", "Expansion", H13="plan_downgrade", "Contraction", H13="discount_added", "Contraction")</f>
        <v>New</v>
      </c>
      <c r="S13" s="5" cm="1">
        <f t="array" ref="S13">_xlfn.IFS(H13="created",O13*P13*(1-Q13/100),H13="cancelled",-(O13*P13*(1-Q13/100)),H13="seats_change",(J13-I13)*P13*(1-Q13/100),H13="price_change",(J13-I13)*O13*(1-Q13/100),H13="discount_added",-(O13*P13*(J13-I13)/100),H13="plan_upgrade",O13*(_xlfn.XLOOKUP(J13,tbl_Plans[plan_name],tbl_Plans[monthly_price])-_xlfn.XLOOKUP(I13,tbl_Plans[plan_name],tbl_Plans[monthly_price]))*(1-Q13/100),H13="plan_downgrade",O13*(_xlfn.XLOOKUP(J13,tbl_Plans[plan_name],tbl_Plans[monthly_price])-_xlfn.XLOOKUP(I13,tbl_Plans[plan_name],tbl_Plans[monthly_price]))*(1-Q13/100))*IF(N13="Annual",1/12,1)</f>
        <v>585</v>
      </c>
    </row>
    <row r="14" spans="1:19" x14ac:dyDescent="0.35">
      <c r="A14" t="s">
        <v>292</v>
      </c>
      <c r="B14" t="s">
        <v>72</v>
      </c>
      <c r="C14" t="s">
        <v>71</v>
      </c>
      <c r="D14" t="s">
        <v>70</v>
      </c>
      <c r="E14" t="s">
        <v>16</v>
      </c>
      <c r="F14" s="2">
        <v>45413</v>
      </c>
      <c r="G14" s="1">
        <v>45439</v>
      </c>
      <c r="H14" t="s">
        <v>159</v>
      </c>
      <c r="M14" t="s">
        <v>42</v>
      </c>
      <c r="N14" t="s">
        <v>0</v>
      </c>
      <c r="O14">
        <v>18</v>
      </c>
      <c r="P14">
        <v>110</v>
      </c>
      <c r="Q14">
        <v>0</v>
      </c>
      <c r="R14" t="str" cm="1">
        <f t="array" ref="R14">_xlfn.IFS(H14="created", "New", H14="cancelled", "Churned", AND(H14="seats_change", J14 &gt; I14), "Expansion", AND(H14="seats_change", J14 &lt; I14), "Contraction", AND(H14="price_change", J14 &gt; I14), "Expansion", AND(H14="price_change", J14 &lt; I14), "Contraction", H14="plan_upgrade", "Expansion", H14="plan_downgrade", "Contraction", H14="discount_added", "Contraction")</f>
        <v>New</v>
      </c>
      <c r="S14" s="5" cm="1">
        <f t="array" ref="S14">_xlfn.IFS(H14="created",O14*P14*(1-Q14/100),H14="cancelled",-(O14*P14*(1-Q14/100)),H14="seats_change",(J14-I14)*P14*(1-Q14/100),H14="price_change",(J14-I14)*O14*(1-Q14/100),H14="discount_added",-(O14*P14*(J14-I14)/100),H14="plan_upgrade",O14*(_xlfn.XLOOKUP(J14,tbl_Plans[plan_name],tbl_Plans[monthly_price])-_xlfn.XLOOKUP(I14,tbl_Plans[plan_name],tbl_Plans[monthly_price]))*(1-Q14/100),H14="plan_downgrade",O14*(_xlfn.XLOOKUP(J14,tbl_Plans[plan_name],tbl_Plans[monthly_price])-_xlfn.XLOOKUP(I14,tbl_Plans[plan_name],tbl_Plans[monthly_price]))*(1-Q14/100))*IF(N14="Annual",1/12,1)</f>
        <v>1980</v>
      </c>
    </row>
    <row r="15" spans="1:19" x14ac:dyDescent="0.35">
      <c r="A15" t="s">
        <v>291</v>
      </c>
      <c r="B15" t="s">
        <v>83</v>
      </c>
      <c r="C15" t="s">
        <v>82</v>
      </c>
      <c r="D15" t="s">
        <v>81</v>
      </c>
      <c r="E15" t="s">
        <v>2</v>
      </c>
      <c r="F15" s="2">
        <v>45444</v>
      </c>
      <c r="G15" s="1">
        <v>45453</v>
      </c>
      <c r="H15" t="s">
        <v>159</v>
      </c>
      <c r="M15" t="s">
        <v>29</v>
      </c>
      <c r="N15" t="s">
        <v>0</v>
      </c>
      <c r="O15">
        <v>23</v>
      </c>
      <c r="P15">
        <v>95</v>
      </c>
      <c r="Q15">
        <v>0</v>
      </c>
      <c r="R15" t="str" cm="1">
        <f t="array" ref="R15">_xlfn.IFS(H15="created", "New", H15="cancelled", "Churned", AND(H15="seats_change", J15 &gt; I15), "Expansion", AND(H15="seats_change", J15 &lt; I15), "Contraction", AND(H15="price_change", J15 &gt; I15), "Expansion", AND(H15="price_change", J15 &lt; I15), "Contraction", H15="plan_upgrade", "Expansion", H15="plan_downgrade", "Contraction", H15="discount_added", "Contraction")</f>
        <v>New</v>
      </c>
      <c r="S15" s="5" cm="1">
        <f t="array" ref="S15">_xlfn.IFS(H15="created",O15*P15*(1-Q15/100),H15="cancelled",-(O15*P15*(1-Q15/100)),H15="seats_change",(J15-I15)*P15*(1-Q15/100),H15="price_change",(J15-I15)*O15*(1-Q15/100),H15="discount_added",-(O15*P15*(J15-I15)/100),H15="plan_upgrade",O15*(_xlfn.XLOOKUP(J15,tbl_Plans[plan_name],tbl_Plans[monthly_price])-_xlfn.XLOOKUP(I15,tbl_Plans[plan_name],tbl_Plans[monthly_price]))*(1-Q15/100),H15="plan_downgrade",O15*(_xlfn.XLOOKUP(J15,tbl_Plans[plan_name],tbl_Plans[monthly_price])-_xlfn.XLOOKUP(I15,tbl_Plans[plan_name],tbl_Plans[monthly_price]))*(1-Q15/100))*IF(N15="Annual",1/12,1)</f>
        <v>2185</v>
      </c>
    </row>
    <row r="16" spans="1:19" x14ac:dyDescent="0.35">
      <c r="A16" t="s">
        <v>290</v>
      </c>
      <c r="B16" t="s">
        <v>216</v>
      </c>
      <c r="C16" t="s">
        <v>82</v>
      </c>
      <c r="D16" t="s">
        <v>81</v>
      </c>
      <c r="E16" t="s">
        <v>2</v>
      </c>
      <c r="F16" s="2">
        <v>45444</v>
      </c>
      <c r="G16" s="1">
        <v>45453</v>
      </c>
      <c r="H16" t="s">
        <v>159</v>
      </c>
      <c r="M16" t="s">
        <v>1</v>
      </c>
      <c r="N16" t="s">
        <v>0</v>
      </c>
      <c r="O16">
        <v>19</v>
      </c>
      <c r="P16">
        <v>45</v>
      </c>
      <c r="Q16">
        <v>0</v>
      </c>
      <c r="R16" t="str" cm="1">
        <f t="array" ref="R16">_xlfn.IFS(H16="created", "New", H16="cancelled", "Churned", AND(H16="seats_change", J16 &gt; I16), "Expansion", AND(H16="seats_change", J16 &lt; I16), "Contraction", AND(H16="price_change", J16 &gt; I16), "Expansion", AND(H16="price_change", J16 &lt; I16), "Contraction", H16="plan_upgrade", "Expansion", H16="plan_downgrade", "Contraction", H16="discount_added", "Contraction")</f>
        <v>New</v>
      </c>
      <c r="S16" s="5" cm="1">
        <f t="array" ref="S16">_xlfn.IFS(H16="created",O16*P16*(1-Q16/100),H16="cancelled",-(O16*P16*(1-Q16/100)),H16="seats_change",(J16-I16)*P16*(1-Q16/100),H16="price_change",(J16-I16)*O16*(1-Q16/100),H16="discount_added",-(O16*P16*(J16-I16)/100),H16="plan_upgrade",O16*(_xlfn.XLOOKUP(J16,tbl_Plans[plan_name],tbl_Plans[monthly_price])-_xlfn.XLOOKUP(I16,tbl_Plans[plan_name],tbl_Plans[monthly_price]))*(1-Q16/100),H16="plan_downgrade",O16*(_xlfn.XLOOKUP(J16,tbl_Plans[plan_name],tbl_Plans[monthly_price])-_xlfn.XLOOKUP(I16,tbl_Plans[plan_name],tbl_Plans[monthly_price]))*(1-Q16/100))*IF(N16="Annual",1/12,1)</f>
        <v>855</v>
      </c>
    </row>
    <row r="17" spans="1:19" x14ac:dyDescent="0.35">
      <c r="A17" t="s">
        <v>289</v>
      </c>
      <c r="B17" t="s">
        <v>255</v>
      </c>
      <c r="C17" t="s">
        <v>31</v>
      </c>
      <c r="D17" t="s">
        <v>30</v>
      </c>
      <c r="E17" t="s">
        <v>7</v>
      </c>
      <c r="F17" s="2">
        <v>45444</v>
      </c>
      <c r="G17" s="1">
        <v>45467</v>
      </c>
      <c r="H17" t="s">
        <v>159</v>
      </c>
      <c r="M17" t="s">
        <v>1</v>
      </c>
      <c r="N17" t="s">
        <v>0</v>
      </c>
      <c r="O17">
        <v>10</v>
      </c>
      <c r="P17">
        <v>45</v>
      </c>
      <c r="Q17">
        <v>0</v>
      </c>
      <c r="R17" t="str" cm="1">
        <f t="array" ref="R17">_xlfn.IFS(H17="created", "New", H17="cancelled", "Churned", AND(H17="seats_change", J17 &gt; I17), "Expansion", AND(H17="seats_change", J17 &lt; I17), "Contraction", AND(H17="price_change", J17 &gt; I17), "Expansion", AND(H17="price_change", J17 &lt; I17), "Contraction", H17="plan_upgrade", "Expansion", H17="plan_downgrade", "Contraction", H17="discount_added", "Contraction")</f>
        <v>New</v>
      </c>
      <c r="S17" s="5" cm="1">
        <f t="array" ref="S17">_xlfn.IFS(H17="created",O17*P17*(1-Q17/100),H17="cancelled",-(O17*P17*(1-Q17/100)),H17="seats_change",(J17-I17)*P17*(1-Q17/100),H17="price_change",(J17-I17)*O17*(1-Q17/100),H17="discount_added",-(O17*P17*(J17-I17)/100),H17="plan_upgrade",O17*(_xlfn.XLOOKUP(J17,tbl_Plans[plan_name],tbl_Plans[monthly_price])-_xlfn.XLOOKUP(I17,tbl_Plans[plan_name],tbl_Plans[monthly_price]))*(1-Q17/100),H17="plan_downgrade",O17*(_xlfn.XLOOKUP(J17,tbl_Plans[plan_name],tbl_Plans[monthly_price])-_xlfn.XLOOKUP(I17,tbl_Plans[plan_name],tbl_Plans[monthly_price]))*(1-Q17/100))*IF(N17="Annual",1/12,1)</f>
        <v>450</v>
      </c>
    </row>
    <row r="18" spans="1:19" x14ac:dyDescent="0.35">
      <c r="A18" t="s">
        <v>288</v>
      </c>
      <c r="B18" t="s">
        <v>89</v>
      </c>
      <c r="C18" t="s">
        <v>88</v>
      </c>
      <c r="D18" t="s">
        <v>87</v>
      </c>
      <c r="E18" t="s">
        <v>2</v>
      </c>
      <c r="F18" s="2">
        <v>45474</v>
      </c>
      <c r="G18" s="1">
        <v>45481</v>
      </c>
      <c r="H18" t="s">
        <v>159</v>
      </c>
      <c r="M18" t="s">
        <v>24</v>
      </c>
      <c r="N18" t="s">
        <v>0</v>
      </c>
      <c r="O18">
        <v>28</v>
      </c>
      <c r="P18">
        <v>85</v>
      </c>
      <c r="Q18">
        <v>0</v>
      </c>
      <c r="R18" t="str" cm="1">
        <f t="array" ref="R18">_xlfn.IFS(H18="created", "New", H18="cancelled", "Churned", AND(H18="seats_change", J18 &gt; I18), "Expansion", AND(H18="seats_change", J18 &lt; I18), "Contraction", AND(H18="price_change", J18 &gt; I18), "Expansion", AND(H18="price_change", J18 &lt; I18), "Contraction", H18="plan_upgrade", "Expansion", H18="plan_downgrade", "Contraction", H18="discount_added", "Contraction")</f>
        <v>New</v>
      </c>
      <c r="S18" s="5" cm="1">
        <f t="array" ref="S18">_xlfn.IFS(H18="created",O18*P18*(1-Q18/100),H18="cancelled",-(O18*P18*(1-Q18/100)),H18="seats_change",(J18-I18)*P18*(1-Q18/100),H18="price_change",(J18-I18)*O18*(1-Q18/100),H18="discount_added",-(O18*P18*(J18-I18)/100),H18="plan_upgrade",O18*(_xlfn.XLOOKUP(J18,tbl_Plans[plan_name],tbl_Plans[monthly_price])-_xlfn.XLOOKUP(I18,tbl_Plans[plan_name],tbl_Plans[monthly_price]))*(1-Q18/100),H18="plan_downgrade",O18*(_xlfn.XLOOKUP(J18,tbl_Plans[plan_name],tbl_Plans[monthly_price])-_xlfn.XLOOKUP(I18,tbl_Plans[plan_name],tbl_Plans[monthly_price]))*(1-Q18/100))*IF(N18="Annual",1/12,1)</f>
        <v>2380</v>
      </c>
    </row>
    <row r="19" spans="1:19" x14ac:dyDescent="0.35">
      <c r="A19" t="s">
        <v>287</v>
      </c>
      <c r="B19" t="s">
        <v>54</v>
      </c>
      <c r="C19" t="s">
        <v>53</v>
      </c>
      <c r="D19" t="s">
        <v>52</v>
      </c>
      <c r="E19" t="s">
        <v>2</v>
      </c>
      <c r="F19" s="2">
        <v>45474</v>
      </c>
      <c r="G19" s="1">
        <v>45488</v>
      </c>
      <c r="H19" t="s">
        <v>159</v>
      </c>
      <c r="M19" t="s">
        <v>42</v>
      </c>
      <c r="N19" t="s">
        <v>0</v>
      </c>
      <c r="O19">
        <v>16</v>
      </c>
      <c r="P19">
        <v>110</v>
      </c>
      <c r="Q19">
        <v>0</v>
      </c>
      <c r="R19" t="str" cm="1">
        <f t="array" ref="R19">_xlfn.IFS(H19="created", "New", H19="cancelled", "Churned", AND(H19="seats_change", J19 &gt; I19), "Expansion", AND(H19="seats_change", J19 &lt; I19), "Contraction", AND(H19="price_change", J19 &gt; I19), "Expansion", AND(H19="price_change", J19 &lt; I19), "Contraction", H19="plan_upgrade", "Expansion", H19="plan_downgrade", "Contraction", H19="discount_added", "Contraction")</f>
        <v>New</v>
      </c>
      <c r="S19" s="5" cm="1">
        <f t="array" ref="S19">_xlfn.IFS(H19="created",O19*P19*(1-Q19/100),H19="cancelled",-(O19*P19*(1-Q19/100)),H19="seats_change",(J19-I19)*P19*(1-Q19/100),H19="price_change",(J19-I19)*O19*(1-Q19/100),H19="discount_added",-(O19*P19*(J19-I19)/100),H19="plan_upgrade",O19*(_xlfn.XLOOKUP(J19,tbl_Plans[plan_name],tbl_Plans[monthly_price])-_xlfn.XLOOKUP(I19,tbl_Plans[plan_name],tbl_Plans[monthly_price]))*(1-Q19/100),H19="plan_downgrade",O19*(_xlfn.XLOOKUP(J19,tbl_Plans[plan_name],tbl_Plans[monthly_price])-_xlfn.XLOOKUP(I19,tbl_Plans[plan_name],tbl_Plans[monthly_price]))*(1-Q19/100))*IF(N19="Annual",1/12,1)</f>
        <v>1760</v>
      </c>
    </row>
    <row r="20" spans="1:19" x14ac:dyDescent="0.35">
      <c r="A20" t="s">
        <v>286</v>
      </c>
      <c r="B20" t="s">
        <v>162</v>
      </c>
      <c r="C20" t="s">
        <v>118</v>
      </c>
      <c r="D20" t="s">
        <v>117</v>
      </c>
      <c r="E20" t="s">
        <v>7</v>
      </c>
      <c r="F20" s="2">
        <v>45474</v>
      </c>
      <c r="G20" s="1">
        <v>45495</v>
      </c>
      <c r="H20" t="s">
        <v>159</v>
      </c>
      <c r="M20" t="s">
        <v>29</v>
      </c>
      <c r="N20" t="s">
        <v>0</v>
      </c>
      <c r="O20">
        <v>19</v>
      </c>
      <c r="P20">
        <v>95</v>
      </c>
      <c r="Q20">
        <v>10</v>
      </c>
      <c r="R20" t="str" cm="1">
        <f t="array" ref="R20">_xlfn.IFS(H20="created", "New", H20="cancelled", "Churned", AND(H20="seats_change", J20 &gt; I20), "Expansion", AND(H20="seats_change", J20 &lt; I20), "Contraction", AND(H20="price_change", J20 &gt; I20), "Expansion", AND(H20="price_change", J20 &lt; I20), "Contraction", H20="plan_upgrade", "Expansion", H20="plan_downgrade", "Contraction", H20="discount_added", "Contraction")</f>
        <v>New</v>
      </c>
      <c r="S20" s="5" cm="1">
        <f t="array" ref="S20">_xlfn.IFS(H20="created",O20*P20*(1-Q20/100),H20="cancelled",-(O20*P20*(1-Q20/100)),H20="seats_change",(J20-I20)*P20*(1-Q20/100),H20="price_change",(J20-I20)*O20*(1-Q20/100),H20="discount_added",-(O20*P20*(J20-I20)/100),H20="plan_upgrade",O20*(_xlfn.XLOOKUP(J20,tbl_Plans[plan_name],tbl_Plans[monthly_price])-_xlfn.XLOOKUP(I20,tbl_Plans[plan_name],tbl_Plans[monthly_price]))*(1-Q20/100),H20="plan_downgrade",O20*(_xlfn.XLOOKUP(J20,tbl_Plans[plan_name],tbl_Plans[monthly_price])-_xlfn.XLOOKUP(I20,tbl_Plans[plan_name],tbl_Plans[monthly_price]))*(1-Q20/100))*IF(N20="Annual",1/12,1)</f>
        <v>1624.5</v>
      </c>
    </row>
    <row r="21" spans="1:19" x14ac:dyDescent="0.35">
      <c r="A21" t="s">
        <v>285</v>
      </c>
      <c r="B21" t="s">
        <v>119</v>
      </c>
      <c r="C21" t="s">
        <v>118</v>
      </c>
      <c r="D21" t="s">
        <v>117</v>
      </c>
      <c r="E21" t="s">
        <v>7</v>
      </c>
      <c r="F21" s="2">
        <v>45474</v>
      </c>
      <c r="G21" s="1">
        <v>45495</v>
      </c>
      <c r="H21" t="s">
        <v>159</v>
      </c>
      <c r="M21" t="s">
        <v>116</v>
      </c>
      <c r="N21" t="s">
        <v>0</v>
      </c>
      <c r="O21">
        <v>20</v>
      </c>
      <c r="P21">
        <v>180</v>
      </c>
      <c r="Q21">
        <v>0</v>
      </c>
      <c r="R21" t="str" cm="1">
        <f t="array" ref="R21">_xlfn.IFS(H21="created", "New", H21="cancelled", "Churned", AND(H21="seats_change", J21 &gt; I21), "Expansion", AND(H21="seats_change", J21 &lt; I21), "Contraction", AND(H21="price_change", J21 &gt; I21), "Expansion", AND(H21="price_change", J21 &lt; I21), "Contraction", H21="plan_upgrade", "Expansion", H21="plan_downgrade", "Contraction", H21="discount_added", "Contraction")</f>
        <v>New</v>
      </c>
      <c r="S21" s="5" cm="1">
        <f t="array" ref="S21">_xlfn.IFS(H21="created",O21*P21*(1-Q21/100),H21="cancelled",-(O21*P21*(1-Q21/100)),H21="seats_change",(J21-I21)*P21*(1-Q21/100),H21="price_change",(J21-I21)*O21*(1-Q21/100),H21="discount_added",-(O21*P21*(J21-I21)/100),H21="plan_upgrade",O21*(_xlfn.XLOOKUP(J21,tbl_Plans[plan_name],tbl_Plans[monthly_price])-_xlfn.XLOOKUP(I21,tbl_Plans[plan_name],tbl_Plans[monthly_price]))*(1-Q21/100),H21="plan_downgrade",O21*(_xlfn.XLOOKUP(J21,tbl_Plans[plan_name],tbl_Plans[monthly_price])-_xlfn.XLOOKUP(I21,tbl_Plans[plan_name],tbl_Plans[monthly_price]))*(1-Q21/100))*IF(N21="Annual",1/12,1)</f>
        <v>3600</v>
      </c>
    </row>
    <row r="22" spans="1:19" x14ac:dyDescent="0.35">
      <c r="A22" t="s">
        <v>284</v>
      </c>
      <c r="B22" t="s">
        <v>138</v>
      </c>
      <c r="C22" t="s">
        <v>111</v>
      </c>
      <c r="D22" t="s">
        <v>110</v>
      </c>
      <c r="E22" t="s">
        <v>2</v>
      </c>
      <c r="F22" s="2">
        <v>45505</v>
      </c>
      <c r="G22" s="1">
        <v>45509</v>
      </c>
      <c r="H22" t="s">
        <v>159</v>
      </c>
      <c r="M22" t="s">
        <v>120</v>
      </c>
      <c r="N22" t="s">
        <v>73</v>
      </c>
      <c r="O22">
        <v>42</v>
      </c>
      <c r="P22">
        <v>1800</v>
      </c>
      <c r="Q22">
        <v>0</v>
      </c>
      <c r="R22" t="str" cm="1">
        <f t="array" ref="R22">_xlfn.IFS(H22="created", "New", H22="cancelled", "Churned", AND(H22="seats_change", J22 &gt; I22), "Expansion", AND(H22="seats_change", J22 &lt; I22), "Contraction", AND(H22="price_change", J22 &gt; I22), "Expansion", AND(H22="price_change", J22 &lt; I22), "Contraction", H22="plan_upgrade", "Expansion", H22="plan_downgrade", "Contraction", H22="discount_added", "Contraction")</f>
        <v>New</v>
      </c>
      <c r="S22" s="5" cm="1">
        <f t="array" ref="S22">_xlfn.IFS(H22="created",O22*P22*(1-Q22/100),H22="cancelled",-(O22*P22*(1-Q22/100)),H22="seats_change",(J22-I22)*P22*(1-Q22/100),H22="price_change",(J22-I22)*O22*(1-Q22/100),H22="discount_added",-(O22*P22*(J22-I22)/100),H22="plan_upgrade",O22*(_xlfn.XLOOKUP(J22,tbl_Plans[plan_name],tbl_Plans[monthly_price])-_xlfn.XLOOKUP(I22,tbl_Plans[plan_name],tbl_Plans[monthly_price]))*(1-Q22/100),H22="plan_downgrade",O22*(_xlfn.XLOOKUP(J22,tbl_Plans[plan_name],tbl_Plans[monthly_price])-_xlfn.XLOOKUP(I22,tbl_Plans[plan_name],tbl_Plans[monthly_price]))*(1-Q22/100))*IF(N22="Annual",1/12,1)</f>
        <v>6300</v>
      </c>
    </row>
    <row r="23" spans="1:19" x14ac:dyDescent="0.35">
      <c r="A23" t="s">
        <v>283</v>
      </c>
      <c r="B23" t="s">
        <v>6</v>
      </c>
      <c r="C23" t="s">
        <v>5</v>
      </c>
      <c r="D23" t="s">
        <v>4</v>
      </c>
      <c r="E23" t="s">
        <v>2</v>
      </c>
      <c r="F23" s="2">
        <v>45505</v>
      </c>
      <c r="G23" s="1">
        <v>45523</v>
      </c>
      <c r="H23" t="s">
        <v>159</v>
      </c>
      <c r="M23" t="s">
        <v>1</v>
      </c>
      <c r="N23" t="s">
        <v>0</v>
      </c>
      <c r="O23">
        <v>12</v>
      </c>
      <c r="P23">
        <v>45</v>
      </c>
      <c r="Q23">
        <v>0</v>
      </c>
      <c r="R23" t="str" cm="1">
        <f t="array" ref="R23">_xlfn.IFS(H23="created", "New", H23="cancelled", "Churned", AND(H23="seats_change", J23 &gt; I23), "Expansion", AND(H23="seats_change", J23 &lt; I23), "Contraction", AND(H23="price_change", J23 &gt; I23), "Expansion", AND(H23="price_change", J23 &lt; I23), "Contraction", H23="plan_upgrade", "Expansion", H23="plan_downgrade", "Contraction", H23="discount_added", "Contraction")</f>
        <v>New</v>
      </c>
      <c r="S23" s="5" cm="1">
        <f t="array" ref="S23">_xlfn.IFS(H23="created",O23*P23*(1-Q23/100),H23="cancelled",-(O23*P23*(1-Q23/100)),H23="seats_change",(J23-I23)*P23*(1-Q23/100),H23="price_change",(J23-I23)*O23*(1-Q23/100),H23="discount_added",-(O23*P23*(J23-I23)/100),H23="plan_upgrade",O23*(_xlfn.XLOOKUP(J23,tbl_Plans[plan_name],tbl_Plans[monthly_price])-_xlfn.XLOOKUP(I23,tbl_Plans[plan_name],tbl_Plans[monthly_price]))*(1-Q23/100),H23="plan_downgrade",O23*(_xlfn.XLOOKUP(J23,tbl_Plans[plan_name],tbl_Plans[monthly_price])-_xlfn.XLOOKUP(I23,tbl_Plans[plan_name],tbl_Plans[monthly_price]))*(1-Q23/100))*IF(N23="Annual",1/12,1)</f>
        <v>540</v>
      </c>
    </row>
    <row r="24" spans="1:19" x14ac:dyDescent="0.35">
      <c r="A24" t="s">
        <v>282</v>
      </c>
      <c r="B24" t="s">
        <v>281</v>
      </c>
      <c r="C24" t="s">
        <v>53</v>
      </c>
      <c r="D24" t="s">
        <v>52</v>
      </c>
      <c r="E24" t="s">
        <v>2</v>
      </c>
      <c r="F24" s="2">
        <v>45505</v>
      </c>
      <c r="G24" s="1">
        <v>45531</v>
      </c>
      <c r="H24" t="s">
        <v>156</v>
      </c>
      <c r="I24" t="s">
        <v>155</v>
      </c>
      <c r="J24" t="s">
        <v>154</v>
      </c>
      <c r="K24" t="s">
        <v>153</v>
      </c>
      <c r="L24" t="s">
        <v>209</v>
      </c>
      <c r="M24" t="s">
        <v>29</v>
      </c>
      <c r="N24" t="s">
        <v>0</v>
      </c>
      <c r="O24">
        <v>20</v>
      </c>
      <c r="P24">
        <v>95</v>
      </c>
      <c r="Q24">
        <v>0</v>
      </c>
      <c r="R24" t="str" cm="1">
        <f t="array" ref="R24">_xlfn.IFS(H24="created", "New", H24="cancelled", "Churned", AND(H24="seats_change", J24 &gt; I24), "Expansion", AND(H24="seats_change", J24 &lt; I24), "Contraction", AND(H24="price_change", J24 &gt; I24), "Expansion", AND(H24="price_change", J24 &lt; I24), "Contraction", H24="plan_upgrade", "Expansion", H24="plan_downgrade", "Contraction", H24="discount_added", "Contraction")</f>
        <v>Churned</v>
      </c>
      <c r="S24" s="5" cm="1">
        <f t="array" ref="S24">_xlfn.IFS(H24="created",O24*P24*(1-Q24/100),H24="cancelled",-(O24*P24*(1-Q24/100)),H24="seats_change",(J24-I24)*P24*(1-Q24/100),H24="price_change",(J24-I24)*O24*(1-Q24/100),H24="discount_added",-(O24*P24*(J24-I24)/100),H24="plan_upgrade",O24*(_xlfn.XLOOKUP(J24,tbl_Plans[plan_name],tbl_Plans[monthly_price])-_xlfn.XLOOKUP(I24,tbl_Plans[plan_name],tbl_Plans[monthly_price]))*(1-Q24/100),H24="plan_downgrade",O24*(_xlfn.XLOOKUP(J24,tbl_Plans[plan_name],tbl_Plans[monthly_price])-_xlfn.XLOOKUP(I24,tbl_Plans[plan_name],tbl_Plans[monthly_price]))*(1-Q24/100))*IF(N24="Annual",1/12,1)</f>
        <v>-1900</v>
      </c>
    </row>
    <row r="25" spans="1:19" x14ac:dyDescent="0.35">
      <c r="A25" t="s">
        <v>280</v>
      </c>
      <c r="B25" t="s">
        <v>139</v>
      </c>
      <c r="C25" t="s">
        <v>105</v>
      </c>
      <c r="D25" t="s">
        <v>104</v>
      </c>
      <c r="E25" t="s">
        <v>7</v>
      </c>
      <c r="F25" s="2">
        <v>45536</v>
      </c>
      <c r="G25" s="1">
        <v>45537</v>
      </c>
      <c r="H25" t="s">
        <v>159</v>
      </c>
      <c r="M25" t="s">
        <v>116</v>
      </c>
      <c r="N25" t="s">
        <v>0</v>
      </c>
      <c r="O25">
        <v>35</v>
      </c>
      <c r="P25">
        <v>180</v>
      </c>
      <c r="Q25">
        <v>0</v>
      </c>
      <c r="R25" t="str" cm="1">
        <f t="array" ref="R25">_xlfn.IFS(H25="created", "New", H25="cancelled", "Churned", AND(H25="seats_change", J25 &gt; I25), "Expansion", AND(H25="seats_change", J25 &lt; I25), "Contraction", AND(H25="price_change", J25 &gt; I25), "Expansion", AND(H25="price_change", J25 &lt; I25), "Contraction", H25="plan_upgrade", "Expansion", H25="plan_downgrade", "Contraction", H25="discount_added", "Contraction")</f>
        <v>New</v>
      </c>
      <c r="S25" s="5" cm="1">
        <f t="array" ref="S25">_xlfn.IFS(H25="created",O25*P25*(1-Q25/100),H25="cancelled",-(O25*P25*(1-Q25/100)),H25="seats_change",(J25-I25)*P25*(1-Q25/100),H25="price_change",(J25-I25)*O25*(1-Q25/100),H25="discount_added",-(O25*P25*(J25-I25)/100),H25="plan_upgrade",O25*(_xlfn.XLOOKUP(J25,tbl_Plans[plan_name],tbl_Plans[monthly_price])-_xlfn.XLOOKUP(I25,tbl_Plans[plan_name],tbl_Plans[monthly_price]))*(1-Q25/100),H25="plan_downgrade",O25*(_xlfn.XLOOKUP(J25,tbl_Plans[plan_name],tbl_Plans[monthly_price])-_xlfn.XLOOKUP(I25,tbl_Plans[plan_name],tbl_Plans[monthly_price]))*(1-Q25/100))*IF(N25="Annual",1/12,1)</f>
        <v>6300</v>
      </c>
    </row>
    <row r="26" spans="1:19" x14ac:dyDescent="0.35">
      <c r="A26" t="s">
        <v>279</v>
      </c>
      <c r="B26" t="s">
        <v>77</v>
      </c>
      <c r="C26" t="s">
        <v>65</v>
      </c>
      <c r="D26" t="s">
        <v>64</v>
      </c>
      <c r="E26" t="s">
        <v>2</v>
      </c>
      <c r="F26" s="2">
        <v>45536</v>
      </c>
      <c r="G26" s="1">
        <v>45545</v>
      </c>
      <c r="H26" t="s">
        <v>159</v>
      </c>
      <c r="M26" t="s">
        <v>42</v>
      </c>
      <c r="N26" t="s">
        <v>0</v>
      </c>
      <c r="O26">
        <v>19</v>
      </c>
      <c r="P26">
        <v>110</v>
      </c>
      <c r="Q26">
        <v>0</v>
      </c>
      <c r="R26" t="str" cm="1">
        <f t="array" ref="R26">_xlfn.IFS(H26="created", "New", H26="cancelled", "Churned", AND(H26="seats_change", J26 &gt; I26), "Expansion", AND(H26="seats_change", J26 &lt; I26), "Contraction", AND(H26="price_change", J26 &gt; I26), "Expansion", AND(H26="price_change", J26 &lt; I26), "Contraction", H26="plan_upgrade", "Expansion", H26="plan_downgrade", "Contraction", H26="discount_added", "Contraction")</f>
        <v>New</v>
      </c>
      <c r="S26" s="5" cm="1">
        <f t="array" ref="S26">_xlfn.IFS(H26="created",O26*P26*(1-Q26/100),H26="cancelled",-(O26*P26*(1-Q26/100)),H26="seats_change",(J26-I26)*P26*(1-Q26/100),H26="price_change",(J26-I26)*O26*(1-Q26/100),H26="discount_added",-(O26*P26*(J26-I26)/100),H26="plan_upgrade",O26*(_xlfn.XLOOKUP(J26,tbl_Plans[plan_name],tbl_Plans[monthly_price])-_xlfn.XLOOKUP(I26,tbl_Plans[plan_name],tbl_Plans[monthly_price]))*(1-Q26/100),H26="plan_downgrade",O26*(_xlfn.XLOOKUP(J26,tbl_Plans[plan_name],tbl_Plans[monthly_price])-_xlfn.XLOOKUP(I26,tbl_Plans[plan_name],tbl_Plans[monthly_price]))*(1-Q26/100))*IF(N26="Annual",1/12,1)</f>
        <v>2090</v>
      </c>
    </row>
    <row r="27" spans="1:19" x14ac:dyDescent="0.35">
      <c r="A27" t="s">
        <v>278</v>
      </c>
      <c r="B27" t="s">
        <v>41</v>
      </c>
      <c r="C27" t="s">
        <v>40</v>
      </c>
      <c r="D27" t="s">
        <v>39</v>
      </c>
      <c r="E27" t="s">
        <v>16</v>
      </c>
      <c r="F27" s="2">
        <v>45536</v>
      </c>
      <c r="G27" s="1">
        <v>45551</v>
      </c>
      <c r="H27" t="s">
        <v>159</v>
      </c>
      <c r="M27" t="s">
        <v>24</v>
      </c>
      <c r="N27" t="s">
        <v>0</v>
      </c>
      <c r="O27">
        <v>19</v>
      </c>
      <c r="P27">
        <v>85</v>
      </c>
      <c r="Q27">
        <v>0</v>
      </c>
      <c r="R27" t="str" cm="1">
        <f t="array" ref="R27">_xlfn.IFS(H27="created", "New", H27="cancelled", "Churned", AND(H27="seats_change", J27 &gt; I27), "Expansion", AND(H27="seats_change", J27 &lt; I27), "Contraction", AND(H27="price_change", J27 &gt; I27), "Expansion", AND(H27="price_change", J27 &lt; I27), "Contraction", H27="plan_upgrade", "Expansion", H27="plan_downgrade", "Contraction", H27="discount_added", "Contraction")</f>
        <v>New</v>
      </c>
      <c r="S27" s="5" cm="1">
        <f t="array" ref="S27">_xlfn.IFS(H27="created",O27*P27*(1-Q27/100),H27="cancelled",-(O27*P27*(1-Q27/100)),H27="seats_change",(J27-I27)*P27*(1-Q27/100),H27="price_change",(J27-I27)*O27*(1-Q27/100),H27="discount_added",-(O27*P27*(J27-I27)/100),H27="plan_upgrade",O27*(_xlfn.XLOOKUP(J27,tbl_Plans[plan_name],tbl_Plans[monthly_price])-_xlfn.XLOOKUP(I27,tbl_Plans[plan_name],tbl_Plans[monthly_price]))*(1-Q27/100),H27="plan_downgrade",O27*(_xlfn.XLOOKUP(J27,tbl_Plans[plan_name],tbl_Plans[monthly_price])-_xlfn.XLOOKUP(I27,tbl_Plans[plan_name],tbl_Plans[monthly_price]))*(1-Q27/100))*IF(N27="Annual",1/12,1)</f>
        <v>1615</v>
      </c>
    </row>
    <row r="28" spans="1:19" x14ac:dyDescent="0.35">
      <c r="A28" t="s">
        <v>277</v>
      </c>
      <c r="B28" t="s">
        <v>205</v>
      </c>
      <c r="C28" t="s">
        <v>40</v>
      </c>
      <c r="D28" t="s">
        <v>39</v>
      </c>
      <c r="E28" t="s">
        <v>16</v>
      </c>
      <c r="F28" s="2">
        <v>45536</v>
      </c>
      <c r="G28" s="1">
        <v>45551</v>
      </c>
      <c r="H28" t="s">
        <v>159</v>
      </c>
      <c r="M28" t="s">
        <v>42</v>
      </c>
      <c r="N28" t="s">
        <v>0</v>
      </c>
      <c r="O28">
        <v>16</v>
      </c>
      <c r="P28">
        <v>110</v>
      </c>
      <c r="Q28">
        <v>0</v>
      </c>
      <c r="R28" t="str" cm="1">
        <f t="array" ref="R28">_xlfn.IFS(H28="created", "New", H28="cancelled", "Churned", AND(H28="seats_change", J28 &gt; I28), "Expansion", AND(H28="seats_change", J28 &lt; I28), "Contraction", AND(H28="price_change", J28 &gt; I28), "Expansion", AND(H28="price_change", J28 &lt; I28), "Contraction", H28="plan_upgrade", "Expansion", H28="plan_downgrade", "Contraction", H28="discount_added", "Contraction")</f>
        <v>New</v>
      </c>
      <c r="S28" s="5" cm="1">
        <f t="array" ref="S28">_xlfn.IFS(H28="created",O28*P28*(1-Q28/100),H28="cancelled",-(O28*P28*(1-Q28/100)),H28="seats_change",(J28-I28)*P28*(1-Q28/100),H28="price_change",(J28-I28)*O28*(1-Q28/100),H28="discount_added",-(O28*P28*(J28-I28)/100),H28="plan_upgrade",O28*(_xlfn.XLOOKUP(J28,tbl_Plans[plan_name],tbl_Plans[monthly_price])-_xlfn.XLOOKUP(I28,tbl_Plans[plan_name],tbl_Plans[monthly_price]))*(1-Q28/100),H28="plan_downgrade",O28*(_xlfn.XLOOKUP(J28,tbl_Plans[plan_name],tbl_Plans[monthly_price])-_xlfn.XLOOKUP(I28,tbl_Plans[plan_name],tbl_Plans[monthly_price]))*(1-Q28/100))*IF(N28="Annual",1/12,1)</f>
        <v>1760</v>
      </c>
    </row>
    <row r="29" spans="1:19" x14ac:dyDescent="0.35">
      <c r="A29" t="s">
        <v>276</v>
      </c>
      <c r="B29" t="s">
        <v>45</v>
      </c>
      <c r="C29" t="s">
        <v>44</v>
      </c>
      <c r="D29" t="s">
        <v>43</v>
      </c>
      <c r="E29" t="s">
        <v>2</v>
      </c>
      <c r="F29" s="2">
        <v>45536</v>
      </c>
      <c r="G29" s="1">
        <v>45565</v>
      </c>
      <c r="H29" t="s">
        <v>159</v>
      </c>
      <c r="M29" t="s">
        <v>42</v>
      </c>
      <c r="N29" t="s">
        <v>0</v>
      </c>
      <c r="O29">
        <v>15</v>
      </c>
      <c r="P29">
        <v>110</v>
      </c>
      <c r="Q29">
        <v>0</v>
      </c>
      <c r="R29" t="str" cm="1">
        <f t="array" ref="R29">_xlfn.IFS(H29="created", "New", H29="cancelled", "Churned", AND(H29="seats_change", J29 &gt; I29), "Expansion", AND(H29="seats_change", J29 &lt; I29), "Contraction", AND(H29="price_change", J29 &gt; I29), "Expansion", AND(H29="price_change", J29 &lt; I29), "Contraction", H29="plan_upgrade", "Expansion", H29="plan_downgrade", "Contraction", H29="discount_added", "Contraction")</f>
        <v>New</v>
      </c>
      <c r="S29" s="5" cm="1">
        <f t="array" ref="S29">_xlfn.IFS(H29="created",O29*P29*(1-Q29/100),H29="cancelled",-(O29*P29*(1-Q29/100)),H29="seats_change",(J29-I29)*P29*(1-Q29/100),H29="price_change",(J29-I29)*O29*(1-Q29/100),H29="discount_added",-(O29*P29*(J29-I29)/100),H29="plan_upgrade",O29*(_xlfn.XLOOKUP(J29,tbl_Plans[plan_name],tbl_Plans[monthly_price])-_xlfn.XLOOKUP(I29,tbl_Plans[plan_name],tbl_Plans[monthly_price]))*(1-Q29/100),H29="plan_downgrade",O29*(_xlfn.XLOOKUP(J29,tbl_Plans[plan_name],tbl_Plans[monthly_price])-_xlfn.XLOOKUP(I29,tbl_Plans[plan_name],tbl_Plans[monthly_price]))*(1-Q29/100))*IF(N29="Annual",1/12,1)</f>
        <v>1650</v>
      </c>
    </row>
    <row r="30" spans="1:19" x14ac:dyDescent="0.35">
      <c r="A30" t="s">
        <v>275</v>
      </c>
      <c r="B30" t="s">
        <v>99</v>
      </c>
      <c r="C30" t="s">
        <v>98</v>
      </c>
      <c r="D30" t="s">
        <v>97</v>
      </c>
      <c r="E30" t="s">
        <v>7</v>
      </c>
      <c r="F30" s="2">
        <v>45566</v>
      </c>
      <c r="G30" s="1">
        <v>45570</v>
      </c>
      <c r="H30" t="s">
        <v>159</v>
      </c>
      <c r="M30" t="s">
        <v>24</v>
      </c>
      <c r="N30" t="s">
        <v>0</v>
      </c>
      <c r="O30">
        <v>33</v>
      </c>
      <c r="P30">
        <v>85</v>
      </c>
      <c r="Q30">
        <v>0</v>
      </c>
      <c r="R30" t="str" cm="1">
        <f t="array" ref="R30">_xlfn.IFS(H30="created", "New", H30="cancelled", "Churned", AND(H30="seats_change", J30 &gt; I30), "Expansion", AND(H30="seats_change", J30 &lt; I30), "Contraction", AND(H30="price_change", J30 &gt; I30), "Expansion", AND(H30="price_change", J30 &lt; I30), "Contraction", H30="plan_upgrade", "Expansion", H30="plan_downgrade", "Contraction", H30="discount_added", "Contraction")</f>
        <v>New</v>
      </c>
      <c r="S30" s="5" cm="1">
        <f t="array" ref="S30">_xlfn.IFS(H30="created",O30*P30*(1-Q30/100),H30="cancelled",-(O30*P30*(1-Q30/100)),H30="seats_change",(J30-I30)*P30*(1-Q30/100),H30="price_change",(J30-I30)*O30*(1-Q30/100),H30="discount_added",-(O30*P30*(J30-I30)/100),H30="plan_upgrade",O30*(_xlfn.XLOOKUP(J30,tbl_Plans[plan_name],tbl_Plans[monthly_price])-_xlfn.XLOOKUP(I30,tbl_Plans[plan_name],tbl_Plans[monthly_price]))*(1-Q30/100),H30="plan_downgrade",O30*(_xlfn.XLOOKUP(J30,tbl_Plans[plan_name],tbl_Plans[monthly_price])-_xlfn.XLOOKUP(I30,tbl_Plans[plan_name],tbl_Plans[monthly_price]))*(1-Q30/100))*IF(N30="Annual",1/12,1)</f>
        <v>2805</v>
      </c>
    </row>
    <row r="31" spans="1:19" x14ac:dyDescent="0.35">
      <c r="A31" t="s">
        <v>274</v>
      </c>
      <c r="B31" t="s">
        <v>224</v>
      </c>
      <c r="C31" t="s">
        <v>126</v>
      </c>
      <c r="D31" t="s">
        <v>125</v>
      </c>
      <c r="E31" t="s">
        <v>7</v>
      </c>
      <c r="F31" s="2">
        <v>45566</v>
      </c>
      <c r="G31" s="1">
        <v>45579</v>
      </c>
      <c r="H31" t="s">
        <v>159</v>
      </c>
      <c r="M31" t="s">
        <v>29</v>
      </c>
      <c r="N31" t="s">
        <v>0</v>
      </c>
      <c r="O31">
        <v>25</v>
      </c>
      <c r="P31">
        <v>95</v>
      </c>
      <c r="Q31">
        <v>0</v>
      </c>
      <c r="R31" t="str" cm="1">
        <f t="array" ref="R31">_xlfn.IFS(H31="created", "New", H31="cancelled", "Churned", AND(H31="seats_change", J31 &gt; I31), "Expansion", AND(H31="seats_change", J31 &lt; I31), "Contraction", AND(H31="price_change", J31 &gt; I31), "Expansion", AND(H31="price_change", J31 &lt; I31), "Contraction", H31="plan_upgrade", "Expansion", H31="plan_downgrade", "Contraction", H31="discount_added", "Contraction")</f>
        <v>New</v>
      </c>
      <c r="S31" s="5" cm="1">
        <f t="array" ref="S31">_xlfn.IFS(H31="created",O31*P31*(1-Q31/100),H31="cancelled",-(O31*P31*(1-Q31/100)),H31="seats_change",(J31-I31)*P31*(1-Q31/100),H31="price_change",(J31-I31)*O31*(1-Q31/100),H31="discount_added",-(O31*P31*(J31-I31)/100),H31="plan_upgrade",O31*(_xlfn.XLOOKUP(J31,tbl_Plans[plan_name],tbl_Plans[monthly_price])-_xlfn.XLOOKUP(I31,tbl_Plans[plan_name],tbl_Plans[monthly_price]))*(1-Q31/100),H31="plan_downgrade",O31*(_xlfn.XLOOKUP(J31,tbl_Plans[plan_name],tbl_Plans[monthly_price])-_xlfn.XLOOKUP(I31,tbl_Plans[plan_name],tbl_Plans[monthly_price]))*(1-Q31/100))*IF(N31="Annual",1/12,1)</f>
        <v>2375</v>
      </c>
    </row>
    <row r="32" spans="1:19" x14ac:dyDescent="0.35">
      <c r="A32" t="s">
        <v>273</v>
      </c>
      <c r="B32" t="s">
        <v>131</v>
      </c>
      <c r="C32" t="s">
        <v>101</v>
      </c>
      <c r="D32" t="s">
        <v>100</v>
      </c>
      <c r="E32" t="s">
        <v>2</v>
      </c>
      <c r="F32" s="2">
        <v>45566</v>
      </c>
      <c r="G32" s="1">
        <v>45593</v>
      </c>
      <c r="H32" t="s">
        <v>159</v>
      </c>
      <c r="M32" t="s">
        <v>120</v>
      </c>
      <c r="N32" t="s">
        <v>0</v>
      </c>
      <c r="O32">
        <v>33</v>
      </c>
      <c r="P32">
        <v>150</v>
      </c>
      <c r="Q32">
        <v>0</v>
      </c>
      <c r="R32" t="str" cm="1">
        <f t="array" ref="R32">_xlfn.IFS(H32="created", "New", H32="cancelled", "Churned", AND(H32="seats_change", J32 &gt; I32), "Expansion", AND(H32="seats_change", J32 &lt; I32), "Contraction", AND(H32="price_change", J32 &gt; I32), "Expansion", AND(H32="price_change", J32 &lt; I32), "Contraction", H32="plan_upgrade", "Expansion", H32="plan_downgrade", "Contraction", H32="discount_added", "Contraction")</f>
        <v>New</v>
      </c>
      <c r="S32" s="5" cm="1">
        <f t="array" ref="S32">_xlfn.IFS(H32="created",O32*P32*(1-Q32/100),H32="cancelled",-(O32*P32*(1-Q32/100)),H32="seats_change",(J32-I32)*P32*(1-Q32/100),H32="price_change",(J32-I32)*O32*(1-Q32/100),H32="discount_added",-(O32*P32*(J32-I32)/100),H32="plan_upgrade",O32*(_xlfn.XLOOKUP(J32,tbl_Plans[plan_name],tbl_Plans[monthly_price])-_xlfn.XLOOKUP(I32,tbl_Plans[plan_name],tbl_Plans[monthly_price]))*(1-Q32/100),H32="plan_downgrade",O32*(_xlfn.XLOOKUP(J32,tbl_Plans[plan_name],tbl_Plans[monthly_price])-_xlfn.XLOOKUP(I32,tbl_Plans[plan_name],tbl_Plans[monthly_price]))*(1-Q32/100))*IF(N32="Annual",1/12,1)</f>
        <v>4950</v>
      </c>
    </row>
    <row r="33" spans="1:19" x14ac:dyDescent="0.35">
      <c r="A33" t="s">
        <v>272</v>
      </c>
      <c r="B33" t="s">
        <v>60</v>
      </c>
      <c r="C33" t="s">
        <v>59</v>
      </c>
      <c r="D33" t="s">
        <v>58</v>
      </c>
      <c r="E33" t="s">
        <v>2</v>
      </c>
      <c r="F33" s="2">
        <v>45597</v>
      </c>
      <c r="G33" s="1">
        <v>45601</v>
      </c>
      <c r="H33" t="s">
        <v>159</v>
      </c>
      <c r="M33" t="s">
        <v>24</v>
      </c>
      <c r="N33" t="s">
        <v>0</v>
      </c>
      <c r="O33">
        <v>22</v>
      </c>
      <c r="P33">
        <v>85</v>
      </c>
      <c r="Q33">
        <v>0</v>
      </c>
      <c r="R33" t="str" cm="1">
        <f t="array" ref="R33">_xlfn.IFS(H33="created", "New", H33="cancelled", "Churned", AND(H33="seats_change", J33 &gt; I33), "Expansion", AND(H33="seats_change", J33 &lt; I33), "Contraction", AND(H33="price_change", J33 &gt; I33), "Expansion", AND(H33="price_change", J33 &lt; I33), "Contraction", H33="plan_upgrade", "Expansion", H33="plan_downgrade", "Contraction", H33="discount_added", "Contraction")</f>
        <v>New</v>
      </c>
      <c r="S33" s="5" cm="1">
        <f t="array" ref="S33">_xlfn.IFS(H33="created",O33*P33*(1-Q33/100),H33="cancelled",-(O33*P33*(1-Q33/100)),H33="seats_change",(J33-I33)*P33*(1-Q33/100),H33="price_change",(J33-I33)*O33*(1-Q33/100),H33="discount_added",-(O33*P33*(J33-I33)/100),H33="plan_upgrade",O33*(_xlfn.XLOOKUP(J33,tbl_Plans[plan_name],tbl_Plans[monthly_price])-_xlfn.XLOOKUP(I33,tbl_Plans[plan_name],tbl_Plans[monthly_price]))*(1-Q33/100),H33="plan_downgrade",O33*(_xlfn.XLOOKUP(J33,tbl_Plans[plan_name],tbl_Plans[monthly_price])-_xlfn.XLOOKUP(I33,tbl_Plans[plan_name],tbl_Plans[monthly_price]))*(1-Q33/100))*IF(N33="Annual",1/12,1)</f>
        <v>1870</v>
      </c>
    </row>
    <row r="34" spans="1:19" x14ac:dyDescent="0.35">
      <c r="A34" t="s">
        <v>271</v>
      </c>
      <c r="B34" t="s">
        <v>210</v>
      </c>
      <c r="C34" t="s">
        <v>26</v>
      </c>
      <c r="D34" t="s">
        <v>25</v>
      </c>
      <c r="E34" t="s">
        <v>2</v>
      </c>
      <c r="F34" s="2">
        <v>45597</v>
      </c>
      <c r="G34" s="1">
        <v>45607</v>
      </c>
      <c r="H34" t="s">
        <v>159</v>
      </c>
      <c r="M34" t="s">
        <v>1</v>
      </c>
      <c r="N34" t="s">
        <v>0</v>
      </c>
      <c r="O34">
        <v>10</v>
      </c>
      <c r="P34">
        <v>45</v>
      </c>
      <c r="Q34">
        <v>0</v>
      </c>
      <c r="R34" t="str" cm="1">
        <f t="array" ref="R34">_xlfn.IFS(H34="created", "New", H34="cancelled", "Churned", AND(H34="seats_change", J34 &gt; I34), "Expansion", AND(H34="seats_change", J34 &lt; I34), "Contraction", AND(H34="price_change", J34 &gt; I34), "Expansion", AND(H34="price_change", J34 &lt; I34), "Contraction", H34="plan_upgrade", "Expansion", H34="plan_downgrade", "Contraction", H34="discount_added", "Contraction")</f>
        <v>New</v>
      </c>
      <c r="S34" s="5" cm="1">
        <f t="array" ref="S34">_xlfn.IFS(H34="created",O34*P34*(1-Q34/100),H34="cancelled",-(O34*P34*(1-Q34/100)),H34="seats_change",(J34-I34)*P34*(1-Q34/100),H34="price_change",(J34-I34)*O34*(1-Q34/100),H34="discount_added",-(O34*P34*(J34-I34)/100),H34="plan_upgrade",O34*(_xlfn.XLOOKUP(J34,tbl_Plans[plan_name],tbl_Plans[monthly_price])-_xlfn.XLOOKUP(I34,tbl_Plans[plan_name],tbl_Plans[monthly_price]))*(1-Q34/100),H34="plan_downgrade",O34*(_xlfn.XLOOKUP(J34,tbl_Plans[plan_name],tbl_Plans[monthly_price])-_xlfn.XLOOKUP(I34,tbl_Plans[plan_name],tbl_Plans[monthly_price]))*(1-Q34/100))*IF(N34="Annual",1/12,1)</f>
        <v>450</v>
      </c>
    </row>
    <row r="35" spans="1:19" x14ac:dyDescent="0.35">
      <c r="A35" t="s">
        <v>270</v>
      </c>
      <c r="B35" t="s">
        <v>269</v>
      </c>
      <c r="C35" t="s">
        <v>268</v>
      </c>
      <c r="D35" t="s">
        <v>267</v>
      </c>
      <c r="E35" t="s">
        <v>2</v>
      </c>
      <c r="F35" s="2">
        <v>45597</v>
      </c>
      <c r="G35" s="1">
        <v>45616</v>
      </c>
      <c r="H35" t="s">
        <v>156</v>
      </c>
      <c r="I35" t="s">
        <v>155</v>
      </c>
      <c r="J35" t="s">
        <v>154</v>
      </c>
      <c r="K35" t="s">
        <v>153</v>
      </c>
      <c r="L35" t="s">
        <v>260</v>
      </c>
      <c r="M35" t="s">
        <v>1</v>
      </c>
      <c r="N35" t="s">
        <v>0</v>
      </c>
      <c r="O35">
        <v>11</v>
      </c>
      <c r="P35">
        <v>45</v>
      </c>
      <c r="Q35">
        <v>0</v>
      </c>
      <c r="R35" t="str" cm="1">
        <f t="array" ref="R35">_xlfn.IFS(H35="created", "New", H35="cancelled", "Churned", AND(H35="seats_change", J35 &gt; I35), "Expansion", AND(H35="seats_change", J35 &lt; I35), "Contraction", AND(H35="price_change", J35 &gt; I35), "Expansion", AND(H35="price_change", J35 &lt; I35), "Contraction", H35="plan_upgrade", "Expansion", H35="plan_downgrade", "Contraction", H35="discount_added", "Contraction")</f>
        <v>Churned</v>
      </c>
      <c r="S35" s="5" cm="1">
        <f t="array" ref="S35">_xlfn.IFS(H35="created",O35*P35*(1-Q35/100),H35="cancelled",-(O35*P35*(1-Q35/100)),H35="seats_change",(J35-I35)*P35*(1-Q35/100),H35="price_change",(J35-I35)*O35*(1-Q35/100),H35="discount_added",-(O35*P35*(J35-I35)/100),H35="plan_upgrade",O35*(_xlfn.XLOOKUP(J35,tbl_Plans[plan_name],tbl_Plans[monthly_price])-_xlfn.XLOOKUP(I35,tbl_Plans[plan_name],tbl_Plans[monthly_price]))*(1-Q35/100),H35="plan_downgrade",O35*(_xlfn.XLOOKUP(J35,tbl_Plans[plan_name],tbl_Plans[monthly_price])-_xlfn.XLOOKUP(I35,tbl_Plans[plan_name],tbl_Plans[monthly_price]))*(1-Q35/100))*IF(N35="Annual",1/12,1)</f>
        <v>-495</v>
      </c>
    </row>
    <row r="36" spans="1:19" x14ac:dyDescent="0.35">
      <c r="A36" t="s">
        <v>266</v>
      </c>
      <c r="B36" t="s">
        <v>96</v>
      </c>
      <c r="C36" t="s">
        <v>95</v>
      </c>
      <c r="D36" t="s">
        <v>94</v>
      </c>
      <c r="E36" t="s">
        <v>7</v>
      </c>
      <c r="F36" s="2">
        <v>45597</v>
      </c>
      <c r="G36" s="1">
        <v>45621</v>
      </c>
      <c r="H36" t="s">
        <v>159</v>
      </c>
      <c r="M36" t="s">
        <v>24</v>
      </c>
      <c r="N36" t="s">
        <v>0</v>
      </c>
      <c r="O36">
        <v>31</v>
      </c>
      <c r="P36">
        <v>85</v>
      </c>
      <c r="Q36">
        <v>0</v>
      </c>
      <c r="R36" t="str" cm="1">
        <f t="array" ref="R36">_xlfn.IFS(H36="created", "New", H36="cancelled", "Churned", AND(H36="seats_change", J36 &gt; I36), "Expansion", AND(H36="seats_change", J36 &lt; I36), "Contraction", AND(H36="price_change", J36 &gt; I36), "Expansion", AND(H36="price_change", J36 &lt; I36), "Contraction", H36="plan_upgrade", "Expansion", H36="plan_downgrade", "Contraction", H36="discount_added", "Contraction")</f>
        <v>New</v>
      </c>
      <c r="S36" s="5" cm="1">
        <f t="array" ref="S36">_xlfn.IFS(H36="created",O36*P36*(1-Q36/100),H36="cancelled",-(O36*P36*(1-Q36/100)),H36="seats_change",(J36-I36)*P36*(1-Q36/100),H36="price_change",(J36-I36)*O36*(1-Q36/100),H36="discount_added",-(O36*P36*(J36-I36)/100),H36="plan_upgrade",O36*(_xlfn.XLOOKUP(J36,tbl_Plans[plan_name],tbl_Plans[monthly_price])-_xlfn.XLOOKUP(I36,tbl_Plans[plan_name],tbl_Plans[monthly_price]))*(1-Q36/100),H36="plan_downgrade",O36*(_xlfn.XLOOKUP(J36,tbl_Plans[plan_name],tbl_Plans[monthly_price])-_xlfn.XLOOKUP(I36,tbl_Plans[plan_name],tbl_Plans[monthly_price]))*(1-Q36/100))*IF(N36="Annual",1/12,1)</f>
        <v>2635</v>
      </c>
    </row>
    <row r="37" spans="1:19" x14ac:dyDescent="0.35">
      <c r="A37" t="s">
        <v>265</v>
      </c>
      <c r="B37" t="s">
        <v>143</v>
      </c>
      <c r="C37" t="s">
        <v>123</v>
      </c>
      <c r="D37" t="s">
        <v>122</v>
      </c>
      <c r="E37" t="s">
        <v>2</v>
      </c>
      <c r="F37" s="2">
        <v>45627</v>
      </c>
      <c r="G37" s="1">
        <v>45635</v>
      </c>
      <c r="H37" t="s">
        <v>159</v>
      </c>
      <c r="M37" t="s">
        <v>116</v>
      </c>
      <c r="N37" t="s">
        <v>73</v>
      </c>
      <c r="O37">
        <v>38</v>
      </c>
      <c r="P37">
        <v>2160</v>
      </c>
      <c r="Q37">
        <v>0</v>
      </c>
      <c r="R37" t="str" cm="1">
        <f t="array" ref="R37">_xlfn.IFS(H37="created", "New", H37="cancelled", "Churned", AND(H37="seats_change", J37 &gt; I37), "Expansion", AND(H37="seats_change", J37 &lt; I37), "Contraction", AND(H37="price_change", J37 &gt; I37), "Expansion", AND(H37="price_change", J37 &lt; I37), "Contraction", H37="plan_upgrade", "Expansion", H37="plan_downgrade", "Contraction", H37="discount_added", "Contraction")</f>
        <v>New</v>
      </c>
      <c r="S37" s="5" cm="1">
        <f t="array" ref="S37">_xlfn.IFS(H37="created",O37*P37*(1-Q37/100),H37="cancelled",-(O37*P37*(1-Q37/100)),H37="seats_change",(J37-I37)*P37*(1-Q37/100),H37="price_change",(J37-I37)*O37*(1-Q37/100),H37="discount_added",-(O37*P37*(J37-I37)/100),H37="plan_upgrade",O37*(_xlfn.XLOOKUP(J37,tbl_Plans[plan_name],tbl_Plans[monthly_price])-_xlfn.XLOOKUP(I37,tbl_Plans[plan_name],tbl_Plans[monthly_price]))*(1-Q37/100),H37="plan_downgrade",O37*(_xlfn.XLOOKUP(J37,tbl_Plans[plan_name],tbl_Plans[monthly_price])-_xlfn.XLOOKUP(I37,tbl_Plans[plan_name],tbl_Plans[monthly_price]))*(1-Q37/100))*IF(N37="Annual",1/12,1)</f>
        <v>6840</v>
      </c>
    </row>
    <row r="38" spans="1:19" x14ac:dyDescent="0.35">
      <c r="A38" t="s">
        <v>264</v>
      </c>
      <c r="B38" t="s">
        <v>112</v>
      </c>
      <c r="C38" t="s">
        <v>111</v>
      </c>
      <c r="D38" t="s">
        <v>110</v>
      </c>
      <c r="E38" t="s">
        <v>2</v>
      </c>
      <c r="F38" s="2">
        <v>45627</v>
      </c>
      <c r="G38" s="1">
        <v>45638</v>
      </c>
      <c r="H38" t="s">
        <v>159</v>
      </c>
      <c r="M38" t="s">
        <v>24</v>
      </c>
      <c r="N38" t="s">
        <v>0</v>
      </c>
      <c r="O38">
        <v>38</v>
      </c>
      <c r="P38">
        <v>85</v>
      </c>
      <c r="Q38">
        <v>0</v>
      </c>
      <c r="R38" t="str" cm="1">
        <f t="array" ref="R38">_xlfn.IFS(H38="created", "New", H38="cancelled", "Churned", AND(H38="seats_change", J38 &gt; I38), "Expansion", AND(H38="seats_change", J38 &lt; I38), "Contraction", AND(H38="price_change", J38 &gt; I38), "Expansion", AND(H38="price_change", J38 &lt; I38), "Contraction", H38="plan_upgrade", "Expansion", H38="plan_downgrade", "Contraction", H38="discount_added", "Contraction")</f>
        <v>New</v>
      </c>
      <c r="S38" s="5" cm="1">
        <f t="array" ref="S38">_xlfn.IFS(H38="created",O38*P38*(1-Q38/100),H38="cancelled",-(O38*P38*(1-Q38/100)),H38="seats_change",(J38-I38)*P38*(1-Q38/100),H38="price_change",(J38-I38)*O38*(1-Q38/100),H38="discount_added",-(O38*P38*(J38-I38)/100),H38="plan_upgrade",O38*(_xlfn.XLOOKUP(J38,tbl_Plans[plan_name],tbl_Plans[monthly_price])-_xlfn.XLOOKUP(I38,tbl_Plans[plan_name],tbl_Plans[monthly_price]))*(1-Q38/100),H38="plan_downgrade",O38*(_xlfn.XLOOKUP(J38,tbl_Plans[plan_name],tbl_Plans[monthly_price])-_xlfn.XLOOKUP(I38,tbl_Plans[plan_name],tbl_Plans[monthly_price]))*(1-Q38/100))*IF(N38="Annual",1/12,1)</f>
        <v>3230</v>
      </c>
    </row>
    <row r="39" spans="1:19" x14ac:dyDescent="0.35">
      <c r="A39" t="s">
        <v>263</v>
      </c>
      <c r="B39" t="s">
        <v>115</v>
      </c>
      <c r="C39" t="s">
        <v>114</v>
      </c>
      <c r="D39" t="s">
        <v>113</v>
      </c>
      <c r="E39" t="s">
        <v>7</v>
      </c>
      <c r="F39" s="2">
        <v>45627</v>
      </c>
      <c r="G39" s="1">
        <v>45646</v>
      </c>
      <c r="H39" t="s">
        <v>159</v>
      </c>
      <c r="M39" t="s">
        <v>29</v>
      </c>
      <c r="N39" t="s">
        <v>0</v>
      </c>
      <c r="O39">
        <v>35</v>
      </c>
      <c r="P39">
        <v>95</v>
      </c>
      <c r="Q39">
        <v>0</v>
      </c>
      <c r="R39" t="str" cm="1">
        <f t="array" ref="R39">_xlfn.IFS(H39="created", "New", H39="cancelled", "Churned", AND(H39="seats_change", J39 &gt; I39), "Expansion", AND(H39="seats_change", J39 &lt; I39), "Contraction", AND(H39="price_change", J39 &gt; I39), "Expansion", AND(H39="price_change", J39 &lt; I39), "Contraction", H39="plan_upgrade", "Expansion", H39="plan_downgrade", "Contraction", H39="discount_added", "Contraction")</f>
        <v>New</v>
      </c>
      <c r="S39" s="5" cm="1">
        <f t="array" ref="S39">_xlfn.IFS(H39="created",O39*P39*(1-Q39/100),H39="cancelled",-(O39*P39*(1-Q39/100)),H39="seats_change",(J39-I39)*P39*(1-Q39/100),H39="price_change",(J39-I39)*O39*(1-Q39/100),H39="discount_added",-(O39*P39*(J39-I39)/100),H39="plan_upgrade",O39*(_xlfn.XLOOKUP(J39,tbl_Plans[plan_name],tbl_Plans[monthly_price])-_xlfn.XLOOKUP(I39,tbl_Plans[plan_name],tbl_Plans[monthly_price]))*(1-Q39/100),H39="plan_downgrade",O39*(_xlfn.XLOOKUP(J39,tbl_Plans[plan_name],tbl_Plans[monthly_price])-_xlfn.XLOOKUP(I39,tbl_Plans[plan_name],tbl_Plans[monthly_price]))*(1-Q39/100))*IF(N39="Annual",1/12,1)</f>
        <v>3325</v>
      </c>
    </row>
    <row r="40" spans="1:19" x14ac:dyDescent="0.35">
      <c r="A40" t="s">
        <v>262</v>
      </c>
      <c r="B40" t="s">
        <v>261</v>
      </c>
      <c r="C40" t="s">
        <v>59</v>
      </c>
      <c r="D40" t="s">
        <v>58</v>
      </c>
      <c r="E40" t="s">
        <v>2</v>
      </c>
      <c r="F40" s="2">
        <v>45627</v>
      </c>
      <c r="G40" s="1">
        <v>45648</v>
      </c>
      <c r="H40" t="s">
        <v>156</v>
      </c>
      <c r="I40" t="s">
        <v>155</v>
      </c>
      <c r="J40" t="s">
        <v>154</v>
      </c>
      <c r="K40" t="s">
        <v>153</v>
      </c>
      <c r="L40" t="s">
        <v>260</v>
      </c>
      <c r="M40" t="s">
        <v>29</v>
      </c>
      <c r="N40" t="s">
        <v>0</v>
      </c>
      <c r="O40">
        <v>22</v>
      </c>
      <c r="P40">
        <v>95</v>
      </c>
      <c r="Q40">
        <v>0</v>
      </c>
      <c r="R40" t="str" cm="1">
        <f t="array" ref="R40">_xlfn.IFS(H40="created", "New", H40="cancelled", "Churned", AND(H40="seats_change", J40 &gt; I40), "Expansion", AND(H40="seats_change", J40 &lt; I40), "Contraction", AND(H40="price_change", J40 &gt; I40), "Expansion", AND(H40="price_change", J40 &lt; I40), "Contraction", H40="plan_upgrade", "Expansion", H40="plan_downgrade", "Contraction", H40="discount_added", "Contraction")</f>
        <v>Churned</v>
      </c>
      <c r="S40" s="5" cm="1">
        <f t="array" ref="S40">_xlfn.IFS(H40="created",O40*P40*(1-Q40/100),H40="cancelled",-(O40*P40*(1-Q40/100)),H40="seats_change",(J40-I40)*P40*(1-Q40/100),H40="price_change",(J40-I40)*O40*(1-Q40/100),H40="discount_added",-(O40*P40*(J40-I40)/100),H40="plan_upgrade",O40*(_xlfn.XLOOKUP(J40,tbl_Plans[plan_name],tbl_Plans[monthly_price])-_xlfn.XLOOKUP(I40,tbl_Plans[plan_name],tbl_Plans[monthly_price]))*(1-Q40/100),H40="plan_downgrade",O40*(_xlfn.XLOOKUP(J40,tbl_Plans[plan_name],tbl_Plans[monthly_price])-_xlfn.XLOOKUP(I40,tbl_Plans[plan_name],tbl_Plans[monthly_price]))*(1-Q40/100))*IF(N40="Annual",1/12,1)</f>
        <v>-2090</v>
      </c>
    </row>
    <row r="41" spans="1:19" x14ac:dyDescent="0.35">
      <c r="A41" t="s">
        <v>259</v>
      </c>
      <c r="B41" t="s">
        <v>38</v>
      </c>
      <c r="C41" t="s">
        <v>37</v>
      </c>
      <c r="D41" t="s">
        <v>36</v>
      </c>
      <c r="E41" t="s">
        <v>2</v>
      </c>
      <c r="F41" s="2">
        <v>45627</v>
      </c>
      <c r="G41" s="1">
        <v>45649</v>
      </c>
      <c r="H41" t="s">
        <v>159</v>
      </c>
      <c r="M41" t="s">
        <v>29</v>
      </c>
      <c r="N41" t="s">
        <v>0</v>
      </c>
      <c r="O41">
        <v>16</v>
      </c>
      <c r="P41">
        <v>95</v>
      </c>
      <c r="Q41">
        <v>0</v>
      </c>
      <c r="R41" t="str" cm="1">
        <f t="array" ref="R41">_xlfn.IFS(H41="created", "New", H41="cancelled", "Churned", AND(H41="seats_change", J41 &gt; I41), "Expansion", AND(H41="seats_change", J41 &lt; I41), "Contraction", AND(H41="price_change", J41 &gt; I41), "Expansion", AND(H41="price_change", J41 &lt; I41), "Contraction", H41="plan_upgrade", "Expansion", H41="plan_downgrade", "Contraction", H41="discount_added", "Contraction")</f>
        <v>New</v>
      </c>
      <c r="S41" s="5" cm="1">
        <f t="array" ref="S41">_xlfn.IFS(H41="created",O41*P41*(1-Q41/100),H41="cancelled",-(O41*P41*(1-Q41/100)),H41="seats_change",(J41-I41)*P41*(1-Q41/100),H41="price_change",(J41-I41)*O41*(1-Q41/100),H41="discount_added",-(O41*P41*(J41-I41)/100),H41="plan_upgrade",O41*(_xlfn.XLOOKUP(J41,tbl_Plans[plan_name],tbl_Plans[monthly_price])-_xlfn.XLOOKUP(I41,tbl_Plans[plan_name],tbl_Plans[monthly_price]))*(1-Q41/100),H41="plan_downgrade",O41*(_xlfn.XLOOKUP(J41,tbl_Plans[plan_name],tbl_Plans[monthly_price])-_xlfn.XLOOKUP(I41,tbl_Plans[plan_name],tbl_Plans[monthly_price]))*(1-Q41/100))*IF(N41="Annual",1/12,1)</f>
        <v>1520</v>
      </c>
    </row>
    <row r="42" spans="1:19" x14ac:dyDescent="0.35">
      <c r="A42" t="s">
        <v>258</v>
      </c>
      <c r="B42" t="s">
        <v>109</v>
      </c>
      <c r="C42" t="s">
        <v>108</v>
      </c>
      <c r="D42" t="s">
        <v>107</v>
      </c>
      <c r="E42" t="s">
        <v>7</v>
      </c>
      <c r="F42" s="2">
        <v>45658</v>
      </c>
      <c r="G42" s="1">
        <v>45663</v>
      </c>
      <c r="H42" t="s">
        <v>159</v>
      </c>
      <c r="M42" t="s">
        <v>42</v>
      </c>
      <c r="N42" t="s">
        <v>0</v>
      </c>
      <c r="O42">
        <v>28</v>
      </c>
      <c r="P42">
        <v>110</v>
      </c>
      <c r="Q42">
        <v>0</v>
      </c>
      <c r="R42" t="str" cm="1">
        <f t="array" ref="R42">_xlfn.IFS(H42="created", "New", H42="cancelled", "Churned", AND(H42="seats_change", J42 &gt; I42), "Expansion", AND(H42="seats_change", J42 &lt; I42), "Contraction", AND(H42="price_change", J42 &gt; I42), "Expansion", AND(H42="price_change", J42 &lt; I42), "Contraction", H42="plan_upgrade", "Expansion", H42="plan_downgrade", "Contraction", H42="discount_added", "Contraction")</f>
        <v>New</v>
      </c>
      <c r="S42" s="5" cm="1">
        <f t="array" ref="S42">_xlfn.IFS(H42="created",O42*P42*(1-Q42/100),H42="cancelled",-(O42*P42*(1-Q42/100)),H42="seats_change",(J42-I42)*P42*(1-Q42/100),H42="price_change",(J42-I42)*O42*(1-Q42/100),H42="discount_added",-(O42*P42*(J42-I42)/100),H42="plan_upgrade",O42*(_xlfn.XLOOKUP(J42,tbl_Plans[plan_name],tbl_Plans[monthly_price])-_xlfn.XLOOKUP(I42,tbl_Plans[plan_name],tbl_Plans[monthly_price]))*(1-Q42/100),H42="plan_downgrade",O42*(_xlfn.XLOOKUP(J42,tbl_Plans[plan_name],tbl_Plans[monthly_price])-_xlfn.XLOOKUP(I42,tbl_Plans[plan_name],tbl_Plans[monthly_price]))*(1-Q42/100))*IF(N42="Annual",1/12,1)</f>
        <v>3080</v>
      </c>
    </row>
    <row r="43" spans="1:19" x14ac:dyDescent="0.35">
      <c r="A43" t="s">
        <v>257</v>
      </c>
      <c r="B43" t="s">
        <v>89</v>
      </c>
      <c r="C43" t="s">
        <v>88</v>
      </c>
      <c r="D43" t="s">
        <v>87</v>
      </c>
      <c r="E43" t="s">
        <v>2</v>
      </c>
      <c r="F43" s="2">
        <v>45658</v>
      </c>
      <c r="G43" s="1">
        <v>45665</v>
      </c>
      <c r="H43" t="s">
        <v>185</v>
      </c>
      <c r="I43">
        <v>80</v>
      </c>
      <c r="J43">
        <v>85</v>
      </c>
      <c r="K43" t="s">
        <v>184</v>
      </c>
      <c r="L43" t="s">
        <v>207</v>
      </c>
      <c r="M43" t="s">
        <v>24</v>
      </c>
      <c r="N43" t="s">
        <v>0</v>
      </c>
      <c r="O43">
        <v>28</v>
      </c>
      <c r="P43">
        <v>85</v>
      </c>
      <c r="Q43">
        <v>0</v>
      </c>
      <c r="R43" t="str" cm="1">
        <f t="array" ref="R43">_xlfn.IFS(H43="created", "New", H43="cancelled", "Churned", AND(H43="seats_change", J43 &gt; I43), "Expansion", AND(H43="seats_change", J43 &lt; I43), "Contraction", AND(H43="price_change", J43 &gt; I43), "Expansion", AND(H43="price_change", J43 &lt; I43), "Contraction", H43="plan_upgrade", "Expansion", H43="plan_downgrade", "Contraction", H43="discount_added", "Contraction")</f>
        <v>Expansion</v>
      </c>
      <c r="S43" s="5" cm="1">
        <f t="array" ref="S43">_xlfn.IFS(H43="created",O43*P43*(1-Q43/100),H43="cancelled",-(O43*P43*(1-Q43/100)),H43="seats_change",(J43-I43)*P43*(1-Q43/100),H43="price_change",(J43-I43)*O43*(1-Q43/100),H43="discount_added",-(O43*P43*(J43-I43)/100),H43="plan_upgrade",O43*(_xlfn.XLOOKUP(J43,tbl_Plans[plan_name],tbl_Plans[monthly_price])-_xlfn.XLOOKUP(I43,tbl_Plans[plan_name],tbl_Plans[monthly_price]))*(1-Q43/100),H43="plan_downgrade",O43*(_xlfn.XLOOKUP(J43,tbl_Plans[plan_name],tbl_Plans[monthly_price])-_xlfn.XLOOKUP(I43,tbl_Plans[plan_name],tbl_Plans[monthly_price]))*(1-Q43/100))*IF(N43="Annual",1/12,1)</f>
        <v>140</v>
      </c>
    </row>
    <row r="44" spans="1:19" x14ac:dyDescent="0.35">
      <c r="A44" t="s">
        <v>256</v>
      </c>
      <c r="B44" t="s">
        <v>255</v>
      </c>
      <c r="C44" t="s">
        <v>31</v>
      </c>
      <c r="D44" t="s">
        <v>30</v>
      </c>
      <c r="E44" t="s">
        <v>7</v>
      </c>
      <c r="F44" s="2">
        <v>45658</v>
      </c>
      <c r="G44" s="1">
        <v>45672</v>
      </c>
      <c r="H44" t="s">
        <v>156</v>
      </c>
      <c r="I44" t="s">
        <v>155</v>
      </c>
      <c r="J44" t="s">
        <v>154</v>
      </c>
      <c r="K44" t="s">
        <v>153</v>
      </c>
      <c r="L44" t="s">
        <v>161</v>
      </c>
      <c r="M44" t="s">
        <v>1</v>
      </c>
      <c r="N44" t="s">
        <v>0</v>
      </c>
      <c r="O44">
        <v>10</v>
      </c>
      <c r="P44">
        <v>45</v>
      </c>
      <c r="Q44">
        <v>0</v>
      </c>
      <c r="R44" t="str" cm="1">
        <f t="array" ref="R44">_xlfn.IFS(H44="created", "New", H44="cancelled", "Churned", AND(H44="seats_change", J44 &gt; I44), "Expansion", AND(H44="seats_change", J44 &lt; I44), "Contraction", AND(H44="price_change", J44 &gt; I44), "Expansion", AND(H44="price_change", J44 &lt; I44), "Contraction", H44="plan_upgrade", "Expansion", H44="plan_downgrade", "Contraction", H44="discount_added", "Contraction")</f>
        <v>Churned</v>
      </c>
      <c r="S44" s="5" cm="1">
        <f t="array" ref="S44">_xlfn.IFS(H44="created",O44*P44*(1-Q44/100),H44="cancelled",-(O44*P44*(1-Q44/100)),H44="seats_change",(J44-I44)*P44*(1-Q44/100),H44="price_change",(J44-I44)*O44*(1-Q44/100),H44="discount_added",-(O44*P44*(J44-I44)/100),H44="plan_upgrade",O44*(_xlfn.XLOOKUP(J44,tbl_Plans[plan_name],tbl_Plans[monthly_price])-_xlfn.XLOOKUP(I44,tbl_Plans[plan_name],tbl_Plans[monthly_price]))*(1-Q44/100),H44="plan_downgrade",O44*(_xlfn.XLOOKUP(J44,tbl_Plans[plan_name],tbl_Plans[monthly_price])-_xlfn.XLOOKUP(I44,tbl_Plans[plan_name],tbl_Plans[monthly_price]))*(1-Q44/100))*IF(N44="Annual",1/12,1)</f>
        <v>-450</v>
      </c>
    </row>
    <row r="45" spans="1:19" x14ac:dyDescent="0.35">
      <c r="A45" t="s">
        <v>254</v>
      </c>
      <c r="B45" t="s">
        <v>20</v>
      </c>
      <c r="C45" t="s">
        <v>19</v>
      </c>
      <c r="D45" t="s">
        <v>18</v>
      </c>
      <c r="E45" t="s">
        <v>16</v>
      </c>
      <c r="F45" s="2">
        <v>45658</v>
      </c>
      <c r="G45" s="1">
        <v>45677</v>
      </c>
      <c r="H45" t="s">
        <v>159</v>
      </c>
      <c r="M45" t="s">
        <v>1</v>
      </c>
      <c r="N45" t="s">
        <v>0</v>
      </c>
      <c r="O45">
        <v>15</v>
      </c>
      <c r="P45">
        <v>45</v>
      </c>
      <c r="Q45">
        <v>0</v>
      </c>
      <c r="R45" t="str" cm="1">
        <f t="array" ref="R45">_xlfn.IFS(H45="created", "New", H45="cancelled", "Churned", AND(H45="seats_change", J45 &gt; I45), "Expansion", AND(H45="seats_change", J45 &lt; I45), "Contraction", AND(H45="price_change", J45 &gt; I45), "Expansion", AND(H45="price_change", J45 &lt; I45), "Contraction", H45="plan_upgrade", "Expansion", H45="plan_downgrade", "Contraction", H45="discount_added", "Contraction")</f>
        <v>New</v>
      </c>
      <c r="S45" s="5" cm="1">
        <f t="array" ref="S45">_xlfn.IFS(H45="created",O45*P45*(1-Q45/100),H45="cancelled",-(O45*P45*(1-Q45/100)),H45="seats_change",(J45-I45)*P45*(1-Q45/100),H45="price_change",(J45-I45)*O45*(1-Q45/100),H45="discount_added",-(O45*P45*(J45-I45)/100),H45="plan_upgrade",O45*(_xlfn.XLOOKUP(J45,tbl_Plans[plan_name],tbl_Plans[monthly_price])-_xlfn.XLOOKUP(I45,tbl_Plans[plan_name],tbl_Plans[monthly_price]))*(1-Q45/100),H45="plan_downgrade",O45*(_xlfn.XLOOKUP(J45,tbl_Plans[plan_name],tbl_Plans[monthly_price])-_xlfn.XLOOKUP(I45,tbl_Plans[plan_name],tbl_Plans[monthly_price]))*(1-Q45/100))*IF(N45="Annual",1/12,1)</f>
        <v>675</v>
      </c>
    </row>
    <row r="46" spans="1:19" x14ac:dyDescent="0.35">
      <c r="A46" t="s">
        <v>253</v>
      </c>
      <c r="B46" t="s">
        <v>76</v>
      </c>
      <c r="C46" t="s">
        <v>75</v>
      </c>
      <c r="D46" t="s">
        <v>74</v>
      </c>
      <c r="E46" t="s">
        <v>7</v>
      </c>
      <c r="F46" s="2">
        <v>45658</v>
      </c>
      <c r="G46" s="1">
        <v>45679</v>
      </c>
      <c r="H46" t="s">
        <v>159</v>
      </c>
      <c r="M46" t="s">
        <v>29</v>
      </c>
      <c r="N46" t="s">
        <v>73</v>
      </c>
      <c r="O46">
        <v>22</v>
      </c>
      <c r="P46">
        <v>1140</v>
      </c>
      <c r="Q46">
        <v>5</v>
      </c>
      <c r="R46" t="str" cm="1">
        <f t="array" ref="R46">_xlfn.IFS(H46="created", "New", H46="cancelled", "Churned", AND(H46="seats_change", J46 &gt; I46), "Expansion", AND(H46="seats_change", J46 &lt; I46), "Contraction", AND(H46="price_change", J46 &gt; I46), "Expansion", AND(H46="price_change", J46 &lt; I46), "Contraction", H46="plan_upgrade", "Expansion", H46="plan_downgrade", "Contraction", H46="discount_added", "Contraction")</f>
        <v>New</v>
      </c>
      <c r="S46" s="5" cm="1">
        <f t="array" ref="S46">_xlfn.IFS(H46="created",O46*P46*(1-Q46/100),H46="cancelled",-(O46*P46*(1-Q46/100)),H46="seats_change",(J46-I46)*P46*(1-Q46/100),H46="price_change",(J46-I46)*O46*(1-Q46/100),H46="discount_added",-(O46*P46*(J46-I46)/100),H46="plan_upgrade",O46*(_xlfn.XLOOKUP(J46,tbl_Plans[plan_name],tbl_Plans[monthly_price])-_xlfn.XLOOKUP(I46,tbl_Plans[plan_name],tbl_Plans[monthly_price]))*(1-Q46/100),H46="plan_downgrade",O46*(_xlfn.XLOOKUP(J46,tbl_Plans[plan_name],tbl_Plans[monthly_price])-_xlfn.XLOOKUP(I46,tbl_Plans[plan_name],tbl_Plans[monthly_price]))*(1-Q46/100))*IF(N46="Annual",1/12,1)</f>
        <v>1985.5</v>
      </c>
    </row>
    <row r="47" spans="1:19" x14ac:dyDescent="0.35">
      <c r="A47" t="s">
        <v>252</v>
      </c>
      <c r="B47" t="s">
        <v>127</v>
      </c>
      <c r="C47" t="s">
        <v>126</v>
      </c>
      <c r="D47" t="s">
        <v>125</v>
      </c>
      <c r="E47" t="s">
        <v>7</v>
      </c>
      <c r="F47" s="2">
        <v>45658</v>
      </c>
      <c r="G47" s="1">
        <v>45685</v>
      </c>
      <c r="H47" t="s">
        <v>159</v>
      </c>
      <c r="M47" t="s">
        <v>120</v>
      </c>
      <c r="N47" t="s">
        <v>0</v>
      </c>
      <c r="O47">
        <v>28</v>
      </c>
      <c r="P47">
        <v>150</v>
      </c>
      <c r="Q47">
        <v>0</v>
      </c>
      <c r="R47" t="str" cm="1">
        <f t="array" ref="R47">_xlfn.IFS(H47="created", "New", H47="cancelled", "Churned", AND(H47="seats_change", J47 &gt; I47), "Expansion", AND(H47="seats_change", J47 &lt; I47), "Contraction", AND(H47="price_change", J47 &gt; I47), "Expansion", AND(H47="price_change", J47 &lt; I47), "Contraction", H47="plan_upgrade", "Expansion", H47="plan_downgrade", "Contraction", H47="discount_added", "Contraction")</f>
        <v>New</v>
      </c>
      <c r="S47" s="5" cm="1">
        <f t="array" ref="S47">_xlfn.IFS(H47="created",O47*P47*(1-Q47/100),H47="cancelled",-(O47*P47*(1-Q47/100)),H47="seats_change",(J47-I47)*P47*(1-Q47/100),H47="price_change",(J47-I47)*O47*(1-Q47/100),H47="discount_added",-(O47*P47*(J47-I47)/100),H47="plan_upgrade",O47*(_xlfn.XLOOKUP(J47,tbl_Plans[plan_name],tbl_Plans[monthly_price])-_xlfn.XLOOKUP(I47,tbl_Plans[plan_name],tbl_Plans[monthly_price]))*(1-Q47/100),H47="plan_downgrade",O47*(_xlfn.XLOOKUP(J47,tbl_Plans[plan_name],tbl_Plans[monthly_price])-_xlfn.XLOOKUP(I47,tbl_Plans[plan_name],tbl_Plans[monthly_price]))*(1-Q47/100))*IF(N47="Annual",1/12,1)</f>
        <v>4200</v>
      </c>
    </row>
    <row r="48" spans="1:19" x14ac:dyDescent="0.35">
      <c r="A48" t="s">
        <v>251</v>
      </c>
      <c r="B48" t="s">
        <v>57</v>
      </c>
      <c r="C48" t="s">
        <v>56</v>
      </c>
      <c r="D48" t="s">
        <v>55</v>
      </c>
      <c r="E48" t="s">
        <v>2</v>
      </c>
      <c r="F48" s="2">
        <v>45689</v>
      </c>
      <c r="G48" s="1">
        <v>45691</v>
      </c>
      <c r="H48" t="s">
        <v>159</v>
      </c>
      <c r="M48" t="s">
        <v>24</v>
      </c>
      <c r="N48" t="s">
        <v>0</v>
      </c>
      <c r="O48">
        <v>22</v>
      </c>
      <c r="P48">
        <v>85</v>
      </c>
      <c r="Q48">
        <v>0</v>
      </c>
      <c r="R48" t="str" cm="1">
        <f t="array" ref="R48">_xlfn.IFS(H48="created", "New", H48="cancelled", "Churned", AND(H48="seats_change", J48 &gt; I48), "Expansion", AND(H48="seats_change", J48 &lt; I48), "Contraction", AND(H48="price_change", J48 &gt; I48), "Expansion", AND(H48="price_change", J48 &lt; I48), "Contraction", H48="plan_upgrade", "Expansion", H48="plan_downgrade", "Contraction", H48="discount_added", "Contraction")</f>
        <v>New</v>
      </c>
      <c r="S48" s="5" cm="1">
        <f t="array" ref="S48">_xlfn.IFS(H48="created",O48*P48*(1-Q48/100),H48="cancelled",-(O48*P48*(1-Q48/100)),H48="seats_change",(J48-I48)*P48*(1-Q48/100),H48="price_change",(J48-I48)*O48*(1-Q48/100),H48="discount_added",-(O48*P48*(J48-I48)/100),H48="plan_upgrade",O48*(_xlfn.XLOOKUP(J48,tbl_Plans[plan_name],tbl_Plans[monthly_price])-_xlfn.XLOOKUP(I48,tbl_Plans[plan_name],tbl_Plans[monthly_price]))*(1-Q48/100),H48="plan_downgrade",O48*(_xlfn.XLOOKUP(J48,tbl_Plans[plan_name],tbl_Plans[monthly_price])-_xlfn.XLOOKUP(I48,tbl_Plans[plan_name],tbl_Plans[monthly_price]))*(1-Q48/100))*IF(N48="Annual",1/12,1)</f>
        <v>1870</v>
      </c>
    </row>
    <row r="49" spans="1:19" x14ac:dyDescent="0.35">
      <c r="A49" t="s">
        <v>250</v>
      </c>
      <c r="B49" t="s">
        <v>28</v>
      </c>
      <c r="C49" t="s">
        <v>14</v>
      </c>
      <c r="D49" t="s">
        <v>13</v>
      </c>
      <c r="E49" t="s">
        <v>2</v>
      </c>
      <c r="F49" s="2">
        <v>45689</v>
      </c>
      <c r="G49" s="1">
        <v>45696</v>
      </c>
      <c r="H49" t="s">
        <v>159</v>
      </c>
      <c r="M49" t="s">
        <v>24</v>
      </c>
      <c r="N49" t="s">
        <v>0</v>
      </c>
      <c r="O49">
        <v>13</v>
      </c>
      <c r="P49">
        <v>85</v>
      </c>
      <c r="Q49">
        <v>0</v>
      </c>
      <c r="R49" t="str" cm="1">
        <f t="array" ref="R49">_xlfn.IFS(H49="created", "New", H49="cancelled", "Churned", AND(H49="seats_change", J49 &gt; I49), "Expansion", AND(H49="seats_change", J49 &lt; I49), "Contraction", AND(H49="price_change", J49 &gt; I49), "Expansion", AND(H49="price_change", J49 &lt; I49), "Contraction", H49="plan_upgrade", "Expansion", H49="plan_downgrade", "Contraction", H49="discount_added", "Contraction")</f>
        <v>New</v>
      </c>
      <c r="S49" s="5" cm="1">
        <f t="array" ref="S49">_xlfn.IFS(H49="created",O49*P49*(1-Q49/100),H49="cancelled",-(O49*P49*(1-Q49/100)),H49="seats_change",(J49-I49)*P49*(1-Q49/100),H49="price_change",(J49-I49)*O49*(1-Q49/100),H49="discount_added",-(O49*P49*(J49-I49)/100),H49="plan_upgrade",O49*(_xlfn.XLOOKUP(J49,tbl_Plans[plan_name],tbl_Plans[monthly_price])-_xlfn.XLOOKUP(I49,tbl_Plans[plan_name],tbl_Plans[monthly_price]))*(1-Q49/100),H49="plan_downgrade",O49*(_xlfn.XLOOKUP(J49,tbl_Plans[plan_name],tbl_Plans[monthly_price])-_xlfn.XLOOKUP(I49,tbl_Plans[plan_name],tbl_Plans[monthly_price]))*(1-Q49/100))*IF(N49="Annual",1/12,1)</f>
        <v>1105</v>
      </c>
    </row>
    <row r="50" spans="1:19" x14ac:dyDescent="0.35">
      <c r="A50" t="s">
        <v>249</v>
      </c>
      <c r="B50" t="s">
        <v>93</v>
      </c>
      <c r="C50" t="s">
        <v>88</v>
      </c>
      <c r="D50" t="s">
        <v>87</v>
      </c>
      <c r="E50" t="s">
        <v>2</v>
      </c>
      <c r="F50" s="2">
        <v>45689</v>
      </c>
      <c r="G50" s="1">
        <v>45698</v>
      </c>
      <c r="H50" t="s">
        <v>159</v>
      </c>
      <c r="M50" t="s">
        <v>42</v>
      </c>
      <c r="N50" t="s">
        <v>0</v>
      </c>
      <c r="O50">
        <v>23</v>
      </c>
      <c r="P50">
        <v>110</v>
      </c>
      <c r="Q50">
        <v>0</v>
      </c>
      <c r="R50" t="str" cm="1">
        <f t="array" ref="R50">_xlfn.IFS(H50="created", "New", H50="cancelled", "Churned", AND(H50="seats_change", J50 &gt; I50), "Expansion", AND(H50="seats_change", J50 &lt; I50), "Contraction", AND(H50="price_change", J50 &gt; I50), "Expansion", AND(H50="price_change", J50 &lt; I50), "Contraction", H50="plan_upgrade", "Expansion", H50="plan_downgrade", "Contraction", H50="discount_added", "Contraction")</f>
        <v>New</v>
      </c>
      <c r="S50" s="5" cm="1">
        <f t="array" ref="S50">_xlfn.IFS(H50="created",O50*P50*(1-Q50/100),H50="cancelled",-(O50*P50*(1-Q50/100)),H50="seats_change",(J50-I50)*P50*(1-Q50/100),H50="price_change",(J50-I50)*O50*(1-Q50/100),H50="discount_added",-(O50*P50*(J50-I50)/100),H50="plan_upgrade",O50*(_xlfn.XLOOKUP(J50,tbl_Plans[plan_name],tbl_Plans[monthly_price])-_xlfn.XLOOKUP(I50,tbl_Plans[plan_name],tbl_Plans[monthly_price]))*(1-Q50/100),H50="plan_downgrade",O50*(_xlfn.XLOOKUP(J50,tbl_Plans[plan_name],tbl_Plans[monthly_price])-_xlfn.XLOOKUP(I50,tbl_Plans[plan_name],tbl_Plans[monthly_price]))*(1-Q50/100))*IF(N50="Annual",1/12,1)</f>
        <v>2530</v>
      </c>
    </row>
    <row r="51" spans="1:19" x14ac:dyDescent="0.35">
      <c r="A51" t="s">
        <v>248</v>
      </c>
      <c r="B51" t="s">
        <v>63</v>
      </c>
      <c r="C51" t="s">
        <v>62</v>
      </c>
      <c r="D51" t="s">
        <v>61</v>
      </c>
      <c r="E51" t="s">
        <v>7</v>
      </c>
      <c r="F51" s="2">
        <v>45689</v>
      </c>
      <c r="G51" s="1">
        <v>45705</v>
      </c>
      <c r="H51" t="s">
        <v>159</v>
      </c>
      <c r="M51" t="s">
        <v>29</v>
      </c>
      <c r="N51" t="s">
        <v>0</v>
      </c>
      <c r="O51">
        <v>20</v>
      </c>
      <c r="P51">
        <v>95</v>
      </c>
      <c r="Q51">
        <v>0</v>
      </c>
      <c r="R51" t="str" cm="1">
        <f t="array" ref="R51">_xlfn.IFS(H51="created", "New", H51="cancelled", "Churned", AND(H51="seats_change", J51 &gt; I51), "Expansion", AND(H51="seats_change", J51 &lt; I51), "Contraction", AND(H51="price_change", J51 &gt; I51), "Expansion", AND(H51="price_change", J51 &lt; I51), "Contraction", H51="plan_upgrade", "Expansion", H51="plan_downgrade", "Contraction", H51="discount_added", "Contraction")</f>
        <v>New</v>
      </c>
      <c r="S51" s="5" cm="1">
        <f t="array" ref="S51">_xlfn.IFS(H51="created",O51*P51*(1-Q51/100),H51="cancelled",-(O51*P51*(1-Q51/100)),H51="seats_change",(J51-I51)*P51*(1-Q51/100),H51="price_change",(J51-I51)*O51*(1-Q51/100),H51="discount_added",-(O51*P51*(J51-I51)/100),H51="plan_upgrade",O51*(_xlfn.XLOOKUP(J51,tbl_Plans[plan_name],tbl_Plans[monthly_price])-_xlfn.XLOOKUP(I51,tbl_Plans[plan_name],tbl_Plans[monthly_price]))*(1-Q51/100),H51="plan_downgrade",O51*(_xlfn.XLOOKUP(J51,tbl_Plans[plan_name],tbl_Plans[monthly_price])-_xlfn.XLOOKUP(I51,tbl_Plans[plan_name],tbl_Plans[monthly_price]))*(1-Q51/100))*IF(N51="Annual",1/12,1)</f>
        <v>1900</v>
      </c>
    </row>
    <row r="52" spans="1:19" x14ac:dyDescent="0.35">
      <c r="A52" t="s">
        <v>247</v>
      </c>
      <c r="B52" t="s">
        <v>142</v>
      </c>
      <c r="C52" t="s">
        <v>141</v>
      </c>
      <c r="D52" t="s">
        <v>140</v>
      </c>
      <c r="E52" t="s">
        <v>2</v>
      </c>
      <c r="F52" s="2">
        <v>45717</v>
      </c>
      <c r="G52" s="1">
        <v>45719</v>
      </c>
      <c r="H52" t="s">
        <v>159</v>
      </c>
      <c r="M52" t="s">
        <v>120</v>
      </c>
      <c r="N52" t="s">
        <v>73</v>
      </c>
      <c r="O52">
        <v>45</v>
      </c>
      <c r="P52">
        <v>1800</v>
      </c>
      <c r="Q52">
        <v>0</v>
      </c>
      <c r="R52" t="str" cm="1">
        <f t="array" ref="R52">_xlfn.IFS(H52="created", "New", H52="cancelled", "Churned", AND(H52="seats_change", J52 &gt; I52), "Expansion", AND(H52="seats_change", J52 &lt; I52), "Contraction", AND(H52="price_change", J52 &gt; I52), "Expansion", AND(H52="price_change", J52 &lt; I52), "Contraction", H52="plan_upgrade", "Expansion", H52="plan_downgrade", "Contraction", H52="discount_added", "Contraction")</f>
        <v>New</v>
      </c>
      <c r="S52" s="5" cm="1">
        <f t="array" ref="S52">_xlfn.IFS(H52="created",O52*P52*(1-Q52/100),H52="cancelled",-(O52*P52*(1-Q52/100)),H52="seats_change",(J52-I52)*P52*(1-Q52/100),H52="price_change",(J52-I52)*O52*(1-Q52/100),H52="discount_added",-(O52*P52*(J52-I52)/100),H52="plan_upgrade",O52*(_xlfn.XLOOKUP(J52,tbl_Plans[plan_name],tbl_Plans[monthly_price])-_xlfn.XLOOKUP(I52,tbl_Plans[plan_name],tbl_Plans[monthly_price]))*(1-Q52/100),H52="plan_downgrade",O52*(_xlfn.XLOOKUP(J52,tbl_Plans[plan_name],tbl_Plans[monthly_price])-_xlfn.XLOOKUP(I52,tbl_Plans[plan_name],tbl_Plans[monthly_price]))*(1-Q52/100))*IF(N52="Annual",1/12,1)</f>
        <v>6750</v>
      </c>
    </row>
    <row r="53" spans="1:19" x14ac:dyDescent="0.35">
      <c r="A53" t="s">
        <v>246</v>
      </c>
      <c r="B53" t="s">
        <v>103</v>
      </c>
      <c r="C53" t="s">
        <v>95</v>
      </c>
      <c r="D53" t="s">
        <v>94</v>
      </c>
      <c r="E53" t="s">
        <v>7</v>
      </c>
      <c r="F53" s="2">
        <v>45717</v>
      </c>
      <c r="G53" s="1">
        <v>45724</v>
      </c>
      <c r="H53" t="s">
        <v>159</v>
      </c>
      <c r="M53" t="s">
        <v>42</v>
      </c>
      <c r="N53" t="s">
        <v>0</v>
      </c>
      <c r="O53">
        <v>26</v>
      </c>
      <c r="P53">
        <v>110</v>
      </c>
      <c r="Q53">
        <v>0</v>
      </c>
      <c r="R53" t="str" cm="1">
        <f t="array" ref="R53">_xlfn.IFS(H53="created", "New", H53="cancelled", "Churned", AND(H53="seats_change", J53 &gt; I53), "Expansion", AND(H53="seats_change", J53 &lt; I53), "Contraction", AND(H53="price_change", J53 &gt; I53), "Expansion", AND(H53="price_change", J53 &lt; I53), "Contraction", H53="plan_upgrade", "Expansion", H53="plan_downgrade", "Contraction", H53="discount_added", "Contraction")</f>
        <v>New</v>
      </c>
      <c r="S53" s="5" cm="1">
        <f t="array" ref="S53">_xlfn.IFS(H53="created",O53*P53*(1-Q53/100),H53="cancelled",-(O53*P53*(1-Q53/100)),H53="seats_change",(J53-I53)*P53*(1-Q53/100),H53="price_change",(J53-I53)*O53*(1-Q53/100),H53="discount_added",-(O53*P53*(J53-I53)/100),H53="plan_upgrade",O53*(_xlfn.XLOOKUP(J53,tbl_Plans[plan_name],tbl_Plans[monthly_price])-_xlfn.XLOOKUP(I53,tbl_Plans[plan_name],tbl_Plans[monthly_price]))*(1-Q53/100),H53="plan_downgrade",O53*(_xlfn.XLOOKUP(J53,tbl_Plans[plan_name],tbl_Plans[monthly_price])-_xlfn.XLOOKUP(I53,tbl_Plans[plan_name],tbl_Plans[monthly_price]))*(1-Q53/100))*IF(N53="Annual",1/12,1)</f>
        <v>2860</v>
      </c>
    </row>
    <row r="54" spans="1:19" x14ac:dyDescent="0.35">
      <c r="A54" t="s">
        <v>245</v>
      </c>
      <c r="B54" t="s">
        <v>15</v>
      </c>
      <c r="C54" t="s">
        <v>14</v>
      </c>
      <c r="D54" t="s">
        <v>13</v>
      </c>
      <c r="E54" t="s">
        <v>2</v>
      </c>
      <c r="F54" s="2">
        <v>45717</v>
      </c>
      <c r="G54" s="1">
        <v>45729</v>
      </c>
      <c r="H54" t="s">
        <v>196</v>
      </c>
      <c r="I54" t="s">
        <v>29</v>
      </c>
      <c r="J54" t="s">
        <v>1</v>
      </c>
      <c r="K54" t="s">
        <v>146</v>
      </c>
      <c r="L54" t="s">
        <v>244</v>
      </c>
      <c r="M54" t="s">
        <v>1</v>
      </c>
      <c r="N54" t="s">
        <v>0</v>
      </c>
      <c r="O54">
        <v>13</v>
      </c>
      <c r="P54">
        <v>45</v>
      </c>
      <c r="Q54">
        <v>0</v>
      </c>
      <c r="R54" t="str" cm="1">
        <f t="array" ref="R54">_xlfn.IFS(H54="created", "New", H54="cancelled", "Churned", AND(H54="seats_change", J54 &gt; I54), "Expansion", AND(H54="seats_change", J54 &lt; I54), "Contraction", AND(H54="price_change", J54 &gt; I54), "Expansion", AND(H54="price_change", J54 &lt; I54), "Contraction", H54="plan_upgrade", "Expansion", H54="plan_downgrade", "Contraction", H54="discount_added", "Contraction")</f>
        <v>Contraction</v>
      </c>
      <c r="S54" s="5" cm="1">
        <f t="array" ref="S54">_xlfn.IFS(H54="created",O54*P54*(1-Q54/100),H54="cancelled",-(O54*P54*(1-Q54/100)),H54="seats_change",(J54-I54)*P54*(1-Q54/100),H54="price_change",(J54-I54)*O54*(1-Q54/100),H54="discount_added",-(O54*P54*(J54-I54)/100),H54="plan_upgrade",O54*(_xlfn.XLOOKUP(J54,tbl_Plans[plan_name],tbl_Plans[monthly_price])-_xlfn.XLOOKUP(I54,tbl_Plans[plan_name],tbl_Plans[monthly_price]))*(1-Q54/100),H54="plan_downgrade",O54*(_xlfn.XLOOKUP(J54,tbl_Plans[plan_name],tbl_Plans[monthly_price])-_xlfn.XLOOKUP(I54,tbl_Plans[plan_name],tbl_Plans[monthly_price]))*(1-Q54/100))*IF(N54="Annual",1/12,1)</f>
        <v>-650</v>
      </c>
    </row>
    <row r="55" spans="1:19" x14ac:dyDescent="0.35">
      <c r="A55" t="s">
        <v>243</v>
      </c>
      <c r="B55" t="s">
        <v>106</v>
      </c>
      <c r="C55" t="s">
        <v>105</v>
      </c>
      <c r="D55" t="s">
        <v>104</v>
      </c>
      <c r="E55" t="s">
        <v>7</v>
      </c>
      <c r="F55" s="2">
        <v>45717</v>
      </c>
      <c r="G55" s="1">
        <v>45731</v>
      </c>
      <c r="H55" t="s">
        <v>159</v>
      </c>
      <c r="M55" t="s">
        <v>24</v>
      </c>
      <c r="N55" t="s">
        <v>0</v>
      </c>
      <c r="O55">
        <v>35</v>
      </c>
      <c r="P55">
        <v>85</v>
      </c>
      <c r="Q55">
        <v>0</v>
      </c>
      <c r="R55" t="str" cm="1">
        <f t="array" ref="R55">_xlfn.IFS(H55="created", "New", H55="cancelled", "Churned", AND(H55="seats_change", J55 &gt; I55), "Expansion", AND(H55="seats_change", J55 &lt; I55), "Contraction", AND(H55="price_change", J55 &gt; I55), "Expansion", AND(H55="price_change", J55 &lt; I55), "Contraction", H55="plan_upgrade", "Expansion", H55="plan_downgrade", "Contraction", H55="discount_added", "Contraction")</f>
        <v>New</v>
      </c>
      <c r="S55" s="5" cm="1">
        <f t="array" ref="S55">_xlfn.IFS(H55="created",O55*P55*(1-Q55/100),H55="cancelled",-(O55*P55*(1-Q55/100)),H55="seats_change",(J55-I55)*P55*(1-Q55/100),H55="price_change",(J55-I55)*O55*(1-Q55/100),H55="discount_added",-(O55*P55*(J55-I55)/100),H55="plan_upgrade",O55*(_xlfn.XLOOKUP(J55,tbl_Plans[plan_name],tbl_Plans[monthly_price])-_xlfn.XLOOKUP(I55,tbl_Plans[plan_name],tbl_Plans[monthly_price]))*(1-Q55/100),H55="plan_downgrade",O55*(_xlfn.XLOOKUP(J55,tbl_Plans[plan_name],tbl_Plans[monthly_price])-_xlfn.XLOOKUP(I55,tbl_Plans[plan_name],tbl_Plans[monthly_price]))*(1-Q55/100))*IF(N55="Annual",1/12,1)</f>
        <v>2975</v>
      </c>
    </row>
    <row r="56" spans="1:19" x14ac:dyDescent="0.35">
      <c r="A56" t="s">
        <v>242</v>
      </c>
      <c r="B56" t="s">
        <v>76</v>
      </c>
      <c r="C56" t="s">
        <v>75</v>
      </c>
      <c r="D56" t="s">
        <v>74</v>
      </c>
      <c r="E56" t="s">
        <v>7</v>
      </c>
      <c r="F56" s="2">
        <v>45717</v>
      </c>
      <c r="G56" s="1">
        <v>45731</v>
      </c>
      <c r="H56" t="s">
        <v>166</v>
      </c>
      <c r="I56">
        <v>0</v>
      </c>
      <c r="J56">
        <v>5</v>
      </c>
      <c r="K56" t="s">
        <v>165</v>
      </c>
      <c r="L56" t="s">
        <v>241</v>
      </c>
      <c r="M56" t="s">
        <v>29</v>
      </c>
      <c r="N56" t="s">
        <v>73</v>
      </c>
      <c r="O56">
        <v>22</v>
      </c>
      <c r="P56">
        <v>1140</v>
      </c>
      <c r="Q56">
        <v>5</v>
      </c>
      <c r="R56" t="str" cm="1">
        <f t="array" ref="R56">_xlfn.IFS(H56="created", "New", H56="cancelled", "Churned", AND(H56="seats_change", J56 &gt; I56), "Expansion", AND(H56="seats_change", J56 &lt; I56), "Contraction", AND(H56="price_change", J56 &gt; I56), "Expansion", AND(H56="price_change", J56 &lt; I56), "Contraction", H56="plan_upgrade", "Expansion", H56="plan_downgrade", "Contraction", H56="discount_added", "Contraction")</f>
        <v>Contraction</v>
      </c>
      <c r="S56" s="5" cm="1">
        <f t="array" ref="S56">_xlfn.IFS(H56="created",O56*P56*(1-Q56/100),H56="cancelled",-(O56*P56*(1-Q56/100)),H56="seats_change",(J56-I56)*P56*(1-Q56/100),H56="price_change",(J56-I56)*O56*(1-Q56/100),H56="discount_added",-(O56*P56*(J56-I56)/100),H56="plan_upgrade",O56*(_xlfn.XLOOKUP(J56,tbl_Plans[plan_name],tbl_Plans[monthly_price])-_xlfn.XLOOKUP(I56,tbl_Plans[plan_name],tbl_Plans[monthly_price]))*(1-Q56/100),H56="plan_downgrade",O56*(_xlfn.XLOOKUP(J56,tbl_Plans[plan_name],tbl_Plans[monthly_price])-_xlfn.XLOOKUP(I56,tbl_Plans[plan_name],tbl_Plans[monthly_price]))*(1-Q56/100))*IF(N56="Annual",1/12,1)</f>
        <v>-104.5</v>
      </c>
    </row>
    <row r="57" spans="1:19" x14ac:dyDescent="0.35">
      <c r="A57" t="s">
        <v>240</v>
      </c>
      <c r="B57" t="s">
        <v>130</v>
      </c>
      <c r="C57" t="s">
        <v>129</v>
      </c>
      <c r="D57" t="s">
        <v>128</v>
      </c>
      <c r="E57" t="s">
        <v>7</v>
      </c>
      <c r="F57" s="2">
        <v>45717</v>
      </c>
      <c r="G57" s="1">
        <v>45733</v>
      </c>
      <c r="H57" t="s">
        <v>159</v>
      </c>
      <c r="M57" t="s">
        <v>116</v>
      </c>
      <c r="N57" t="s">
        <v>0</v>
      </c>
      <c r="O57">
        <v>26</v>
      </c>
      <c r="P57">
        <v>180</v>
      </c>
      <c r="Q57">
        <v>0</v>
      </c>
      <c r="R57" t="str" cm="1">
        <f t="array" ref="R57">_xlfn.IFS(H57="created", "New", H57="cancelled", "Churned", AND(H57="seats_change", J57 &gt; I57), "Expansion", AND(H57="seats_change", J57 &lt; I57), "Contraction", AND(H57="price_change", J57 &gt; I57), "Expansion", AND(H57="price_change", J57 &lt; I57), "Contraction", H57="plan_upgrade", "Expansion", H57="plan_downgrade", "Contraction", H57="discount_added", "Contraction")</f>
        <v>New</v>
      </c>
      <c r="S57" s="5" cm="1">
        <f t="array" ref="S57">_xlfn.IFS(H57="created",O57*P57*(1-Q57/100),H57="cancelled",-(O57*P57*(1-Q57/100)),H57="seats_change",(J57-I57)*P57*(1-Q57/100),H57="price_change",(J57-I57)*O57*(1-Q57/100),H57="discount_added",-(O57*P57*(J57-I57)/100),H57="plan_upgrade",O57*(_xlfn.XLOOKUP(J57,tbl_Plans[plan_name],tbl_Plans[monthly_price])-_xlfn.XLOOKUP(I57,tbl_Plans[plan_name],tbl_Plans[monthly_price]))*(1-Q57/100),H57="plan_downgrade",O57*(_xlfn.XLOOKUP(J57,tbl_Plans[plan_name],tbl_Plans[monthly_price])-_xlfn.XLOOKUP(I57,tbl_Plans[plan_name],tbl_Plans[monthly_price]))*(1-Q57/100))*IF(N57="Annual",1/12,1)</f>
        <v>4680</v>
      </c>
    </row>
    <row r="58" spans="1:19" x14ac:dyDescent="0.35">
      <c r="A58" t="s">
        <v>239</v>
      </c>
      <c r="B58" t="s">
        <v>41</v>
      </c>
      <c r="C58" t="s">
        <v>40</v>
      </c>
      <c r="D58" t="s">
        <v>39</v>
      </c>
      <c r="E58" t="s">
        <v>16</v>
      </c>
      <c r="F58" s="2">
        <v>45717</v>
      </c>
      <c r="G58" s="1">
        <v>45736</v>
      </c>
      <c r="H58" t="s">
        <v>170</v>
      </c>
      <c r="I58">
        <v>22</v>
      </c>
      <c r="J58">
        <v>19</v>
      </c>
      <c r="K58" t="s">
        <v>169</v>
      </c>
      <c r="L58" t="s">
        <v>238</v>
      </c>
      <c r="M58" t="s">
        <v>24</v>
      </c>
      <c r="N58" t="s">
        <v>0</v>
      </c>
      <c r="O58">
        <v>19</v>
      </c>
      <c r="P58">
        <v>85</v>
      </c>
      <c r="Q58">
        <v>0</v>
      </c>
      <c r="R58" t="str" cm="1">
        <f t="array" ref="R58">_xlfn.IFS(H58="created", "New", H58="cancelled", "Churned", AND(H58="seats_change", J58 &gt; I58), "Expansion", AND(H58="seats_change", J58 &lt; I58), "Contraction", AND(H58="price_change", J58 &gt; I58), "Expansion", AND(H58="price_change", J58 &lt; I58), "Contraction", H58="plan_upgrade", "Expansion", H58="plan_downgrade", "Contraction", H58="discount_added", "Contraction")</f>
        <v>Contraction</v>
      </c>
      <c r="S58" s="5" cm="1">
        <f t="array" ref="S58">_xlfn.IFS(H58="created",O58*P58*(1-Q58/100),H58="cancelled",-(O58*P58*(1-Q58/100)),H58="seats_change",(J58-I58)*P58*(1-Q58/100),H58="price_change",(J58-I58)*O58*(1-Q58/100),H58="discount_added",-(O58*P58*(J58-I58)/100),H58="plan_upgrade",O58*(_xlfn.XLOOKUP(J58,tbl_Plans[plan_name],tbl_Plans[monthly_price])-_xlfn.XLOOKUP(I58,tbl_Plans[plan_name],tbl_Plans[monthly_price]))*(1-Q58/100),H58="plan_downgrade",O58*(_xlfn.XLOOKUP(J58,tbl_Plans[plan_name],tbl_Plans[monthly_price])-_xlfn.XLOOKUP(I58,tbl_Plans[plan_name],tbl_Plans[monthly_price]))*(1-Q58/100))*IF(N58="Annual",1/12,1)</f>
        <v>-255</v>
      </c>
    </row>
    <row r="59" spans="1:19" x14ac:dyDescent="0.35">
      <c r="A59" t="s">
        <v>237</v>
      </c>
      <c r="B59" t="s">
        <v>80</v>
      </c>
      <c r="C59" t="s">
        <v>79</v>
      </c>
      <c r="D59" t="s">
        <v>78</v>
      </c>
      <c r="E59" t="s">
        <v>2</v>
      </c>
      <c r="F59" s="2">
        <v>45717</v>
      </c>
      <c r="G59" s="1">
        <v>45747</v>
      </c>
      <c r="H59" t="s">
        <v>159</v>
      </c>
      <c r="M59" t="s">
        <v>24</v>
      </c>
      <c r="N59" t="s">
        <v>0</v>
      </c>
      <c r="O59">
        <v>25</v>
      </c>
      <c r="P59">
        <v>85</v>
      </c>
      <c r="Q59">
        <v>0</v>
      </c>
      <c r="R59" t="str" cm="1">
        <f t="array" ref="R59">_xlfn.IFS(H59="created", "New", H59="cancelled", "Churned", AND(H59="seats_change", J59 &gt; I59), "Expansion", AND(H59="seats_change", J59 &lt; I59), "Contraction", AND(H59="price_change", J59 &gt; I59), "Expansion", AND(H59="price_change", J59 &lt; I59), "Contraction", H59="plan_upgrade", "Expansion", H59="plan_downgrade", "Contraction", H59="discount_added", "Contraction")</f>
        <v>New</v>
      </c>
      <c r="S59" s="5" cm="1">
        <f t="array" ref="S59">_xlfn.IFS(H59="created",O59*P59*(1-Q59/100),H59="cancelled",-(O59*P59*(1-Q59/100)),H59="seats_change",(J59-I59)*P59*(1-Q59/100),H59="price_change",(J59-I59)*O59*(1-Q59/100),H59="discount_added",-(O59*P59*(J59-I59)/100),H59="plan_upgrade",O59*(_xlfn.XLOOKUP(J59,tbl_Plans[plan_name],tbl_Plans[monthly_price])-_xlfn.XLOOKUP(I59,tbl_Plans[plan_name],tbl_Plans[monthly_price]))*(1-Q59/100),H59="plan_downgrade",O59*(_xlfn.XLOOKUP(J59,tbl_Plans[plan_name],tbl_Plans[monthly_price])-_xlfn.XLOOKUP(I59,tbl_Plans[plan_name],tbl_Plans[monthly_price]))*(1-Q59/100))*IF(N59="Annual",1/12,1)</f>
        <v>2125</v>
      </c>
    </row>
    <row r="60" spans="1:19" x14ac:dyDescent="0.35">
      <c r="A60" t="s">
        <v>236</v>
      </c>
      <c r="B60" t="s">
        <v>109</v>
      </c>
      <c r="C60" t="s">
        <v>108</v>
      </c>
      <c r="D60" t="s">
        <v>107</v>
      </c>
      <c r="E60" t="s">
        <v>7</v>
      </c>
      <c r="F60" s="2">
        <v>45748</v>
      </c>
      <c r="G60" s="1">
        <v>45753</v>
      </c>
      <c r="H60" t="s">
        <v>185</v>
      </c>
      <c r="I60">
        <v>100</v>
      </c>
      <c r="J60">
        <v>110</v>
      </c>
      <c r="K60" t="s">
        <v>184</v>
      </c>
      <c r="L60" t="s">
        <v>207</v>
      </c>
      <c r="M60" t="s">
        <v>42</v>
      </c>
      <c r="N60" t="s">
        <v>0</v>
      </c>
      <c r="O60">
        <v>28</v>
      </c>
      <c r="P60">
        <v>110</v>
      </c>
      <c r="Q60">
        <v>0</v>
      </c>
      <c r="R60" t="str" cm="1">
        <f t="array" ref="R60">_xlfn.IFS(H60="created", "New", H60="cancelled", "Churned", AND(H60="seats_change", J60 &gt; I60), "Expansion", AND(H60="seats_change", J60 &lt; I60), "Contraction", AND(H60="price_change", J60 &gt; I60), "Expansion", AND(H60="price_change", J60 &lt; I60), "Contraction", H60="plan_upgrade", "Expansion", H60="plan_downgrade", "Contraction", H60="discount_added", "Contraction")</f>
        <v>Expansion</v>
      </c>
      <c r="S60" s="5" cm="1">
        <f t="array" ref="S60">_xlfn.IFS(H60="created",O60*P60*(1-Q60/100),H60="cancelled",-(O60*P60*(1-Q60/100)),H60="seats_change",(J60-I60)*P60*(1-Q60/100),H60="price_change",(J60-I60)*O60*(1-Q60/100),H60="discount_added",-(O60*P60*(J60-I60)/100),H60="plan_upgrade",O60*(_xlfn.XLOOKUP(J60,tbl_Plans[plan_name],tbl_Plans[monthly_price])-_xlfn.XLOOKUP(I60,tbl_Plans[plan_name],tbl_Plans[monthly_price]))*(1-Q60/100),H60="plan_downgrade",O60*(_xlfn.XLOOKUP(J60,tbl_Plans[plan_name],tbl_Plans[monthly_price])-_xlfn.XLOOKUP(I60,tbl_Plans[plan_name],tbl_Plans[monthly_price]))*(1-Q60/100))*IF(N60="Annual",1/12,1)</f>
        <v>280</v>
      </c>
    </row>
    <row r="61" spans="1:19" x14ac:dyDescent="0.35">
      <c r="A61" t="s">
        <v>235</v>
      </c>
      <c r="B61" t="s">
        <v>23</v>
      </c>
      <c r="C61" t="s">
        <v>22</v>
      </c>
      <c r="D61" t="s">
        <v>21</v>
      </c>
      <c r="E61" t="s">
        <v>2</v>
      </c>
      <c r="F61" s="2">
        <v>45748</v>
      </c>
      <c r="G61" s="1">
        <v>45761</v>
      </c>
      <c r="H61" t="s">
        <v>159</v>
      </c>
      <c r="M61" t="s">
        <v>1</v>
      </c>
      <c r="N61" t="s">
        <v>0</v>
      </c>
      <c r="O61">
        <v>16</v>
      </c>
      <c r="P61">
        <v>45</v>
      </c>
      <c r="Q61">
        <v>0</v>
      </c>
      <c r="R61" t="str" cm="1">
        <f t="array" ref="R61">_xlfn.IFS(H61="created", "New", H61="cancelled", "Churned", AND(H61="seats_change", J61 &gt; I61), "Expansion", AND(H61="seats_change", J61 &lt; I61), "Contraction", AND(H61="price_change", J61 &gt; I61), "Expansion", AND(H61="price_change", J61 &lt; I61), "Contraction", H61="plan_upgrade", "Expansion", H61="plan_downgrade", "Contraction", H61="discount_added", "Contraction")</f>
        <v>New</v>
      </c>
      <c r="S61" s="5" cm="1">
        <f t="array" ref="S61">_xlfn.IFS(H61="created",O61*P61*(1-Q61/100),H61="cancelled",-(O61*P61*(1-Q61/100)),H61="seats_change",(J61-I61)*P61*(1-Q61/100),H61="price_change",(J61-I61)*O61*(1-Q61/100),H61="discount_added",-(O61*P61*(J61-I61)/100),H61="plan_upgrade",O61*(_xlfn.XLOOKUP(J61,tbl_Plans[plan_name],tbl_Plans[monthly_price])-_xlfn.XLOOKUP(I61,tbl_Plans[plan_name],tbl_Plans[monthly_price]))*(1-Q61/100),H61="plan_downgrade",O61*(_xlfn.XLOOKUP(J61,tbl_Plans[plan_name],tbl_Plans[monthly_price])-_xlfn.XLOOKUP(I61,tbl_Plans[plan_name],tbl_Plans[monthly_price]))*(1-Q61/100))*IF(N61="Annual",1/12,1)</f>
        <v>720</v>
      </c>
    </row>
    <row r="62" spans="1:19" x14ac:dyDescent="0.35">
      <c r="A62" t="s">
        <v>234</v>
      </c>
      <c r="B62" t="s">
        <v>83</v>
      </c>
      <c r="C62" t="s">
        <v>82</v>
      </c>
      <c r="D62" t="s">
        <v>81</v>
      </c>
      <c r="E62" t="s">
        <v>2</v>
      </c>
      <c r="F62" s="2">
        <v>45748</v>
      </c>
      <c r="G62" s="1">
        <v>45762</v>
      </c>
      <c r="H62" t="s">
        <v>170</v>
      </c>
      <c r="I62">
        <v>18</v>
      </c>
      <c r="J62">
        <v>23</v>
      </c>
      <c r="K62" t="s">
        <v>169</v>
      </c>
      <c r="L62" t="s">
        <v>233</v>
      </c>
      <c r="M62" t="s">
        <v>29</v>
      </c>
      <c r="N62" t="s">
        <v>0</v>
      </c>
      <c r="O62">
        <v>23</v>
      </c>
      <c r="P62">
        <v>95</v>
      </c>
      <c r="Q62">
        <v>0</v>
      </c>
      <c r="R62" t="str" cm="1">
        <f t="array" ref="R62">_xlfn.IFS(H62="created", "New", H62="cancelled", "Churned", AND(H62="seats_change", J62 &gt; I62), "Expansion", AND(H62="seats_change", J62 &lt; I62), "Contraction", AND(H62="price_change", J62 &gt; I62), "Expansion", AND(H62="price_change", J62 &lt; I62), "Contraction", H62="plan_upgrade", "Expansion", H62="plan_downgrade", "Contraction", H62="discount_added", "Contraction")</f>
        <v>Expansion</v>
      </c>
      <c r="S62" s="5" cm="1">
        <f t="array" ref="S62">_xlfn.IFS(H62="created",O62*P62*(1-Q62/100),H62="cancelled",-(O62*P62*(1-Q62/100)),H62="seats_change",(J62-I62)*P62*(1-Q62/100),H62="price_change",(J62-I62)*O62*(1-Q62/100),H62="discount_added",-(O62*P62*(J62-I62)/100),H62="plan_upgrade",O62*(_xlfn.XLOOKUP(J62,tbl_Plans[plan_name],tbl_Plans[monthly_price])-_xlfn.XLOOKUP(I62,tbl_Plans[plan_name],tbl_Plans[monthly_price]))*(1-Q62/100),H62="plan_downgrade",O62*(_xlfn.XLOOKUP(J62,tbl_Plans[plan_name],tbl_Plans[monthly_price])-_xlfn.XLOOKUP(I62,tbl_Plans[plan_name],tbl_Plans[monthly_price]))*(1-Q62/100))*IF(N62="Annual",1/12,1)</f>
        <v>475</v>
      </c>
    </row>
    <row r="63" spans="1:19" x14ac:dyDescent="0.35">
      <c r="A63" t="s">
        <v>232</v>
      </c>
      <c r="B63" t="s">
        <v>102</v>
      </c>
      <c r="C63" t="s">
        <v>101</v>
      </c>
      <c r="D63" t="s">
        <v>100</v>
      </c>
      <c r="E63" t="s">
        <v>2</v>
      </c>
      <c r="F63" s="2">
        <v>45748</v>
      </c>
      <c r="G63" s="1">
        <v>45765</v>
      </c>
      <c r="H63" t="s">
        <v>159</v>
      </c>
      <c r="M63" t="s">
        <v>42</v>
      </c>
      <c r="N63" t="s">
        <v>0</v>
      </c>
      <c r="O63">
        <v>26</v>
      </c>
      <c r="P63">
        <v>110</v>
      </c>
      <c r="Q63">
        <v>0</v>
      </c>
      <c r="R63" t="str" cm="1">
        <f t="array" ref="R63">_xlfn.IFS(H63="created", "New", H63="cancelled", "Churned", AND(H63="seats_change", J63 &gt; I63), "Expansion", AND(H63="seats_change", J63 &lt; I63), "Contraction", AND(H63="price_change", J63 &gt; I63), "Expansion", AND(H63="price_change", J63 &lt; I63), "Contraction", H63="plan_upgrade", "Expansion", H63="plan_downgrade", "Contraction", H63="discount_added", "Contraction")</f>
        <v>New</v>
      </c>
      <c r="S63" s="5" cm="1">
        <f t="array" ref="S63">_xlfn.IFS(H63="created",O63*P63*(1-Q63/100),H63="cancelled",-(O63*P63*(1-Q63/100)),H63="seats_change",(J63-I63)*P63*(1-Q63/100),H63="price_change",(J63-I63)*O63*(1-Q63/100),H63="discount_added",-(O63*P63*(J63-I63)/100),H63="plan_upgrade",O63*(_xlfn.XLOOKUP(J63,tbl_Plans[plan_name],tbl_Plans[monthly_price])-_xlfn.XLOOKUP(I63,tbl_Plans[plan_name],tbl_Plans[monthly_price]))*(1-Q63/100),H63="plan_downgrade",O63*(_xlfn.XLOOKUP(J63,tbl_Plans[plan_name],tbl_Plans[monthly_price])-_xlfn.XLOOKUP(I63,tbl_Plans[plan_name],tbl_Plans[monthly_price]))*(1-Q63/100))*IF(N63="Annual",1/12,1)</f>
        <v>2860</v>
      </c>
    </row>
    <row r="64" spans="1:19" x14ac:dyDescent="0.35">
      <c r="A64" t="s">
        <v>231</v>
      </c>
      <c r="B64" t="s">
        <v>86</v>
      </c>
      <c r="C64" t="s">
        <v>85</v>
      </c>
      <c r="D64" t="s">
        <v>84</v>
      </c>
      <c r="E64" t="s">
        <v>7</v>
      </c>
      <c r="F64" s="2">
        <v>45748</v>
      </c>
      <c r="G64" s="1">
        <v>45775</v>
      </c>
      <c r="H64" t="s">
        <v>159</v>
      </c>
      <c r="M64" t="s">
        <v>42</v>
      </c>
      <c r="N64" t="s">
        <v>0</v>
      </c>
      <c r="O64">
        <v>20</v>
      </c>
      <c r="P64">
        <v>110</v>
      </c>
      <c r="Q64">
        <v>0</v>
      </c>
      <c r="R64" t="str" cm="1">
        <f t="array" ref="R64">_xlfn.IFS(H64="created", "New", H64="cancelled", "Churned", AND(H64="seats_change", J64 &gt; I64), "Expansion", AND(H64="seats_change", J64 &lt; I64), "Contraction", AND(H64="price_change", J64 &gt; I64), "Expansion", AND(H64="price_change", J64 &lt; I64), "Contraction", H64="plan_upgrade", "Expansion", H64="plan_downgrade", "Contraction", H64="discount_added", "Contraction")</f>
        <v>New</v>
      </c>
      <c r="S64" s="5" cm="1">
        <f t="array" ref="S64">_xlfn.IFS(H64="created",O64*P64*(1-Q64/100),H64="cancelled",-(O64*P64*(1-Q64/100)),H64="seats_change",(J64-I64)*P64*(1-Q64/100),H64="price_change",(J64-I64)*O64*(1-Q64/100),H64="discount_added",-(O64*P64*(J64-I64)/100),H64="plan_upgrade",O64*(_xlfn.XLOOKUP(J64,tbl_Plans[plan_name],tbl_Plans[monthly_price])-_xlfn.XLOOKUP(I64,tbl_Plans[plan_name],tbl_Plans[monthly_price]))*(1-Q64/100),H64="plan_downgrade",O64*(_xlfn.XLOOKUP(J64,tbl_Plans[plan_name],tbl_Plans[monthly_price])-_xlfn.XLOOKUP(I64,tbl_Plans[plan_name],tbl_Plans[monthly_price]))*(1-Q64/100))*IF(N64="Annual",1/12,1)</f>
        <v>2200</v>
      </c>
    </row>
    <row r="65" spans="1:19" x14ac:dyDescent="0.35">
      <c r="A65" t="s">
        <v>230</v>
      </c>
      <c r="B65" t="s">
        <v>69</v>
      </c>
      <c r="C65" t="s">
        <v>68</v>
      </c>
      <c r="D65" t="s">
        <v>67</v>
      </c>
      <c r="E65" t="s">
        <v>7</v>
      </c>
      <c r="F65" s="2">
        <v>45778</v>
      </c>
      <c r="G65" s="1">
        <v>45787</v>
      </c>
      <c r="H65" t="s">
        <v>170</v>
      </c>
      <c r="I65">
        <v>15</v>
      </c>
      <c r="J65">
        <v>18</v>
      </c>
      <c r="K65" t="s">
        <v>169</v>
      </c>
      <c r="L65" t="s">
        <v>229</v>
      </c>
      <c r="M65" t="s">
        <v>42</v>
      </c>
      <c r="N65" t="s">
        <v>0</v>
      </c>
      <c r="O65">
        <v>18</v>
      </c>
      <c r="P65">
        <v>110</v>
      </c>
      <c r="Q65">
        <v>0</v>
      </c>
      <c r="R65" t="str" cm="1">
        <f t="array" ref="R65">_xlfn.IFS(H65="created", "New", H65="cancelled", "Churned", AND(H65="seats_change", J65 &gt; I65), "Expansion", AND(H65="seats_change", J65 &lt; I65), "Contraction", AND(H65="price_change", J65 &gt; I65), "Expansion", AND(H65="price_change", J65 &lt; I65), "Contraction", H65="plan_upgrade", "Expansion", H65="plan_downgrade", "Contraction", H65="discount_added", "Contraction")</f>
        <v>Expansion</v>
      </c>
      <c r="S65" s="5" cm="1">
        <f t="array" ref="S65">_xlfn.IFS(H65="created",O65*P65*(1-Q65/100),H65="cancelled",-(O65*P65*(1-Q65/100)),H65="seats_change",(J65-I65)*P65*(1-Q65/100),H65="price_change",(J65-I65)*O65*(1-Q65/100),H65="discount_added",-(O65*P65*(J65-I65)/100),H65="plan_upgrade",O65*(_xlfn.XLOOKUP(J65,tbl_Plans[plan_name],tbl_Plans[monthly_price])-_xlfn.XLOOKUP(I65,tbl_Plans[plan_name],tbl_Plans[monthly_price]))*(1-Q65/100),H65="plan_downgrade",O65*(_xlfn.XLOOKUP(J65,tbl_Plans[plan_name],tbl_Plans[monthly_price])-_xlfn.XLOOKUP(I65,tbl_Plans[plan_name],tbl_Plans[monthly_price]))*(1-Q65/100))*IF(N65="Annual",1/12,1)</f>
        <v>330</v>
      </c>
    </row>
    <row r="66" spans="1:19" x14ac:dyDescent="0.35">
      <c r="A66" t="s">
        <v>228</v>
      </c>
      <c r="B66" t="s">
        <v>48</v>
      </c>
      <c r="C66" t="s">
        <v>47</v>
      </c>
      <c r="D66" t="s">
        <v>46</v>
      </c>
      <c r="E66" t="s">
        <v>16</v>
      </c>
      <c r="F66" s="2">
        <v>45778</v>
      </c>
      <c r="G66" s="1">
        <v>45789</v>
      </c>
      <c r="H66" t="s">
        <v>159</v>
      </c>
      <c r="M66" t="s">
        <v>29</v>
      </c>
      <c r="N66" t="s">
        <v>0</v>
      </c>
      <c r="O66">
        <v>18</v>
      </c>
      <c r="P66">
        <v>95</v>
      </c>
      <c r="Q66">
        <v>0</v>
      </c>
      <c r="R66" t="str" cm="1">
        <f t="array" ref="R66">_xlfn.IFS(H66="created", "New", H66="cancelled", "Churned", AND(H66="seats_change", J66 &gt; I66), "Expansion", AND(H66="seats_change", J66 &lt; I66), "Contraction", AND(H66="price_change", J66 &gt; I66), "Expansion", AND(H66="price_change", J66 &lt; I66), "Contraction", H66="plan_upgrade", "Expansion", H66="plan_downgrade", "Contraction", H66="discount_added", "Contraction")</f>
        <v>New</v>
      </c>
      <c r="S66" s="5" cm="1">
        <f t="array" ref="S66">_xlfn.IFS(H66="created",O66*P66*(1-Q66/100),H66="cancelled",-(O66*P66*(1-Q66/100)),H66="seats_change",(J66-I66)*P66*(1-Q66/100),H66="price_change",(J66-I66)*O66*(1-Q66/100),H66="discount_added",-(O66*P66*(J66-I66)/100),H66="plan_upgrade",O66*(_xlfn.XLOOKUP(J66,tbl_Plans[plan_name],tbl_Plans[monthly_price])-_xlfn.XLOOKUP(I66,tbl_Plans[plan_name],tbl_Plans[monthly_price]))*(1-Q66/100),H66="plan_downgrade",O66*(_xlfn.XLOOKUP(J66,tbl_Plans[plan_name],tbl_Plans[monthly_price])-_xlfn.XLOOKUP(I66,tbl_Plans[plan_name],tbl_Plans[monthly_price]))*(1-Q66/100))*IF(N66="Annual",1/12,1)</f>
        <v>1710</v>
      </c>
    </row>
    <row r="67" spans="1:19" x14ac:dyDescent="0.35">
      <c r="A67" t="s">
        <v>227</v>
      </c>
      <c r="B67" t="s">
        <v>32</v>
      </c>
      <c r="C67" t="s">
        <v>31</v>
      </c>
      <c r="D67" t="s">
        <v>30</v>
      </c>
      <c r="E67" t="s">
        <v>7</v>
      </c>
      <c r="F67" s="2">
        <v>45778</v>
      </c>
      <c r="G67" s="1">
        <v>45797</v>
      </c>
      <c r="H67" t="s">
        <v>159</v>
      </c>
      <c r="L67" t="s">
        <v>179</v>
      </c>
      <c r="M67" t="s">
        <v>29</v>
      </c>
      <c r="N67" t="s">
        <v>0</v>
      </c>
      <c r="O67">
        <v>12</v>
      </c>
      <c r="P67">
        <v>95</v>
      </c>
      <c r="Q67">
        <v>0</v>
      </c>
      <c r="R67" t="str" cm="1">
        <f t="array" ref="R67">_xlfn.IFS(H67="created", "New", H67="cancelled", "Churned", AND(H67="seats_change", J67 &gt; I67), "Expansion", AND(H67="seats_change", J67 &lt; I67), "Contraction", AND(H67="price_change", J67 &gt; I67), "Expansion", AND(H67="price_change", J67 &lt; I67), "Contraction", H67="plan_upgrade", "Expansion", H67="plan_downgrade", "Contraction", H67="discount_added", "Contraction")</f>
        <v>New</v>
      </c>
      <c r="S67" s="5" cm="1">
        <f t="array" ref="S67">_xlfn.IFS(H67="created",O67*P67*(1-Q67/100),H67="cancelled",-(O67*P67*(1-Q67/100)),H67="seats_change",(J67-I67)*P67*(1-Q67/100),H67="price_change",(J67-I67)*O67*(1-Q67/100),H67="discount_added",-(O67*P67*(J67-I67)/100),H67="plan_upgrade",O67*(_xlfn.XLOOKUP(J67,tbl_Plans[plan_name],tbl_Plans[monthly_price])-_xlfn.XLOOKUP(I67,tbl_Plans[plan_name],tbl_Plans[monthly_price]))*(1-Q67/100),H67="plan_downgrade",O67*(_xlfn.XLOOKUP(J67,tbl_Plans[plan_name],tbl_Plans[monthly_price])-_xlfn.XLOOKUP(I67,tbl_Plans[plan_name],tbl_Plans[monthly_price]))*(1-Q67/100))*IF(N67="Annual",1/12,1)</f>
        <v>1140</v>
      </c>
    </row>
    <row r="68" spans="1:19" x14ac:dyDescent="0.35">
      <c r="A68" t="s">
        <v>226</v>
      </c>
      <c r="B68" t="s">
        <v>124</v>
      </c>
      <c r="C68" t="s">
        <v>123</v>
      </c>
      <c r="D68" t="s">
        <v>122</v>
      </c>
      <c r="E68" t="s">
        <v>2</v>
      </c>
      <c r="F68" s="2">
        <v>45778</v>
      </c>
      <c r="G68" s="1">
        <v>45799</v>
      </c>
      <c r="H68" t="s">
        <v>159</v>
      </c>
      <c r="M68" t="s">
        <v>42</v>
      </c>
      <c r="N68" t="s">
        <v>0</v>
      </c>
      <c r="O68">
        <v>36</v>
      </c>
      <c r="P68">
        <v>110</v>
      </c>
      <c r="Q68">
        <v>0</v>
      </c>
      <c r="R68" t="str" cm="1">
        <f t="array" ref="R68">_xlfn.IFS(H68="created", "New", H68="cancelled", "Churned", AND(H68="seats_change", J68 &gt; I68), "Expansion", AND(H68="seats_change", J68 &lt; I68), "Contraction", AND(H68="price_change", J68 &gt; I68), "Expansion", AND(H68="price_change", J68 &lt; I68), "Contraction", H68="plan_upgrade", "Expansion", H68="plan_downgrade", "Contraction", H68="discount_added", "Contraction")</f>
        <v>New</v>
      </c>
      <c r="S68" s="5" cm="1">
        <f t="array" ref="S68">_xlfn.IFS(H68="created",O68*P68*(1-Q68/100),H68="cancelled",-(O68*P68*(1-Q68/100)),H68="seats_change",(J68-I68)*P68*(1-Q68/100),H68="price_change",(J68-I68)*O68*(1-Q68/100),H68="discount_added",-(O68*P68*(J68-I68)/100),H68="plan_upgrade",O68*(_xlfn.XLOOKUP(J68,tbl_Plans[plan_name],tbl_Plans[monthly_price])-_xlfn.XLOOKUP(I68,tbl_Plans[plan_name],tbl_Plans[monthly_price]))*(1-Q68/100),H68="plan_downgrade",O68*(_xlfn.XLOOKUP(J68,tbl_Plans[plan_name],tbl_Plans[monthly_price])-_xlfn.XLOOKUP(I68,tbl_Plans[plan_name],tbl_Plans[monthly_price]))*(1-Q68/100))*IF(N68="Annual",1/12,1)</f>
        <v>3960</v>
      </c>
    </row>
    <row r="69" spans="1:19" x14ac:dyDescent="0.35">
      <c r="A69" t="s">
        <v>225</v>
      </c>
      <c r="B69" t="s">
        <v>224</v>
      </c>
      <c r="C69" t="s">
        <v>126</v>
      </c>
      <c r="D69" t="s">
        <v>125</v>
      </c>
      <c r="E69" t="s">
        <v>7</v>
      </c>
      <c r="F69" s="2">
        <v>45778</v>
      </c>
      <c r="G69" s="1">
        <v>45803</v>
      </c>
      <c r="H69" t="s">
        <v>156</v>
      </c>
      <c r="I69" t="s">
        <v>155</v>
      </c>
      <c r="J69" t="s">
        <v>154</v>
      </c>
      <c r="K69" t="s">
        <v>153</v>
      </c>
      <c r="L69" t="s">
        <v>223</v>
      </c>
      <c r="M69" t="s">
        <v>29</v>
      </c>
      <c r="N69" t="s">
        <v>0</v>
      </c>
      <c r="O69">
        <v>25</v>
      </c>
      <c r="P69">
        <v>95</v>
      </c>
      <c r="Q69">
        <v>0</v>
      </c>
      <c r="R69" t="str" cm="1">
        <f t="array" ref="R69">_xlfn.IFS(H69="created", "New", H69="cancelled", "Churned", AND(H69="seats_change", J69 &gt; I69), "Expansion", AND(H69="seats_change", J69 &lt; I69), "Contraction", AND(H69="price_change", J69 &gt; I69), "Expansion", AND(H69="price_change", J69 &lt; I69), "Contraction", H69="plan_upgrade", "Expansion", H69="plan_downgrade", "Contraction", H69="discount_added", "Contraction")</f>
        <v>Churned</v>
      </c>
      <c r="S69" s="5" cm="1">
        <f t="array" ref="S69">_xlfn.IFS(H69="created",O69*P69*(1-Q69/100),H69="cancelled",-(O69*P69*(1-Q69/100)),H69="seats_change",(J69-I69)*P69*(1-Q69/100),H69="price_change",(J69-I69)*O69*(1-Q69/100),H69="discount_added",-(O69*P69*(J69-I69)/100),H69="plan_upgrade",O69*(_xlfn.XLOOKUP(J69,tbl_Plans[plan_name],tbl_Plans[monthly_price])-_xlfn.XLOOKUP(I69,tbl_Plans[plan_name],tbl_Plans[monthly_price]))*(1-Q69/100),H69="plan_downgrade",O69*(_xlfn.XLOOKUP(J69,tbl_Plans[plan_name],tbl_Plans[monthly_price])-_xlfn.XLOOKUP(I69,tbl_Plans[plan_name],tbl_Plans[monthly_price]))*(1-Q69/100))*IF(N69="Annual",1/12,1)</f>
        <v>-2375</v>
      </c>
    </row>
    <row r="70" spans="1:19" x14ac:dyDescent="0.35">
      <c r="A70" t="s">
        <v>222</v>
      </c>
      <c r="B70" t="s">
        <v>134</v>
      </c>
      <c r="C70" t="s">
        <v>133</v>
      </c>
      <c r="D70" t="s">
        <v>132</v>
      </c>
      <c r="E70" t="s">
        <v>2</v>
      </c>
      <c r="F70" s="2">
        <v>45778</v>
      </c>
      <c r="G70" s="1">
        <v>45803</v>
      </c>
      <c r="H70" t="s">
        <v>159</v>
      </c>
      <c r="M70" t="s">
        <v>120</v>
      </c>
      <c r="N70" t="s">
        <v>0</v>
      </c>
      <c r="O70">
        <v>35</v>
      </c>
      <c r="P70">
        <v>150</v>
      </c>
      <c r="Q70">
        <v>0</v>
      </c>
      <c r="R70" t="str" cm="1">
        <f t="array" ref="R70">_xlfn.IFS(H70="created", "New", H70="cancelled", "Churned", AND(H70="seats_change", J70 &gt; I70), "Expansion", AND(H70="seats_change", J70 &lt; I70), "Contraction", AND(H70="price_change", J70 &gt; I70), "Expansion", AND(H70="price_change", J70 &lt; I70), "Contraction", H70="plan_upgrade", "Expansion", H70="plan_downgrade", "Contraction", H70="discount_added", "Contraction")</f>
        <v>New</v>
      </c>
      <c r="S70" s="5" cm="1">
        <f t="array" ref="S70">_xlfn.IFS(H70="created",O70*P70*(1-Q70/100),H70="cancelled",-(O70*P70*(1-Q70/100)),H70="seats_change",(J70-I70)*P70*(1-Q70/100),H70="price_change",(J70-I70)*O70*(1-Q70/100),H70="discount_added",-(O70*P70*(J70-I70)/100),H70="plan_upgrade",O70*(_xlfn.XLOOKUP(J70,tbl_Plans[plan_name],tbl_Plans[monthly_price])-_xlfn.XLOOKUP(I70,tbl_Plans[plan_name],tbl_Plans[monthly_price]))*(1-Q70/100),H70="plan_downgrade",O70*(_xlfn.XLOOKUP(J70,tbl_Plans[plan_name],tbl_Plans[monthly_price])-_xlfn.XLOOKUP(I70,tbl_Plans[plan_name],tbl_Plans[monthly_price]))*(1-Q70/100))*IF(N70="Annual",1/12,1)</f>
        <v>5250</v>
      </c>
    </row>
    <row r="71" spans="1:19" x14ac:dyDescent="0.35">
      <c r="A71" t="s">
        <v>221</v>
      </c>
      <c r="B71" t="s">
        <v>139</v>
      </c>
      <c r="C71" t="s">
        <v>105</v>
      </c>
      <c r="D71" t="s">
        <v>104</v>
      </c>
      <c r="E71" t="s">
        <v>7</v>
      </c>
      <c r="F71" s="2">
        <v>45809</v>
      </c>
      <c r="G71" s="1">
        <v>45809</v>
      </c>
      <c r="H71" t="s">
        <v>170</v>
      </c>
      <c r="I71">
        <v>30</v>
      </c>
      <c r="J71">
        <v>35</v>
      </c>
      <c r="K71" t="s">
        <v>169</v>
      </c>
      <c r="L71" t="s">
        <v>220</v>
      </c>
      <c r="M71" t="s">
        <v>116</v>
      </c>
      <c r="N71" t="s">
        <v>0</v>
      </c>
      <c r="O71">
        <v>35</v>
      </c>
      <c r="P71">
        <v>180</v>
      </c>
      <c r="Q71">
        <v>0</v>
      </c>
      <c r="R71" t="str" cm="1">
        <f t="array" ref="R71">_xlfn.IFS(H71="created", "New", H71="cancelled", "Churned", AND(H71="seats_change", J71 &gt; I71), "Expansion", AND(H71="seats_change", J71 &lt; I71), "Contraction", AND(H71="price_change", J71 &gt; I71), "Expansion", AND(H71="price_change", J71 &lt; I71), "Contraction", H71="plan_upgrade", "Expansion", H71="plan_downgrade", "Contraction", H71="discount_added", "Contraction")</f>
        <v>Expansion</v>
      </c>
      <c r="S71" s="5" cm="1">
        <f t="array" ref="S71">_xlfn.IFS(H71="created",O71*P71*(1-Q71/100),H71="cancelled",-(O71*P71*(1-Q71/100)),H71="seats_change",(J71-I71)*P71*(1-Q71/100),H71="price_change",(J71-I71)*O71*(1-Q71/100),H71="discount_added",-(O71*P71*(J71-I71)/100),H71="plan_upgrade",O71*(_xlfn.XLOOKUP(J71,tbl_Plans[plan_name],tbl_Plans[monthly_price])-_xlfn.XLOOKUP(I71,tbl_Plans[plan_name],tbl_Plans[monthly_price]))*(1-Q71/100),H71="plan_downgrade",O71*(_xlfn.XLOOKUP(J71,tbl_Plans[plan_name],tbl_Plans[monthly_price])-_xlfn.XLOOKUP(I71,tbl_Plans[plan_name],tbl_Plans[monthly_price]))*(1-Q71/100))*IF(N71="Annual",1/12,1)</f>
        <v>900</v>
      </c>
    </row>
    <row r="72" spans="1:19" x14ac:dyDescent="0.35">
      <c r="A72" t="s">
        <v>219</v>
      </c>
      <c r="B72" t="s">
        <v>137</v>
      </c>
      <c r="C72" t="s">
        <v>108</v>
      </c>
      <c r="D72" t="s">
        <v>107</v>
      </c>
      <c r="E72" t="s">
        <v>7</v>
      </c>
      <c r="F72" s="2">
        <v>45809</v>
      </c>
      <c r="G72" s="1">
        <v>45813</v>
      </c>
      <c r="H72" t="s">
        <v>159</v>
      </c>
      <c r="M72" t="s">
        <v>116</v>
      </c>
      <c r="N72" t="s">
        <v>0</v>
      </c>
      <c r="O72">
        <v>31</v>
      </c>
      <c r="P72">
        <v>180</v>
      </c>
      <c r="Q72">
        <v>0</v>
      </c>
      <c r="R72" t="str" cm="1">
        <f t="array" ref="R72">_xlfn.IFS(H72="created", "New", H72="cancelled", "Churned", AND(H72="seats_change", J72 &gt; I72), "Expansion", AND(H72="seats_change", J72 &lt; I72), "Contraction", AND(H72="price_change", J72 &gt; I72), "Expansion", AND(H72="price_change", J72 &lt; I72), "Contraction", H72="plan_upgrade", "Expansion", H72="plan_downgrade", "Contraction", H72="discount_added", "Contraction")</f>
        <v>New</v>
      </c>
      <c r="S72" s="5" cm="1">
        <f t="array" ref="S72">_xlfn.IFS(H72="created",O72*P72*(1-Q72/100),H72="cancelled",-(O72*P72*(1-Q72/100)),H72="seats_change",(J72-I72)*P72*(1-Q72/100),H72="price_change",(J72-I72)*O72*(1-Q72/100),H72="discount_added",-(O72*P72*(J72-I72)/100),H72="plan_upgrade",O72*(_xlfn.XLOOKUP(J72,tbl_Plans[plan_name],tbl_Plans[monthly_price])-_xlfn.XLOOKUP(I72,tbl_Plans[plan_name],tbl_Plans[monthly_price]))*(1-Q72/100),H72="plan_downgrade",O72*(_xlfn.XLOOKUP(J72,tbl_Plans[plan_name],tbl_Plans[monthly_price])-_xlfn.XLOOKUP(I72,tbl_Plans[plan_name],tbl_Plans[monthly_price]))*(1-Q72/100))*IF(N72="Annual",1/12,1)</f>
        <v>5580</v>
      </c>
    </row>
    <row r="73" spans="1:19" x14ac:dyDescent="0.35">
      <c r="A73" t="s">
        <v>218</v>
      </c>
      <c r="B73" t="s">
        <v>11</v>
      </c>
      <c r="C73" t="s">
        <v>10</v>
      </c>
      <c r="D73" t="s">
        <v>9</v>
      </c>
      <c r="E73" t="s">
        <v>7</v>
      </c>
      <c r="F73" s="2">
        <v>45809</v>
      </c>
      <c r="G73" s="1">
        <v>45817</v>
      </c>
      <c r="H73" t="s">
        <v>159</v>
      </c>
      <c r="M73" t="s">
        <v>1</v>
      </c>
      <c r="N73" t="s">
        <v>0</v>
      </c>
      <c r="O73">
        <v>13</v>
      </c>
      <c r="P73">
        <v>45</v>
      </c>
      <c r="Q73">
        <v>0</v>
      </c>
      <c r="R73" t="str" cm="1">
        <f t="array" ref="R73">_xlfn.IFS(H73="created", "New", H73="cancelled", "Churned", AND(H73="seats_change", J73 &gt; I73), "Expansion", AND(H73="seats_change", J73 &lt; I73), "Contraction", AND(H73="price_change", J73 &gt; I73), "Expansion", AND(H73="price_change", J73 &lt; I73), "Contraction", H73="plan_upgrade", "Expansion", H73="plan_downgrade", "Contraction", H73="discount_added", "Contraction")</f>
        <v>New</v>
      </c>
      <c r="S73" s="5" cm="1">
        <f t="array" ref="S73">_xlfn.IFS(H73="created",O73*P73*(1-Q73/100),H73="cancelled",-(O73*P73*(1-Q73/100)),H73="seats_change",(J73-I73)*P73*(1-Q73/100),H73="price_change",(J73-I73)*O73*(1-Q73/100),H73="discount_added",-(O73*P73*(J73-I73)/100),H73="plan_upgrade",O73*(_xlfn.XLOOKUP(J73,tbl_Plans[plan_name],tbl_Plans[monthly_price])-_xlfn.XLOOKUP(I73,tbl_Plans[plan_name],tbl_Plans[monthly_price]))*(1-Q73/100),H73="plan_downgrade",O73*(_xlfn.XLOOKUP(J73,tbl_Plans[plan_name],tbl_Plans[monthly_price])-_xlfn.XLOOKUP(I73,tbl_Plans[plan_name],tbl_Plans[monthly_price]))*(1-Q73/100))*IF(N73="Annual",1/12,1)</f>
        <v>585</v>
      </c>
    </row>
    <row r="74" spans="1:19" x14ac:dyDescent="0.35">
      <c r="A74" t="s">
        <v>217</v>
      </c>
      <c r="B74" t="s">
        <v>216</v>
      </c>
      <c r="C74" t="s">
        <v>82</v>
      </c>
      <c r="D74" t="s">
        <v>81</v>
      </c>
      <c r="E74" t="s">
        <v>2</v>
      </c>
      <c r="F74" s="2">
        <v>45809</v>
      </c>
      <c r="G74" s="1">
        <v>45818</v>
      </c>
      <c r="H74" t="s">
        <v>156</v>
      </c>
      <c r="I74" t="s">
        <v>155</v>
      </c>
      <c r="J74" t="s">
        <v>156</v>
      </c>
      <c r="K74" t="s">
        <v>153</v>
      </c>
      <c r="L74" t="s">
        <v>215</v>
      </c>
      <c r="M74" t="s">
        <v>1</v>
      </c>
      <c r="N74" t="s">
        <v>0</v>
      </c>
      <c r="O74">
        <v>19</v>
      </c>
      <c r="P74">
        <v>45</v>
      </c>
      <c r="Q74">
        <v>0</v>
      </c>
      <c r="R74" t="str" cm="1">
        <f t="array" ref="R74">_xlfn.IFS(H74="created", "New", H74="cancelled", "Churned", AND(H74="seats_change", J74 &gt; I74), "Expansion", AND(H74="seats_change", J74 &lt; I74), "Contraction", AND(H74="price_change", J74 &gt; I74), "Expansion", AND(H74="price_change", J74 &lt; I74), "Contraction", H74="plan_upgrade", "Expansion", H74="plan_downgrade", "Contraction", H74="discount_added", "Contraction")</f>
        <v>Churned</v>
      </c>
      <c r="S74" s="5" cm="1">
        <f t="array" ref="S74">_xlfn.IFS(H74="created",O74*P74*(1-Q74/100),H74="cancelled",-(O74*P74*(1-Q74/100)),H74="seats_change",(J74-I74)*P74*(1-Q74/100),H74="price_change",(J74-I74)*O74*(1-Q74/100),H74="discount_added",-(O74*P74*(J74-I74)/100),H74="plan_upgrade",O74*(_xlfn.XLOOKUP(J74,tbl_Plans[plan_name],tbl_Plans[monthly_price])-_xlfn.XLOOKUP(I74,tbl_Plans[plan_name],tbl_Plans[monthly_price]))*(1-Q74/100),H74="plan_downgrade",O74*(_xlfn.XLOOKUP(J74,tbl_Plans[plan_name],tbl_Plans[monthly_price])-_xlfn.XLOOKUP(I74,tbl_Plans[plan_name],tbl_Plans[monthly_price]))*(1-Q74/100))*IF(N74="Annual",1/12,1)</f>
        <v>-855</v>
      </c>
    </row>
    <row r="75" spans="1:19" x14ac:dyDescent="0.35">
      <c r="A75" t="s">
        <v>214</v>
      </c>
      <c r="B75" t="s">
        <v>38</v>
      </c>
      <c r="C75" t="s">
        <v>37</v>
      </c>
      <c r="D75" t="s">
        <v>36</v>
      </c>
      <c r="E75" t="s">
        <v>2</v>
      </c>
      <c r="F75" s="2">
        <v>45809</v>
      </c>
      <c r="G75" s="1">
        <v>45823</v>
      </c>
      <c r="H75" t="s">
        <v>177</v>
      </c>
      <c r="I75" t="s">
        <v>1</v>
      </c>
      <c r="J75" t="s">
        <v>29</v>
      </c>
      <c r="K75" t="s">
        <v>146</v>
      </c>
      <c r="L75" t="s">
        <v>213</v>
      </c>
      <c r="M75" t="s">
        <v>29</v>
      </c>
      <c r="N75" t="s">
        <v>0</v>
      </c>
      <c r="O75">
        <v>16</v>
      </c>
      <c r="P75">
        <v>95</v>
      </c>
      <c r="Q75">
        <v>0</v>
      </c>
      <c r="R75" t="str" cm="1">
        <f t="array" ref="R75">_xlfn.IFS(H75="created", "New", H75="cancelled", "Churned", AND(H75="seats_change", J75 &gt; I75), "Expansion", AND(H75="seats_change", J75 &lt; I75), "Contraction", AND(H75="price_change", J75 &gt; I75), "Expansion", AND(H75="price_change", J75 &lt; I75), "Contraction", H75="plan_upgrade", "Expansion", H75="plan_downgrade", "Contraction", H75="discount_added", "Contraction")</f>
        <v>Expansion</v>
      </c>
      <c r="S75" s="5" cm="1">
        <f t="array" ref="S75">_xlfn.IFS(H75="created",O75*P75*(1-Q75/100),H75="cancelled",-(O75*P75*(1-Q75/100)),H75="seats_change",(J75-I75)*P75*(1-Q75/100),H75="price_change",(J75-I75)*O75*(1-Q75/100),H75="discount_added",-(O75*P75*(J75-I75)/100),H75="plan_upgrade",O75*(_xlfn.XLOOKUP(J75,tbl_Plans[plan_name],tbl_Plans[monthly_price])-_xlfn.XLOOKUP(I75,tbl_Plans[plan_name],tbl_Plans[monthly_price]))*(1-Q75/100),H75="plan_downgrade",O75*(_xlfn.XLOOKUP(J75,tbl_Plans[plan_name],tbl_Plans[monthly_price])-_xlfn.XLOOKUP(I75,tbl_Plans[plan_name],tbl_Plans[monthly_price]))*(1-Q75/100))*IF(N75="Annual",1/12,1)</f>
        <v>800</v>
      </c>
    </row>
    <row r="76" spans="1:19" x14ac:dyDescent="0.35">
      <c r="A76" t="s">
        <v>212</v>
      </c>
      <c r="B76" t="s">
        <v>92</v>
      </c>
      <c r="C76" t="s">
        <v>91</v>
      </c>
      <c r="D76" t="s">
        <v>90</v>
      </c>
      <c r="E76" t="s">
        <v>2</v>
      </c>
      <c r="F76" s="2">
        <v>45809</v>
      </c>
      <c r="G76" s="1">
        <v>45831</v>
      </c>
      <c r="H76" t="s">
        <v>159</v>
      </c>
      <c r="M76" t="s">
        <v>24</v>
      </c>
      <c r="N76" t="s">
        <v>0</v>
      </c>
      <c r="O76">
        <v>29</v>
      </c>
      <c r="P76">
        <v>85</v>
      </c>
      <c r="Q76">
        <v>0</v>
      </c>
      <c r="R76" t="str" cm="1">
        <f t="array" ref="R76">_xlfn.IFS(H76="created", "New", H76="cancelled", "Churned", AND(H76="seats_change", J76 &gt; I76), "Expansion", AND(H76="seats_change", J76 &lt; I76), "Contraction", AND(H76="price_change", J76 &gt; I76), "Expansion", AND(H76="price_change", J76 &lt; I76), "Contraction", H76="plan_upgrade", "Expansion", H76="plan_downgrade", "Contraction", H76="discount_added", "Contraction")</f>
        <v>New</v>
      </c>
      <c r="S76" s="5" cm="1">
        <f t="array" ref="S76">_xlfn.IFS(H76="created",O76*P76*(1-Q76/100),H76="cancelled",-(O76*P76*(1-Q76/100)),H76="seats_change",(J76-I76)*P76*(1-Q76/100),H76="price_change",(J76-I76)*O76*(1-Q76/100),H76="discount_added",-(O76*P76*(J76-I76)/100),H76="plan_upgrade",O76*(_xlfn.XLOOKUP(J76,tbl_Plans[plan_name],tbl_Plans[monthly_price])-_xlfn.XLOOKUP(I76,tbl_Plans[plan_name],tbl_Plans[monthly_price]))*(1-Q76/100),H76="plan_downgrade",O76*(_xlfn.XLOOKUP(J76,tbl_Plans[plan_name],tbl_Plans[monthly_price])-_xlfn.XLOOKUP(I76,tbl_Plans[plan_name],tbl_Plans[monthly_price]))*(1-Q76/100))*IF(N76="Annual",1/12,1)</f>
        <v>2465</v>
      </c>
    </row>
    <row r="77" spans="1:19" x14ac:dyDescent="0.35">
      <c r="A77" t="s">
        <v>211</v>
      </c>
      <c r="B77" t="s">
        <v>210</v>
      </c>
      <c r="C77" t="s">
        <v>26</v>
      </c>
      <c r="D77" t="s">
        <v>25</v>
      </c>
      <c r="E77" t="s">
        <v>2</v>
      </c>
      <c r="F77" s="2">
        <v>45809</v>
      </c>
      <c r="G77" s="1">
        <v>45833</v>
      </c>
      <c r="H77" t="s">
        <v>156</v>
      </c>
      <c r="I77" t="s">
        <v>155</v>
      </c>
      <c r="J77" t="s">
        <v>154</v>
      </c>
      <c r="K77" t="s">
        <v>153</v>
      </c>
      <c r="L77" t="s">
        <v>209</v>
      </c>
      <c r="M77" t="s">
        <v>1</v>
      </c>
      <c r="N77" t="s">
        <v>0</v>
      </c>
      <c r="O77">
        <v>10</v>
      </c>
      <c r="P77">
        <v>45</v>
      </c>
      <c r="Q77">
        <v>0</v>
      </c>
      <c r="R77" t="str" cm="1">
        <f t="array" ref="R77">_xlfn.IFS(H77="created", "New", H77="cancelled", "Churned", AND(H77="seats_change", J77 &gt; I77), "Expansion", AND(H77="seats_change", J77 &lt; I77), "Contraction", AND(H77="price_change", J77 &gt; I77), "Expansion", AND(H77="price_change", J77 &lt; I77), "Contraction", H77="plan_upgrade", "Expansion", H77="plan_downgrade", "Contraction", H77="discount_added", "Contraction")</f>
        <v>Churned</v>
      </c>
      <c r="S77" s="5" cm="1">
        <f t="array" ref="S77">_xlfn.IFS(H77="created",O77*P77*(1-Q77/100),H77="cancelled",-(O77*P77*(1-Q77/100)),H77="seats_change",(J77-I77)*P77*(1-Q77/100),H77="price_change",(J77-I77)*O77*(1-Q77/100),H77="discount_added",-(O77*P77*(J77-I77)/100),H77="plan_upgrade",O77*(_xlfn.XLOOKUP(J77,tbl_Plans[plan_name],tbl_Plans[monthly_price])-_xlfn.XLOOKUP(I77,tbl_Plans[plan_name],tbl_Plans[monthly_price]))*(1-Q77/100),H77="plan_downgrade",O77*(_xlfn.XLOOKUP(J77,tbl_Plans[plan_name],tbl_Plans[monthly_price])-_xlfn.XLOOKUP(I77,tbl_Plans[plan_name],tbl_Plans[monthly_price]))*(1-Q77/100))*IF(N77="Annual",1/12,1)</f>
        <v>-450</v>
      </c>
    </row>
    <row r="78" spans="1:19" x14ac:dyDescent="0.35">
      <c r="A78" t="s">
        <v>208</v>
      </c>
      <c r="B78" t="s">
        <v>60</v>
      </c>
      <c r="C78" t="s">
        <v>59</v>
      </c>
      <c r="D78" t="s">
        <v>58</v>
      </c>
      <c r="E78" t="s">
        <v>2</v>
      </c>
      <c r="F78" s="2">
        <v>45839</v>
      </c>
      <c r="G78" s="1">
        <v>45843</v>
      </c>
      <c r="H78" t="s">
        <v>185</v>
      </c>
      <c r="I78">
        <v>75</v>
      </c>
      <c r="J78">
        <v>85</v>
      </c>
      <c r="K78" t="s">
        <v>184</v>
      </c>
      <c r="L78" t="s">
        <v>207</v>
      </c>
      <c r="M78" t="s">
        <v>24</v>
      </c>
      <c r="N78" t="s">
        <v>0</v>
      </c>
      <c r="O78">
        <v>22</v>
      </c>
      <c r="P78">
        <v>85</v>
      </c>
      <c r="Q78">
        <v>0</v>
      </c>
      <c r="R78" t="str" cm="1">
        <f t="array" ref="R78">_xlfn.IFS(H78="created", "New", H78="cancelled", "Churned", AND(H78="seats_change", J78 &gt; I78), "Expansion", AND(H78="seats_change", J78 &lt; I78), "Contraction", AND(H78="price_change", J78 &gt; I78), "Expansion", AND(H78="price_change", J78 &lt; I78), "Contraction", H78="plan_upgrade", "Expansion", H78="plan_downgrade", "Contraction", H78="discount_added", "Contraction")</f>
        <v>Expansion</v>
      </c>
      <c r="S78" s="5" cm="1">
        <f t="array" ref="S78">_xlfn.IFS(H78="created",O78*P78*(1-Q78/100),H78="cancelled",-(O78*P78*(1-Q78/100)),H78="seats_change",(J78-I78)*P78*(1-Q78/100),H78="price_change",(J78-I78)*O78*(1-Q78/100),H78="discount_added",-(O78*P78*(J78-I78)/100),H78="plan_upgrade",O78*(_xlfn.XLOOKUP(J78,tbl_Plans[plan_name],tbl_Plans[monthly_price])-_xlfn.XLOOKUP(I78,tbl_Plans[plan_name],tbl_Plans[monthly_price]))*(1-Q78/100),H78="plan_downgrade",O78*(_xlfn.XLOOKUP(J78,tbl_Plans[plan_name],tbl_Plans[monthly_price])-_xlfn.XLOOKUP(I78,tbl_Plans[plan_name],tbl_Plans[monthly_price]))*(1-Q78/100))*IF(N78="Annual",1/12,1)</f>
        <v>220</v>
      </c>
    </row>
    <row r="79" spans="1:19" x14ac:dyDescent="0.35">
      <c r="A79" t="s">
        <v>206</v>
      </c>
      <c r="B79" t="s">
        <v>205</v>
      </c>
      <c r="C79" t="s">
        <v>40</v>
      </c>
      <c r="D79" t="s">
        <v>39</v>
      </c>
      <c r="E79" t="s">
        <v>16</v>
      </c>
      <c r="F79" s="2">
        <v>45839</v>
      </c>
      <c r="G79" s="1">
        <v>45858</v>
      </c>
      <c r="H79" t="s">
        <v>156</v>
      </c>
      <c r="I79" t="s">
        <v>155</v>
      </c>
      <c r="J79" t="s">
        <v>156</v>
      </c>
      <c r="K79" t="s">
        <v>153</v>
      </c>
      <c r="L79" t="s">
        <v>204</v>
      </c>
      <c r="M79" t="s">
        <v>42</v>
      </c>
      <c r="N79" t="s">
        <v>0</v>
      </c>
      <c r="O79">
        <v>16</v>
      </c>
      <c r="P79">
        <v>110</v>
      </c>
      <c r="Q79">
        <v>0</v>
      </c>
      <c r="R79" t="str" cm="1">
        <f t="array" ref="R79">_xlfn.IFS(H79="created", "New", H79="cancelled", "Churned", AND(H79="seats_change", J79 &gt; I79), "Expansion", AND(H79="seats_change", J79 &lt; I79), "Contraction", AND(H79="price_change", J79 &gt; I79), "Expansion", AND(H79="price_change", J79 &lt; I79), "Contraction", H79="plan_upgrade", "Expansion", H79="plan_downgrade", "Contraction", H79="discount_added", "Contraction")</f>
        <v>Churned</v>
      </c>
      <c r="S79" s="5" cm="1">
        <f t="array" ref="S79">_xlfn.IFS(H79="created",O79*P79*(1-Q79/100),H79="cancelled",-(O79*P79*(1-Q79/100)),H79="seats_change",(J79-I79)*P79*(1-Q79/100),H79="price_change",(J79-I79)*O79*(1-Q79/100),H79="discount_added",-(O79*P79*(J79-I79)/100),H79="plan_upgrade",O79*(_xlfn.XLOOKUP(J79,tbl_Plans[plan_name],tbl_Plans[monthly_price])-_xlfn.XLOOKUP(I79,tbl_Plans[plan_name],tbl_Plans[monthly_price]))*(1-Q79/100),H79="plan_downgrade",O79*(_xlfn.XLOOKUP(J79,tbl_Plans[plan_name],tbl_Plans[monthly_price])-_xlfn.XLOOKUP(I79,tbl_Plans[plan_name],tbl_Plans[monthly_price]))*(1-Q79/100))*IF(N79="Annual",1/12,1)</f>
        <v>-1760</v>
      </c>
    </row>
    <row r="80" spans="1:19" x14ac:dyDescent="0.35">
      <c r="A80" t="s">
        <v>203</v>
      </c>
      <c r="B80" t="s">
        <v>72</v>
      </c>
      <c r="C80" t="s">
        <v>71</v>
      </c>
      <c r="D80" t="s">
        <v>70</v>
      </c>
      <c r="E80" t="s">
        <v>16</v>
      </c>
      <c r="F80" s="2">
        <v>45839</v>
      </c>
      <c r="G80" s="1">
        <v>45860</v>
      </c>
      <c r="H80" t="s">
        <v>170</v>
      </c>
      <c r="I80">
        <v>14</v>
      </c>
      <c r="J80">
        <v>18</v>
      </c>
      <c r="K80" t="s">
        <v>169</v>
      </c>
      <c r="L80" t="s">
        <v>202</v>
      </c>
      <c r="M80" t="s">
        <v>42</v>
      </c>
      <c r="N80" t="s">
        <v>0</v>
      </c>
      <c r="O80">
        <v>18</v>
      </c>
      <c r="P80">
        <v>110</v>
      </c>
      <c r="Q80">
        <v>0</v>
      </c>
      <c r="R80" t="str" cm="1">
        <f t="array" ref="R80">_xlfn.IFS(H80="created", "New", H80="cancelled", "Churned", AND(H80="seats_change", J80 &gt; I80), "Expansion", AND(H80="seats_change", J80 &lt; I80), "Contraction", AND(H80="price_change", J80 &gt; I80), "Expansion", AND(H80="price_change", J80 &lt; I80), "Contraction", H80="plan_upgrade", "Expansion", H80="plan_downgrade", "Contraction", H80="discount_added", "Contraction")</f>
        <v>Expansion</v>
      </c>
      <c r="S80" s="5" cm="1">
        <f t="array" ref="S80">_xlfn.IFS(H80="created",O80*P80*(1-Q80/100),H80="cancelled",-(O80*P80*(1-Q80/100)),H80="seats_change",(J80-I80)*P80*(1-Q80/100),H80="price_change",(J80-I80)*O80*(1-Q80/100),H80="discount_added",-(O80*P80*(J80-I80)/100),H80="plan_upgrade",O80*(_xlfn.XLOOKUP(J80,tbl_Plans[plan_name],tbl_Plans[monthly_price])-_xlfn.XLOOKUP(I80,tbl_Plans[plan_name],tbl_Plans[monthly_price]))*(1-Q80/100),H80="plan_downgrade",O80*(_xlfn.XLOOKUP(J80,tbl_Plans[plan_name],tbl_Plans[monthly_price])-_xlfn.XLOOKUP(I80,tbl_Plans[plan_name],tbl_Plans[monthly_price]))*(1-Q80/100))*IF(N80="Annual",1/12,1)</f>
        <v>440</v>
      </c>
    </row>
    <row r="81" spans="1:20" x14ac:dyDescent="0.35">
      <c r="A81" t="s">
        <v>201</v>
      </c>
      <c r="B81" t="s">
        <v>57</v>
      </c>
      <c r="C81" t="s">
        <v>56</v>
      </c>
      <c r="D81" t="s">
        <v>55</v>
      </c>
      <c r="E81" t="s">
        <v>2</v>
      </c>
      <c r="F81" s="2">
        <v>45870</v>
      </c>
      <c r="G81" s="1">
        <v>45872</v>
      </c>
      <c r="H81" t="s">
        <v>185</v>
      </c>
      <c r="I81">
        <v>90</v>
      </c>
      <c r="J81">
        <v>85</v>
      </c>
      <c r="K81" t="s">
        <v>184</v>
      </c>
      <c r="L81" t="s">
        <v>200</v>
      </c>
      <c r="M81" t="s">
        <v>24</v>
      </c>
      <c r="N81" t="s">
        <v>0</v>
      </c>
      <c r="O81">
        <v>22</v>
      </c>
      <c r="P81">
        <v>85</v>
      </c>
      <c r="Q81">
        <v>0</v>
      </c>
      <c r="R81" t="str" cm="1">
        <f t="array" ref="R81">_xlfn.IFS(H81="created", "New", H81="cancelled", "Churned", AND(H81="seats_change", J81 &gt; I81), "Expansion", AND(H81="seats_change", J81 &lt; I81), "Contraction", AND(H81="price_change", J81 &gt; I81), "Expansion", AND(H81="price_change", J81 &lt; I81), "Contraction", H81="plan_upgrade", "Expansion", H81="plan_downgrade", "Contraction", H81="discount_added", "Contraction")</f>
        <v>Contraction</v>
      </c>
      <c r="S81" s="5" cm="1">
        <f t="array" ref="S81">_xlfn.IFS(H81="created",O81*P81*(1-Q81/100),H81="cancelled",-(O81*P81*(1-Q81/100)),H81="seats_change",(J81-I81)*P81*(1-Q81/100),H81="price_change",(J81-I81)*O81*(1-Q81/100),H81="discount_added",-(O81*P81*(J81-I81)/100),H81="plan_upgrade",O81*(_xlfn.XLOOKUP(J81,tbl_Plans[plan_name],tbl_Plans[monthly_price])-_xlfn.XLOOKUP(I81,tbl_Plans[plan_name],tbl_Plans[monthly_price]))*(1-Q81/100),H81="plan_downgrade",O81*(_xlfn.XLOOKUP(J81,tbl_Plans[plan_name],tbl_Plans[monthly_price])-_xlfn.XLOOKUP(I81,tbl_Plans[plan_name],tbl_Plans[monthly_price]))*(1-Q81/100))*IF(N81="Annual",1/12,1)</f>
        <v>-110</v>
      </c>
    </row>
    <row r="82" spans="1:20" x14ac:dyDescent="0.35">
      <c r="A82" t="s">
        <v>199</v>
      </c>
      <c r="B82" t="s">
        <v>130</v>
      </c>
      <c r="C82" t="s">
        <v>129</v>
      </c>
      <c r="D82" t="s">
        <v>128</v>
      </c>
      <c r="E82" t="s">
        <v>7</v>
      </c>
      <c r="F82" s="2">
        <v>45870</v>
      </c>
      <c r="G82" s="1">
        <v>45881</v>
      </c>
      <c r="H82" t="s">
        <v>177</v>
      </c>
      <c r="I82" t="s">
        <v>29</v>
      </c>
      <c r="J82" t="s">
        <v>116</v>
      </c>
      <c r="K82" t="s">
        <v>146</v>
      </c>
      <c r="L82" t="s">
        <v>198</v>
      </c>
      <c r="M82" t="s">
        <v>116</v>
      </c>
      <c r="N82" t="s">
        <v>0</v>
      </c>
      <c r="O82">
        <v>26</v>
      </c>
      <c r="P82">
        <v>180</v>
      </c>
      <c r="Q82">
        <v>0</v>
      </c>
      <c r="R82" t="str" cm="1">
        <f t="array" ref="R82">_xlfn.IFS(H82="created", "New", H82="cancelled", "Churned", AND(H82="seats_change", J82 &gt; I82), "Expansion", AND(H82="seats_change", J82 &lt; I82), "Contraction", AND(H82="price_change", J82 &gt; I82), "Expansion", AND(H82="price_change", J82 &lt; I82), "Contraction", H82="plan_upgrade", "Expansion", H82="plan_downgrade", "Contraction", H82="discount_added", "Contraction")</f>
        <v>Expansion</v>
      </c>
      <c r="S82" s="5" cm="1">
        <f t="array" ref="S82">_xlfn.IFS(H82="created",O82*P82*(1-Q82/100),H82="cancelled",-(O82*P82*(1-Q82/100)),H82="seats_change",(J82-I82)*P82*(1-Q82/100),H82="price_change",(J82-I82)*O82*(1-Q82/100),H82="discount_added",-(O82*P82*(J82-I82)/100),H82="plan_upgrade",O82*(_xlfn.XLOOKUP(J82,tbl_Plans[plan_name],tbl_Plans[monthly_price])-_xlfn.XLOOKUP(I82,tbl_Plans[plan_name],tbl_Plans[monthly_price]))*(1-Q82/100),H82="plan_downgrade",O82*(_xlfn.XLOOKUP(J82,tbl_Plans[plan_name],tbl_Plans[monthly_price])-_xlfn.XLOOKUP(I82,tbl_Plans[plan_name],tbl_Plans[monthly_price]))*(1-Q82/100))*IF(N82="Annual",1/12,1)</f>
        <v>2210</v>
      </c>
    </row>
    <row r="83" spans="1:20" x14ac:dyDescent="0.35">
      <c r="A83" t="s">
        <v>197</v>
      </c>
      <c r="B83" t="s">
        <v>6</v>
      </c>
      <c r="C83" t="s">
        <v>5</v>
      </c>
      <c r="D83" t="s">
        <v>4</v>
      </c>
      <c r="E83" t="s">
        <v>2</v>
      </c>
      <c r="F83" s="2">
        <v>45870</v>
      </c>
      <c r="G83" s="1">
        <v>45888</v>
      </c>
      <c r="H83" t="s">
        <v>196</v>
      </c>
      <c r="I83" t="s">
        <v>29</v>
      </c>
      <c r="J83" t="s">
        <v>1</v>
      </c>
      <c r="K83" t="s">
        <v>146</v>
      </c>
      <c r="L83" t="s">
        <v>195</v>
      </c>
      <c r="M83" t="s">
        <v>1</v>
      </c>
      <c r="N83" t="s">
        <v>0</v>
      </c>
      <c r="O83">
        <v>12</v>
      </c>
      <c r="P83">
        <v>45</v>
      </c>
      <c r="Q83">
        <v>0</v>
      </c>
      <c r="R83" t="str" cm="1">
        <f t="array" ref="R83">_xlfn.IFS(H83="created", "New", H83="cancelled", "Churned", AND(H83="seats_change", J83 &gt; I83), "Expansion", AND(H83="seats_change", J83 &lt; I83), "Contraction", AND(H83="price_change", J83 &gt; I83), "Expansion", AND(H83="price_change", J83 &lt; I83), "Contraction", H83="plan_upgrade", "Expansion", H83="plan_downgrade", "Contraction", H83="discount_added", "Contraction")</f>
        <v>Contraction</v>
      </c>
      <c r="S83" s="5" cm="1">
        <f t="array" ref="S83">_xlfn.IFS(H83="created",O83*P83*(1-Q83/100),H83="cancelled",-(O83*P83*(1-Q83/100)),H83="seats_change",(J83-I83)*P83*(1-Q83/100),H83="price_change",(J83-I83)*O83*(1-Q83/100),H83="discount_added",-(O83*P83*(J83-I83)/100),H83="plan_upgrade",O83*(_xlfn.XLOOKUP(J83,tbl_Plans[plan_name],tbl_Plans[monthly_price])-_xlfn.XLOOKUP(I83,tbl_Plans[plan_name],tbl_Plans[monthly_price]))*(1-Q83/100),H83="plan_downgrade",O83*(_xlfn.XLOOKUP(J83,tbl_Plans[plan_name],tbl_Plans[monthly_price])-_xlfn.XLOOKUP(I83,tbl_Plans[plan_name],tbl_Plans[monthly_price]))*(1-Q83/100))*IF(N83="Annual",1/12,1)</f>
        <v>-600</v>
      </c>
    </row>
    <row r="84" spans="1:20" x14ac:dyDescent="0.35">
      <c r="A84" t="s">
        <v>194</v>
      </c>
      <c r="B84" t="s">
        <v>131</v>
      </c>
      <c r="C84" t="s">
        <v>101</v>
      </c>
      <c r="D84" t="s">
        <v>100</v>
      </c>
      <c r="E84" t="s">
        <v>2</v>
      </c>
      <c r="F84" s="2">
        <v>45870</v>
      </c>
      <c r="G84" s="1">
        <v>45889</v>
      </c>
      <c r="H84" t="s">
        <v>170</v>
      </c>
      <c r="I84">
        <v>28</v>
      </c>
      <c r="J84">
        <v>33</v>
      </c>
      <c r="K84" t="s">
        <v>169</v>
      </c>
      <c r="L84" t="s">
        <v>193</v>
      </c>
      <c r="M84" t="s">
        <v>120</v>
      </c>
      <c r="N84" t="s">
        <v>0</v>
      </c>
      <c r="O84">
        <v>33</v>
      </c>
      <c r="P84">
        <v>150</v>
      </c>
      <c r="Q84">
        <v>0</v>
      </c>
      <c r="R84" t="str" cm="1">
        <f t="array" ref="R84">_xlfn.IFS(H84="created", "New", H84="cancelled", "Churned", AND(H84="seats_change", J84 &gt; I84), "Expansion", AND(H84="seats_change", J84 &lt; I84), "Contraction", AND(H84="price_change", J84 &gt; I84), "Expansion", AND(H84="price_change", J84 &lt; I84), "Contraction", H84="plan_upgrade", "Expansion", H84="plan_downgrade", "Contraction", H84="discount_added", "Contraction")</f>
        <v>Expansion</v>
      </c>
      <c r="S84" s="5" cm="1">
        <f t="array" ref="S84">_xlfn.IFS(H84="created",O84*P84*(1-Q84/100),H84="cancelled",-(O84*P84*(1-Q84/100)),H84="seats_change",(J84-I84)*P84*(1-Q84/100),H84="price_change",(J84-I84)*O84*(1-Q84/100),H84="discount_added",-(O84*P84*(J84-I84)/100),H84="plan_upgrade",O84*(_xlfn.XLOOKUP(J84,tbl_Plans[plan_name],tbl_Plans[monthly_price])-_xlfn.XLOOKUP(I84,tbl_Plans[plan_name],tbl_Plans[monthly_price]))*(1-Q84/100),H84="plan_downgrade",O84*(_xlfn.XLOOKUP(J84,tbl_Plans[plan_name],tbl_Plans[monthly_price])-_xlfn.XLOOKUP(I84,tbl_Plans[plan_name],tbl_Plans[monthly_price]))*(1-Q84/100))*IF(N84="Annual",1/12,1)</f>
        <v>750</v>
      </c>
    </row>
    <row r="85" spans="1:20" x14ac:dyDescent="0.35">
      <c r="A85" t="s">
        <v>192</v>
      </c>
      <c r="B85" t="s">
        <v>191</v>
      </c>
      <c r="C85" t="s">
        <v>68</v>
      </c>
      <c r="D85" t="s">
        <v>67</v>
      </c>
      <c r="E85" t="s">
        <v>7</v>
      </c>
      <c r="F85" s="2">
        <v>45870</v>
      </c>
      <c r="G85" s="1">
        <v>45899</v>
      </c>
      <c r="H85" t="s">
        <v>156</v>
      </c>
      <c r="I85" t="s">
        <v>155</v>
      </c>
      <c r="J85" t="s">
        <v>154</v>
      </c>
      <c r="K85" t="s">
        <v>153</v>
      </c>
      <c r="L85" t="s">
        <v>161</v>
      </c>
      <c r="M85" t="s">
        <v>116</v>
      </c>
      <c r="N85" t="s">
        <v>0</v>
      </c>
      <c r="O85">
        <v>26</v>
      </c>
      <c r="P85">
        <v>180</v>
      </c>
      <c r="Q85">
        <v>0</v>
      </c>
      <c r="R85" t="str" cm="1">
        <f t="array" ref="R85">_xlfn.IFS(H85="created", "New", H85="cancelled", "Churned", AND(H85="seats_change", J85 &gt; I85), "Expansion", AND(H85="seats_change", J85 &lt; I85), "Contraction", AND(H85="price_change", J85 &gt; I85), "Expansion", AND(H85="price_change", J85 &lt; I85), "Contraction", H85="plan_upgrade", "Expansion", H85="plan_downgrade", "Contraction", H85="discount_added", "Contraction")</f>
        <v>Churned</v>
      </c>
      <c r="S85" s="5" cm="1">
        <f t="array" ref="S85">_xlfn.IFS(H85="created",O85*P85*(1-Q85/100),H85="cancelled",-(O85*P85*(1-Q85/100)),H85="seats_change",(J85-I85)*P85*(1-Q85/100),H85="price_change",(J85-I85)*O85*(1-Q85/100),H85="discount_added",-(O85*P85*(J85-I85)/100),H85="plan_upgrade",O85*(_xlfn.XLOOKUP(J85,tbl_Plans[plan_name],tbl_Plans[monthly_price])-_xlfn.XLOOKUP(I85,tbl_Plans[plan_name],tbl_Plans[monthly_price]))*(1-Q85/100),H85="plan_downgrade",O85*(_xlfn.XLOOKUP(J85,tbl_Plans[plan_name],tbl_Plans[monthly_price])-_xlfn.XLOOKUP(I85,tbl_Plans[plan_name],tbl_Plans[monthly_price]))*(1-Q85/100))*IF(N85="Annual",1/12,1)</f>
        <v>-4680</v>
      </c>
    </row>
    <row r="86" spans="1:20" x14ac:dyDescent="0.35">
      <c r="A86" t="s">
        <v>190</v>
      </c>
      <c r="B86" t="s">
        <v>63</v>
      </c>
      <c r="C86" t="s">
        <v>62</v>
      </c>
      <c r="D86" t="s">
        <v>61</v>
      </c>
      <c r="E86" t="s">
        <v>7</v>
      </c>
      <c r="F86" s="2">
        <v>45901</v>
      </c>
      <c r="G86" s="1">
        <v>45905</v>
      </c>
      <c r="H86" t="s">
        <v>177</v>
      </c>
      <c r="I86" t="s">
        <v>1</v>
      </c>
      <c r="J86" t="s">
        <v>29</v>
      </c>
      <c r="K86" t="s">
        <v>146</v>
      </c>
      <c r="L86" t="s">
        <v>189</v>
      </c>
      <c r="M86" t="s">
        <v>29</v>
      </c>
      <c r="N86" t="s">
        <v>0</v>
      </c>
      <c r="O86">
        <v>20</v>
      </c>
      <c r="P86">
        <v>95</v>
      </c>
      <c r="Q86">
        <v>0</v>
      </c>
      <c r="R86" t="str" cm="1">
        <f t="array" ref="R86">_xlfn.IFS(H86="created", "New", H86="cancelled", "Churned", AND(H86="seats_change", J86 &gt; I86), "Expansion", AND(H86="seats_change", J86 &lt; I86), "Contraction", AND(H86="price_change", J86 &gt; I86), "Expansion", AND(H86="price_change", J86 &lt; I86), "Contraction", H86="plan_upgrade", "Expansion", H86="plan_downgrade", "Contraction", H86="discount_added", "Contraction")</f>
        <v>Expansion</v>
      </c>
      <c r="S86" s="5" cm="1">
        <f t="array" ref="S86">_xlfn.IFS(H86="created",O86*P86*(1-Q86/100),H86="cancelled",-(O86*P86*(1-Q86/100)),H86="seats_change",(J86-I86)*P86*(1-Q86/100),H86="price_change",(J86-I86)*O86*(1-Q86/100),H86="discount_added",-(O86*P86*(J86-I86)/100),H86="plan_upgrade",O86*(_xlfn.XLOOKUP(J86,tbl_Plans[plan_name],tbl_Plans[monthly_price])-_xlfn.XLOOKUP(I86,tbl_Plans[plan_name],tbl_Plans[monthly_price]))*(1-Q86/100),H86="plan_downgrade",O86*(_xlfn.XLOOKUP(J86,tbl_Plans[plan_name],tbl_Plans[monthly_price])-_xlfn.XLOOKUP(I86,tbl_Plans[plan_name],tbl_Plans[monthly_price]))*(1-Q86/100))*IF(N86="Annual",1/12,1)</f>
        <v>1000</v>
      </c>
    </row>
    <row r="87" spans="1:20" x14ac:dyDescent="0.35">
      <c r="A87" t="s">
        <v>188</v>
      </c>
      <c r="B87" t="s">
        <v>137</v>
      </c>
      <c r="C87" t="s">
        <v>108</v>
      </c>
      <c r="D87" t="s">
        <v>107</v>
      </c>
      <c r="E87" t="s">
        <v>7</v>
      </c>
      <c r="F87" s="2">
        <v>45901</v>
      </c>
      <c r="G87" s="1">
        <v>45910</v>
      </c>
      <c r="H87" t="s">
        <v>170</v>
      </c>
      <c r="I87">
        <v>26</v>
      </c>
      <c r="J87">
        <v>31</v>
      </c>
      <c r="K87" t="s">
        <v>169</v>
      </c>
      <c r="L87" t="s">
        <v>187</v>
      </c>
      <c r="M87" t="s">
        <v>116</v>
      </c>
      <c r="N87" t="s">
        <v>0</v>
      </c>
      <c r="O87">
        <v>31</v>
      </c>
      <c r="P87">
        <v>180</v>
      </c>
      <c r="Q87">
        <v>0</v>
      </c>
      <c r="R87" t="str" cm="1">
        <f t="array" ref="R87">_xlfn.IFS(H87="created", "New", H87="cancelled", "Churned", AND(H87="seats_change", J87 &gt; I87), "Expansion", AND(H87="seats_change", J87 &lt; I87), "Contraction", AND(H87="price_change", J87 &gt; I87), "Expansion", AND(H87="price_change", J87 &lt; I87), "Contraction", H87="plan_upgrade", "Expansion", H87="plan_downgrade", "Contraction", H87="discount_added", "Contraction")</f>
        <v>Expansion</v>
      </c>
      <c r="S87" s="5" cm="1">
        <f t="array" ref="S87">_xlfn.IFS(H87="created",O87*P87*(1-Q87/100),H87="cancelled",-(O87*P87*(1-Q87/100)),H87="seats_change",(J87-I87)*P87*(1-Q87/100),H87="price_change",(J87-I87)*O87*(1-Q87/100),H87="discount_added",-(O87*P87*(J87-I87)/100),H87="plan_upgrade",O87*(_xlfn.XLOOKUP(J87,tbl_Plans[plan_name],tbl_Plans[monthly_price])-_xlfn.XLOOKUP(I87,tbl_Plans[plan_name],tbl_Plans[monthly_price]))*(1-Q87/100),H87="plan_downgrade",O87*(_xlfn.XLOOKUP(J87,tbl_Plans[plan_name],tbl_Plans[monthly_price])-_xlfn.XLOOKUP(I87,tbl_Plans[plan_name],tbl_Plans[monthly_price]))*(1-Q87/100))*IF(N87="Annual",1/12,1)</f>
        <v>900</v>
      </c>
    </row>
    <row r="88" spans="1:20" x14ac:dyDescent="0.35">
      <c r="A88" t="s">
        <v>186</v>
      </c>
      <c r="B88" t="s">
        <v>80</v>
      </c>
      <c r="C88" t="s">
        <v>79</v>
      </c>
      <c r="D88" t="s">
        <v>78</v>
      </c>
      <c r="E88" t="s">
        <v>2</v>
      </c>
      <c r="F88" s="2">
        <v>45901</v>
      </c>
      <c r="G88" s="1">
        <v>45930</v>
      </c>
      <c r="H88" t="s">
        <v>185</v>
      </c>
      <c r="I88">
        <v>90</v>
      </c>
      <c r="J88">
        <v>85</v>
      </c>
      <c r="K88" t="s">
        <v>184</v>
      </c>
      <c r="L88" t="s">
        <v>183</v>
      </c>
      <c r="M88" t="s">
        <v>24</v>
      </c>
      <c r="N88" t="s">
        <v>0</v>
      </c>
      <c r="O88">
        <v>25</v>
      </c>
      <c r="P88">
        <v>85</v>
      </c>
      <c r="Q88">
        <v>0</v>
      </c>
      <c r="R88" t="str" cm="1">
        <f t="array" ref="R88">_xlfn.IFS(H88="created", "New", H88="cancelled", "Churned", AND(H88="seats_change", J88 &gt; I88), "Expansion", AND(H88="seats_change", J88 &lt; I88), "Contraction", AND(H88="price_change", J88 &gt; I88), "Expansion", AND(H88="price_change", J88 &lt; I88), "Contraction", H88="plan_upgrade", "Expansion", H88="plan_downgrade", "Contraction", H88="discount_added", "Contraction")</f>
        <v>Contraction</v>
      </c>
      <c r="S88" s="5" cm="1">
        <f t="array" ref="S88">_xlfn.IFS(H88="created",O88*P88*(1-Q88/100),H88="cancelled",-(O88*P88*(1-Q88/100)),H88="seats_change",(J88-I88)*P88*(1-Q88/100),H88="price_change",(J88-I88)*O88*(1-Q88/100),H88="discount_added",-(O88*P88*(J88-I88)/100),H88="plan_upgrade",O88*(_xlfn.XLOOKUP(J88,tbl_Plans[plan_name],tbl_Plans[monthly_price])-_xlfn.XLOOKUP(I88,tbl_Plans[plan_name],tbl_Plans[monthly_price]))*(1-Q88/100),H88="plan_downgrade",O88*(_xlfn.XLOOKUP(J88,tbl_Plans[plan_name],tbl_Plans[monthly_price])-_xlfn.XLOOKUP(I88,tbl_Plans[plan_name],tbl_Plans[monthly_price]))*(1-Q88/100))*IF(N88="Annual",1/12,1)</f>
        <v>-125</v>
      </c>
    </row>
    <row r="89" spans="1:20" x14ac:dyDescent="0.35">
      <c r="A89" t="s">
        <v>182</v>
      </c>
      <c r="B89" t="s">
        <v>96</v>
      </c>
      <c r="C89" t="s">
        <v>95</v>
      </c>
      <c r="D89" t="s">
        <v>94</v>
      </c>
      <c r="E89" t="s">
        <v>7</v>
      </c>
      <c r="F89" s="2">
        <v>45931</v>
      </c>
      <c r="G89" s="1">
        <v>45935</v>
      </c>
      <c r="H89" t="s">
        <v>170</v>
      </c>
      <c r="I89">
        <v>26</v>
      </c>
      <c r="J89">
        <v>31</v>
      </c>
      <c r="K89" t="s">
        <v>169</v>
      </c>
      <c r="L89" t="s">
        <v>181</v>
      </c>
      <c r="M89" t="s">
        <v>24</v>
      </c>
      <c r="N89" t="s">
        <v>0</v>
      </c>
      <c r="O89">
        <v>31</v>
      </c>
      <c r="P89">
        <v>85</v>
      </c>
      <c r="Q89">
        <v>0</v>
      </c>
      <c r="R89" t="str" cm="1">
        <f t="array" ref="R89">_xlfn.IFS(H89="created", "New", H89="cancelled", "Churned", AND(H89="seats_change", J89 &gt; I89), "Expansion", AND(H89="seats_change", J89 &lt; I89), "Contraction", AND(H89="price_change", J89 &gt; I89), "Expansion", AND(H89="price_change", J89 &lt; I89), "Contraction", H89="plan_upgrade", "Expansion", H89="plan_downgrade", "Contraction", H89="discount_added", "Contraction")</f>
        <v>Expansion</v>
      </c>
      <c r="S89" s="5" cm="1">
        <f t="array" ref="S89">_xlfn.IFS(H89="created",O89*P89*(1-Q89/100),H89="cancelled",-(O89*P89*(1-Q89/100)),H89="seats_change",(J89-I89)*P89*(1-Q89/100),H89="price_change",(J89-I89)*O89*(1-Q89/100),H89="discount_added",-(O89*P89*(J89-I89)/100),H89="plan_upgrade",O89*(_xlfn.XLOOKUP(J89,tbl_Plans[plan_name],tbl_Plans[monthly_price])-_xlfn.XLOOKUP(I89,tbl_Plans[plan_name],tbl_Plans[monthly_price]))*(1-Q89/100),H89="plan_downgrade",O89*(_xlfn.XLOOKUP(J89,tbl_Plans[plan_name],tbl_Plans[monthly_price])-_xlfn.XLOOKUP(I89,tbl_Plans[plan_name],tbl_Plans[monthly_price]))*(1-Q89/100))*IF(N89="Annual",1/12,1)</f>
        <v>425</v>
      </c>
    </row>
    <row r="90" spans="1:20" x14ac:dyDescent="0.35">
      <c r="A90" t="s">
        <v>180</v>
      </c>
      <c r="B90" t="s">
        <v>27</v>
      </c>
      <c r="C90" t="s">
        <v>26</v>
      </c>
      <c r="D90" t="s">
        <v>25</v>
      </c>
      <c r="E90" t="s">
        <v>2</v>
      </c>
      <c r="F90" s="2">
        <v>45931</v>
      </c>
      <c r="G90" s="1">
        <v>45945</v>
      </c>
      <c r="H90" t="s">
        <v>159</v>
      </c>
      <c r="L90" t="s">
        <v>179</v>
      </c>
      <c r="M90" t="s">
        <v>24</v>
      </c>
      <c r="N90" t="s">
        <v>0</v>
      </c>
      <c r="O90">
        <v>11</v>
      </c>
      <c r="P90">
        <v>85</v>
      </c>
      <c r="Q90">
        <v>0</v>
      </c>
      <c r="R90" t="str" cm="1">
        <f t="array" ref="R90">_xlfn.IFS(H90="created", "New", H90="cancelled", "Churned", AND(H90="seats_change", J90 &gt; I90), "Expansion", AND(H90="seats_change", J90 &lt; I90), "Contraction", AND(H90="price_change", J90 &gt; I90), "Expansion", AND(H90="price_change", J90 &lt; I90), "Contraction", H90="plan_upgrade", "Expansion", H90="plan_downgrade", "Contraction", H90="discount_added", "Contraction")</f>
        <v>New</v>
      </c>
      <c r="S90" s="5" cm="1">
        <f t="array" ref="S90">_xlfn.IFS(H90="created",O90*P90*(1-Q90/100),H90="cancelled",-(O90*P90*(1-Q90/100)),H90="seats_change",(J90-I90)*P90*(1-Q90/100),H90="price_change",(J90-I90)*O90*(1-Q90/100),H90="discount_added",-(O90*P90*(J90-I90)/100),H90="plan_upgrade",O90*(_xlfn.XLOOKUP(J90,tbl_Plans[plan_name],tbl_Plans[monthly_price])-_xlfn.XLOOKUP(I90,tbl_Plans[plan_name],tbl_Plans[monthly_price]))*(1-Q90/100),H90="plan_downgrade",O90*(_xlfn.XLOOKUP(J90,tbl_Plans[plan_name],tbl_Plans[monthly_price])-_xlfn.XLOOKUP(I90,tbl_Plans[plan_name],tbl_Plans[monthly_price]))*(1-Q90/100))*IF(N90="Annual",1/12,1)</f>
        <v>935</v>
      </c>
    </row>
    <row r="91" spans="1:20" x14ac:dyDescent="0.35">
      <c r="A91" t="s">
        <v>178</v>
      </c>
      <c r="B91" t="s">
        <v>48</v>
      </c>
      <c r="C91" t="s">
        <v>47</v>
      </c>
      <c r="D91" t="s">
        <v>46</v>
      </c>
      <c r="E91" t="s">
        <v>16</v>
      </c>
      <c r="F91" s="2">
        <v>45931</v>
      </c>
      <c r="G91" s="1">
        <v>45950</v>
      </c>
      <c r="H91" t="s">
        <v>177</v>
      </c>
      <c r="I91" t="s">
        <v>1</v>
      </c>
      <c r="J91" t="s">
        <v>29</v>
      </c>
      <c r="K91" t="s">
        <v>146</v>
      </c>
      <c r="L91" t="s">
        <v>176</v>
      </c>
      <c r="M91" t="s">
        <v>29</v>
      </c>
      <c r="N91" t="s">
        <v>0</v>
      </c>
      <c r="O91">
        <v>18</v>
      </c>
      <c r="P91">
        <v>95</v>
      </c>
      <c r="Q91">
        <v>0</v>
      </c>
      <c r="R91" t="str" cm="1">
        <f t="array" ref="R91">_xlfn.IFS(H91="created", "New", H91="cancelled", "Churned", AND(H91="seats_change", J91 &gt; I91), "Expansion", AND(H91="seats_change", J91 &lt; I91), "Contraction", AND(H91="price_change", J91 &gt; I91), "Expansion", AND(H91="price_change", J91 &lt; I91), "Contraction", H91="plan_upgrade", "Expansion", H91="plan_downgrade", "Contraction", H91="discount_added", "Contraction")</f>
        <v>Expansion</v>
      </c>
      <c r="S91" s="5" cm="1">
        <f t="array" ref="S91">_xlfn.IFS(H91="created",O91*P91*(1-Q91/100),H91="cancelled",-(O91*P91*(1-Q91/100)),H91="seats_change",(J91-I91)*P91*(1-Q91/100),H91="price_change",(J91-I91)*O91*(1-Q91/100),H91="discount_added",-(O91*P91*(J91-I91)/100),H91="plan_upgrade",O91*(_xlfn.XLOOKUP(J91,tbl_Plans[plan_name],tbl_Plans[monthly_price])-_xlfn.XLOOKUP(I91,tbl_Plans[plan_name],tbl_Plans[monthly_price]))*(1-Q91/100),H91="plan_downgrade",O91*(_xlfn.XLOOKUP(J91,tbl_Plans[plan_name],tbl_Plans[monthly_price])-_xlfn.XLOOKUP(I91,tbl_Plans[plan_name],tbl_Plans[monthly_price]))*(1-Q91/100))*IF(N91="Annual",1/12,1)</f>
        <v>900</v>
      </c>
    </row>
    <row r="92" spans="1:20" x14ac:dyDescent="0.35">
      <c r="A92" t="s">
        <v>175</v>
      </c>
      <c r="B92" t="s">
        <v>162</v>
      </c>
      <c r="C92" t="s">
        <v>118</v>
      </c>
      <c r="D92" t="s">
        <v>117</v>
      </c>
      <c r="E92" t="s">
        <v>7</v>
      </c>
      <c r="F92" s="2">
        <v>45962</v>
      </c>
      <c r="G92" s="1">
        <v>45962</v>
      </c>
      <c r="H92" t="s">
        <v>166</v>
      </c>
      <c r="I92">
        <v>0</v>
      </c>
      <c r="J92">
        <v>10</v>
      </c>
      <c r="K92" t="s">
        <v>165</v>
      </c>
      <c r="L92" t="s">
        <v>174</v>
      </c>
      <c r="M92" t="s">
        <v>29</v>
      </c>
      <c r="N92" t="s">
        <v>0</v>
      </c>
      <c r="O92">
        <v>19</v>
      </c>
      <c r="P92">
        <v>95</v>
      </c>
      <c r="Q92">
        <v>10</v>
      </c>
      <c r="R92" t="str" cm="1">
        <f t="array" ref="R92">_xlfn.IFS(H92="created", "New", H92="cancelled", "Churned", AND(H92="seats_change", J92 &gt; I92), "Expansion", AND(H92="seats_change", J92 &lt; I92), "Contraction", AND(H92="price_change", J92 &gt; I92), "Expansion", AND(H92="price_change", J92 &lt; I92), "Contraction", H92="plan_upgrade", "Expansion", H92="plan_downgrade", "Contraction", H92="discount_added", "Contraction")</f>
        <v>Contraction</v>
      </c>
      <c r="S92" s="5" cm="1">
        <f t="array" ref="S92">_xlfn.IFS(H92="created",O92*P92*(1-Q92/100),H92="cancelled",-(O92*P92*(1-Q92/100)),H92="seats_change",(J92-I92)*P92*(1-Q92/100),H92="price_change",(J92-I92)*O92*(1-Q92/100),H92="discount_added",-(O92*P92*(J92-I92)/100),H92="plan_upgrade",O92*(_xlfn.XLOOKUP(J92,tbl_Plans[plan_name],tbl_Plans[monthly_price])-_xlfn.XLOOKUP(I92,tbl_Plans[plan_name],tbl_Plans[monthly_price]))*(1-Q92/100),H92="plan_downgrade",O92*(_xlfn.XLOOKUP(J92,tbl_Plans[plan_name],tbl_Plans[monthly_price])-_xlfn.XLOOKUP(I92,tbl_Plans[plan_name],tbl_Plans[monthly_price]))*(1-Q92/100))*IF(N92="Annual",1/12,1)</f>
        <v>-180.5</v>
      </c>
    </row>
    <row r="93" spans="1:20" x14ac:dyDescent="0.35">
      <c r="A93" t="s">
        <v>173</v>
      </c>
      <c r="B93" t="s">
        <v>92</v>
      </c>
      <c r="C93" t="s">
        <v>91</v>
      </c>
      <c r="D93" t="s">
        <v>90</v>
      </c>
      <c r="E93" t="s">
        <v>2</v>
      </c>
      <c r="F93" s="2">
        <v>45962</v>
      </c>
      <c r="G93" s="1">
        <v>45976</v>
      </c>
      <c r="H93" t="s">
        <v>170</v>
      </c>
      <c r="I93">
        <v>32</v>
      </c>
      <c r="J93">
        <v>29</v>
      </c>
      <c r="K93" t="s">
        <v>169</v>
      </c>
      <c r="L93" t="s">
        <v>172</v>
      </c>
      <c r="M93" t="s">
        <v>24</v>
      </c>
      <c r="N93" t="s">
        <v>0</v>
      </c>
      <c r="O93">
        <v>29</v>
      </c>
      <c r="P93">
        <v>85</v>
      </c>
      <c r="Q93">
        <v>0</v>
      </c>
      <c r="R93" t="str" cm="1">
        <f t="array" ref="R93">_xlfn.IFS(H93="created", "New", H93="cancelled", "Churned", AND(H93="seats_change", J93 &gt; I93), "Expansion", AND(H93="seats_change", J93 &lt; I93), "Contraction", AND(H93="price_change", J93 &gt; I93), "Expansion", AND(H93="price_change", J93 &lt; I93), "Contraction", H93="plan_upgrade", "Expansion", H93="plan_downgrade", "Contraction", H93="discount_added", "Contraction")</f>
        <v>Contraction</v>
      </c>
      <c r="S93" s="5" cm="1">
        <f t="array" ref="S93">_xlfn.IFS(H93="created",O93*P93*(1-Q93/100),H93="cancelled",-(O93*P93*(1-Q93/100)),H93="seats_change",(J93-I93)*P93*(1-Q93/100),H93="price_change",(J93-I93)*O93*(1-Q93/100),H93="discount_added",-(O93*P93*(J93-I93)/100),H93="plan_upgrade",O93*(_xlfn.XLOOKUP(J93,tbl_Plans[plan_name],tbl_Plans[monthly_price])-_xlfn.XLOOKUP(I93,tbl_Plans[plan_name],tbl_Plans[monthly_price]))*(1-Q93/100),H93="plan_downgrade",O93*(_xlfn.XLOOKUP(J93,tbl_Plans[plan_name],tbl_Plans[monthly_price])-_xlfn.XLOOKUP(I93,tbl_Plans[plan_name],tbl_Plans[monthly_price]))*(1-Q93/100))*IF(N93="Annual",1/12,1)</f>
        <v>-255</v>
      </c>
    </row>
    <row r="94" spans="1:20" x14ac:dyDescent="0.35">
      <c r="A94" t="s">
        <v>171</v>
      </c>
      <c r="B94" t="s">
        <v>102</v>
      </c>
      <c r="C94" t="s">
        <v>101</v>
      </c>
      <c r="D94" t="s">
        <v>100</v>
      </c>
      <c r="E94" t="s">
        <v>2</v>
      </c>
      <c r="F94" s="2">
        <v>45992</v>
      </c>
      <c r="G94" s="1">
        <v>45999</v>
      </c>
      <c r="H94" t="s">
        <v>170</v>
      </c>
      <c r="I94">
        <v>22</v>
      </c>
      <c r="J94">
        <v>26</v>
      </c>
      <c r="K94" t="s">
        <v>169</v>
      </c>
      <c r="L94" t="s">
        <v>168</v>
      </c>
      <c r="M94" t="s">
        <v>42</v>
      </c>
      <c r="N94" t="s">
        <v>0</v>
      </c>
      <c r="O94">
        <v>26</v>
      </c>
      <c r="P94">
        <v>110</v>
      </c>
      <c r="Q94">
        <v>0</v>
      </c>
      <c r="R94" t="str" cm="1">
        <f t="array" ref="R94">_xlfn.IFS(H94="created", "New", H94="cancelled", "Churned", AND(H94="seats_change", J94 &gt; I94), "Expansion", AND(H94="seats_change", J94 &lt; I94), "Contraction", AND(H94="price_change", J94 &gt; I94), "Expansion", AND(H94="price_change", J94 &lt; I94), "Contraction", H94="plan_upgrade", "Expansion", H94="plan_downgrade", "Contraction", H94="discount_added", "Contraction")</f>
        <v>Expansion</v>
      </c>
      <c r="S94" s="5" cm="1">
        <f t="array" ref="S94">_xlfn.IFS(H94="created",O94*P94*(1-Q94/100),H94="cancelled",-(O94*P94*(1-Q94/100)),H94="seats_change",(J94-I94)*P94*(1-Q94/100),H94="price_change",(J94-I94)*O94*(1-Q94/100),H94="discount_added",-(O94*P94*(J94-I94)/100),H94="plan_upgrade",O94*(_xlfn.XLOOKUP(J94,tbl_Plans[plan_name],tbl_Plans[monthly_price])-_xlfn.XLOOKUP(I94,tbl_Plans[plan_name],tbl_Plans[monthly_price]))*(1-Q94/100),H94="plan_downgrade",O94*(_xlfn.XLOOKUP(J94,tbl_Plans[plan_name],tbl_Plans[monthly_price])-_xlfn.XLOOKUP(I94,tbl_Plans[plan_name],tbl_Plans[monthly_price]))*(1-Q94/100))*IF(N94="Annual",1/12,1)</f>
        <v>440</v>
      </c>
      <c r="T94" t="s">
        <v>320</v>
      </c>
    </row>
    <row r="95" spans="1:20" x14ac:dyDescent="0.35">
      <c r="A95" t="s">
        <v>167</v>
      </c>
      <c r="B95" t="s">
        <v>157</v>
      </c>
      <c r="C95" t="s">
        <v>34</v>
      </c>
      <c r="D95" t="s">
        <v>33</v>
      </c>
      <c r="E95" t="s">
        <v>2</v>
      </c>
      <c r="F95" s="2">
        <v>45992</v>
      </c>
      <c r="G95" s="1">
        <v>46006</v>
      </c>
      <c r="H95" t="s">
        <v>166</v>
      </c>
      <c r="I95">
        <v>0</v>
      </c>
      <c r="J95">
        <v>12</v>
      </c>
      <c r="K95" t="s">
        <v>165</v>
      </c>
      <c r="L95" t="s">
        <v>164</v>
      </c>
      <c r="M95" t="s">
        <v>1</v>
      </c>
      <c r="N95" t="s">
        <v>0</v>
      </c>
      <c r="O95">
        <v>15</v>
      </c>
      <c r="P95">
        <v>45</v>
      </c>
      <c r="Q95">
        <v>12</v>
      </c>
      <c r="R95" t="str" cm="1">
        <f t="array" ref="R95">_xlfn.IFS(H95="created", "New", H95="cancelled", "Churned", AND(H95="seats_change", J95 &gt; I95), "Expansion", AND(H95="seats_change", J95 &lt; I95), "Contraction", AND(H95="price_change", J95 &gt; I95), "Expansion", AND(H95="price_change", J95 &lt; I95), "Contraction", H95="plan_upgrade", "Expansion", H95="plan_downgrade", "Contraction", H95="discount_added", "Contraction")</f>
        <v>Contraction</v>
      </c>
      <c r="S95" s="5" cm="1">
        <f t="array" ref="S95">_xlfn.IFS(H95="created",O95*P95*(1-Q95/100),H95="cancelled",-(O95*P95*(1-Q95/100)),H95="seats_change",(J95-I95)*P95*(1-Q95/100),H95="price_change",(J95-I95)*O95*(1-Q95/100),H95="discount_added",-(O95*P95*(J95-I95)/100),H95="plan_upgrade",O95*(_xlfn.XLOOKUP(J95,tbl_Plans[plan_name],tbl_Plans[monthly_price])-_xlfn.XLOOKUP(I95,tbl_Plans[plan_name],tbl_Plans[monthly_price]))*(1-Q95/100),H95="plan_downgrade",O95*(_xlfn.XLOOKUP(J95,tbl_Plans[plan_name],tbl_Plans[monthly_price])-_xlfn.XLOOKUP(I95,tbl_Plans[plan_name],tbl_Plans[monthly_price]))*(1-Q95/100))*IF(N95="Annual",1/12,1)</f>
        <v>-81</v>
      </c>
    </row>
    <row r="96" spans="1:20" x14ac:dyDescent="0.35">
      <c r="A96" t="s">
        <v>163</v>
      </c>
      <c r="B96" t="s">
        <v>162</v>
      </c>
      <c r="C96" t="s">
        <v>118</v>
      </c>
      <c r="D96" t="s">
        <v>117</v>
      </c>
      <c r="E96" t="s">
        <v>7</v>
      </c>
      <c r="F96" s="2">
        <v>45992</v>
      </c>
      <c r="G96" s="1">
        <v>46021</v>
      </c>
      <c r="H96" t="s">
        <v>156</v>
      </c>
      <c r="I96" t="s">
        <v>155</v>
      </c>
      <c r="J96" t="s">
        <v>154</v>
      </c>
      <c r="K96" t="s">
        <v>153</v>
      </c>
      <c r="L96" t="s">
        <v>161</v>
      </c>
      <c r="M96" t="s">
        <v>29</v>
      </c>
      <c r="N96" t="s">
        <v>0</v>
      </c>
      <c r="O96">
        <v>19</v>
      </c>
      <c r="P96">
        <v>95</v>
      </c>
      <c r="Q96">
        <v>10</v>
      </c>
      <c r="R96" t="str" cm="1">
        <f t="array" ref="R96">_xlfn.IFS(H96="created", "New", H96="cancelled", "Churned", AND(H96="seats_change", J96 &gt; I96), "Expansion", AND(H96="seats_change", J96 &lt; I96), "Contraction", AND(H96="price_change", J96 &gt; I96), "Expansion", AND(H96="price_change", J96 &lt; I96), "Contraction", H96="plan_upgrade", "Expansion", H96="plan_downgrade", "Contraction", H96="discount_added", "Contraction")</f>
        <v>Churned</v>
      </c>
      <c r="S96" s="5" cm="1">
        <f t="array" ref="S96">_xlfn.IFS(H96="created",O96*P96*(1-Q96/100),H96="cancelled",-(O96*P96*(1-Q96/100)),H96="seats_change",(J96-I96)*P96*(1-Q96/100),H96="price_change",(J96-I96)*O96*(1-Q96/100),H96="discount_added",-(O96*P96*(J96-I96)/100),H96="plan_upgrade",O96*(_xlfn.XLOOKUP(J96,tbl_Plans[plan_name],tbl_Plans[monthly_price])-_xlfn.XLOOKUP(I96,tbl_Plans[plan_name],tbl_Plans[monthly_price]))*(1-Q96/100),H96="plan_downgrade",O96*(_xlfn.XLOOKUP(J96,tbl_Plans[plan_name],tbl_Plans[monthly_price])-_xlfn.XLOOKUP(I96,tbl_Plans[plan_name],tbl_Plans[monthly_price]))*(1-Q96/100))*IF(N96="Annual",1/12,1)</f>
        <v>-1624.5</v>
      </c>
    </row>
    <row r="97" spans="1:19" x14ac:dyDescent="0.35">
      <c r="A97" t="s">
        <v>160</v>
      </c>
      <c r="B97" t="s">
        <v>51</v>
      </c>
      <c r="C97" t="s">
        <v>50</v>
      </c>
      <c r="D97" t="s">
        <v>49</v>
      </c>
      <c r="E97" t="s">
        <v>7</v>
      </c>
      <c r="F97" s="2">
        <v>46023</v>
      </c>
      <c r="G97" s="1">
        <v>46048</v>
      </c>
      <c r="H97" t="s">
        <v>159</v>
      </c>
      <c r="M97" t="s">
        <v>29</v>
      </c>
      <c r="N97" t="s">
        <v>0</v>
      </c>
      <c r="O97">
        <v>18</v>
      </c>
      <c r="P97">
        <v>95</v>
      </c>
      <c r="Q97">
        <v>0</v>
      </c>
      <c r="R97" t="str" cm="1">
        <f t="array" ref="R97">_xlfn.IFS(H97="created", "New", H97="cancelled", "Churned", AND(H97="seats_change", J97 &gt; I97), "Expansion", AND(H97="seats_change", J97 &lt; I97), "Contraction", AND(H97="price_change", J97 &gt; I97), "Expansion", AND(H97="price_change", J97 &lt; I97), "Contraction", H97="plan_upgrade", "Expansion", H97="plan_downgrade", "Contraction", H97="discount_added", "Contraction")</f>
        <v>New</v>
      </c>
      <c r="S97" s="5" cm="1">
        <f t="array" ref="S97">_xlfn.IFS(H97="created",O97*P97*(1-Q97/100),H97="cancelled",-(O97*P97*(1-Q97/100)),H97="seats_change",(J97-I97)*P97*(1-Q97/100),H97="price_change",(J97-I97)*O97*(1-Q97/100),H97="discount_added",-(O97*P97*(J97-I97)/100),H97="plan_upgrade",O97*(_xlfn.XLOOKUP(J97,tbl_Plans[plan_name],tbl_Plans[monthly_price])-_xlfn.XLOOKUP(I97,tbl_Plans[plan_name],tbl_Plans[monthly_price]))*(1-Q97/100),H97="plan_downgrade",O97*(_xlfn.XLOOKUP(J97,tbl_Plans[plan_name],tbl_Plans[monthly_price])-_xlfn.XLOOKUP(I97,tbl_Plans[plan_name],tbl_Plans[monthly_price]))*(1-Q97/100))*IF(N97="Annual",1/12,1)</f>
        <v>1710</v>
      </c>
    </row>
    <row r="98" spans="1:19" x14ac:dyDescent="0.35">
      <c r="A98" t="s">
        <v>158</v>
      </c>
      <c r="B98" t="s">
        <v>157</v>
      </c>
      <c r="C98" t="s">
        <v>34</v>
      </c>
      <c r="D98" t="s">
        <v>33</v>
      </c>
      <c r="E98" t="s">
        <v>2</v>
      </c>
      <c r="F98" s="2">
        <v>46054</v>
      </c>
      <c r="G98" s="1">
        <v>46073</v>
      </c>
      <c r="H98" t="s">
        <v>156</v>
      </c>
      <c r="I98" t="s">
        <v>155</v>
      </c>
      <c r="J98" t="s">
        <v>154</v>
      </c>
      <c r="K98" t="s">
        <v>153</v>
      </c>
      <c r="L98" t="s">
        <v>152</v>
      </c>
      <c r="M98" t="s">
        <v>1</v>
      </c>
      <c r="N98" t="s">
        <v>0</v>
      </c>
      <c r="O98">
        <v>15</v>
      </c>
      <c r="P98">
        <v>45</v>
      </c>
      <c r="Q98">
        <v>12</v>
      </c>
      <c r="R98" t="str" cm="1">
        <f t="array" ref="R98">_xlfn.IFS(H98="created", "New", H98="cancelled", "Churned", AND(H98="seats_change", J98 &gt; I98), "Expansion", AND(H98="seats_change", J98 &lt; I98), "Contraction", AND(H98="price_change", J98 &gt; I98), "Expansion", AND(H98="price_change", J98 &lt; I98), "Contraction", H98="plan_upgrade", "Expansion", H98="plan_downgrade", "Contraction", H98="discount_added", "Contraction")</f>
        <v>Churned</v>
      </c>
      <c r="S98" s="5" cm="1">
        <f t="array" ref="S98">_xlfn.IFS(H98="created",O98*P98*(1-Q98/100),H98="cancelled",-(O98*P98*(1-Q98/100)),H98="seats_change",(J98-I98)*P98*(1-Q98/100),H98="price_change",(J98-I98)*O98*(1-Q98/100),H98="discount_added",-(O98*P98*(J98-I98)/100),H98="plan_upgrade",O98*(_xlfn.XLOOKUP(J98,tbl_Plans[plan_name],tbl_Plans[monthly_price])-_xlfn.XLOOKUP(I98,tbl_Plans[plan_name],tbl_Plans[monthly_price]))*(1-Q98/100),H98="plan_downgrade",O98*(_xlfn.XLOOKUP(J98,tbl_Plans[plan_name],tbl_Plans[monthly_price])-_xlfn.XLOOKUP(I98,tbl_Plans[plan_name],tbl_Plans[monthly_price]))*(1-Q98/100))*IF(N98="Annual",1/12,1)</f>
        <v>-594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9660-5B76-4A23-921F-7A0A58AD713A}">
  <dimension ref="A1:H32"/>
  <sheetViews>
    <sheetView topLeftCell="A3" workbookViewId="0">
      <pane xSplit="1" ySplit="1" topLeftCell="B4" activePane="bottomRight" state="frozen"/>
      <selection activeCell="A3" sqref="A3"/>
      <selection pane="topRight" activeCell="B3" sqref="B3"/>
      <selection pane="bottomLeft" activeCell="A4" sqref="A4"/>
      <selection pane="bottomRight" activeCell="I34" sqref="I34"/>
    </sheetView>
  </sheetViews>
  <sheetFormatPr defaultRowHeight="14.5" x14ac:dyDescent="0.35"/>
  <cols>
    <col min="1" max="1" width="19.7265625" customWidth="1"/>
    <col min="2" max="2" width="12.1796875" bestFit="1" customWidth="1"/>
    <col min="3" max="3" width="12.26953125" bestFit="1" customWidth="1"/>
    <col min="4" max="4" width="10" customWidth="1"/>
    <col min="5" max="5" width="11.08984375" customWidth="1"/>
    <col min="6" max="6" width="10.26953125" bestFit="1" customWidth="1"/>
    <col min="7" max="7" width="11.26953125" bestFit="1" customWidth="1"/>
    <col min="8" max="8" width="12.1796875" bestFit="1" customWidth="1"/>
  </cols>
  <sheetData>
    <row r="1" spans="1:8" x14ac:dyDescent="0.35">
      <c r="A1" t="s">
        <v>330</v>
      </c>
    </row>
    <row r="2" spans="1:8" x14ac:dyDescent="0.35">
      <c r="A2" t="s">
        <v>322</v>
      </c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</row>
    <row r="3" spans="1:8" x14ac:dyDescent="0.35">
      <c r="A3" s="3">
        <v>45292</v>
      </c>
      <c r="B3" s="21">
        <f>0</f>
        <v>0</v>
      </c>
      <c r="C3" s="22">
        <f>SUMIFS(Engine!$S$2:$S$98, Engine!$R$2:$R$98, "New", Engine!$F$2:$F$98, Waterfall!A3)</f>
        <v>5800</v>
      </c>
      <c r="D3" s="22">
        <f>SUMIFS(Engine!$S$2:$S$98, Engine!$R$2:$R$98, "Expansion", Engine!$F$2:$F$98, Waterfall!A3)</f>
        <v>0</v>
      </c>
      <c r="E3" s="21">
        <f>SUMIFS(Engine!$S$2:$S$98, Engine!$R$2:$R$98, "Contraction", Engine!$F$2:$F$98, Waterfall!A3)</f>
        <v>0</v>
      </c>
      <c r="F3" s="21">
        <f>SUMIFS(Engine!$S$2:$S$98, Engine!$R$2:$R$98, "Churned", Engine!$F$2:$F$98, Waterfall!A3)</f>
        <v>0</v>
      </c>
      <c r="G3" s="21">
        <f>C3+D3+E3+F3</f>
        <v>5800</v>
      </c>
      <c r="H3" s="21">
        <f>B3+G3</f>
        <v>5800</v>
      </c>
    </row>
    <row r="4" spans="1:8" x14ac:dyDescent="0.35">
      <c r="A4" s="3">
        <v>45323</v>
      </c>
      <c r="B4" s="21">
        <f>H3</f>
        <v>5800</v>
      </c>
      <c r="C4" s="22">
        <f>SUMIFS(Engine!$S$2:$S$98, Engine!$R$2:$R$98, "New", Engine!$F$2:$F$98, Waterfall!A4)</f>
        <v>8615</v>
      </c>
      <c r="D4" s="22">
        <f>SUMIFS(Engine!$S$2:$S$98, Engine!$R$2:$R$98, "Expansion", Engine!$F$2:$F$98, Waterfall!A4)</f>
        <v>0</v>
      </c>
      <c r="E4" s="21">
        <f>SUMIFS(Engine!$S$2:$S$98, Engine!$R$2:$R$98, "Contraction", Engine!$F$2:$F$98, Waterfall!A4)</f>
        <v>0</v>
      </c>
      <c r="F4" s="21">
        <f>SUMIFS(Engine!$S$2:$S$98, Engine!$R$2:$R$98, "Churned", Engine!$F$2:$F$98, Waterfall!A4)</f>
        <v>0</v>
      </c>
      <c r="G4" s="21">
        <f t="shared" ref="G4:G28" si="0">C4+D4+E4+F4</f>
        <v>8615</v>
      </c>
      <c r="H4" s="21">
        <f t="shared" ref="H4:H28" si="1">B4+G4</f>
        <v>14415</v>
      </c>
    </row>
    <row r="5" spans="1:8" x14ac:dyDescent="0.35">
      <c r="A5" s="3">
        <v>45352</v>
      </c>
      <c r="B5" s="21">
        <f t="shared" ref="B5:B28" si="2">H4</f>
        <v>14415</v>
      </c>
      <c r="C5" s="22">
        <f>SUMIFS(Engine!$S$2:$S$98, Engine!$R$2:$R$98, "New", Engine!$F$2:$F$98, Waterfall!A5)</f>
        <v>6075</v>
      </c>
      <c r="D5" s="22">
        <f>SUMIFS(Engine!$S$2:$S$98, Engine!$R$2:$R$98, "Expansion", Engine!$F$2:$F$98, Waterfall!A5)</f>
        <v>0</v>
      </c>
      <c r="E5" s="21">
        <f>SUMIFS(Engine!$S$2:$S$98, Engine!$R$2:$R$98, "Contraction", Engine!$F$2:$F$98, Waterfall!A5)</f>
        <v>0</v>
      </c>
      <c r="F5" s="21">
        <f>SUMIFS(Engine!$S$2:$S$98, Engine!$R$2:$R$98, "Churned", Engine!$F$2:$F$98, Waterfall!A5)</f>
        <v>0</v>
      </c>
      <c r="G5" s="21">
        <f t="shared" si="0"/>
        <v>6075</v>
      </c>
      <c r="H5" s="21">
        <f t="shared" si="1"/>
        <v>20490</v>
      </c>
    </row>
    <row r="6" spans="1:8" x14ac:dyDescent="0.35">
      <c r="A6" s="3">
        <v>45383</v>
      </c>
      <c r="B6" s="21">
        <f t="shared" si="2"/>
        <v>20490</v>
      </c>
      <c r="C6" s="22">
        <f>SUMIFS(Engine!$S$2:$S$98, Engine!$R$2:$R$98, "New", Engine!$F$2:$F$98, Waterfall!A6)</f>
        <v>9444</v>
      </c>
      <c r="D6" s="22">
        <f>SUMIFS(Engine!$S$2:$S$98, Engine!$R$2:$R$98, "Expansion", Engine!$F$2:$F$98, Waterfall!A6)</f>
        <v>0</v>
      </c>
      <c r="E6" s="21">
        <f>SUMIFS(Engine!$S$2:$S$98, Engine!$R$2:$R$98, "Contraction", Engine!$F$2:$F$98, Waterfall!A6)</f>
        <v>0</v>
      </c>
      <c r="F6" s="21">
        <f>SUMIFS(Engine!$S$2:$S$98, Engine!$R$2:$R$98, "Churned", Engine!$F$2:$F$98, Waterfall!A6)</f>
        <v>0</v>
      </c>
      <c r="G6" s="21">
        <f t="shared" si="0"/>
        <v>9444</v>
      </c>
      <c r="H6" s="21">
        <f t="shared" si="1"/>
        <v>29934</v>
      </c>
    </row>
    <row r="7" spans="1:8" x14ac:dyDescent="0.35">
      <c r="A7" s="3">
        <v>45413</v>
      </c>
      <c r="B7" s="21">
        <f t="shared" si="2"/>
        <v>29934</v>
      </c>
      <c r="C7" s="22">
        <f>SUMIFS(Engine!$S$2:$S$98, Engine!$R$2:$R$98, "New", Engine!$F$2:$F$98, Waterfall!A7)</f>
        <v>2565</v>
      </c>
      <c r="D7" s="22">
        <f>SUMIFS(Engine!$S$2:$S$98, Engine!$R$2:$R$98, "Expansion", Engine!$F$2:$F$98, Waterfall!A7)</f>
        <v>0</v>
      </c>
      <c r="E7" s="21">
        <f>SUMIFS(Engine!$S$2:$S$98, Engine!$R$2:$R$98, "Contraction", Engine!$F$2:$F$98, Waterfall!A7)</f>
        <v>0</v>
      </c>
      <c r="F7" s="21">
        <f>SUMIFS(Engine!$S$2:$S$98, Engine!$R$2:$R$98, "Churned", Engine!$F$2:$F$98, Waterfall!A7)</f>
        <v>0</v>
      </c>
      <c r="G7" s="21">
        <f t="shared" si="0"/>
        <v>2565</v>
      </c>
      <c r="H7" s="21">
        <f t="shared" si="1"/>
        <v>32499</v>
      </c>
    </row>
    <row r="8" spans="1:8" x14ac:dyDescent="0.35">
      <c r="A8" s="3">
        <v>45444</v>
      </c>
      <c r="B8" s="21">
        <f t="shared" si="2"/>
        <v>32499</v>
      </c>
      <c r="C8" s="22">
        <f>SUMIFS(Engine!$S$2:$S$98, Engine!$R$2:$R$98, "New", Engine!$F$2:$F$98, Waterfall!A8)</f>
        <v>3490</v>
      </c>
      <c r="D8" s="22">
        <f>SUMIFS(Engine!$S$2:$S$98, Engine!$R$2:$R$98, "Expansion", Engine!$F$2:$F$98, Waterfall!A8)</f>
        <v>0</v>
      </c>
      <c r="E8" s="21">
        <f>SUMIFS(Engine!$S$2:$S$98, Engine!$R$2:$R$98, "Contraction", Engine!$F$2:$F$98, Waterfall!A8)</f>
        <v>0</v>
      </c>
      <c r="F8" s="21">
        <f>SUMIFS(Engine!$S$2:$S$98, Engine!$R$2:$R$98, "Churned", Engine!$F$2:$F$98, Waterfall!A8)</f>
        <v>0</v>
      </c>
      <c r="G8" s="21">
        <f t="shared" si="0"/>
        <v>3490</v>
      </c>
      <c r="H8" s="21">
        <f t="shared" si="1"/>
        <v>35989</v>
      </c>
    </row>
    <row r="9" spans="1:8" x14ac:dyDescent="0.35">
      <c r="A9" s="3">
        <v>45474</v>
      </c>
      <c r="B9" s="21">
        <f t="shared" si="2"/>
        <v>35989</v>
      </c>
      <c r="C9" s="22">
        <f>SUMIFS(Engine!$S$2:$S$98, Engine!$R$2:$R$98, "New", Engine!$F$2:$F$98, Waterfall!A9)</f>
        <v>9364.5</v>
      </c>
      <c r="D9" s="22">
        <f>SUMIFS(Engine!$S$2:$S$98, Engine!$R$2:$R$98, "Expansion", Engine!$F$2:$F$98, Waterfall!A9)</f>
        <v>0</v>
      </c>
      <c r="E9" s="21">
        <f>SUMIFS(Engine!$S$2:$S$98, Engine!$R$2:$R$98, "Contraction", Engine!$F$2:$F$98, Waterfall!A9)</f>
        <v>0</v>
      </c>
      <c r="F9" s="21">
        <f>SUMIFS(Engine!$S$2:$S$98, Engine!$R$2:$R$98, "Churned", Engine!$F$2:$F$98, Waterfall!A9)</f>
        <v>0</v>
      </c>
      <c r="G9" s="21">
        <f t="shared" si="0"/>
        <v>9364.5</v>
      </c>
      <c r="H9" s="21">
        <f t="shared" si="1"/>
        <v>45353.5</v>
      </c>
    </row>
    <row r="10" spans="1:8" x14ac:dyDescent="0.35">
      <c r="A10" s="3">
        <v>45505</v>
      </c>
      <c r="B10" s="21">
        <f t="shared" si="2"/>
        <v>45353.5</v>
      </c>
      <c r="C10" s="22">
        <f>SUMIFS(Engine!$S$2:$S$98, Engine!$R$2:$R$98, "New", Engine!$F$2:$F$98, Waterfall!A10)</f>
        <v>6840</v>
      </c>
      <c r="D10" s="22">
        <f>SUMIFS(Engine!$S$2:$S$98, Engine!$R$2:$R$98, "Expansion", Engine!$F$2:$F$98, Waterfall!A10)</f>
        <v>0</v>
      </c>
      <c r="E10" s="21">
        <f>SUMIFS(Engine!$S$2:$S$98, Engine!$R$2:$R$98, "Contraction", Engine!$F$2:$F$98, Waterfall!A10)</f>
        <v>0</v>
      </c>
      <c r="F10" s="22">
        <f>SUMIFS(Engine!$S$2:$S$98, Engine!$R$2:$R$98, "Churned", Engine!$F$2:$F$98, Waterfall!A10)</f>
        <v>-1900</v>
      </c>
      <c r="G10" s="21">
        <f t="shared" si="0"/>
        <v>4940</v>
      </c>
      <c r="H10" s="21">
        <f t="shared" si="1"/>
        <v>50293.5</v>
      </c>
    </row>
    <row r="11" spans="1:8" x14ac:dyDescent="0.35">
      <c r="A11" s="3">
        <v>45536</v>
      </c>
      <c r="B11" s="21">
        <f t="shared" si="2"/>
        <v>50293.5</v>
      </c>
      <c r="C11" s="22">
        <f>SUMIFS(Engine!$S$2:$S$98, Engine!$R$2:$R$98, "New", Engine!$F$2:$F$98, Waterfall!A11)</f>
        <v>13415</v>
      </c>
      <c r="D11" s="22">
        <f>SUMIFS(Engine!$S$2:$S$98, Engine!$R$2:$R$98, "Expansion", Engine!$F$2:$F$98, Waterfall!A11)</f>
        <v>0</v>
      </c>
      <c r="E11" s="21">
        <f>SUMIFS(Engine!$S$2:$S$98, Engine!$R$2:$R$98, "Contraction", Engine!$F$2:$F$98, Waterfall!A11)</f>
        <v>0</v>
      </c>
      <c r="F11" s="21">
        <f>SUMIFS(Engine!$S$2:$S$98, Engine!$R$2:$R$98, "Churned", Engine!$F$2:$F$98, Waterfall!A11)</f>
        <v>0</v>
      </c>
      <c r="G11" s="21">
        <f t="shared" si="0"/>
        <v>13415</v>
      </c>
      <c r="H11" s="21">
        <f t="shared" si="1"/>
        <v>63708.5</v>
      </c>
    </row>
    <row r="12" spans="1:8" x14ac:dyDescent="0.35">
      <c r="A12" s="3">
        <v>45566</v>
      </c>
      <c r="B12" s="21">
        <f t="shared" si="2"/>
        <v>63708.5</v>
      </c>
      <c r="C12" s="22">
        <f>SUMIFS(Engine!$S$2:$S$98, Engine!$R$2:$R$98, "New", Engine!$F$2:$F$98, Waterfall!A12)</f>
        <v>10130</v>
      </c>
      <c r="D12" s="22">
        <f>SUMIFS(Engine!$S$2:$S$98, Engine!$R$2:$R$98, "Expansion", Engine!$F$2:$F$98, Waterfall!A12)</f>
        <v>0</v>
      </c>
      <c r="E12" s="21">
        <f>SUMIFS(Engine!$S$2:$S$98, Engine!$R$2:$R$98, "Contraction", Engine!$F$2:$F$98, Waterfall!A12)</f>
        <v>0</v>
      </c>
      <c r="F12" s="21">
        <f>SUMIFS(Engine!$S$2:$S$98, Engine!$R$2:$R$98, "Churned", Engine!$F$2:$F$98, Waterfall!A12)</f>
        <v>0</v>
      </c>
      <c r="G12" s="21">
        <f t="shared" si="0"/>
        <v>10130</v>
      </c>
      <c r="H12" s="21">
        <f t="shared" si="1"/>
        <v>73838.5</v>
      </c>
    </row>
    <row r="13" spans="1:8" x14ac:dyDescent="0.35">
      <c r="A13" s="3">
        <v>45597</v>
      </c>
      <c r="B13" s="21">
        <f t="shared" si="2"/>
        <v>73838.5</v>
      </c>
      <c r="C13" s="22">
        <f>SUMIFS(Engine!$S$2:$S$98, Engine!$R$2:$R$98, "New", Engine!$F$2:$F$98, Waterfall!A13)</f>
        <v>4955</v>
      </c>
      <c r="D13" s="22">
        <f>SUMIFS(Engine!$S$2:$S$98, Engine!$R$2:$R$98, "Expansion", Engine!$F$2:$F$98, Waterfall!A13)</f>
        <v>0</v>
      </c>
      <c r="E13" s="21">
        <f>SUMIFS(Engine!$S$2:$S$98, Engine!$R$2:$R$98, "Contraction", Engine!$F$2:$F$98, Waterfall!A13)</f>
        <v>0</v>
      </c>
      <c r="F13" s="22">
        <f>SUMIFS(Engine!$S$2:$S$98, Engine!$R$2:$R$98, "Churned", Engine!$F$2:$F$98, Waterfall!A13)</f>
        <v>-495</v>
      </c>
      <c r="G13" s="21">
        <f t="shared" si="0"/>
        <v>4460</v>
      </c>
      <c r="H13" s="21">
        <f t="shared" si="1"/>
        <v>78298.5</v>
      </c>
    </row>
    <row r="14" spans="1:8" x14ac:dyDescent="0.35">
      <c r="A14" s="3">
        <v>45627</v>
      </c>
      <c r="B14" s="21">
        <f t="shared" si="2"/>
        <v>78298.5</v>
      </c>
      <c r="C14" s="22">
        <f>SUMIFS(Engine!$S$2:$S$98, Engine!$R$2:$R$98, "New", Engine!$F$2:$F$98, Waterfall!A14)</f>
        <v>14915</v>
      </c>
      <c r="D14" s="22">
        <f>SUMIFS(Engine!$S$2:$S$98, Engine!$R$2:$R$98, "Expansion", Engine!$F$2:$F$98, Waterfall!A14)</f>
        <v>0</v>
      </c>
      <c r="E14" s="21">
        <f>SUMIFS(Engine!$S$2:$S$98, Engine!$R$2:$R$98, "Contraction", Engine!$F$2:$F$98, Waterfall!A14)</f>
        <v>0</v>
      </c>
      <c r="F14" s="22">
        <f>SUMIFS(Engine!$S$2:$S$98, Engine!$R$2:$R$98, "Churned", Engine!$F$2:$F$98, Waterfall!A14)</f>
        <v>-2090</v>
      </c>
      <c r="G14" s="21">
        <f t="shared" si="0"/>
        <v>12825</v>
      </c>
      <c r="H14" s="21">
        <f t="shared" si="1"/>
        <v>91123.5</v>
      </c>
    </row>
    <row r="15" spans="1:8" x14ac:dyDescent="0.35">
      <c r="A15" s="3">
        <v>45658</v>
      </c>
      <c r="B15" s="21">
        <f t="shared" si="2"/>
        <v>91123.5</v>
      </c>
      <c r="C15" s="22">
        <f>SUMIFS(Engine!$S$2:$S$98, Engine!$R$2:$R$98, "New", Engine!$F$2:$F$98, Waterfall!A15)</f>
        <v>9940.5</v>
      </c>
      <c r="D15" s="22">
        <f>SUMIFS(Engine!$S$2:$S$98, Engine!$R$2:$R$98, "Expansion", Engine!$F$2:$F$98, Waterfall!A15)</f>
        <v>140</v>
      </c>
      <c r="E15" s="21">
        <f>SUMIFS(Engine!$S$2:$S$98, Engine!$R$2:$R$98, "Contraction", Engine!$F$2:$F$98, Waterfall!A15)</f>
        <v>0</v>
      </c>
      <c r="F15" s="22">
        <f>SUMIFS(Engine!$S$2:$S$98, Engine!$R$2:$R$98, "Churned", Engine!$F$2:$F$98, Waterfall!A15)</f>
        <v>-450</v>
      </c>
      <c r="G15" s="21">
        <f t="shared" si="0"/>
        <v>9630.5</v>
      </c>
      <c r="H15" s="21">
        <f t="shared" si="1"/>
        <v>100754</v>
      </c>
    </row>
    <row r="16" spans="1:8" x14ac:dyDescent="0.35">
      <c r="A16" s="3">
        <v>45689</v>
      </c>
      <c r="B16" s="21">
        <f t="shared" si="2"/>
        <v>100754</v>
      </c>
      <c r="C16" s="22">
        <f>SUMIFS(Engine!$S$2:$S$98, Engine!$R$2:$R$98, "New", Engine!$F$2:$F$98, Waterfall!A16)</f>
        <v>7405</v>
      </c>
      <c r="D16" s="22">
        <f>SUMIFS(Engine!$S$2:$S$98, Engine!$R$2:$R$98, "Expansion", Engine!$F$2:$F$98, Waterfall!A16)</f>
        <v>0</v>
      </c>
      <c r="E16" s="21">
        <f>SUMIFS(Engine!$S$2:$S$98, Engine!$R$2:$R$98, "Contraction", Engine!$F$2:$F$98, Waterfall!A16)</f>
        <v>0</v>
      </c>
      <c r="F16" s="21">
        <f>SUMIFS(Engine!$S$2:$S$98, Engine!$R$2:$R$98, "Churned", Engine!$F$2:$F$98, Waterfall!A16)</f>
        <v>0</v>
      </c>
      <c r="G16" s="21">
        <f t="shared" si="0"/>
        <v>7405</v>
      </c>
      <c r="H16" s="21">
        <f t="shared" si="1"/>
        <v>108159</v>
      </c>
    </row>
    <row r="17" spans="1:8" x14ac:dyDescent="0.35">
      <c r="A17" s="3">
        <v>45717</v>
      </c>
      <c r="B17" s="21">
        <f t="shared" si="2"/>
        <v>108159</v>
      </c>
      <c r="C17" s="22">
        <f>SUMIFS(Engine!$S$2:$S$98, Engine!$R$2:$R$98, "New", Engine!$F$2:$F$98, Waterfall!A17)</f>
        <v>19390</v>
      </c>
      <c r="D17" s="22">
        <f>SUMIFS(Engine!$S$2:$S$98, Engine!$R$2:$R$98, "Expansion", Engine!$F$2:$F$98, Waterfall!A17)</f>
        <v>0</v>
      </c>
      <c r="E17" s="22">
        <f>SUMIFS(Engine!$S$2:$S$98, Engine!$R$2:$R$98, "Contraction", Engine!$F$2:$F$98, Waterfall!A17)</f>
        <v>-1009.5</v>
      </c>
      <c r="F17" s="21">
        <f>SUMIFS(Engine!$S$2:$S$98, Engine!$R$2:$R$98, "Churned", Engine!$F$2:$F$98, Waterfall!A17)</f>
        <v>0</v>
      </c>
      <c r="G17" s="21">
        <f t="shared" si="0"/>
        <v>18380.5</v>
      </c>
      <c r="H17" s="21">
        <f t="shared" si="1"/>
        <v>126539.5</v>
      </c>
    </row>
    <row r="18" spans="1:8" x14ac:dyDescent="0.35">
      <c r="A18" s="3">
        <v>45748</v>
      </c>
      <c r="B18" s="21">
        <f t="shared" si="2"/>
        <v>126539.5</v>
      </c>
      <c r="C18" s="22">
        <f>SUMIFS(Engine!$S$2:$S$98, Engine!$R$2:$R$98, "New", Engine!$F$2:$F$98, Waterfall!A18)</f>
        <v>5780</v>
      </c>
      <c r="D18" s="22">
        <f>SUMIFS(Engine!$S$2:$S$98, Engine!$R$2:$R$98, "Expansion", Engine!$F$2:$F$98, Waterfall!A18)</f>
        <v>755</v>
      </c>
      <c r="E18" s="21">
        <f>SUMIFS(Engine!$S$2:$S$98, Engine!$R$2:$R$98, "Contraction", Engine!$F$2:$F$98, Waterfall!A18)</f>
        <v>0</v>
      </c>
      <c r="F18" s="21">
        <f>SUMIFS(Engine!$S$2:$S$98, Engine!$R$2:$R$98, "Churned", Engine!$F$2:$F$98, Waterfall!A18)</f>
        <v>0</v>
      </c>
      <c r="G18" s="21">
        <f t="shared" si="0"/>
        <v>6535</v>
      </c>
      <c r="H18" s="21">
        <f t="shared" si="1"/>
        <v>133074.5</v>
      </c>
    </row>
    <row r="19" spans="1:8" x14ac:dyDescent="0.35">
      <c r="A19" s="3">
        <v>45778</v>
      </c>
      <c r="B19" s="21">
        <f t="shared" si="2"/>
        <v>133074.5</v>
      </c>
      <c r="C19" s="22">
        <f>SUMIFS(Engine!$S$2:$S$98, Engine!$R$2:$R$98, "New", Engine!$F$2:$F$98, Waterfall!A19)</f>
        <v>12060</v>
      </c>
      <c r="D19" s="22">
        <f>SUMIFS(Engine!$S$2:$S$98, Engine!$R$2:$R$98, "Expansion", Engine!$F$2:$F$98, Waterfall!A19)</f>
        <v>330</v>
      </c>
      <c r="E19" s="21">
        <f>SUMIFS(Engine!$S$2:$S$98, Engine!$R$2:$R$98, "Contraction", Engine!$F$2:$F$98, Waterfall!A19)</f>
        <v>0</v>
      </c>
      <c r="F19" s="22">
        <f>SUMIFS(Engine!$S$2:$S$98, Engine!$R$2:$R$98, "Churned", Engine!$F$2:$F$98, Waterfall!A19)</f>
        <v>-2375</v>
      </c>
      <c r="G19" s="21">
        <f t="shared" si="0"/>
        <v>10015</v>
      </c>
      <c r="H19" s="21">
        <f t="shared" si="1"/>
        <v>143089.5</v>
      </c>
    </row>
    <row r="20" spans="1:8" x14ac:dyDescent="0.35">
      <c r="A20" s="3">
        <v>45809</v>
      </c>
      <c r="B20" s="21">
        <f t="shared" si="2"/>
        <v>143089.5</v>
      </c>
      <c r="C20" s="22">
        <f>SUMIFS(Engine!$S$2:$S$98, Engine!$R$2:$R$98, "New", Engine!$F$2:$F$98, Waterfall!A20)</f>
        <v>8630</v>
      </c>
      <c r="D20" s="22">
        <f>SUMIFS(Engine!$S$2:$S$98, Engine!$R$2:$R$98, "Expansion", Engine!$F$2:$F$98, Waterfall!A20)</f>
        <v>1700</v>
      </c>
      <c r="E20" s="21">
        <f>SUMIFS(Engine!$S$2:$S$98, Engine!$R$2:$R$98, "Contraction", Engine!$F$2:$F$98, Waterfall!A20)</f>
        <v>0</v>
      </c>
      <c r="F20" s="22">
        <f>SUMIFS(Engine!$S$2:$S$98, Engine!$R$2:$R$98, "Churned", Engine!$F$2:$F$98, Waterfall!A20)</f>
        <v>-1305</v>
      </c>
      <c r="G20" s="21">
        <f t="shared" si="0"/>
        <v>9025</v>
      </c>
      <c r="H20" s="21">
        <f t="shared" si="1"/>
        <v>152114.5</v>
      </c>
    </row>
    <row r="21" spans="1:8" x14ac:dyDescent="0.35">
      <c r="A21" s="3">
        <v>45839</v>
      </c>
      <c r="B21" s="21">
        <f t="shared" si="2"/>
        <v>152114.5</v>
      </c>
      <c r="C21" s="22">
        <f>SUMIFS(Engine!$S$2:$S$98, Engine!$R$2:$R$98, "New", Engine!$F$2:$F$98, Waterfall!A21)</f>
        <v>0</v>
      </c>
      <c r="D21" s="22">
        <f>SUMIFS(Engine!$S$2:$S$98, Engine!$R$2:$R$98, "Expansion", Engine!$F$2:$F$98, Waterfall!A21)</f>
        <v>660</v>
      </c>
      <c r="E21" s="21">
        <f>SUMIFS(Engine!$S$2:$S$98, Engine!$R$2:$R$98, "Contraction", Engine!$F$2:$F$98, Waterfall!A21)</f>
        <v>0</v>
      </c>
      <c r="F21" s="22">
        <f>SUMIFS(Engine!$S$2:$S$98, Engine!$R$2:$R$98, "Churned", Engine!$F$2:$F$98, Waterfall!A21)</f>
        <v>-1760</v>
      </c>
      <c r="G21" s="21">
        <f t="shared" si="0"/>
        <v>-1100</v>
      </c>
      <c r="H21" s="21">
        <f t="shared" si="1"/>
        <v>151014.5</v>
      </c>
    </row>
    <row r="22" spans="1:8" x14ac:dyDescent="0.35">
      <c r="A22" s="3">
        <v>45870</v>
      </c>
      <c r="B22" s="21">
        <f t="shared" si="2"/>
        <v>151014.5</v>
      </c>
      <c r="C22" s="22">
        <f>SUMIFS(Engine!$S$2:$S$98, Engine!$R$2:$R$98, "New", Engine!$F$2:$F$98, Waterfall!A22)</f>
        <v>0</v>
      </c>
      <c r="D22" s="22">
        <f>SUMIFS(Engine!$S$2:$S$98, Engine!$R$2:$R$98, "Expansion", Engine!$F$2:$F$98, Waterfall!A22)</f>
        <v>2960</v>
      </c>
      <c r="E22" s="22">
        <f>SUMIFS(Engine!$S$2:$S$98, Engine!$R$2:$R$98, "Contraction", Engine!$F$2:$F$98, Waterfall!A22)</f>
        <v>-710</v>
      </c>
      <c r="F22" s="22">
        <f>SUMIFS(Engine!$S$2:$S$98, Engine!$R$2:$R$98, "Churned", Engine!$F$2:$F$98, Waterfall!A22)</f>
        <v>-4680</v>
      </c>
      <c r="G22" s="21">
        <f t="shared" si="0"/>
        <v>-2430</v>
      </c>
      <c r="H22" s="21">
        <f t="shared" si="1"/>
        <v>148584.5</v>
      </c>
    </row>
    <row r="23" spans="1:8" x14ac:dyDescent="0.35">
      <c r="A23" s="3">
        <v>45901</v>
      </c>
      <c r="B23" s="21">
        <f t="shared" si="2"/>
        <v>148584.5</v>
      </c>
      <c r="C23" s="22">
        <f>SUMIFS(Engine!$S$2:$S$98, Engine!$R$2:$R$98, "New", Engine!$F$2:$F$98, Waterfall!A23)</f>
        <v>0</v>
      </c>
      <c r="D23" s="22">
        <f>SUMIFS(Engine!$S$2:$S$98, Engine!$R$2:$R$98, "Expansion", Engine!$F$2:$F$98, Waterfall!A23)</f>
        <v>1900</v>
      </c>
      <c r="E23" s="22">
        <f>SUMIFS(Engine!$S$2:$S$98, Engine!$R$2:$R$98, "Contraction", Engine!$F$2:$F$98, Waterfall!A23)</f>
        <v>-125</v>
      </c>
      <c r="F23" s="21">
        <f>SUMIFS(Engine!$S$2:$S$98, Engine!$R$2:$R$98, "Churned", Engine!$F$2:$F$98, Waterfall!A23)</f>
        <v>0</v>
      </c>
      <c r="G23" s="21">
        <f t="shared" si="0"/>
        <v>1775</v>
      </c>
      <c r="H23" s="21">
        <f t="shared" si="1"/>
        <v>150359.5</v>
      </c>
    </row>
    <row r="24" spans="1:8" x14ac:dyDescent="0.35">
      <c r="A24" s="3">
        <v>45931</v>
      </c>
      <c r="B24" s="21">
        <f t="shared" si="2"/>
        <v>150359.5</v>
      </c>
      <c r="C24" s="22">
        <f>SUMIFS(Engine!$S$2:$S$98, Engine!$R$2:$R$98, "New", Engine!$F$2:$F$98, Waterfall!A24)</f>
        <v>935</v>
      </c>
      <c r="D24" s="22">
        <f>SUMIFS(Engine!$S$2:$S$98, Engine!$R$2:$R$98, "Expansion", Engine!$F$2:$F$98, Waterfall!A24)</f>
        <v>1325</v>
      </c>
      <c r="E24" s="21">
        <f>SUMIFS(Engine!$S$2:$S$98, Engine!$R$2:$R$98, "Contraction", Engine!$F$2:$F$98, Waterfall!A24)</f>
        <v>0</v>
      </c>
      <c r="F24" s="21">
        <f>SUMIFS(Engine!$S$2:$S$98, Engine!$R$2:$R$98, "Churned", Engine!$F$2:$F$98, Waterfall!A24)</f>
        <v>0</v>
      </c>
      <c r="G24" s="21">
        <f t="shared" si="0"/>
        <v>2260</v>
      </c>
      <c r="H24" s="21">
        <f t="shared" si="1"/>
        <v>152619.5</v>
      </c>
    </row>
    <row r="25" spans="1:8" x14ac:dyDescent="0.35">
      <c r="A25" s="3">
        <v>45962</v>
      </c>
      <c r="B25" s="21">
        <f t="shared" si="2"/>
        <v>152619.5</v>
      </c>
      <c r="C25" s="22">
        <f>SUMIFS(Engine!$S$2:$S$98, Engine!$R$2:$R$98, "New", Engine!$F$2:$F$98, Waterfall!A25)</f>
        <v>0</v>
      </c>
      <c r="D25" s="22">
        <f>SUMIFS(Engine!$S$2:$S$98, Engine!$R$2:$R$98, "Expansion", Engine!$F$2:$F$98, Waterfall!A25)</f>
        <v>0</v>
      </c>
      <c r="E25" s="22">
        <f>SUMIFS(Engine!$S$2:$S$98, Engine!$R$2:$R$98, "Contraction", Engine!$F$2:$F$98, Waterfall!A25)</f>
        <v>-435.5</v>
      </c>
      <c r="F25" s="21">
        <f>SUMIFS(Engine!$S$2:$S$98, Engine!$R$2:$R$98, "Churned", Engine!$F$2:$F$98, Waterfall!A25)</f>
        <v>0</v>
      </c>
      <c r="G25" s="22">
        <f t="shared" si="0"/>
        <v>-435.5</v>
      </c>
      <c r="H25" s="21">
        <f t="shared" si="1"/>
        <v>152184</v>
      </c>
    </row>
    <row r="26" spans="1:8" x14ac:dyDescent="0.35">
      <c r="A26" s="3">
        <v>45992</v>
      </c>
      <c r="B26" s="21">
        <f t="shared" si="2"/>
        <v>152184</v>
      </c>
      <c r="C26" s="22">
        <f>SUMIFS(Engine!$S$2:$S$98, Engine!$R$2:$R$98, "New", Engine!$F$2:$F$98, Waterfall!A26)</f>
        <v>0</v>
      </c>
      <c r="D26" s="22">
        <f>SUMIFS(Engine!$S$2:$S$98, Engine!$R$2:$R$98, "Expansion", Engine!$F$2:$F$98, Waterfall!A26)</f>
        <v>440</v>
      </c>
      <c r="E26" s="22">
        <f>SUMIFS(Engine!$S$2:$S$98, Engine!$R$2:$R$98, "Contraction", Engine!$F$2:$F$98, Waterfall!A26)</f>
        <v>-81</v>
      </c>
      <c r="F26" s="22">
        <f>SUMIFS(Engine!$S$2:$S$98, Engine!$R$2:$R$98, "Churned", Engine!$F$2:$F$98, Waterfall!A26)</f>
        <v>-1624.5</v>
      </c>
      <c r="G26" s="21">
        <f t="shared" si="0"/>
        <v>-1265.5</v>
      </c>
      <c r="H26" s="21">
        <f t="shared" si="1"/>
        <v>150918.5</v>
      </c>
    </row>
    <row r="27" spans="1:8" x14ac:dyDescent="0.35">
      <c r="A27" s="3">
        <v>46023</v>
      </c>
      <c r="B27" s="21">
        <f t="shared" si="2"/>
        <v>150918.5</v>
      </c>
      <c r="C27" s="22">
        <f>SUMIFS(Engine!$S$2:$S$98, Engine!$R$2:$R$98, "New", Engine!$F$2:$F$98, Waterfall!A27)</f>
        <v>1710</v>
      </c>
      <c r="D27" s="22">
        <f>SUMIFS(Engine!$S$2:$S$98, Engine!$R$2:$R$98, "Expansion", Engine!$F$2:$F$98, Waterfall!A27)</f>
        <v>0</v>
      </c>
      <c r="E27" s="21">
        <f>SUMIFS(Engine!$S$2:$S$98, Engine!$R$2:$R$98, "Contraction", Engine!$F$2:$F$98, Waterfall!A27)</f>
        <v>0</v>
      </c>
      <c r="F27" s="21">
        <f>SUMIFS(Engine!$S$2:$S$98, Engine!$R$2:$R$98, "Churned", Engine!$F$2:$F$98, Waterfall!A27)</f>
        <v>0</v>
      </c>
      <c r="G27" s="21">
        <f t="shared" si="0"/>
        <v>1710</v>
      </c>
      <c r="H27" s="21">
        <f t="shared" si="1"/>
        <v>152628.5</v>
      </c>
    </row>
    <row r="28" spans="1:8" x14ac:dyDescent="0.35">
      <c r="A28" s="3">
        <v>46054</v>
      </c>
      <c r="B28" s="21">
        <f t="shared" si="2"/>
        <v>152628.5</v>
      </c>
      <c r="C28" s="22">
        <f>SUMIFS(Engine!$S$2:$S$98, Engine!$R$2:$R$98, "New", Engine!$F$2:$F$98, Waterfall!A28)</f>
        <v>0</v>
      </c>
      <c r="D28" s="22">
        <f>SUMIFS(Engine!$S$2:$S$98, Engine!$R$2:$R$98, "Expansion", Engine!$F$2:$F$98, Waterfall!A28)</f>
        <v>0</v>
      </c>
      <c r="E28" s="21">
        <f>SUMIFS(Engine!$S$2:$S$98, Engine!$R$2:$R$98, "Contraction", Engine!$F$2:$F$98, Waterfall!A28)</f>
        <v>0</v>
      </c>
      <c r="F28" s="22">
        <f>SUMIFS(Engine!$S$2:$S$98, Engine!$R$2:$R$98, "Churned", Engine!$F$2:$F$98, Waterfall!A28)</f>
        <v>-594</v>
      </c>
      <c r="G28" s="21">
        <f t="shared" si="0"/>
        <v>-594</v>
      </c>
      <c r="H28" s="21">
        <f t="shared" si="1"/>
        <v>152034.5</v>
      </c>
    </row>
    <row r="30" spans="1:8" x14ac:dyDescent="0.35">
      <c r="A30" t="s">
        <v>331</v>
      </c>
      <c r="B30" s="21">
        <f>H28</f>
        <v>152034.5</v>
      </c>
    </row>
    <row r="31" spans="1:8" x14ac:dyDescent="0.35">
      <c r="A31" t="s">
        <v>332</v>
      </c>
      <c r="B31" s="21">
        <f>SUM('Raw Snapshot'!H2:H52)</f>
        <v>144185.5</v>
      </c>
    </row>
    <row r="32" spans="1:8" x14ac:dyDescent="0.35">
      <c r="A32" t="s">
        <v>333</v>
      </c>
      <c r="B32" s="21">
        <f>B30-B31</f>
        <v>7849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8E2F-197E-4302-AC01-0ACA66483083}">
  <dimension ref="A1:AA50"/>
  <sheetViews>
    <sheetView tabSelected="1" workbookViewId="0">
      <pane ySplit="4" topLeftCell="A5" activePane="bottomLeft" state="frozen"/>
      <selection pane="bottomLeft" activeCell="P43" sqref="P43"/>
    </sheetView>
  </sheetViews>
  <sheetFormatPr defaultRowHeight="14.5" outlineLevelRow="1" x14ac:dyDescent="0.35"/>
  <cols>
    <col min="1" max="1" width="30.90625" customWidth="1"/>
    <col min="2" max="2" width="10.1796875" bestFit="1" customWidth="1"/>
    <col min="3" max="13" width="11.1796875" bestFit="1" customWidth="1"/>
    <col min="14" max="27" width="12.1796875" bestFit="1" customWidth="1"/>
  </cols>
  <sheetData>
    <row r="1" spans="1:27" ht="18.5" x14ac:dyDescent="0.45">
      <c r="A1" s="6" t="s">
        <v>334</v>
      </c>
    </row>
    <row r="3" spans="1:27" x14ac:dyDescent="0.35">
      <c r="A3" s="17" t="s">
        <v>335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x14ac:dyDescent="0.35">
      <c r="A4" s="8" t="s">
        <v>322</v>
      </c>
      <c r="B4" s="10">
        <f>Waterfall!A3</f>
        <v>45292</v>
      </c>
      <c r="C4" s="10">
        <f>Waterfall!A4</f>
        <v>45323</v>
      </c>
      <c r="D4" s="10">
        <f>Waterfall!A5</f>
        <v>45352</v>
      </c>
      <c r="E4" s="10">
        <f>Waterfall!A6</f>
        <v>45383</v>
      </c>
      <c r="F4" s="10">
        <f>Waterfall!A7</f>
        <v>45413</v>
      </c>
      <c r="G4" s="10">
        <f>Waterfall!A8</f>
        <v>45444</v>
      </c>
      <c r="H4" s="10">
        <f>Waterfall!A9</f>
        <v>45474</v>
      </c>
      <c r="I4" s="10">
        <f>Waterfall!A10</f>
        <v>45505</v>
      </c>
      <c r="J4" s="10">
        <f>Waterfall!A11</f>
        <v>45536</v>
      </c>
      <c r="K4" s="10">
        <f>Waterfall!A12</f>
        <v>45566</v>
      </c>
      <c r="L4" s="10">
        <f>Waterfall!A13</f>
        <v>45597</v>
      </c>
      <c r="M4" s="10">
        <f>Waterfall!A14</f>
        <v>45627</v>
      </c>
      <c r="N4" s="10">
        <f>Waterfall!A15</f>
        <v>45658</v>
      </c>
      <c r="O4" s="10">
        <f>Waterfall!A16</f>
        <v>45689</v>
      </c>
      <c r="P4" s="10">
        <f>Waterfall!A17</f>
        <v>45717</v>
      </c>
      <c r="Q4" s="10">
        <f>Waterfall!A18</f>
        <v>45748</v>
      </c>
      <c r="R4" s="10">
        <f>Waterfall!A19</f>
        <v>45778</v>
      </c>
      <c r="S4" s="10">
        <f>Waterfall!A20</f>
        <v>45809</v>
      </c>
      <c r="T4" s="10">
        <f>Waterfall!A21</f>
        <v>45839</v>
      </c>
      <c r="U4" s="10">
        <f>Waterfall!A22</f>
        <v>45870</v>
      </c>
      <c r="V4" s="10">
        <f>Waterfall!A23</f>
        <v>45901</v>
      </c>
      <c r="W4" s="10">
        <f>Waterfall!A24</f>
        <v>45931</v>
      </c>
      <c r="X4" s="10">
        <f>Waterfall!A25</f>
        <v>45962</v>
      </c>
      <c r="Y4" s="10">
        <f>Waterfall!A26</f>
        <v>45992</v>
      </c>
      <c r="Z4" s="10">
        <f>Waterfall!A27</f>
        <v>46023</v>
      </c>
      <c r="AA4" s="10">
        <f>Waterfall!A28</f>
        <v>46054</v>
      </c>
    </row>
    <row r="5" spans="1:27" x14ac:dyDescent="0.35">
      <c r="A5" s="7" t="s">
        <v>336</v>
      </c>
      <c r="B5" s="11">
        <f>Waterfall!H3</f>
        <v>5800</v>
      </c>
      <c r="C5" s="11">
        <f>Waterfall!H4</f>
        <v>14415</v>
      </c>
      <c r="D5" s="11">
        <f>Waterfall!H5</f>
        <v>20490</v>
      </c>
      <c r="E5" s="11">
        <f>Waterfall!H6</f>
        <v>29934</v>
      </c>
      <c r="F5" s="11">
        <f>Waterfall!H7</f>
        <v>32499</v>
      </c>
      <c r="G5" s="11">
        <f>Waterfall!H8</f>
        <v>35989</v>
      </c>
      <c r="H5" s="11">
        <f>Waterfall!H9</f>
        <v>45353.5</v>
      </c>
      <c r="I5" s="11">
        <f>Waterfall!H10</f>
        <v>50293.5</v>
      </c>
      <c r="J5" s="11">
        <f>Waterfall!H11</f>
        <v>63708.5</v>
      </c>
      <c r="K5" s="11">
        <f>Waterfall!H12</f>
        <v>73838.5</v>
      </c>
      <c r="L5" s="11">
        <f>Waterfall!H13</f>
        <v>78298.5</v>
      </c>
      <c r="M5" s="11">
        <f>Waterfall!H14</f>
        <v>91123.5</v>
      </c>
      <c r="N5" s="11">
        <f>Waterfall!H15</f>
        <v>100754</v>
      </c>
      <c r="O5" s="11">
        <f>Waterfall!H16</f>
        <v>108159</v>
      </c>
      <c r="P5" s="11">
        <f>Waterfall!H17</f>
        <v>126539.5</v>
      </c>
      <c r="Q5" s="11">
        <f>Waterfall!H18</f>
        <v>133074.5</v>
      </c>
      <c r="R5" s="11">
        <f>Waterfall!H19</f>
        <v>143089.5</v>
      </c>
      <c r="S5" s="11">
        <f>Waterfall!H20</f>
        <v>152114.5</v>
      </c>
      <c r="T5" s="11">
        <f>Waterfall!H21</f>
        <v>151014.5</v>
      </c>
      <c r="U5" s="11">
        <f>Waterfall!H22</f>
        <v>148584.5</v>
      </c>
      <c r="V5" s="11">
        <f>Waterfall!H23</f>
        <v>150359.5</v>
      </c>
      <c r="W5" s="11">
        <f>Waterfall!H24</f>
        <v>152619.5</v>
      </c>
      <c r="X5" s="11">
        <f>Waterfall!H25</f>
        <v>152184</v>
      </c>
      <c r="Y5" s="11">
        <f>Waterfall!H26</f>
        <v>150918.5</v>
      </c>
      <c r="Z5" s="11">
        <f>Waterfall!H27</f>
        <v>152628.5</v>
      </c>
      <c r="AA5" s="11">
        <f>Waterfall!H28</f>
        <v>152034.5</v>
      </c>
    </row>
    <row r="6" spans="1:27" x14ac:dyDescent="0.35">
      <c r="A6" s="7" t="s">
        <v>337</v>
      </c>
      <c r="B6" s="9">
        <f t="shared" ref="B6:AA6" si="0">B5*12</f>
        <v>69600</v>
      </c>
      <c r="C6" s="9">
        <f t="shared" si="0"/>
        <v>172980</v>
      </c>
      <c r="D6" s="9">
        <f t="shared" si="0"/>
        <v>245880</v>
      </c>
      <c r="E6" s="9">
        <f t="shared" si="0"/>
        <v>359208</v>
      </c>
      <c r="F6" s="9">
        <f t="shared" si="0"/>
        <v>389988</v>
      </c>
      <c r="G6" s="9">
        <f t="shared" si="0"/>
        <v>431868</v>
      </c>
      <c r="H6" s="9">
        <f t="shared" si="0"/>
        <v>544242</v>
      </c>
      <c r="I6" s="9">
        <f t="shared" si="0"/>
        <v>603522</v>
      </c>
      <c r="J6" s="9">
        <f t="shared" si="0"/>
        <v>764502</v>
      </c>
      <c r="K6" s="9">
        <f t="shared" si="0"/>
        <v>886062</v>
      </c>
      <c r="L6" s="9">
        <f t="shared" si="0"/>
        <v>939582</v>
      </c>
      <c r="M6" s="9">
        <f t="shared" si="0"/>
        <v>1093482</v>
      </c>
      <c r="N6" s="9">
        <f t="shared" si="0"/>
        <v>1209048</v>
      </c>
      <c r="O6" s="9">
        <f t="shared" si="0"/>
        <v>1297908</v>
      </c>
      <c r="P6" s="9">
        <f t="shared" si="0"/>
        <v>1518474</v>
      </c>
      <c r="Q6" s="9">
        <f t="shared" si="0"/>
        <v>1596894</v>
      </c>
      <c r="R6" s="9">
        <f t="shared" si="0"/>
        <v>1717074</v>
      </c>
      <c r="S6" s="9">
        <f t="shared" si="0"/>
        <v>1825374</v>
      </c>
      <c r="T6" s="9">
        <f t="shared" si="0"/>
        <v>1812174</v>
      </c>
      <c r="U6" s="9">
        <f t="shared" si="0"/>
        <v>1783014</v>
      </c>
      <c r="V6" s="9">
        <f t="shared" si="0"/>
        <v>1804314</v>
      </c>
      <c r="W6" s="9">
        <f t="shared" si="0"/>
        <v>1831434</v>
      </c>
      <c r="X6" s="9">
        <f t="shared" si="0"/>
        <v>1826208</v>
      </c>
      <c r="Y6" s="9">
        <f t="shared" si="0"/>
        <v>1811022</v>
      </c>
      <c r="Z6" s="9">
        <f t="shared" si="0"/>
        <v>1831542</v>
      </c>
      <c r="AA6" s="9">
        <f t="shared" si="0"/>
        <v>1824414</v>
      </c>
    </row>
    <row r="7" spans="1:27" x14ac:dyDescent="0.35">
      <c r="A7" s="7" t="s">
        <v>338</v>
      </c>
      <c r="B7" s="12">
        <f>Waterfall!G3</f>
        <v>5800</v>
      </c>
      <c r="C7" s="12">
        <f>Waterfall!G4</f>
        <v>8615</v>
      </c>
      <c r="D7" s="12">
        <f>Waterfall!G5</f>
        <v>6075</v>
      </c>
      <c r="E7" s="12">
        <f>Waterfall!G6</f>
        <v>9444</v>
      </c>
      <c r="F7" s="12">
        <f>Waterfall!G7</f>
        <v>2565</v>
      </c>
      <c r="G7" s="12">
        <f>Waterfall!G8</f>
        <v>3490</v>
      </c>
      <c r="H7" s="12">
        <f>Waterfall!G9</f>
        <v>9364.5</v>
      </c>
      <c r="I7" s="12">
        <f>Waterfall!G10</f>
        <v>4940</v>
      </c>
      <c r="J7" s="12">
        <f>Waterfall!G11</f>
        <v>13415</v>
      </c>
      <c r="K7" s="12">
        <f>Waterfall!G12</f>
        <v>10130</v>
      </c>
      <c r="L7" s="12">
        <f>Waterfall!G13</f>
        <v>4460</v>
      </c>
      <c r="M7" s="12">
        <f>Waterfall!G14</f>
        <v>12825</v>
      </c>
      <c r="N7" s="12">
        <f>Waterfall!G15</f>
        <v>9630.5</v>
      </c>
      <c r="O7" s="12">
        <f>Waterfall!G16</f>
        <v>7405</v>
      </c>
      <c r="P7" s="12">
        <f>Waterfall!G17</f>
        <v>18380.5</v>
      </c>
      <c r="Q7" s="12">
        <f>Waterfall!G18</f>
        <v>6535</v>
      </c>
      <c r="R7" s="12">
        <f>Waterfall!G19</f>
        <v>10015</v>
      </c>
      <c r="S7" s="12">
        <f>Waterfall!G20</f>
        <v>9025</v>
      </c>
      <c r="T7" s="12">
        <f>Waterfall!G21</f>
        <v>-1100</v>
      </c>
      <c r="U7" s="12">
        <f>Waterfall!G22</f>
        <v>-2430</v>
      </c>
      <c r="V7" s="12">
        <f>Waterfall!G23</f>
        <v>1775</v>
      </c>
      <c r="W7" s="12">
        <f>Waterfall!G24</f>
        <v>2260</v>
      </c>
      <c r="X7" s="12">
        <f>Waterfall!G25</f>
        <v>-435.5</v>
      </c>
      <c r="Y7" s="12">
        <f>Waterfall!G26</f>
        <v>-1265.5</v>
      </c>
      <c r="Z7" s="12">
        <f>Waterfall!G27</f>
        <v>1710</v>
      </c>
      <c r="AA7" s="12">
        <f>Waterfall!G28</f>
        <v>-594</v>
      </c>
    </row>
    <row r="8" spans="1:27" x14ac:dyDescent="0.35">
      <c r="A8" s="7" t="s">
        <v>339</v>
      </c>
      <c r="B8" s="12">
        <f>B7</f>
        <v>5800</v>
      </c>
      <c r="C8" s="12">
        <f t="shared" ref="C8:AA8" si="1">B8+C7</f>
        <v>14415</v>
      </c>
      <c r="D8" s="12">
        <f t="shared" si="1"/>
        <v>20490</v>
      </c>
      <c r="E8" s="12">
        <f t="shared" si="1"/>
        <v>29934</v>
      </c>
      <c r="F8" s="12">
        <f t="shared" si="1"/>
        <v>32499</v>
      </c>
      <c r="G8" s="12">
        <f t="shared" si="1"/>
        <v>35989</v>
      </c>
      <c r="H8" s="12">
        <f t="shared" si="1"/>
        <v>45353.5</v>
      </c>
      <c r="I8" s="12">
        <f t="shared" si="1"/>
        <v>50293.5</v>
      </c>
      <c r="J8" s="12">
        <f t="shared" si="1"/>
        <v>63708.5</v>
      </c>
      <c r="K8" s="12">
        <f t="shared" si="1"/>
        <v>73838.5</v>
      </c>
      <c r="L8" s="12">
        <f t="shared" si="1"/>
        <v>78298.5</v>
      </c>
      <c r="M8" s="12">
        <f t="shared" si="1"/>
        <v>91123.5</v>
      </c>
      <c r="N8" s="12">
        <f t="shared" si="1"/>
        <v>100754</v>
      </c>
      <c r="O8" s="12">
        <f t="shared" si="1"/>
        <v>108159</v>
      </c>
      <c r="P8" s="12">
        <f t="shared" si="1"/>
        <v>126539.5</v>
      </c>
      <c r="Q8" s="12">
        <f t="shared" si="1"/>
        <v>133074.5</v>
      </c>
      <c r="R8" s="12">
        <f t="shared" si="1"/>
        <v>143089.5</v>
      </c>
      <c r="S8" s="12">
        <f t="shared" si="1"/>
        <v>152114.5</v>
      </c>
      <c r="T8" s="12">
        <f t="shared" si="1"/>
        <v>151014.5</v>
      </c>
      <c r="U8" s="12">
        <f t="shared" si="1"/>
        <v>148584.5</v>
      </c>
      <c r="V8" s="12">
        <f t="shared" si="1"/>
        <v>150359.5</v>
      </c>
      <c r="W8" s="12">
        <f t="shared" si="1"/>
        <v>152619.5</v>
      </c>
      <c r="X8" s="12">
        <f t="shared" si="1"/>
        <v>152184</v>
      </c>
      <c r="Y8" s="12">
        <f t="shared" si="1"/>
        <v>150918.5</v>
      </c>
      <c r="Z8" s="12">
        <f t="shared" si="1"/>
        <v>152628.5</v>
      </c>
      <c r="AA8" s="12">
        <f t="shared" si="1"/>
        <v>152034.5</v>
      </c>
    </row>
    <row r="10" spans="1:27" x14ac:dyDescent="0.35">
      <c r="A10" s="17" t="s">
        <v>340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35">
      <c r="A11" s="7" t="s">
        <v>341</v>
      </c>
      <c r="B11" s="13"/>
      <c r="C11" s="13">
        <f t="shared" ref="C11:AA11" si="2">IFERROR(C7/B5,"")</f>
        <v>1.4853448275862069</v>
      </c>
      <c r="D11" s="13">
        <f t="shared" si="2"/>
        <v>0.4214360041623309</v>
      </c>
      <c r="E11" s="13">
        <f t="shared" si="2"/>
        <v>0.46090775988286969</v>
      </c>
      <c r="F11" s="13">
        <f t="shared" si="2"/>
        <v>8.5688514732411306E-2</v>
      </c>
      <c r="G11" s="13">
        <f t="shared" si="2"/>
        <v>0.10738791962829626</v>
      </c>
      <c r="H11" s="13">
        <f t="shared" si="2"/>
        <v>0.26020450693267388</v>
      </c>
      <c r="I11" s="13">
        <f t="shared" si="2"/>
        <v>0.10892213390366785</v>
      </c>
      <c r="J11" s="13">
        <f t="shared" si="2"/>
        <v>0.2667342698360623</v>
      </c>
      <c r="K11" s="13">
        <f t="shared" si="2"/>
        <v>0.15900547022767764</v>
      </c>
      <c r="L11" s="13">
        <f t="shared" si="2"/>
        <v>6.0402093758676029E-2</v>
      </c>
      <c r="M11" s="13">
        <f t="shared" si="2"/>
        <v>0.16379624130730475</v>
      </c>
      <c r="N11" s="13">
        <f t="shared" si="2"/>
        <v>0.10568623900530598</v>
      </c>
      <c r="O11" s="13">
        <f t="shared" si="2"/>
        <v>7.3495841356174443E-2</v>
      </c>
      <c r="P11" s="13">
        <f t="shared" si="2"/>
        <v>0.16993962592109765</v>
      </c>
      <c r="Q11" s="13">
        <f t="shared" si="2"/>
        <v>5.1643953073941339E-2</v>
      </c>
      <c r="R11" s="13">
        <f t="shared" si="2"/>
        <v>7.5258595748997736E-2</v>
      </c>
      <c r="S11" s="13">
        <f t="shared" si="2"/>
        <v>6.3072412720709764E-2</v>
      </c>
      <c r="T11" s="13">
        <f t="shared" si="2"/>
        <v>-7.2313947717015797E-3</v>
      </c>
      <c r="U11" s="13">
        <f t="shared" si="2"/>
        <v>-1.6091170053206812E-2</v>
      </c>
      <c r="V11" s="13">
        <f t="shared" si="2"/>
        <v>1.1946064360683651E-2</v>
      </c>
      <c r="W11" s="13">
        <f t="shared" si="2"/>
        <v>1.503064322507058E-2</v>
      </c>
      <c r="X11" s="13">
        <f t="shared" si="2"/>
        <v>-2.8535016822883053E-3</v>
      </c>
      <c r="Y11" s="13">
        <f t="shared" si="2"/>
        <v>-8.3155916522104825E-3</v>
      </c>
      <c r="Z11" s="13">
        <f t="shared" si="2"/>
        <v>1.1330618843945574E-2</v>
      </c>
      <c r="AA11" s="13">
        <f t="shared" si="2"/>
        <v>-3.8918026449843903E-3</v>
      </c>
    </row>
    <row r="12" spans="1:27" x14ac:dyDescent="0.35">
      <c r="A12" s="7" t="s">
        <v>342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>
        <f t="shared" ref="N12:AA12" si="3">IFERROR((N5-B5)/B5,"")</f>
        <v>16.371379310344828</v>
      </c>
      <c r="O12" s="13">
        <f t="shared" si="3"/>
        <v>6.5032258064516126</v>
      </c>
      <c r="P12" s="13">
        <f t="shared" si="3"/>
        <v>5.1756710590531965</v>
      </c>
      <c r="Q12" s="13">
        <f t="shared" si="3"/>
        <v>3.4455969800227169</v>
      </c>
      <c r="R12" s="13">
        <f t="shared" si="3"/>
        <v>3.4028893196713743</v>
      </c>
      <c r="S12" s="13">
        <f t="shared" si="3"/>
        <v>3.2266942676929062</v>
      </c>
      <c r="T12" s="13">
        <f t="shared" si="3"/>
        <v>2.329720969715678</v>
      </c>
      <c r="U12" s="13">
        <f t="shared" si="3"/>
        <v>1.9543479773728216</v>
      </c>
      <c r="V12" s="13">
        <f t="shared" si="3"/>
        <v>1.3601167819050832</v>
      </c>
      <c r="W12" s="13">
        <f t="shared" si="3"/>
        <v>1.0669366252022996</v>
      </c>
      <c r="X12" s="13">
        <f t="shared" si="3"/>
        <v>0.94363876702618821</v>
      </c>
      <c r="Y12" s="13">
        <f t="shared" si="3"/>
        <v>0.65619735852990724</v>
      </c>
      <c r="Z12" s="13">
        <f t="shared" si="3"/>
        <v>0.5148629334815491</v>
      </c>
      <c r="AA12" s="13">
        <f t="shared" si="3"/>
        <v>0.40565741177340769</v>
      </c>
    </row>
    <row r="13" spans="1:27" x14ac:dyDescent="0.35">
      <c r="A13" s="7"/>
    </row>
    <row r="14" spans="1:27" x14ac:dyDescent="0.35">
      <c r="A14" s="16" t="s">
        <v>343</v>
      </c>
      <c r="B14" s="15"/>
      <c r="C14" s="15"/>
      <c r="D14" s="15"/>
      <c r="E14" s="15"/>
      <c r="F14" s="15"/>
      <c r="G14" s="15"/>
      <c r="H14" s="15">
        <f t="shared" ref="H14:AA14" si="4">IFERROR((H5/B5)^(1/6)-1,"")</f>
        <v>0.40884690544782987</v>
      </c>
      <c r="I14" s="15">
        <f t="shared" si="4"/>
        <v>0.23154287368284265</v>
      </c>
      <c r="J14" s="15">
        <f t="shared" si="4"/>
        <v>0.20811767144196236</v>
      </c>
      <c r="K14" s="15">
        <f t="shared" si="4"/>
        <v>0.16239308723644208</v>
      </c>
      <c r="L14" s="15">
        <f t="shared" si="4"/>
        <v>0.15783651182127301</v>
      </c>
      <c r="M14" s="15">
        <f t="shared" si="4"/>
        <v>0.16746383330029158</v>
      </c>
      <c r="N14" s="15">
        <f t="shared" si="4"/>
        <v>0.14228703661232012</v>
      </c>
      <c r="O14" s="15">
        <f t="shared" si="4"/>
        <v>0.13612242968021615</v>
      </c>
      <c r="P14" s="15">
        <f t="shared" si="4"/>
        <v>0.1211699669810884</v>
      </c>
      <c r="Q14" s="15">
        <f t="shared" si="4"/>
        <v>0.10315193112885823</v>
      </c>
      <c r="R14" s="15">
        <f t="shared" si="4"/>
        <v>0.1057129278252178</v>
      </c>
      <c r="S14" s="15">
        <f t="shared" si="4"/>
        <v>8.9155871329130276E-2</v>
      </c>
      <c r="T14" s="15">
        <f t="shared" si="4"/>
        <v>6.9775691876317048E-2</v>
      </c>
      <c r="U14" s="15">
        <f t="shared" si="4"/>
        <v>5.4350821240941594E-2</v>
      </c>
      <c r="V14" s="15">
        <f t="shared" si="4"/>
        <v>2.9162910426313804E-2</v>
      </c>
      <c r="W14" s="15">
        <f t="shared" si="4"/>
        <v>2.310262093949178E-2</v>
      </c>
      <c r="X14" s="15">
        <f t="shared" si="4"/>
        <v>1.0322918536297632E-2</v>
      </c>
      <c r="Y14" s="15">
        <f t="shared" si="4"/>
        <v>-1.3147301063959338E-3</v>
      </c>
      <c r="Z14" s="15">
        <f t="shared" si="4"/>
        <v>1.7734048751500975E-3</v>
      </c>
      <c r="AA14" s="15">
        <f t="shared" si="4"/>
        <v>3.8329351119641419E-3</v>
      </c>
    </row>
    <row r="15" spans="1:27" x14ac:dyDescent="0.35">
      <c r="A15" s="16" t="s">
        <v>344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>
        <f t="shared" ref="N15:AA15" si="5">IFERROR((N5/B5)^(1/12)-1,"")</f>
        <v>0.26858486380077817</v>
      </c>
      <c r="O15" s="15">
        <f t="shared" si="5"/>
        <v>0.18287086442430667</v>
      </c>
      <c r="P15" s="15">
        <f t="shared" si="5"/>
        <v>0.16383213987235035</v>
      </c>
      <c r="Q15" s="15">
        <f t="shared" si="5"/>
        <v>0.13238517250788662</v>
      </c>
      <c r="R15" s="15">
        <f t="shared" si="5"/>
        <v>0.13147461280792205</v>
      </c>
      <c r="S15" s="15">
        <f t="shared" si="5"/>
        <v>0.12763029783853597</v>
      </c>
      <c r="T15" s="15">
        <f t="shared" si="5"/>
        <v>0.10543697464545332</v>
      </c>
      <c r="U15" s="15">
        <f t="shared" si="5"/>
        <v>9.447321427415023E-2</v>
      </c>
      <c r="V15" s="15">
        <f t="shared" si="5"/>
        <v>7.4181803188283046E-2</v>
      </c>
      <c r="W15" s="15">
        <f t="shared" si="5"/>
        <v>6.2373584024187023E-2</v>
      </c>
      <c r="X15" s="15">
        <f t="shared" si="5"/>
        <v>5.6942341049732281E-2</v>
      </c>
      <c r="Y15" s="15">
        <f t="shared" si="5"/>
        <v>4.2940039175088929E-2</v>
      </c>
      <c r="Z15" s="15">
        <f t="shared" si="5"/>
        <v>3.5216323916700709E-2</v>
      </c>
      <c r="AA15" s="15">
        <f t="shared" si="5"/>
        <v>2.8781842532227042E-2</v>
      </c>
    </row>
    <row r="16" spans="1:27" x14ac:dyDescent="0.35">
      <c r="A16" s="7" t="s">
        <v>345</v>
      </c>
      <c r="B16" s="13"/>
      <c r="C16" s="13"/>
      <c r="D16" s="13"/>
      <c r="E16" s="13">
        <f t="shared" ref="E16:AA16" si="6">IFERROR(AVERAGE(C11:E11),"")</f>
        <v>0.7892295305438024</v>
      </c>
      <c r="F16" s="13">
        <f t="shared" si="6"/>
        <v>0.32267742625920398</v>
      </c>
      <c r="G16" s="13">
        <f t="shared" si="6"/>
        <v>0.21799473141452577</v>
      </c>
      <c r="H16" s="13">
        <f t="shared" si="6"/>
        <v>0.15109364709779383</v>
      </c>
      <c r="I16" s="13">
        <f t="shared" si="6"/>
        <v>0.15883818682154599</v>
      </c>
      <c r="J16" s="13">
        <f t="shared" si="6"/>
        <v>0.21195363689080135</v>
      </c>
      <c r="K16" s="13">
        <f t="shared" si="6"/>
        <v>0.1782206246558026</v>
      </c>
      <c r="L16" s="13">
        <f t="shared" si="6"/>
        <v>0.16204727794080531</v>
      </c>
      <c r="M16" s="13">
        <f t="shared" si="6"/>
        <v>0.12773460176455279</v>
      </c>
      <c r="N16" s="13">
        <f t="shared" si="6"/>
        <v>0.10996152469042891</v>
      </c>
      <c r="O16" s="13">
        <f t="shared" si="6"/>
        <v>0.11432610722292839</v>
      </c>
      <c r="P16" s="13">
        <f t="shared" si="6"/>
        <v>0.1163739020941927</v>
      </c>
      <c r="Q16" s="13">
        <f t="shared" si="6"/>
        <v>9.8359806783737805E-2</v>
      </c>
      <c r="R16" s="13">
        <f t="shared" si="6"/>
        <v>9.8947391581345578E-2</v>
      </c>
      <c r="S16" s="13">
        <f t="shared" si="6"/>
        <v>6.3324987181216277E-2</v>
      </c>
      <c r="T16" s="13">
        <f t="shared" si="6"/>
        <v>4.3699871232668643E-2</v>
      </c>
      <c r="U16" s="13">
        <f t="shared" si="6"/>
        <v>1.3249949298600456E-2</v>
      </c>
      <c r="V16" s="13">
        <f t="shared" si="6"/>
        <v>-3.792166821408247E-3</v>
      </c>
      <c r="W16" s="13">
        <f t="shared" si="6"/>
        <v>3.6285125108491394E-3</v>
      </c>
      <c r="X16" s="13">
        <f t="shared" si="6"/>
        <v>8.0410686344886424E-3</v>
      </c>
      <c r="Y16" s="13">
        <f t="shared" si="6"/>
        <v>1.2871832968572642E-3</v>
      </c>
      <c r="Z16" s="13">
        <f t="shared" si="6"/>
        <v>5.3841836482262005E-5</v>
      </c>
      <c r="AA16" s="13">
        <f t="shared" si="6"/>
        <v>-2.9225848441643301E-4</v>
      </c>
    </row>
    <row r="18" spans="1:27" x14ac:dyDescent="0.35">
      <c r="A18" s="17" t="s">
        <v>346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35">
      <c r="A19" s="7" t="s">
        <v>347</v>
      </c>
      <c r="B19" s="12">
        <f>Waterfall!C3+Waterfall!D3</f>
        <v>5800</v>
      </c>
      <c r="C19" s="12">
        <f>Waterfall!C4+Waterfall!D4</f>
        <v>8615</v>
      </c>
      <c r="D19" s="12">
        <f>Waterfall!C5+Waterfall!D5</f>
        <v>6075</v>
      </c>
      <c r="E19" s="12">
        <f>Waterfall!C6+Waterfall!D6</f>
        <v>9444</v>
      </c>
      <c r="F19" s="12">
        <f>Waterfall!C7+Waterfall!D7</f>
        <v>2565</v>
      </c>
      <c r="G19" s="12">
        <f>Waterfall!C8+Waterfall!D8</f>
        <v>3490</v>
      </c>
      <c r="H19" s="12">
        <f>Waterfall!C9+Waterfall!D9</f>
        <v>9364.5</v>
      </c>
      <c r="I19" s="12">
        <f>Waterfall!C10+Waterfall!D10</f>
        <v>6840</v>
      </c>
      <c r="J19" s="12">
        <f>Waterfall!C11+Waterfall!D11</f>
        <v>13415</v>
      </c>
      <c r="K19" s="12">
        <f>Waterfall!C12+Waterfall!D12</f>
        <v>10130</v>
      </c>
      <c r="L19" s="12">
        <f>Waterfall!C13+Waterfall!D13</f>
        <v>4955</v>
      </c>
      <c r="M19" s="12">
        <f>Waterfall!C14+Waterfall!D14</f>
        <v>14915</v>
      </c>
      <c r="N19" s="12">
        <f>Waterfall!C15+Waterfall!D15</f>
        <v>10080.5</v>
      </c>
      <c r="O19" s="12">
        <f>Waterfall!C16+Waterfall!D16</f>
        <v>7405</v>
      </c>
      <c r="P19" s="12">
        <f>Waterfall!C17+Waterfall!D17</f>
        <v>19390</v>
      </c>
      <c r="Q19" s="12">
        <f>Waterfall!C18+Waterfall!D18</f>
        <v>6535</v>
      </c>
      <c r="R19" s="12">
        <f>Waterfall!C19+Waterfall!D19</f>
        <v>12390</v>
      </c>
      <c r="S19" s="12">
        <f>Waterfall!C20+Waterfall!D20</f>
        <v>10330</v>
      </c>
      <c r="T19" s="12">
        <f>Waterfall!C21+Waterfall!D21</f>
        <v>660</v>
      </c>
      <c r="U19" s="12">
        <f>Waterfall!C22+Waterfall!D22</f>
        <v>2960</v>
      </c>
      <c r="V19" s="12">
        <f>Waterfall!C23+Waterfall!D23</f>
        <v>1900</v>
      </c>
      <c r="W19" s="12">
        <f>Waterfall!C24+Waterfall!D24</f>
        <v>2260</v>
      </c>
      <c r="X19" s="12">
        <f>Waterfall!C25+Waterfall!D25</f>
        <v>0</v>
      </c>
      <c r="Y19" s="12">
        <f>Waterfall!C26+Waterfall!D26</f>
        <v>440</v>
      </c>
      <c r="Z19" s="12">
        <f>Waterfall!C27+Waterfall!D27</f>
        <v>1710</v>
      </c>
      <c r="AA19" s="12">
        <f>Waterfall!C28+Waterfall!D28</f>
        <v>0</v>
      </c>
    </row>
    <row r="20" spans="1:27" x14ac:dyDescent="0.35">
      <c r="A20" s="7" t="s">
        <v>348</v>
      </c>
      <c r="B20" s="12">
        <f>ABS(Waterfall!E3)+ABS(Waterfall!F3)</f>
        <v>0</v>
      </c>
      <c r="C20" s="12">
        <f>ABS(Waterfall!E4)+ABS(Waterfall!F4)</f>
        <v>0</v>
      </c>
      <c r="D20" s="12">
        <f>ABS(Waterfall!E5)+ABS(Waterfall!F5)</f>
        <v>0</v>
      </c>
      <c r="E20" s="12">
        <f>ABS(Waterfall!E6)+ABS(Waterfall!F6)</f>
        <v>0</v>
      </c>
      <c r="F20" s="12">
        <f>ABS(Waterfall!E7)+ABS(Waterfall!F7)</f>
        <v>0</v>
      </c>
      <c r="G20" s="12">
        <f>ABS(Waterfall!E8)+ABS(Waterfall!F8)</f>
        <v>0</v>
      </c>
      <c r="H20" s="12">
        <f>ABS(Waterfall!E9)+ABS(Waterfall!F9)</f>
        <v>0</v>
      </c>
      <c r="I20" s="12">
        <f>ABS(Waterfall!E10)+ABS(Waterfall!F10)</f>
        <v>1900</v>
      </c>
      <c r="J20" s="12">
        <f>ABS(Waterfall!E11)+ABS(Waterfall!F11)</f>
        <v>0</v>
      </c>
      <c r="K20" s="12">
        <f>ABS(Waterfall!E12)+ABS(Waterfall!F12)</f>
        <v>0</v>
      </c>
      <c r="L20" s="12">
        <f>ABS(Waterfall!E13)+ABS(Waterfall!F13)</f>
        <v>495</v>
      </c>
      <c r="M20" s="12">
        <f>ABS(Waterfall!E14)+ABS(Waterfall!F14)</f>
        <v>2090</v>
      </c>
      <c r="N20" s="12">
        <f>ABS(Waterfall!E15)+ABS(Waterfall!F15)</f>
        <v>450</v>
      </c>
      <c r="O20" s="12">
        <f>ABS(Waterfall!E16)+ABS(Waterfall!F16)</f>
        <v>0</v>
      </c>
      <c r="P20" s="12">
        <f>ABS(Waterfall!E17)+ABS(Waterfall!F17)</f>
        <v>1009.5</v>
      </c>
      <c r="Q20" s="12">
        <f>ABS(Waterfall!E18)+ABS(Waterfall!F18)</f>
        <v>0</v>
      </c>
      <c r="R20" s="12">
        <f>ABS(Waterfall!E19)+ABS(Waterfall!F19)</f>
        <v>2375</v>
      </c>
      <c r="S20" s="12">
        <f>ABS(Waterfall!E20)+ABS(Waterfall!F20)</f>
        <v>1305</v>
      </c>
      <c r="T20" s="12">
        <f>ABS(Waterfall!E21)+ABS(Waterfall!F21)</f>
        <v>1760</v>
      </c>
      <c r="U20" s="12">
        <f>ABS(Waterfall!E22)+ABS(Waterfall!F22)</f>
        <v>5390</v>
      </c>
      <c r="V20" s="12">
        <f>ABS(Waterfall!E23)+ABS(Waterfall!F23)</f>
        <v>125</v>
      </c>
      <c r="W20" s="12">
        <f>ABS(Waterfall!E24)+ABS(Waterfall!F24)</f>
        <v>0</v>
      </c>
      <c r="X20" s="12">
        <f>ABS(Waterfall!E25)+ABS(Waterfall!F25)</f>
        <v>435.5</v>
      </c>
      <c r="Y20" s="12">
        <f>ABS(Waterfall!E26)+ABS(Waterfall!F26)</f>
        <v>1705.5</v>
      </c>
      <c r="Z20" s="12">
        <f>ABS(Waterfall!E27)+ABS(Waterfall!F27)</f>
        <v>0</v>
      </c>
      <c r="AA20" s="12">
        <f>ABS(Waterfall!E28)+ABS(Waterfall!F28)</f>
        <v>594</v>
      </c>
    </row>
    <row r="21" spans="1:27" x14ac:dyDescent="0.35">
      <c r="A21" s="7" t="s">
        <v>349</v>
      </c>
      <c r="B21" s="14" t="str">
        <f t="shared" ref="B21:AA21" si="7">IFERROR(B19/B20,"∞")</f>
        <v>∞</v>
      </c>
      <c r="C21" s="14" t="str">
        <f t="shared" si="7"/>
        <v>∞</v>
      </c>
      <c r="D21" s="14" t="str">
        <f t="shared" si="7"/>
        <v>∞</v>
      </c>
      <c r="E21" s="14" t="str">
        <f t="shared" si="7"/>
        <v>∞</v>
      </c>
      <c r="F21" s="14" t="str">
        <f t="shared" si="7"/>
        <v>∞</v>
      </c>
      <c r="G21" s="14" t="str">
        <f t="shared" si="7"/>
        <v>∞</v>
      </c>
      <c r="H21" s="14" t="str">
        <f t="shared" si="7"/>
        <v>∞</v>
      </c>
      <c r="I21" s="14">
        <f t="shared" si="7"/>
        <v>3.6</v>
      </c>
      <c r="J21" s="14" t="str">
        <f t="shared" si="7"/>
        <v>∞</v>
      </c>
      <c r="K21" s="14" t="str">
        <f t="shared" si="7"/>
        <v>∞</v>
      </c>
      <c r="L21" s="14">
        <f t="shared" si="7"/>
        <v>10.01010101010101</v>
      </c>
      <c r="M21" s="14">
        <f t="shared" si="7"/>
        <v>7.1363636363636367</v>
      </c>
      <c r="N21" s="14">
        <f t="shared" si="7"/>
        <v>22.40111111111111</v>
      </c>
      <c r="O21" s="14" t="str">
        <f t="shared" si="7"/>
        <v>∞</v>
      </c>
      <c r="P21" s="14">
        <f t="shared" si="7"/>
        <v>19.207528479445269</v>
      </c>
      <c r="Q21" s="14" t="str">
        <f t="shared" si="7"/>
        <v>∞</v>
      </c>
      <c r="R21" s="14">
        <f t="shared" si="7"/>
        <v>5.2168421052631579</v>
      </c>
      <c r="S21" s="14">
        <f t="shared" si="7"/>
        <v>7.9157088122605366</v>
      </c>
      <c r="T21" s="14">
        <f t="shared" si="7"/>
        <v>0.375</v>
      </c>
      <c r="U21" s="14">
        <f t="shared" si="7"/>
        <v>0.54916512059369205</v>
      </c>
      <c r="V21" s="14">
        <f t="shared" si="7"/>
        <v>15.2</v>
      </c>
      <c r="W21" s="14" t="str">
        <f t="shared" si="7"/>
        <v>∞</v>
      </c>
      <c r="X21" s="14">
        <f t="shared" si="7"/>
        <v>0</v>
      </c>
      <c r="Y21" s="14">
        <f t="shared" si="7"/>
        <v>0.25798885957197304</v>
      </c>
      <c r="Z21" s="14" t="str">
        <f t="shared" si="7"/>
        <v>∞</v>
      </c>
      <c r="AA21" s="14">
        <f t="shared" si="7"/>
        <v>0</v>
      </c>
    </row>
    <row r="22" spans="1:27" x14ac:dyDescent="0.35">
      <c r="A22" s="7"/>
    </row>
    <row r="23" spans="1:27" x14ac:dyDescent="0.35">
      <c r="A23" s="7" t="s">
        <v>350</v>
      </c>
      <c r="B23" s="13">
        <f>IFERROR(Waterfall!C3/B19,"")</f>
        <v>1</v>
      </c>
      <c r="C23" s="13">
        <f>IFERROR(Waterfall!C4/C19,"")</f>
        <v>1</v>
      </c>
      <c r="D23" s="13">
        <f>IFERROR(Waterfall!C5/D19,"")</f>
        <v>1</v>
      </c>
      <c r="E23" s="13">
        <f>IFERROR(Waterfall!C6/E19,"")</f>
        <v>1</v>
      </c>
      <c r="F23" s="13">
        <f>IFERROR(Waterfall!C7/F19,"")</f>
        <v>1</v>
      </c>
      <c r="G23" s="13">
        <f>IFERROR(Waterfall!C8/G19,"")</f>
        <v>1</v>
      </c>
      <c r="H23" s="13">
        <f>IFERROR(Waterfall!C9/H19,"")</f>
        <v>1</v>
      </c>
      <c r="I23" s="13">
        <f>IFERROR(Waterfall!C10/I19,"")</f>
        <v>1</v>
      </c>
      <c r="J23" s="13">
        <f>IFERROR(Waterfall!C11/J19,"")</f>
        <v>1</v>
      </c>
      <c r="K23" s="13">
        <f>IFERROR(Waterfall!C12/K19,"")</f>
        <v>1</v>
      </c>
      <c r="L23" s="13">
        <f>IFERROR(Waterfall!C13/L19,"")</f>
        <v>1</v>
      </c>
      <c r="M23" s="13">
        <f>IFERROR(Waterfall!C14/M19,"")</f>
        <v>1</v>
      </c>
      <c r="N23" s="13">
        <f>IFERROR(Waterfall!C15/N19,"")</f>
        <v>0.98611180000992016</v>
      </c>
      <c r="O23" s="13">
        <f>IFERROR(Waterfall!C16/O19,"")</f>
        <v>1</v>
      </c>
      <c r="P23" s="13">
        <f>IFERROR(Waterfall!C17/P19,"")</f>
        <v>1</v>
      </c>
      <c r="Q23" s="13">
        <f>IFERROR(Waterfall!C18/Q19,"")</f>
        <v>0.88446824789594491</v>
      </c>
      <c r="R23" s="13">
        <f>IFERROR(Waterfall!C19/R19,"")</f>
        <v>0.9733656174334141</v>
      </c>
      <c r="S23" s="13">
        <f>IFERROR(Waterfall!C20/S19,"")</f>
        <v>0.83543078412391092</v>
      </c>
      <c r="T23" s="13">
        <f>IFERROR(Waterfall!C21/T19,"")</f>
        <v>0</v>
      </c>
      <c r="U23" s="13">
        <f>IFERROR(Waterfall!C22/U19,"")</f>
        <v>0</v>
      </c>
      <c r="V23" s="13">
        <f>IFERROR(Waterfall!C23/V19,"")</f>
        <v>0</v>
      </c>
      <c r="W23" s="13">
        <f>IFERROR(Waterfall!C24/W19,"")</f>
        <v>0.41371681415929201</v>
      </c>
      <c r="X23" s="13" t="str">
        <f>IFERROR(Waterfall!C25/X19,"")</f>
        <v/>
      </c>
      <c r="Y23" s="13">
        <f>IFERROR(Waterfall!C26/Y19,"")</f>
        <v>0</v>
      </c>
      <c r="Z23" s="13">
        <f>IFERROR(Waterfall!C27/Z19,"")</f>
        <v>1</v>
      </c>
      <c r="AA23" s="13" t="str">
        <f>IFERROR(Waterfall!C28/AA19,"")</f>
        <v/>
      </c>
    </row>
    <row r="24" spans="1:27" x14ac:dyDescent="0.35">
      <c r="A24" s="7" t="s">
        <v>351</v>
      </c>
      <c r="B24" s="13">
        <f>IFERROR(Waterfall!D3/B19,"")</f>
        <v>0</v>
      </c>
      <c r="C24" s="13">
        <f>IFERROR(Waterfall!D4/C19,"")</f>
        <v>0</v>
      </c>
      <c r="D24" s="13">
        <f>IFERROR(Waterfall!D5/D19,"")</f>
        <v>0</v>
      </c>
      <c r="E24" s="13">
        <f>IFERROR(Waterfall!D6/E19,"")</f>
        <v>0</v>
      </c>
      <c r="F24" s="13">
        <f>IFERROR(Waterfall!D7/F19,"")</f>
        <v>0</v>
      </c>
      <c r="G24" s="13">
        <f>IFERROR(Waterfall!D8/G19,"")</f>
        <v>0</v>
      </c>
      <c r="H24" s="13">
        <f>IFERROR(Waterfall!D9/H19,"")</f>
        <v>0</v>
      </c>
      <c r="I24" s="13">
        <f>IFERROR(Waterfall!D10/I19,"")</f>
        <v>0</v>
      </c>
      <c r="J24" s="13">
        <f>IFERROR(Waterfall!D11/J19,"")</f>
        <v>0</v>
      </c>
      <c r="K24" s="13">
        <f>IFERROR(Waterfall!D12/K19,"")</f>
        <v>0</v>
      </c>
      <c r="L24" s="13">
        <f>IFERROR(Waterfall!D13/L19,"")</f>
        <v>0</v>
      </c>
      <c r="M24" s="13">
        <f>IFERROR(Waterfall!D14/M19,"")</f>
        <v>0</v>
      </c>
      <c r="N24" s="13">
        <f>IFERROR(Waterfall!D15/N19,"")</f>
        <v>1.3888199990079857E-2</v>
      </c>
      <c r="O24" s="13">
        <f>IFERROR(Waterfall!D16/O19,"")</f>
        <v>0</v>
      </c>
      <c r="P24" s="13">
        <f>IFERROR(Waterfall!D17/P19,"")</f>
        <v>0</v>
      </c>
      <c r="Q24" s="13">
        <f>IFERROR(Waterfall!D18/Q19,"")</f>
        <v>0.11553175210405509</v>
      </c>
      <c r="R24" s="13">
        <f>IFERROR(Waterfall!D19/R19,"")</f>
        <v>2.6634382566585957E-2</v>
      </c>
      <c r="S24" s="13">
        <f>IFERROR(Waterfall!D20/S19,"")</f>
        <v>0.16456921587608905</v>
      </c>
      <c r="T24" s="13">
        <f>IFERROR(Waterfall!D21/T19,"")</f>
        <v>1</v>
      </c>
      <c r="U24" s="13">
        <f>IFERROR(Waterfall!D22/U19,"")</f>
        <v>1</v>
      </c>
      <c r="V24" s="13">
        <f>IFERROR(Waterfall!D23/V19,"")</f>
        <v>1</v>
      </c>
      <c r="W24" s="13">
        <f>IFERROR(Waterfall!D24/W19,"")</f>
        <v>0.58628318584070793</v>
      </c>
      <c r="X24" s="13" t="str">
        <f>IFERROR(Waterfall!D25/X19,"")</f>
        <v/>
      </c>
      <c r="Y24" s="13">
        <f>IFERROR(Waterfall!D26/Y19,"")</f>
        <v>1</v>
      </c>
      <c r="Z24" s="13">
        <f>IFERROR(Waterfall!D27/Z19,"")</f>
        <v>0</v>
      </c>
      <c r="AA24" s="13" t="str">
        <f>IFERROR(Waterfall!D28/AA19,"")</f>
        <v/>
      </c>
    </row>
    <row r="27" spans="1:27" x14ac:dyDescent="0.35">
      <c r="A27" s="17" t="s">
        <v>352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x14ac:dyDescent="0.35">
      <c r="A28" s="8" t="s">
        <v>353</v>
      </c>
    </row>
    <row r="29" spans="1:27" ht="25" customHeight="1" x14ac:dyDescent="0.35">
      <c r="A29" s="20" t="s">
        <v>386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25" customHeight="1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25" customHeight="1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3" spans="1:27" x14ac:dyDescent="0.35">
      <c r="A33" s="8" t="s">
        <v>354</v>
      </c>
    </row>
    <row r="34" spans="1:27" ht="25" customHeight="1" x14ac:dyDescent="0.35">
      <c r="A34" s="20" t="s">
        <v>387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25" customHeight="1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25" customHeight="1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8" spans="1:27" x14ac:dyDescent="0.35">
      <c r="A38" s="8" t="s">
        <v>355</v>
      </c>
    </row>
    <row r="39" spans="1:27" ht="25" customHeight="1" x14ac:dyDescent="0.35">
      <c r="A39" s="20" t="s">
        <v>388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25" customHeight="1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25" customHeight="1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3" spans="1:27" outlineLevel="1" x14ac:dyDescent="0.35"/>
    <row r="44" spans="1:27" outlineLevel="1" x14ac:dyDescent="0.35"/>
    <row r="45" spans="1:27" outlineLevel="1" x14ac:dyDescent="0.35"/>
    <row r="46" spans="1:27" outlineLevel="1" x14ac:dyDescent="0.35"/>
    <row r="47" spans="1:27" outlineLevel="1" x14ac:dyDescent="0.35"/>
    <row r="48" spans="1:27" outlineLevel="1" x14ac:dyDescent="0.35"/>
    <row r="49" outlineLevel="1" x14ac:dyDescent="0.35"/>
    <row r="50" outlineLevel="1" x14ac:dyDescent="0.35"/>
  </sheetData>
  <mergeCells count="3">
    <mergeCell ref="A29:AA31"/>
    <mergeCell ref="A34:AA36"/>
    <mergeCell ref="A39:AA41"/>
  </mergeCells>
  <conditionalFormatting sqref="B21:AA21">
    <cfRule type="cellIs" dxfId="4" priority="1" operator="greaterThanOrEqual">
      <formula>4</formula>
    </cfRule>
    <cfRule type="cellIs" dxfId="3" priority="2" operator="between">
      <formula>2</formula>
      <formula>3.99</formula>
    </cfRule>
    <cfRule type="cellIs" dxfId="2" priority="3" operator="between">
      <formula>1</formula>
      <formula>1.99</formula>
    </cfRule>
    <cfRule type="cellIs" dxfId="1" priority="4" operator="less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Snapshot</vt:lpstr>
      <vt:lpstr>Raw Events</vt:lpstr>
      <vt:lpstr>Raw Cash</vt:lpstr>
      <vt:lpstr>Ref</vt:lpstr>
      <vt:lpstr>Engine</vt:lpstr>
      <vt:lpstr>Waterfall</vt:lpstr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Bezrukov</dc:creator>
  <cp:lastModifiedBy>Michael Bezrukov</cp:lastModifiedBy>
  <dcterms:created xsi:type="dcterms:W3CDTF">2026-03-17T21:59:06Z</dcterms:created>
  <dcterms:modified xsi:type="dcterms:W3CDTF">2026-03-20T02:09:58Z</dcterms:modified>
</cp:coreProperties>
</file>