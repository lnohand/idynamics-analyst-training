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Subscriptions" sheetId="2" r:id="rId6"/>
    <sheet state="visible" name="Invoice Log" sheetId="3" r:id="rId7"/>
    <sheet state="visible" name="Reconciliation" sheetId="4" r:id="rId8"/>
  </sheets>
  <definedNames/>
  <calcPr/>
</workbook>
</file>

<file path=xl/sharedStrings.xml><?xml version="1.0" encoding="utf-8"?>
<sst xmlns="http://schemas.openxmlformats.org/spreadsheetml/2006/main" count="126" uniqueCount="63">
  <si>
    <t>Billing Reconciliation - Warm-Up 2</t>
  </si>
  <si>
    <t>From: David Chen, VP Finance</t>
  </si>
  <si>
    <t>Michael - a fresh reconciliation, bigger than the toy we walked through before.</t>
  </si>
  <si>
    <t>Twelve subscriptions, two months. No scaffolding this time - you know the concept now,</t>
  </si>
  <si>
    <t>so I want to see you build it cold.</t>
  </si>
  <si>
    <t>TASK:</t>
  </si>
  <si>
    <t xml:space="preserve">  On the 'Reconciliation' tab, build two bridges for EACH month (January and February):</t>
  </si>
  <si>
    <t xml:space="preserve">    Bridge 1:  Total MRR  -&gt;  Total Invoiced</t>
  </si>
  <si>
    <t xml:space="preserve">    Bridge 2:  Total Invoiced  -&gt;  Total Collected</t>
  </si>
  <si>
    <t xml:space="preserve">  Every 'Difference (must = 0)' cell must tie to zero. Use live formulas off the</t>
  </si>
  <si>
    <t xml:space="preserve">  'Subscriptions' and 'Invoice Log' tabs - no typed constants.</t>
  </si>
  <si>
    <t xml:space="preserve">  Watch what happens to the annual subs between January and February.</t>
  </si>
  <si>
    <t>SUBMIT: download as .xlsx, commit to branch  student/excel-recon-warmup2 ,</t>
  </si>
  <si>
    <t xml:space="preserve">        file -&gt; submissions/excel/recon_warmup2.xlsx , open a PR.</t>
  </si>
  <si>
    <t>Subscriptions - Northwind Software (toy company)</t>
  </si>
  <si>
    <t>Sub ID</t>
  </si>
  <si>
    <t>Plan</t>
  </si>
  <si>
    <t>MRR / month</t>
  </si>
  <si>
    <t>Renewal Month</t>
  </si>
  <si>
    <t>M01</t>
  </si>
  <si>
    <t>Monthly</t>
  </si>
  <si>
    <t>M02</t>
  </si>
  <si>
    <t>M03</t>
  </si>
  <si>
    <t>M04</t>
  </si>
  <si>
    <t>M05</t>
  </si>
  <si>
    <t>M06</t>
  </si>
  <si>
    <t>A01</t>
  </si>
  <si>
    <t>Annual</t>
  </si>
  <si>
    <t>January</t>
  </si>
  <si>
    <t>A02</t>
  </si>
  <si>
    <t>A03</t>
  </si>
  <si>
    <t>September</t>
  </si>
  <si>
    <t>A04</t>
  </si>
  <si>
    <t>November</t>
  </si>
  <si>
    <t>A05</t>
  </si>
  <si>
    <t>October</t>
  </si>
  <si>
    <t>A06</t>
  </si>
  <si>
    <t>February</t>
  </si>
  <si>
    <t>Note: annual subs are invoiced 12 x MRR in their renewal month only. Monthly subs are invoiced every month.</t>
  </si>
  <si>
    <t>Invoice Log - January &amp; February 2026</t>
  </si>
  <si>
    <t>Month</t>
  </si>
  <si>
    <t>Invoiced</t>
  </si>
  <si>
    <t>Collected (this month)</t>
  </si>
  <si>
    <t>Note</t>
  </si>
  <si>
    <t>Payment failed - retried in February</t>
  </si>
  <si>
    <t>Annual renewal (12 x MRR)</t>
  </si>
  <si>
    <t>$300 credit note applied (billing adjustment)</t>
  </si>
  <si>
    <t>January invoice collected (failed-payment retry)</t>
  </si>
  <si>
    <t>Reconciliation</t>
  </si>
  <si>
    <t>--- January ---</t>
  </si>
  <si>
    <t>Bridge 1: MRR -&gt; Total Invoiced</t>
  </si>
  <si>
    <t>Total MRR (this month)</t>
  </si>
  <si>
    <t>+ Annual Billing Excess</t>
  </si>
  <si>
    <t xml:space="preserve"> - Annual MRR with no billing this month</t>
  </si>
  <si>
    <t>Total Invoiced (this month)</t>
  </si>
  <si>
    <t>Difference (must = 0)</t>
  </si>
  <si>
    <t>Bridge 2: Total Invoiced -&gt; Total Collected</t>
  </si>
  <si>
    <t>Adjustment: M05 Payment Failure</t>
  </si>
  <si>
    <t>Total Collected (this month)</t>
  </si>
  <si>
    <t>--- February ---</t>
  </si>
  <si>
    <t>- Annual MRR with no billing this month</t>
  </si>
  <si>
    <t>Adjustment: M05</t>
  </si>
  <si>
    <t>Adjustment: M02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</si>
</sst>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i/>
      <color rgb="FF666666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EEF2FF"/>
        <bgColor rgb="FFEEF2FF"/>
      </patternFill>
    </fill>
    <fill>
      <patternFill patternType="solid">
        <fgColor rgb="FFFEF9C3"/>
        <bgColor rgb="FFFEF9C3"/>
      </patternFill>
    </fill>
  </fills>
  <borders count="3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3" fontId="5" numFmtId="0" xfId="0" applyBorder="1" applyFill="1" applyFont="1"/>
    <xf borderId="1" fillId="3" fontId="5" numFmtId="3" xfId="0" applyBorder="1" applyFont="1" applyNumberFormat="1"/>
    <xf borderId="0" fillId="0" fontId="6" numFmtId="0" xfId="0" applyFont="1"/>
    <xf borderId="2" fillId="4" fontId="5" numFmtId="3" xfId="0" applyBorder="1" applyFill="1" applyFont="1" applyNumberFormat="1"/>
    <xf quotePrefix="1" borderId="0" fillId="0" fontId="2" numFmtId="0" xfId="0" applyAlignment="1" applyFont="1">
      <alignment readingOrder="0"/>
    </xf>
    <xf borderId="2" fillId="4" fontId="5" numFmtId="0" xfId="0" applyBorder="1" applyFont="1"/>
    <xf borderId="2" fillId="4" fontId="5" numFmtId="2" xfId="0" applyAlignment="1" applyBorder="1" applyFont="1" applyNumberFormat="1">
      <alignment readingOrder="0"/>
    </xf>
    <xf borderId="2" fillId="4" fontId="5" numFmtId="0" xfId="0" applyAlignment="1" applyBorder="1" applyFont="1">
      <alignment readingOrder="0"/>
    </xf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" t="s">
        <v>0</v>
      </c>
    </row>
    <row r="4">
      <c r="A4" s="2" t="s">
        <v>1</v>
      </c>
    </row>
    <row r="6">
      <c r="A6" s="2" t="s">
        <v>2</v>
      </c>
    </row>
    <row r="7">
      <c r="A7" s="2" t="s">
        <v>3</v>
      </c>
    </row>
    <row r="8">
      <c r="A8" s="2" t="s">
        <v>4</v>
      </c>
    </row>
    <row r="10">
      <c r="A10" s="3" t="s">
        <v>5</v>
      </c>
    </row>
    <row r="11">
      <c r="A11" s="3" t="s">
        <v>6</v>
      </c>
    </row>
    <row r="12">
      <c r="A12" s="2" t="s">
        <v>7</v>
      </c>
    </row>
    <row r="13">
      <c r="A13" s="2" t="s">
        <v>8</v>
      </c>
    </row>
    <row r="14">
      <c r="A14" s="2" t="s">
        <v>9</v>
      </c>
    </row>
    <row r="15">
      <c r="A15" s="2" t="s">
        <v>10</v>
      </c>
    </row>
    <row r="17">
      <c r="A17" s="2" t="s">
        <v>11</v>
      </c>
    </row>
    <row r="19">
      <c r="A19" s="2" t="s">
        <v>12</v>
      </c>
    </row>
    <row r="21" ht="15.75" customHeight="1">
      <c r="A21" s="2" t="s">
        <v>13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14.0"/>
    <col customWidth="1" min="4" max="4" width="16.0"/>
    <col customWidth="1" min="5" max="26" width="8.71"/>
  </cols>
  <sheetData>
    <row r="1">
      <c r="A1" s="1" t="s">
        <v>14</v>
      </c>
    </row>
    <row r="3">
      <c r="A3" s="4" t="s">
        <v>15</v>
      </c>
      <c r="B3" s="4" t="s">
        <v>16</v>
      </c>
      <c r="C3" s="4" t="s">
        <v>17</v>
      </c>
      <c r="D3" s="4" t="s">
        <v>18</v>
      </c>
    </row>
    <row r="4">
      <c r="A4" s="5" t="s">
        <v>19</v>
      </c>
      <c r="B4" s="5" t="s">
        <v>20</v>
      </c>
      <c r="C4" s="6">
        <v>500.0</v>
      </c>
      <c r="D4" s="5" t="s">
        <v>20</v>
      </c>
    </row>
    <row r="5">
      <c r="A5" s="5" t="s">
        <v>21</v>
      </c>
      <c r="B5" s="5" t="s">
        <v>20</v>
      </c>
      <c r="C5" s="6">
        <v>800.0</v>
      </c>
      <c r="D5" s="5" t="s">
        <v>20</v>
      </c>
    </row>
    <row r="6">
      <c r="A6" s="5" t="s">
        <v>22</v>
      </c>
      <c r="B6" s="5" t="s">
        <v>20</v>
      </c>
      <c r="C6" s="6">
        <v>1200.0</v>
      </c>
      <c r="D6" s="5" t="s">
        <v>20</v>
      </c>
    </row>
    <row r="7">
      <c r="A7" s="5" t="s">
        <v>23</v>
      </c>
      <c r="B7" s="5" t="s">
        <v>20</v>
      </c>
      <c r="C7" s="6">
        <v>300.0</v>
      </c>
      <c r="D7" s="5" t="s">
        <v>20</v>
      </c>
    </row>
    <row r="8">
      <c r="A8" s="5" t="s">
        <v>24</v>
      </c>
      <c r="B8" s="5" t="s">
        <v>20</v>
      </c>
      <c r="C8" s="6">
        <v>650.0</v>
      </c>
      <c r="D8" s="5" t="s">
        <v>20</v>
      </c>
    </row>
    <row r="9">
      <c r="A9" s="5" t="s">
        <v>25</v>
      </c>
      <c r="B9" s="5" t="s">
        <v>20</v>
      </c>
      <c r="C9" s="6">
        <v>450.0</v>
      </c>
      <c r="D9" s="5" t="s">
        <v>20</v>
      </c>
    </row>
    <row r="10">
      <c r="A10" s="5" t="s">
        <v>26</v>
      </c>
      <c r="B10" s="5" t="s">
        <v>27</v>
      </c>
      <c r="C10" s="6">
        <v>600.0</v>
      </c>
      <c r="D10" s="5" t="s">
        <v>28</v>
      </c>
    </row>
    <row r="11">
      <c r="A11" s="5" t="s">
        <v>29</v>
      </c>
      <c r="B11" s="5" t="s">
        <v>27</v>
      </c>
      <c r="C11" s="6">
        <v>1000.0</v>
      </c>
      <c r="D11" s="5" t="s">
        <v>28</v>
      </c>
    </row>
    <row r="12">
      <c r="A12" s="5" t="s">
        <v>30</v>
      </c>
      <c r="B12" s="5" t="s">
        <v>27</v>
      </c>
      <c r="C12" s="6">
        <v>400.0</v>
      </c>
      <c r="D12" s="5" t="s">
        <v>31</v>
      </c>
    </row>
    <row r="13">
      <c r="A13" s="5" t="s">
        <v>32</v>
      </c>
      <c r="B13" s="5" t="s">
        <v>27</v>
      </c>
      <c r="C13" s="6">
        <v>750.0</v>
      </c>
      <c r="D13" s="5" t="s">
        <v>33</v>
      </c>
    </row>
    <row r="14">
      <c r="A14" s="5" t="s">
        <v>34</v>
      </c>
      <c r="B14" s="5" t="s">
        <v>27</v>
      </c>
      <c r="C14" s="6">
        <v>900.0</v>
      </c>
      <c r="D14" s="5" t="s">
        <v>35</v>
      </c>
    </row>
    <row r="15">
      <c r="A15" s="5" t="s">
        <v>36</v>
      </c>
      <c r="B15" s="5" t="s">
        <v>27</v>
      </c>
      <c r="C15" s="6">
        <v>550.0</v>
      </c>
      <c r="D15" s="5" t="s">
        <v>37</v>
      </c>
    </row>
    <row r="17">
      <c r="B17" s="7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9.0"/>
    <col customWidth="1" min="3" max="3" width="12.0"/>
    <col customWidth="1" min="4" max="4" width="20.0"/>
    <col customWidth="1" min="5" max="5" width="46.0"/>
    <col customWidth="1" min="6" max="26" width="8.71"/>
  </cols>
  <sheetData>
    <row r="1">
      <c r="A1" s="1" t="s">
        <v>39</v>
      </c>
    </row>
    <row r="3">
      <c r="A3" s="4" t="s">
        <v>40</v>
      </c>
      <c r="B3" s="4" t="s">
        <v>15</v>
      </c>
      <c r="C3" s="4" t="s">
        <v>41</v>
      </c>
      <c r="D3" s="4" t="s">
        <v>42</v>
      </c>
      <c r="E3" s="4" t="s">
        <v>43</v>
      </c>
    </row>
    <row r="4">
      <c r="A4" s="5" t="s">
        <v>28</v>
      </c>
      <c r="B4" s="5" t="s">
        <v>19</v>
      </c>
      <c r="C4" s="6">
        <v>500.0</v>
      </c>
      <c r="D4" s="6">
        <v>500.0</v>
      </c>
      <c r="E4" s="5"/>
    </row>
    <row r="5">
      <c r="A5" s="5" t="s">
        <v>28</v>
      </c>
      <c r="B5" s="5" t="s">
        <v>21</v>
      </c>
      <c r="C5" s="6">
        <v>800.0</v>
      </c>
      <c r="D5" s="6">
        <v>800.0</v>
      </c>
      <c r="E5" s="5"/>
    </row>
    <row r="6">
      <c r="A6" s="5" t="s">
        <v>28</v>
      </c>
      <c r="B6" s="5" t="s">
        <v>22</v>
      </c>
      <c r="C6" s="6">
        <v>1200.0</v>
      </c>
      <c r="D6" s="6">
        <v>1200.0</v>
      </c>
      <c r="E6" s="5"/>
    </row>
    <row r="7">
      <c r="A7" s="5" t="s">
        <v>28</v>
      </c>
      <c r="B7" s="5" t="s">
        <v>23</v>
      </c>
      <c r="C7" s="6">
        <v>300.0</v>
      </c>
      <c r="D7" s="6">
        <v>300.0</v>
      </c>
      <c r="E7" s="5"/>
    </row>
    <row r="8">
      <c r="A8" s="5" t="s">
        <v>28</v>
      </c>
      <c r="B8" s="5" t="s">
        <v>24</v>
      </c>
      <c r="C8" s="6">
        <v>650.0</v>
      </c>
      <c r="D8" s="6">
        <v>0.0</v>
      </c>
      <c r="E8" s="5" t="s">
        <v>44</v>
      </c>
    </row>
    <row r="9">
      <c r="A9" s="5" t="s">
        <v>28</v>
      </c>
      <c r="B9" s="5" t="s">
        <v>25</v>
      </c>
      <c r="C9" s="6">
        <v>450.0</v>
      </c>
      <c r="D9" s="6">
        <v>450.0</v>
      </c>
      <c r="E9" s="5"/>
    </row>
    <row r="10">
      <c r="A10" s="5" t="s">
        <v>28</v>
      </c>
      <c r="B10" s="5" t="s">
        <v>26</v>
      </c>
      <c r="C10" s="6">
        <v>7200.0</v>
      </c>
      <c r="D10" s="6">
        <v>7200.0</v>
      </c>
      <c r="E10" s="5" t="s">
        <v>45</v>
      </c>
    </row>
    <row r="11">
      <c r="A11" s="5" t="s">
        <v>28</v>
      </c>
      <c r="B11" s="5" t="s">
        <v>29</v>
      </c>
      <c r="C11" s="6">
        <v>12000.0</v>
      </c>
      <c r="D11" s="6">
        <v>12000.0</v>
      </c>
      <c r="E11" s="5" t="s">
        <v>45</v>
      </c>
    </row>
    <row r="12">
      <c r="A12" s="5" t="s">
        <v>37</v>
      </c>
      <c r="B12" s="5" t="s">
        <v>19</v>
      </c>
      <c r="C12" s="6">
        <v>500.0</v>
      </c>
      <c r="D12" s="6">
        <v>500.0</v>
      </c>
      <c r="E12" s="5"/>
    </row>
    <row r="13">
      <c r="A13" s="5" t="s">
        <v>37</v>
      </c>
      <c r="B13" s="5" t="s">
        <v>21</v>
      </c>
      <c r="C13" s="6">
        <v>800.0</v>
      </c>
      <c r="D13" s="6">
        <v>500.0</v>
      </c>
      <c r="E13" s="5" t="s">
        <v>46</v>
      </c>
    </row>
    <row r="14">
      <c r="A14" s="5" t="s">
        <v>37</v>
      </c>
      <c r="B14" s="5" t="s">
        <v>22</v>
      </c>
      <c r="C14" s="6">
        <v>1200.0</v>
      </c>
      <c r="D14" s="6">
        <v>1200.0</v>
      </c>
      <c r="E14" s="5"/>
    </row>
    <row r="15">
      <c r="A15" s="5" t="s">
        <v>37</v>
      </c>
      <c r="B15" s="5" t="s">
        <v>23</v>
      </c>
      <c r="C15" s="6">
        <v>300.0</v>
      </c>
      <c r="D15" s="6">
        <v>300.0</v>
      </c>
      <c r="E15" s="5"/>
    </row>
    <row r="16">
      <c r="A16" s="5" t="s">
        <v>37</v>
      </c>
      <c r="B16" s="5" t="s">
        <v>24</v>
      </c>
      <c r="C16" s="6">
        <v>650.0</v>
      </c>
      <c r="D16" s="6">
        <v>650.0</v>
      </c>
      <c r="E16" s="5"/>
    </row>
    <row r="17">
      <c r="A17" s="5" t="s">
        <v>37</v>
      </c>
      <c r="B17" s="5" t="s">
        <v>25</v>
      </c>
      <c r="C17" s="6">
        <v>450.0</v>
      </c>
      <c r="D17" s="6">
        <v>450.0</v>
      </c>
      <c r="E17" s="5"/>
    </row>
    <row r="18">
      <c r="A18" s="5" t="s">
        <v>37</v>
      </c>
      <c r="B18" s="5" t="s">
        <v>36</v>
      </c>
      <c r="C18" s="6">
        <v>6600.0</v>
      </c>
      <c r="D18" s="6">
        <v>6600.0</v>
      </c>
      <c r="E18" s="5" t="s">
        <v>45</v>
      </c>
    </row>
    <row r="19">
      <c r="A19" s="5" t="s">
        <v>37</v>
      </c>
      <c r="B19" s="5" t="s">
        <v>24</v>
      </c>
      <c r="C19" s="6">
        <v>0.0</v>
      </c>
      <c r="D19" s="6">
        <v>650.0</v>
      </c>
      <c r="E19" s="5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16.0"/>
    <col customWidth="1" min="3" max="26" width="8.71"/>
  </cols>
  <sheetData>
    <row r="1">
      <c r="A1" s="1" t="s">
        <v>48</v>
      </c>
    </row>
    <row r="3">
      <c r="A3" s="3" t="s">
        <v>49</v>
      </c>
    </row>
    <row r="4">
      <c r="A4" s="3" t="s">
        <v>50</v>
      </c>
    </row>
    <row r="5">
      <c r="A5" s="2" t="s">
        <v>51</v>
      </c>
      <c r="B5" s="8">
        <f>sum(Subscriptions!C4:C15)</f>
        <v>8100</v>
      </c>
    </row>
    <row r="6">
      <c r="A6" s="9" t="s">
        <v>52</v>
      </c>
      <c r="B6" s="10">
        <f>sumifs(Subscriptions!C4:C15,Subscriptions!B4:B15,Subscriptions!B12,Subscriptions!D4:D15,Subscriptions!D11)*11</f>
        <v>17600</v>
      </c>
    </row>
    <row r="7">
      <c r="A7" s="9" t="s">
        <v>53</v>
      </c>
      <c r="B7" s="11">
        <f>-sumifs(Subscriptions!C4:C15,Subscriptions!B4:B15,Subscriptions!B10,Subscriptions!D4:D15,"&lt;&gt;"&amp;Subscriptions!D10)</f>
        <v>-2600</v>
      </c>
    </row>
    <row r="8">
      <c r="A8" s="3" t="s">
        <v>54</v>
      </c>
      <c r="B8" s="10">
        <f>sumif('Invoice Log'!A4:A19,'Invoice Log'!A4,'Invoice Log'!C4:C19)</f>
        <v>23100</v>
      </c>
    </row>
    <row r="9">
      <c r="A9" s="3" t="s">
        <v>55</v>
      </c>
      <c r="B9" s="8">
        <f>B8-sum(B5:B7)</f>
        <v>0</v>
      </c>
    </row>
    <row r="11">
      <c r="A11" s="3" t="s">
        <v>56</v>
      </c>
    </row>
    <row r="12">
      <c r="A12" s="2" t="s">
        <v>54</v>
      </c>
      <c r="B12" s="8">
        <f>B8</f>
        <v>23100</v>
      </c>
    </row>
    <row r="13">
      <c r="A13" s="2" t="s">
        <v>57</v>
      </c>
      <c r="B13" s="12">
        <f>-(sumifs('Invoice Log'!C4:C19,'Invoice Log'!A4:A19,'Invoice Log'!A4)-sumifs('Invoice Log'!D4:D19,'Invoice Log'!A4:A19,'Invoice Log'!A4))</f>
        <v>-650</v>
      </c>
    </row>
    <row r="14">
      <c r="A14" s="3" t="s">
        <v>58</v>
      </c>
      <c r="B14" s="8">
        <f>sum('Invoice Log'!D4:D11)</f>
        <v>22450</v>
      </c>
    </row>
    <row r="15">
      <c r="A15" s="3" t="s">
        <v>55</v>
      </c>
      <c r="B15" s="8">
        <f>B14-sum(B12:B13)</f>
        <v>0</v>
      </c>
    </row>
    <row r="17" ht="15.75" customHeight="1"/>
    <row r="18" ht="15.75" customHeight="1">
      <c r="A18" s="3" t="s">
        <v>59</v>
      </c>
    </row>
    <row r="19" ht="15.75" customHeight="1">
      <c r="A19" s="3" t="s">
        <v>50</v>
      </c>
    </row>
    <row r="20" ht="15.75" customHeight="1">
      <c r="A20" s="2" t="s">
        <v>51</v>
      </c>
      <c r="B20" s="8">
        <f>sum(Subscriptions!C4:C15)</f>
        <v>8100</v>
      </c>
    </row>
    <row r="21" ht="15.75" customHeight="1">
      <c r="A21" s="13" t="s">
        <v>52</v>
      </c>
      <c r="B21" s="8">
        <f>sumifs(Subscriptions!C4:C15,Subscriptions!B4:B15,Subscriptions!B12,Subscriptions!D4:D15,Subscriptions!D15)*11</f>
        <v>6050</v>
      </c>
    </row>
    <row r="22" ht="15.75" customHeight="1">
      <c r="A22" s="13" t="s">
        <v>60</v>
      </c>
      <c r="B22" s="10">
        <f>-sumifs(Subscriptions!C4:C15,Subscriptions!B4:B15,Subscriptions!B10,Subscriptions!D4:D15,"&lt;&gt;"&amp;Subscriptions!D15)</f>
        <v>-3650</v>
      </c>
    </row>
    <row r="23" ht="15.75" customHeight="1">
      <c r="A23" s="3" t="s">
        <v>54</v>
      </c>
      <c r="B23" s="8">
        <f>sumif('Invoice Log'!A4:A19,'Invoice Log'!A12,'Invoice Log'!C4:C19)</f>
        <v>10500</v>
      </c>
    </row>
    <row r="24" ht="15.75" customHeight="1">
      <c r="A24" s="3" t="s">
        <v>55</v>
      </c>
      <c r="B24" s="8">
        <f>B23-sum(B20:B22)</f>
        <v>0</v>
      </c>
    </row>
    <row r="25" ht="15.75" customHeight="1"/>
    <row r="26" ht="15.75" customHeight="1">
      <c r="A26" s="3" t="s">
        <v>56</v>
      </c>
    </row>
    <row r="27" ht="15.75" customHeight="1">
      <c r="A27" s="2" t="s">
        <v>54</v>
      </c>
      <c r="B27" s="8">
        <f>B23</f>
        <v>10500</v>
      </c>
    </row>
    <row r="28" ht="15.75" customHeight="1">
      <c r="A28" s="2" t="s">
        <v>61</v>
      </c>
      <c r="B28" s="8">
        <f>'Invoice Log'!D19</f>
        <v>650</v>
      </c>
    </row>
    <row r="29" ht="15.75" customHeight="1">
      <c r="A29" s="2" t="s">
        <v>62</v>
      </c>
      <c r="B29" s="12">
        <v>-300.0</v>
      </c>
    </row>
    <row r="30" ht="15.75" customHeight="1">
      <c r="A30" s="3" t="s">
        <v>58</v>
      </c>
      <c r="B30" s="10">
        <f>sumif('Invoice Log'!A4:A19,'Invoice Log'!A13,'Invoice Log'!D4:D19)</f>
        <v>10850</v>
      </c>
    </row>
    <row r="31" ht="15.75" customHeight="1">
      <c r="A31" s="3" t="s">
        <v>55</v>
      </c>
      <c r="B31" s="8">
        <f>B30-sum(B27:B29)</f>
        <v>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