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enti\Downloads\idynamics-training\idynamics-analyst-training\submissions\excel\"/>
    </mc:Choice>
  </mc:AlternateContent>
  <xr:revisionPtr revIDLastSave="0" documentId="8_{6F55E740-4ACF-4F34-A7E0-98D573ACD872}" xr6:coauthVersionLast="47" xr6:coauthVersionMax="47" xr10:uidLastSave="{00000000-0000-0000-0000-000000000000}"/>
  <bookViews>
    <workbookView xWindow="-110" yWindow="-110" windowWidth="38620" windowHeight="21100" firstSheet="1" activeTab="4" xr2:uid="{00000000-000D-0000-FFFF-FFFF00000000}"/>
  </bookViews>
  <sheets>
    <sheet name="Historical Baseline" sheetId="1" r:id="rId1"/>
    <sheet name="Forecast Assumptions" sheetId="2" r:id="rId2"/>
    <sheet name="2026 Forecast" sheetId="3" r:id="rId3"/>
    <sheet name="Jan 2026 A vs F " sheetId="9" r:id="rId4"/>
    <sheet name="Feb 2026 A vs F" sheetId="12" r:id="rId5"/>
    <sheet name="KPI Tracker" sheetId="10" r:id="rId6"/>
    <sheet name="Waterfall Data" sheetId="11" r:id="rId7"/>
    <sheet name="Engine" sheetId="8" r:id="rId8"/>
    <sheet name="Waterfall" sheetId="4" r:id="rId9"/>
    <sheet name="Retention" sheetId="5" r:id="rId10"/>
    <sheet name="Unit Economics" sheetId="6" r:id="rId11"/>
    <sheet name="Ref" sheetId="7"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1" l="1"/>
  <c r="E12" i="11" s="1"/>
  <c r="D10" i="11"/>
  <c r="C14" i="11"/>
  <c r="C13" i="11"/>
  <c r="C12" i="11"/>
  <c r="C11" i="11"/>
  <c r="C10" i="11"/>
  <c r="E10" i="11" s="1"/>
  <c r="A15" i="11"/>
  <c r="A14" i="11"/>
  <c r="A13" i="11"/>
  <c r="A12" i="11"/>
  <c r="A11" i="11"/>
  <c r="A10" i="11"/>
  <c r="A9" i="11"/>
  <c r="E6" i="11"/>
  <c r="D3" i="10"/>
  <c r="B3" i="10"/>
  <c r="C5" i="10"/>
  <c r="C3" i="10"/>
  <c r="B46" i="9"/>
  <c r="C57" i="12"/>
  <c r="C56" i="12"/>
  <c r="C55" i="12"/>
  <c r="C31" i="12"/>
  <c r="C30" i="12"/>
  <c r="B36" i="12"/>
  <c r="B35" i="12"/>
  <c r="B34" i="12"/>
  <c r="B33" i="12"/>
  <c r="B18" i="12"/>
  <c r="B3" i="12"/>
  <c r="C21" i="12"/>
  <c r="C20" i="12"/>
  <c r="C19" i="12"/>
  <c r="C18" i="12"/>
  <c r="B20" i="12"/>
  <c r="B19" i="12"/>
  <c r="E6" i="12"/>
  <c r="E4" i="12"/>
  <c r="D6" i="12"/>
  <c r="F6" i="12" s="1" a="1"/>
  <c r="F6" i="12" s="1"/>
  <c r="D4" i="12"/>
  <c r="F4" i="12" s="1" a="1"/>
  <c r="F4" i="12" s="1"/>
  <c r="C7" i="12"/>
  <c r="D13" i="11" s="1"/>
  <c r="E13" i="11" s="1"/>
  <c r="C5" i="12"/>
  <c r="D11" i="11" s="1"/>
  <c r="C3" i="12"/>
  <c r="D9" i="11" s="1"/>
  <c r="B8" i="12"/>
  <c r="D6" i="11"/>
  <c r="C6" i="11"/>
  <c r="D5" i="11"/>
  <c r="C5" i="11"/>
  <c r="E5" i="11" s="1"/>
  <c r="E4" i="9"/>
  <c r="E5" i="9"/>
  <c r="E6" i="9"/>
  <c r="E7" i="9"/>
  <c r="E3" i="9"/>
  <c r="F6" i="9" a="1"/>
  <c r="F6" i="9" s="1"/>
  <c r="D6" i="9"/>
  <c r="C4" i="11"/>
  <c r="D3" i="11"/>
  <c r="C3" i="11"/>
  <c r="C2" i="11"/>
  <c r="B10" i="10"/>
  <c r="B5" i="10"/>
  <c r="B65" i="9"/>
  <c r="B44" i="9"/>
  <c r="B43" i="9"/>
  <c r="B42" i="9"/>
  <c r="B7" i="10" s="1"/>
  <c r="F17" i="9" a="1"/>
  <c r="F17" i="9" s="1"/>
  <c r="B19" i="9"/>
  <c r="B20" i="9"/>
  <c r="B18" i="9"/>
  <c r="B26" i="1"/>
  <c r="B27" i="1"/>
  <c r="C18" i="9"/>
  <c r="C19" i="9"/>
  <c r="C20" i="9"/>
  <c r="C21" i="9"/>
  <c r="B20" i="3"/>
  <c r="B8" i="9"/>
  <c r="C7" i="11" s="1"/>
  <c r="B9" i="9"/>
  <c r="B41" i="9" s="1"/>
  <c r="C7" i="9"/>
  <c r="C5" i="9"/>
  <c r="D4" i="11" s="1"/>
  <c r="C3" i="9"/>
  <c r="D2" i="11" s="1"/>
  <c r="B21" i="6" a="1"/>
  <c r="B21" i="6"/>
  <c r="E33" i="6"/>
  <c r="E32" i="6"/>
  <c r="E31" i="6"/>
  <c r="E30" i="6"/>
  <c r="E29" i="6"/>
  <c r="E28" i="6"/>
  <c r="B6" i="6"/>
  <c r="D52" i="6" a="1"/>
  <c r="D52" i="6" s="1"/>
  <c r="C52" i="6" a="1"/>
  <c r="C52" i="6" s="1"/>
  <c r="D51" i="6" a="1"/>
  <c r="D51" i="6" s="1"/>
  <c r="C51" i="6" a="1"/>
  <c r="C51" i="6" s="1"/>
  <c r="D50" i="6" a="1"/>
  <c r="D50" i="6" s="1"/>
  <c r="C50" i="6" a="1"/>
  <c r="C50" i="6" s="1"/>
  <c r="D49" i="6" a="1"/>
  <c r="D49" i="6" s="1"/>
  <c r="C49" i="6" a="1"/>
  <c r="C49" i="6" s="1"/>
  <c r="D48" i="6" a="1"/>
  <c r="D48" i="6" s="1"/>
  <c r="C48" i="6" a="1"/>
  <c r="C48" i="6" s="1"/>
  <c r="D47" i="6" a="1"/>
  <c r="D47" i="6" s="1"/>
  <c r="C47" i="6" a="1"/>
  <c r="C47" i="6" s="1"/>
  <c r="D46" i="6" a="1"/>
  <c r="D46" i="6" s="1"/>
  <c r="C46" i="6" a="1"/>
  <c r="C46" i="6" s="1"/>
  <c r="D45" i="6" a="1"/>
  <c r="D45" i="6" s="1"/>
  <c r="C45" i="6" a="1"/>
  <c r="C45" i="6" s="1"/>
  <c r="D44" i="6" a="1"/>
  <c r="D44" i="6" s="1"/>
  <c r="C44" i="6" a="1"/>
  <c r="C44" i="6" s="1"/>
  <c r="D43" i="6" a="1"/>
  <c r="D43" i="6" s="1"/>
  <c r="C43" i="6" a="1"/>
  <c r="C43" i="6" s="1"/>
  <c r="D42" i="6" a="1"/>
  <c r="D42" i="6" s="1"/>
  <c r="C42" i="6" a="1"/>
  <c r="C42" i="6" s="1"/>
  <c r="B37" i="6"/>
  <c r="B38" i="6" s="1"/>
  <c r="D33" i="6"/>
  <c r="C33" i="6"/>
  <c r="B33" i="6"/>
  <c r="D32" i="6"/>
  <c r="C32" i="6"/>
  <c r="B32" i="6"/>
  <c r="D31" i="6"/>
  <c r="C31" i="6"/>
  <c r="B31" i="6"/>
  <c r="D30" i="6"/>
  <c r="C30" i="6"/>
  <c r="B30" i="6"/>
  <c r="D29" i="6"/>
  <c r="C29" i="6"/>
  <c r="B29" i="6"/>
  <c r="D28" i="6"/>
  <c r="C28" i="6"/>
  <c r="B28" i="6"/>
  <c r="B5" i="6"/>
  <c r="B4" i="6"/>
  <c r="B31" i="4"/>
  <c r="AA20" i="5"/>
  <c r="Z20" i="5"/>
  <c r="Y20" i="5"/>
  <c r="X20" i="5"/>
  <c r="W20" i="5"/>
  <c r="V20" i="5"/>
  <c r="U20" i="5"/>
  <c r="T20" i="5"/>
  <c r="S20" i="5"/>
  <c r="R20" i="5"/>
  <c r="Q20" i="5"/>
  <c r="P20" i="5"/>
  <c r="O20" i="5"/>
  <c r="N20" i="5"/>
  <c r="M20" i="5"/>
  <c r="L20" i="5"/>
  <c r="K20" i="5"/>
  <c r="J20" i="5"/>
  <c r="I20" i="5"/>
  <c r="H20" i="5"/>
  <c r="G20" i="5"/>
  <c r="F20" i="5"/>
  <c r="E20" i="5"/>
  <c r="D20" i="5"/>
  <c r="C20" i="5"/>
  <c r="B20" i="5"/>
  <c r="AA19" i="5"/>
  <c r="Z19" i="5"/>
  <c r="Y19" i="5"/>
  <c r="X19" i="5"/>
  <c r="W19" i="5"/>
  <c r="V19" i="5"/>
  <c r="U19" i="5"/>
  <c r="T19" i="5"/>
  <c r="S19" i="5"/>
  <c r="R19" i="5"/>
  <c r="Q19" i="5"/>
  <c r="P19" i="5"/>
  <c r="O19" i="5"/>
  <c r="N19" i="5"/>
  <c r="M19" i="5"/>
  <c r="L19" i="5"/>
  <c r="K19" i="5"/>
  <c r="J19" i="5"/>
  <c r="I19" i="5"/>
  <c r="H19" i="5"/>
  <c r="G19" i="5"/>
  <c r="F19" i="5"/>
  <c r="E19" i="5"/>
  <c r="D19" i="5"/>
  <c r="C19" i="5"/>
  <c r="AA17" i="5"/>
  <c r="Z17" i="5"/>
  <c r="Y17" i="5"/>
  <c r="X17" i="5"/>
  <c r="W17" i="5"/>
  <c r="V17" i="5"/>
  <c r="U17" i="5"/>
  <c r="T17" i="5"/>
  <c r="S17" i="5"/>
  <c r="R17" i="5"/>
  <c r="Q17" i="5"/>
  <c r="P17" i="5"/>
  <c r="O17" i="5"/>
  <c r="N17" i="5"/>
  <c r="M17" i="5"/>
  <c r="L17" i="5"/>
  <c r="K17" i="5"/>
  <c r="J17" i="5"/>
  <c r="I17" i="5"/>
  <c r="H17" i="5"/>
  <c r="G17" i="5"/>
  <c r="F17" i="5"/>
  <c r="E17" i="5"/>
  <c r="D17" i="5"/>
  <c r="C17" i="5"/>
  <c r="B17" i="5"/>
  <c r="AA16" i="5"/>
  <c r="Z16" i="5"/>
  <c r="Y16" i="5"/>
  <c r="X16" i="5"/>
  <c r="W16" i="5"/>
  <c r="V16" i="5"/>
  <c r="U16" i="5"/>
  <c r="T16" i="5"/>
  <c r="S16" i="5"/>
  <c r="R16" i="5"/>
  <c r="Q16" i="5"/>
  <c r="P16" i="5"/>
  <c r="O16" i="5"/>
  <c r="N16" i="5"/>
  <c r="M16" i="5"/>
  <c r="L16" i="5"/>
  <c r="K16" i="5"/>
  <c r="J16" i="5"/>
  <c r="I16" i="5"/>
  <c r="H16" i="5"/>
  <c r="G16" i="5"/>
  <c r="F16" i="5"/>
  <c r="E16" i="5"/>
  <c r="D16" i="5"/>
  <c r="C16" i="5"/>
  <c r="AA12" i="5"/>
  <c r="Z12" i="5"/>
  <c r="Y12" i="5"/>
  <c r="X12" i="5"/>
  <c r="W12" i="5"/>
  <c r="V12" i="5"/>
  <c r="U12" i="5"/>
  <c r="T12" i="5"/>
  <c r="S12" i="5"/>
  <c r="R12" i="5"/>
  <c r="Q12" i="5"/>
  <c r="P12" i="5"/>
  <c r="O12" i="5"/>
  <c r="N12" i="5"/>
  <c r="M12" i="5"/>
  <c r="L12" i="5"/>
  <c r="K12" i="5"/>
  <c r="J12" i="5"/>
  <c r="I12" i="5"/>
  <c r="H12" i="5"/>
  <c r="G12" i="5"/>
  <c r="F12" i="5"/>
  <c r="E12" i="5"/>
  <c r="D12" i="5"/>
  <c r="C12" i="5"/>
  <c r="B12" i="5"/>
  <c r="AA11" i="5"/>
  <c r="Z11" i="5"/>
  <c r="Y11" i="5"/>
  <c r="X11" i="5"/>
  <c r="W11" i="5"/>
  <c r="V11" i="5"/>
  <c r="U11" i="5"/>
  <c r="T11" i="5"/>
  <c r="S11" i="5"/>
  <c r="R11" i="5"/>
  <c r="Q11" i="5"/>
  <c r="P11" i="5"/>
  <c r="O11" i="5"/>
  <c r="N11" i="5"/>
  <c r="M11" i="5"/>
  <c r="L11" i="5"/>
  <c r="K11" i="5"/>
  <c r="J11" i="5"/>
  <c r="I11" i="5"/>
  <c r="H11" i="5"/>
  <c r="G11" i="5"/>
  <c r="F11" i="5"/>
  <c r="E11" i="5"/>
  <c r="D11" i="5"/>
  <c r="C11" i="5"/>
  <c r="B11" i="5"/>
  <c r="AA7" i="5"/>
  <c r="Z7" i="5"/>
  <c r="Y7" i="5"/>
  <c r="X7" i="5"/>
  <c r="W7" i="5"/>
  <c r="V7" i="5"/>
  <c r="U7" i="5"/>
  <c r="T7" i="5"/>
  <c r="S7" i="5"/>
  <c r="R7" i="5"/>
  <c r="Q7" i="5"/>
  <c r="P7" i="5"/>
  <c r="O7" i="5"/>
  <c r="N7" i="5"/>
  <c r="M7" i="5"/>
  <c r="L7" i="5"/>
  <c r="K7" i="5"/>
  <c r="J7" i="5"/>
  <c r="I7" i="5"/>
  <c r="H7" i="5"/>
  <c r="G7" i="5"/>
  <c r="F7" i="5"/>
  <c r="E7" i="5"/>
  <c r="D7" i="5"/>
  <c r="C7" i="5"/>
  <c r="B7" i="5"/>
  <c r="AA6" i="5"/>
  <c r="Z6" i="5"/>
  <c r="Y6" i="5"/>
  <c r="X6" i="5"/>
  <c r="W6" i="5"/>
  <c r="V6" i="5"/>
  <c r="U6" i="5"/>
  <c r="T6" i="5"/>
  <c r="S6" i="5"/>
  <c r="R6" i="5"/>
  <c r="Q6" i="5"/>
  <c r="P6" i="5"/>
  <c r="O6" i="5"/>
  <c r="N6" i="5"/>
  <c r="M6" i="5"/>
  <c r="L6" i="5"/>
  <c r="K6" i="5"/>
  <c r="J6" i="5"/>
  <c r="I6" i="5"/>
  <c r="H6" i="5"/>
  <c r="G6" i="5"/>
  <c r="F6" i="5"/>
  <c r="E6" i="5"/>
  <c r="D6" i="5"/>
  <c r="C6" i="5"/>
  <c r="B6" i="5"/>
  <c r="AA5" i="5"/>
  <c r="Z5" i="5"/>
  <c r="Y5" i="5"/>
  <c r="X5" i="5"/>
  <c r="W5" i="5"/>
  <c r="V5" i="5"/>
  <c r="U5" i="5"/>
  <c r="T5" i="5"/>
  <c r="S5" i="5"/>
  <c r="R5" i="5"/>
  <c r="Q5" i="5"/>
  <c r="P5" i="5"/>
  <c r="O5" i="5"/>
  <c r="N5" i="5"/>
  <c r="M5" i="5"/>
  <c r="L5" i="5"/>
  <c r="K5" i="5"/>
  <c r="J5" i="5"/>
  <c r="I5" i="5"/>
  <c r="H5" i="5"/>
  <c r="G5" i="5"/>
  <c r="F5" i="5"/>
  <c r="E5" i="5"/>
  <c r="D5" i="5"/>
  <c r="C5" i="5"/>
  <c r="B5" i="5"/>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F28" i="4"/>
  <c r="E28" i="4"/>
  <c r="D28" i="4"/>
  <c r="C28" i="4"/>
  <c r="F27" i="4"/>
  <c r="E27" i="4"/>
  <c r="D27" i="4"/>
  <c r="C27" i="4"/>
  <c r="F26" i="4"/>
  <c r="E26" i="4"/>
  <c r="D26" i="4"/>
  <c r="C26" i="4"/>
  <c r="F25" i="4"/>
  <c r="E25" i="4"/>
  <c r="D25" i="4"/>
  <c r="C25" i="4"/>
  <c r="F24" i="4"/>
  <c r="E24" i="4"/>
  <c r="D24" i="4"/>
  <c r="C24" i="4"/>
  <c r="F23" i="4"/>
  <c r="E23" i="4"/>
  <c r="D23" i="4"/>
  <c r="C23" i="4"/>
  <c r="F22" i="4"/>
  <c r="E22" i="4"/>
  <c r="D22" i="4"/>
  <c r="C22" i="4"/>
  <c r="F21" i="4"/>
  <c r="E21" i="4"/>
  <c r="D21" i="4"/>
  <c r="C21" i="4"/>
  <c r="F20" i="4"/>
  <c r="E20" i="4"/>
  <c r="D20" i="4"/>
  <c r="C20" i="4"/>
  <c r="F19" i="4"/>
  <c r="E19" i="4"/>
  <c r="D19" i="4"/>
  <c r="C19" i="4"/>
  <c r="F18" i="4"/>
  <c r="E18" i="4"/>
  <c r="D18" i="4"/>
  <c r="C18" i="4"/>
  <c r="F17" i="4"/>
  <c r="E17" i="4"/>
  <c r="D17" i="4"/>
  <c r="C17" i="4"/>
  <c r="F16" i="4"/>
  <c r="E16" i="4"/>
  <c r="D16" i="4"/>
  <c r="C16" i="4"/>
  <c r="F15" i="4"/>
  <c r="E15" i="4"/>
  <c r="D15" i="4"/>
  <c r="F9" i="1" s="1"/>
  <c r="C15" i="4"/>
  <c r="F14" i="4"/>
  <c r="E14" i="4"/>
  <c r="D14" i="4"/>
  <c r="C14" i="4"/>
  <c r="F13" i="4"/>
  <c r="E13" i="4"/>
  <c r="D13" i="4"/>
  <c r="C13" i="4"/>
  <c r="F12" i="4"/>
  <c r="E12" i="4"/>
  <c r="D12" i="4"/>
  <c r="C12" i="4"/>
  <c r="F11" i="4"/>
  <c r="E11" i="4"/>
  <c r="D11" i="4"/>
  <c r="C11" i="4"/>
  <c r="F10" i="4"/>
  <c r="E10" i="4"/>
  <c r="D10" i="4"/>
  <c r="C10" i="4"/>
  <c r="F9" i="4"/>
  <c r="E9" i="4"/>
  <c r="D9" i="4"/>
  <c r="C9" i="4"/>
  <c r="F8" i="4"/>
  <c r="E8" i="4"/>
  <c r="C10" i="1" s="1"/>
  <c r="D8" i="4"/>
  <c r="C8" i="4"/>
  <c r="F7" i="4"/>
  <c r="E7" i="4"/>
  <c r="D7" i="4"/>
  <c r="C7" i="4"/>
  <c r="F6" i="4"/>
  <c r="E6" i="4"/>
  <c r="D6" i="4"/>
  <c r="C6" i="4"/>
  <c r="F5" i="4"/>
  <c r="E5" i="4"/>
  <c r="D5" i="4"/>
  <c r="C5" i="4"/>
  <c r="F4" i="4"/>
  <c r="E4" i="4"/>
  <c r="D4" i="4"/>
  <c r="C4" i="4"/>
  <c r="F3" i="4"/>
  <c r="E3" i="4"/>
  <c r="D3" i="4"/>
  <c r="C3" i="4"/>
  <c r="U98" i="8"/>
  <c r="T98" i="8"/>
  <c r="V98" i="8" s="1"/>
  <c r="S98" i="8" a="1"/>
  <c r="S98" i="8" s="1"/>
  <c r="R98" i="8" a="1"/>
  <c r="R98" i="8" s="1"/>
  <c r="U97" i="8"/>
  <c r="T97" i="8"/>
  <c r="V97" i="8" s="1"/>
  <c r="S97" i="8" a="1"/>
  <c r="S97" i="8" s="1"/>
  <c r="R97" i="8" a="1"/>
  <c r="R97" i="8" s="1"/>
  <c r="U96" i="8"/>
  <c r="T96" i="8"/>
  <c r="V96" i="8" s="1"/>
  <c r="S96" i="8" a="1"/>
  <c r="S96" i="8" s="1"/>
  <c r="R96" i="8" a="1"/>
  <c r="R96" i="8" s="1"/>
  <c r="U95" i="8"/>
  <c r="T95" i="8"/>
  <c r="V95" i="8" s="1"/>
  <c r="S95" i="8" a="1"/>
  <c r="S95" i="8" s="1"/>
  <c r="R95" i="8" a="1"/>
  <c r="R95" i="8" s="1"/>
  <c r="U94" i="8"/>
  <c r="T94" i="8"/>
  <c r="V94" i="8" s="1"/>
  <c r="S94" i="8" a="1"/>
  <c r="S94" i="8" s="1"/>
  <c r="R94" i="8" a="1"/>
  <c r="R94" i="8" s="1"/>
  <c r="U93" i="8"/>
  <c r="T93" i="8"/>
  <c r="V93" i="8" s="1"/>
  <c r="S93" i="8" a="1"/>
  <c r="S93" i="8" s="1"/>
  <c r="R93" i="8" a="1"/>
  <c r="R93" i="8" s="1"/>
  <c r="U92" i="8"/>
  <c r="T92" i="8"/>
  <c r="V92" i="8" s="1"/>
  <c r="S92" i="8" a="1"/>
  <c r="S92" i="8" s="1"/>
  <c r="R92" i="8" a="1"/>
  <c r="R92" i="8" s="1"/>
  <c r="U91" i="8"/>
  <c r="T91" i="8"/>
  <c r="V91" i="8" s="1"/>
  <c r="S91" i="8" a="1"/>
  <c r="S91" i="8" s="1"/>
  <c r="R91" i="8" a="1"/>
  <c r="R91" i="8" s="1"/>
  <c r="U90" i="8"/>
  <c r="T90" i="8"/>
  <c r="V90" i="8" s="1"/>
  <c r="S90" i="8" a="1"/>
  <c r="S90" i="8" s="1"/>
  <c r="R90" i="8" a="1"/>
  <c r="R90" i="8" s="1"/>
  <c r="U89" i="8"/>
  <c r="T89" i="8"/>
  <c r="V89" i="8" s="1"/>
  <c r="S89" i="8" a="1"/>
  <c r="S89" i="8" s="1"/>
  <c r="R89" i="8" a="1"/>
  <c r="R89" i="8" s="1"/>
  <c r="U88" i="8"/>
  <c r="T88" i="8"/>
  <c r="V88" i="8" s="1"/>
  <c r="S88" i="8" a="1"/>
  <c r="S88" i="8" s="1"/>
  <c r="R88" i="8" a="1"/>
  <c r="R88" i="8" s="1"/>
  <c r="U87" i="8"/>
  <c r="T87" i="8"/>
  <c r="V87" i="8" s="1"/>
  <c r="S87" i="8" a="1"/>
  <c r="S87" i="8" s="1"/>
  <c r="R87" i="8" a="1"/>
  <c r="R87" i="8" s="1"/>
  <c r="U86" i="8"/>
  <c r="T86" i="8"/>
  <c r="V86" i="8" s="1"/>
  <c r="S86" i="8" a="1"/>
  <c r="S86" i="8" s="1"/>
  <c r="R86" i="8" a="1"/>
  <c r="R86" i="8" s="1"/>
  <c r="U85" i="8"/>
  <c r="T85" i="8"/>
  <c r="V85" i="8" s="1"/>
  <c r="S85" i="8" a="1"/>
  <c r="S85" i="8" s="1"/>
  <c r="R85" i="8" a="1"/>
  <c r="R85" i="8" s="1"/>
  <c r="U84" i="8"/>
  <c r="T84" i="8"/>
  <c r="V84" i="8" s="1"/>
  <c r="S84" i="8" a="1"/>
  <c r="S84" i="8" s="1"/>
  <c r="R84" i="8" a="1"/>
  <c r="R84" i="8" s="1"/>
  <c r="U83" i="8"/>
  <c r="T83" i="8"/>
  <c r="V83" i="8" s="1"/>
  <c r="S83" i="8" a="1"/>
  <c r="S83" i="8" s="1"/>
  <c r="R83" i="8" a="1"/>
  <c r="R83" i="8" s="1"/>
  <c r="U82" i="8"/>
  <c r="T82" i="8"/>
  <c r="V82" i="8" s="1"/>
  <c r="S82" i="8" a="1"/>
  <c r="S82" i="8" s="1"/>
  <c r="R82" i="8" a="1"/>
  <c r="R82" i="8" s="1"/>
  <c r="U81" i="8"/>
  <c r="T81" i="8"/>
  <c r="V81" i="8" s="1"/>
  <c r="S81" i="8" a="1"/>
  <c r="S81" i="8" s="1"/>
  <c r="R81" i="8" a="1"/>
  <c r="R81" i="8" s="1"/>
  <c r="U80" i="8"/>
  <c r="T80" i="8"/>
  <c r="V80" i="8" s="1"/>
  <c r="S80" i="8" a="1"/>
  <c r="S80" i="8" s="1"/>
  <c r="R80" i="8" a="1"/>
  <c r="R80" i="8" s="1"/>
  <c r="U79" i="8"/>
  <c r="T79" i="8"/>
  <c r="V79" i="8" s="1"/>
  <c r="S79" i="8" a="1"/>
  <c r="S79" i="8" s="1"/>
  <c r="R79" i="8" a="1"/>
  <c r="R79" i="8" s="1"/>
  <c r="U78" i="8"/>
  <c r="T78" i="8"/>
  <c r="V78" i="8" s="1"/>
  <c r="S78" i="8" a="1"/>
  <c r="S78" i="8" s="1"/>
  <c r="R78" i="8" a="1"/>
  <c r="R78" i="8" s="1"/>
  <c r="U77" i="8"/>
  <c r="T77" i="8"/>
  <c r="V77" i="8" s="1"/>
  <c r="S77" i="8" a="1"/>
  <c r="S77" i="8" s="1"/>
  <c r="R77" i="8" a="1"/>
  <c r="R77" i="8" s="1"/>
  <c r="U76" i="8"/>
  <c r="T76" i="8"/>
  <c r="V76" i="8" s="1"/>
  <c r="S76" i="8" a="1"/>
  <c r="S76" i="8" s="1"/>
  <c r="R76" i="8" a="1"/>
  <c r="R76" i="8" s="1"/>
  <c r="U75" i="8"/>
  <c r="T75" i="8"/>
  <c r="V75" i="8" s="1"/>
  <c r="S75" i="8" a="1"/>
  <c r="S75" i="8" s="1"/>
  <c r="R75" i="8" a="1"/>
  <c r="R75" i="8" s="1"/>
  <c r="U74" i="8"/>
  <c r="T74" i="8"/>
  <c r="V74" i="8" s="1"/>
  <c r="S74" i="8" a="1"/>
  <c r="S74" i="8" s="1"/>
  <c r="R74" i="8" a="1"/>
  <c r="R74" i="8" s="1"/>
  <c r="U73" i="8"/>
  <c r="T73" i="8"/>
  <c r="V73" i="8" s="1"/>
  <c r="S73" i="8" a="1"/>
  <c r="S73" i="8" s="1"/>
  <c r="R73" i="8" a="1"/>
  <c r="R73" i="8" s="1"/>
  <c r="U72" i="8"/>
  <c r="T72" i="8"/>
  <c r="V72" i="8" s="1"/>
  <c r="S72" i="8" a="1"/>
  <c r="S72" i="8" s="1"/>
  <c r="R72" i="8" a="1"/>
  <c r="R72" i="8" s="1"/>
  <c r="U71" i="8"/>
  <c r="T71" i="8"/>
  <c r="V71" i="8" s="1"/>
  <c r="S71" i="8" a="1"/>
  <c r="S71" i="8" s="1"/>
  <c r="R71" i="8" a="1"/>
  <c r="R71" i="8" s="1"/>
  <c r="U70" i="8"/>
  <c r="T70" i="8"/>
  <c r="V70" i="8" s="1"/>
  <c r="S70" i="8" a="1"/>
  <c r="S70" i="8" s="1"/>
  <c r="R70" i="8" a="1"/>
  <c r="R70" i="8" s="1"/>
  <c r="U69" i="8"/>
  <c r="T69" i="8"/>
  <c r="V69" i="8" s="1"/>
  <c r="S69" i="8" a="1"/>
  <c r="S69" i="8" s="1"/>
  <c r="R69" i="8" a="1"/>
  <c r="R69" i="8" s="1"/>
  <c r="U68" i="8"/>
  <c r="T68" i="8"/>
  <c r="V68" i="8" s="1"/>
  <c r="S68" i="8" a="1"/>
  <c r="S68" i="8" s="1"/>
  <c r="R68" i="8" a="1"/>
  <c r="R68" i="8" s="1"/>
  <c r="U67" i="8"/>
  <c r="T67" i="8"/>
  <c r="V67" i="8" s="1"/>
  <c r="S67" i="8" a="1"/>
  <c r="S67" i="8" s="1"/>
  <c r="R67" i="8" a="1"/>
  <c r="R67" i="8" s="1"/>
  <c r="U66" i="8"/>
  <c r="T66" i="8"/>
  <c r="V66" i="8" s="1"/>
  <c r="S66" i="8" a="1"/>
  <c r="S66" i="8" s="1"/>
  <c r="R66" i="8" a="1"/>
  <c r="R66" i="8" s="1"/>
  <c r="U65" i="8"/>
  <c r="T65" i="8"/>
  <c r="V65" i="8" s="1"/>
  <c r="S65" i="8" a="1"/>
  <c r="S65" i="8" s="1"/>
  <c r="R65" i="8" a="1"/>
  <c r="R65" i="8" s="1"/>
  <c r="U64" i="8"/>
  <c r="T64" i="8"/>
  <c r="V64" i="8" s="1"/>
  <c r="S64" i="8" a="1"/>
  <c r="S64" i="8" s="1"/>
  <c r="R64" i="8" a="1"/>
  <c r="R64" i="8" s="1"/>
  <c r="U63" i="8"/>
  <c r="T63" i="8"/>
  <c r="V63" i="8" s="1"/>
  <c r="S63" i="8" a="1"/>
  <c r="S63" i="8" s="1"/>
  <c r="R63" i="8" a="1"/>
  <c r="R63" i="8" s="1"/>
  <c r="U62" i="8"/>
  <c r="T62" i="8"/>
  <c r="V62" i="8" s="1"/>
  <c r="S62" i="8" a="1"/>
  <c r="S62" i="8" s="1"/>
  <c r="R62" i="8" a="1"/>
  <c r="R62" i="8" s="1"/>
  <c r="U61" i="8"/>
  <c r="T61" i="8"/>
  <c r="V61" i="8" s="1"/>
  <c r="S61" i="8" a="1"/>
  <c r="S61" i="8" s="1"/>
  <c r="R61" i="8" a="1"/>
  <c r="R61" i="8" s="1"/>
  <c r="U60" i="8"/>
  <c r="T60" i="8"/>
  <c r="V60" i="8" s="1"/>
  <c r="S60" i="8" a="1"/>
  <c r="S60" i="8" s="1"/>
  <c r="R60" i="8" a="1"/>
  <c r="R60" i="8" s="1"/>
  <c r="U59" i="8"/>
  <c r="T59" i="8"/>
  <c r="V59" i="8" s="1"/>
  <c r="S59" i="8" a="1"/>
  <c r="S59" i="8" s="1"/>
  <c r="R59" i="8" a="1"/>
  <c r="R59" i="8" s="1"/>
  <c r="U58" i="8"/>
  <c r="T58" i="8"/>
  <c r="V58" i="8" s="1"/>
  <c r="S58" i="8" a="1"/>
  <c r="S58" i="8" s="1"/>
  <c r="R58" i="8" a="1"/>
  <c r="R58" i="8" s="1"/>
  <c r="U57" i="8"/>
  <c r="T57" i="8"/>
  <c r="V57" i="8" s="1"/>
  <c r="S57" i="8" a="1"/>
  <c r="S57" i="8" s="1"/>
  <c r="R57" i="8" a="1"/>
  <c r="R57" i="8" s="1"/>
  <c r="U56" i="8"/>
  <c r="T56" i="8"/>
  <c r="V56" i="8" s="1"/>
  <c r="S56" i="8" a="1"/>
  <c r="S56" i="8" s="1"/>
  <c r="R56" i="8" a="1"/>
  <c r="R56" i="8" s="1"/>
  <c r="U55" i="8"/>
  <c r="T55" i="8"/>
  <c r="V55" i="8" s="1"/>
  <c r="S55" i="8" a="1"/>
  <c r="S55" i="8" s="1"/>
  <c r="R55" i="8" a="1"/>
  <c r="R55" i="8" s="1"/>
  <c r="U54" i="8"/>
  <c r="T54" i="8"/>
  <c r="V54" i="8" s="1"/>
  <c r="S54" i="8" a="1"/>
  <c r="S54" i="8" s="1"/>
  <c r="R54" i="8" a="1"/>
  <c r="R54" i="8" s="1"/>
  <c r="U53" i="8"/>
  <c r="T53" i="8"/>
  <c r="V53" i="8" s="1"/>
  <c r="S53" i="8" a="1"/>
  <c r="S53" i="8" s="1"/>
  <c r="R53" i="8" a="1"/>
  <c r="R53" i="8" s="1"/>
  <c r="U52" i="8"/>
  <c r="T52" i="8"/>
  <c r="V52" i="8" s="1"/>
  <c r="S52" i="8" a="1"/>
  <c r="S52" i="8" s="1"/>
  <c r="R52" i="8" a="1"/>
  <c r="R52" i="8" s="1"/>
  <c r="U51" i="8"/>
  <c r="T51" i="8"/>
  <c r="V51" i="8" s="1"/>
  <c r="S51" i="8" a="1"/>
  <c r="S51" i="8" s="1"/>
  <c r="R51" i="8" a="1"/>
  <c r="R51" i="8" s="1"/>
  <c r="U50" i="8"/>
  <c r="T50" i="8"/>
  <c r="V50" i="8" s="1"/>
  <c r="S50" i="8" a="1"/>
  <c r="S50" i="8" s="1"/>
  <c r="R50" i="8" a="1"/>
  <c r="R50" i="8" s="1"/>
  <c r="U49" i="8"/>
  <c r="T49" i="8"/>
  <c r="V49" i="8" s="1"/>
  <c r="S49" i="8" a="1"/>
  <c r="S49" i="8" s="1"/>
  <c r="R49" i="8" a="1"/>
  <c r="R49" i="8" s="1"/>
  <c r="U48" i="8"/>
  <c r="T48" i="8"/>
  <c r="V48" i="8" s="1"/>
  <c r="S48" i="8" a="1"/>
  <c r="S48" i="8" s="1"/>
  <c r="R48" i="8" a="1"/>
  <c r="R48" i="8" s="1"/>
  <c r="U47" i="8"/>
  <c r="T47" i="8"/>
  <c r="V47" i="8" s="1"/>
  <c r="S47" i="8" a="1"/>
  <c r="S47" i="8" s="1"/>
  <c r="R47" i="8" a="1"/>
  <c r="R47" i="8" s="1"/>
  <c r="U46" i="8"/>
  <c r="T46" i="8"/>
  <c r="V46" i="8" s="1"/>
  <c r="S46" i="8" a="1"/>
  <c r="S46" i="8" s="1"/>
  <c r="R46" i="8" a="1"/>
  <c r="R46" i="8" s="1"/>
  <c r="U45" i="8"/>
  <c r="T45" i="8"/>
  <c r="V45" i="8" s="1"/>
  <c r="S45" i="8" a="1"/>
  <c r="S45" i="8" s="1"/>
  <c r="R45" i="8" a="1"/>
  <c r="R45" i="8" s="1"/>
  <c r="U44" i="8"/>
  <c r="T44" i="8"/>
  <c r="V44" i="8" s="1"/>
  <c r="S44" i="8" a="1"/>
  <c r="S44" i="8" s="1"/>
  <c r="R44" i="8" a="1"/>
  <c r="R44" i="8" s="1"/>
  <c r="U43" i="8"/>
  <c r="T43" i="8"/>
  <c r="V43" i="8" s="1"/>
  <c r="S43" i="8" a="1"/>
  <c r="S43" i="8" s="1"/>
  <c r="R43" i="8" a="1"/>
  <c r="R43" i="8" s="1"/>
  <c r="U42" i="8"/>
  <c r="T42" i="8"/>
  <c r="V42" i="8" s="1"/>
  <c r="S42" i="8" a="1"/>
  <c r="S42" i="8" s="1"/>
  <c r="R42" i="8" a="1"/>
  <c r="R42" i="8" s="1"/>
  <c r="U41" i="8"/>
  <c r="T41" i="8"/>
  <c r="V41" i="8" s="1"/>
  <c r="S41" i="8" a="1"/>
  <c r="S41" i="8" s="1"/>
  <c r="R41" i="8" a="1"/>
  <c r="R41" i="8" s="1"/>
  <c r="U40" i="8"/>
  <c r="T40" i="8"/>
  <c r="V40" i="8" s="1"/>
  <c r="S40" i="8" a="1"/>
  <c r="S40" i="8" s="1"/>
  <c r="R40" i="8" a="1"/>
  <c r="R40" i="8" s="1"/>
  <c r="U39" i="8"/>
  <c r="T39" i="8"/>
  <c r="V39" i="8" s="1"/>
  <c r="S39" i="8" a="1"/>
  <c r="S39" i="8" s="1"/>
  <c r="R39" i="8" a="1"/>
  <c r="R39" i="8" s="1"/>
  <c r="U38" i="8"/>
  <c r="T38" i="8"/>
  <c r="V38" i="8" s="1"/>
  <c r="S38" i="8" a="1"/>
  <c r="S38" i="8" s="1"/>
  <c r="R38" i="8" a="1"/>
  <c r="R38" i="8" s="1"/>
  <c r="U37" i="8"/>
  <c r="T37" i="8"/>
  <c r="V37" i="8" s="1"/>
  <c r="S37" i="8" a="1"/>
  <c r="S37" i="8" s="1"/>
  <c r="R37" i="8" a="1"/>
  <c r="R37" i="8" s="1"/>
  <c r="U36" i="8"/>
  <c r="T36" i="8"/>
  <c r="V36" i="8" s="1"/>
  <c r="S36" i="8" a="1"/>
  <c r="S36" i="8" s="1"/>
  <c r="R36" i="8" a="1"/>
  <c r="R36" i="8" s="1"/>
  <c r="U35" i="8"/>
  <c r="T35" i="8"/>
  <c r="V35" i="8" s="1"/>
  <c r="S35" i="8" a="1"/>
  <c r="S35" i="8" s="1"/>
  <c r="R35" i="8" a="1"/>
  <c r="R35" i="8" s="1"/>
  <c r="U34" i="8"/>
  <c r="T34" i="8"/>
  <c r="V34" i="8" s="1"/>
  <c r="S34" i="8" a="1"/>
  <c r="S34" i="8" s="1"/>
  <c r="R34" i="8" a="1"/>
  <c r="R34" i="8" s="1"/>
  <c r="U33" i="8"/>
  <c r="T33" i="8"/>
  <c r="V33" i="8" s="1"/>
  <c r="S33" i="8" a="1"/>
  <c r="S33" i="8" s="1"/>
  <c r="R33" i="8" a="1"/>
  <c r="R33" i="8" s="1"/>
  <c r="U32" i="8"/>
  <c r="T32" i="8"/>
  <c r="V32" i="8" s="1"/>
  <c r="S32" i="8" a="1"/>
  <c r="S32" i="8" s="1"/>
  <c r="R32" i="8" a="1"/>
  <c r="R32" i="8" s="1"/>
  <c r="U31" i="8"/>
  <c r="T31" i="8"/>
  <c r="V31" i="8" s="1"/>
  <c r="S31" i="8"/>
  <c r="S31" i="8" a="1"/>
  <c r="R31" i="8" a="1"/>
  <c r="R31" i="8" s="1"/>
  <c r="U30" i="8"/>
  <c r="T30" i="8"/>
  <c r="V30" i="8" s="1"/>
  <c r="S30" i="8" a="1"/>
  <c r="S30" i="8" s="1"/>
  <c r="R30" i="8" a="1"/>
  <c r="R30" i="8" s="1"/>
  <c r="U29" i="8"/>
  <c r="T29" i="8"/>
  <c r="V29" i="8" s="1"/>
  <c r="S29" i="8" a="1"/>
  <c r="S29" i="8" s="1"/>
  <c r="R29" i="8" a="1"/>
  <c r="R29" i="8" s="1"/>
  <c r="U28" i="8"/>
  <c r="T28" i="8"/>
  <c r="V28" i="8" s="1"/>
  <c r="S28" i="8" a="1"/>
  <c r="S28" i="8" s="1"/>
  <c r="R28" i="8" a="1"/>
  <c r="R28" i="8" s="1"/>
  <c r="U27" i="8"/>
  <c r="T27" i="8"/>
  <c r="V27" i="8" s="1"/>
  <c r="S27" i="8" a="1"/>
  <c r="S27" i="8" s="1"/>
  <c r="R27" i="8" a="1"/>
  <c r="R27" i="8" s="1"/>
  <c r="U26" i="8"/>
  <c r="T26" i="8"/>
  <c r="V26" i="8" s="1"/>
  <c r="S26" i="8" a="1"/>
  <c r="S26" i="8" s="1"/>
  <c r="R26" i="8" a="1"/>
  <c r="R26" i="8" s="1"/>
  <c r="U25" i="8"/>
  <c r="T25" i="8"/>
  <c r="V25" i="8" s="1"/>
  <c r="S25" i="8" a="1"/>
  <c r="S25" i="8" s="1"/>
  <c r="R25" i="8" a="1"/>
  <c r="R25" i="8" s="1"/>
  <c r="U24" i="8"/>
  <c r="T24" i="8"/>
  <c r="V24" i="8" s="1"/>
  <c r="S24" i="8" a="1"/>
  <c r="S24" i="8" s="1"/>
  <c r="R24" i="8" a="1"/>
  <c r="R24" i="8" s="1"/>
  <c r="U23" i="8"/>
  <c r="T23" i="8"/>
  <c r="V23" i="8" s="1"/>
  <c r="S23" i="8" a="1"/>
  <c r="S23" i="8" s="1"/>
  <c r="R23" i="8" a="1"/>
  <c r="R23" i="8" s="1"/>
  <c r="U22" i="8"/>
  <c r="T22" i="8"/>
  <c r="V22" i="8" s="1"/>
  <c r="S22" i="8" a="1"/>
  <c r="S22" i="8" s="1"/>
  <c r="R22" i="8" a="1"/>
  <c r="R22" i="8" s="1"/>
  <c r="U21" i="8"/>
  <c r="T21" i="8"/>
  <c r="V21" i="8" s="1"/>
  <c r="S21" i="8" a="1"/>
  <c r="S21" i="8" s="1"/>
  <c r="R21" i="8" a="1"/>
  <c r="R21" i="8" s="1"/>
  <c r="U20" i="8"/>
  <c r="T20" i="8"/>
  <c r="V20" i="8" s="1"/>
  <c r="S20" i="8" a="1"/>
  <c r="S20" i="8" s="1"/>
  <c r="R20" i="8" a="1"/>
  <c r="R20" i="8" s="1"/>
  <c r="U19" i="8"/>
  <c r="T19" i="8"/>
  <c r="V19" i="8" s="1"/>
  <c r="S19" i="8" a="1"/>
  <c r="S19" i="8" s="1"/>
  <c r="R19" i="8" a="1"/>
  <c r="R19" i="8" s="1"/>
  <c r="U18" i="8"/>
  <c r="T18" i="8"/>
  <c r="V18" i="8" s="1"/>
  <c r="S18" i="8" a="1"/>
  <c r="S18" i="8" s="1"/>
  <c r="R18" i="8" a="1"/>
  <c r="R18" i="8" s="1"/>
  <c r="U17" i="8"/>
  <c r="T17" i="8"/>
  <c r="V17" i="8" s="1"/>
  <c r="S17" i="8" a="1"/>
  <c r="S17" i="8" s="1"/>
  <c r="R17" i="8" a="1"/>
  <c r="R17" i="8" s="1"/>
  <c r="U16" i="8"/>
  <c r="T16" i="8"/>
  <c r="V16" i="8" s="1"/>
  <c r="S16" i="8" a="1"/>
  <c r="S16" i="8" s="1"/>
  <c r="R16" i="8" a="1"/>
  <c r="R16" i="8" s="1"/>
  <c r="U15" i="8"/>
  <c r="T15" i="8"/>
  <c r="V15" i="8" s="1"/>
  <c r="S15" i="8" a="1"/>
  <c r="S15" i="8" s="1"/>
  <c r="R15" i="8" a="1"/>
  <c r="R15" i="8" s="1"/>
  <c r="U14" i="8"/>
  <c r="T14" i="8"/>
  <c r="V14" i="8" s="1"/>
  <c r="S14" i="8" a="1"/>
  <c r="S14" i="8" s="1"/>
  <c r="R14" i="8" a="1"/>
  <c r="R14" i="8" s="1"/>
  <c r="U13" i="8"/>
  <c r="T13" i="8"/>
  <c r="V13" i="8" s="1"/>
  <c r="S13" i="8" a="1"/>
  <c r="S13" i="8" s="1"/>
  <c r="R13" i="8" a="1"/>
  <c r="R13" i="8" s="1"/>
  <c r="U12" i="8"/>
  <c r="T12" i="8"/>
  <c r="V12" i="8" s="1"/>
  <c r="S12" i="8" a="1"/>
  <c r="S12" i="8" s="1"/>
  <c r="R12" i="8" a="1"/>
  <c r="R12" i="8" s="1"/>
  <c r="U11" i="8"/>
  <c r="T11" i="8"/>
  <c r="V11" i="8" s="1"/>
  <c r="S11" i="8" a="1"/>
  <c r="S11" i="8" s="1"/>
  <c r="R11" i="8" a="1"/>
  <c r="R11" i="8" s="1"/>
  <c r="U10" i="8"/>
  <c r="T10" i="8"/>
  <c r="V10" i="8" s="1"/>
  <c r="S10" i="8" a="1"/>
  <c r="S10" i="8" s="1"/>
  <c r="R10" i="8" a="1"/>
  <c r="R10" i="8" s="1"/>
  <c r="U9" i="8"/>
  <c r="T9" i="8"/>
  <c r="V9" i="8" s="1"/>
  <c r="S9" i="8" a="1"/>
  <c r="S9" i="8" s="1"/>
  <c r="R9" i="8" a="1"/>
  <c r="R9" i="8" s="1"/>
  <c r="U8" i="8"/>
  <c r="T8" i="8"/>
  <c r="V8" i="8" s="1"/>
  <c r="S8" i="8" a="1"/>
  <c r="S8" i="8" s="1"/>
  <c r="R8" i="8" a="1"/>
  <c r="R8" i="8" s="1"/>
  <c r="U7" i="8"/>
  <c r="T7" i="8"/>
  <c r="V7" i="8" s="1"/>
  <c r="S7" i="8" a="1"/>
  <c r="S7" i="8" s="1"/>
  <c r="R7" i="8" a="1"/>
  <c r="R7" i="8" s="1"/>
  <c r="U6" i="8"/>
  <c r="T6" i="8"/>
  <c r="V6" i="8" s="1"/>
  <c r="S6" i="8" a="1"/>
  <c r="S6" i="8" s="1"/>
  <c r="R6" i="8" a="1"/>
  <c r="R6" i="8" s="1"/>
  <c r="U5" i="8"/>
  <c r="T5" i="8"/>
  <c r="V5" i="8" s="1"/>
  <c r="S5" i="8" a="1"/>
  <c r="S5" i="8" s="1"/>
  <c r="R5" i="8" a="1"/>
  <c r="R5" i="8" s="1"/>
  <c r="U4" i="8"/>
  <c r="T4" i="8"/>
  <c r="V4" i="8" s="1"/>
  <c r="S4" i="8" a="1"/>
  <c r="S4" i="8" s="1"/>
  <c r="R4" i="8" a="1"/>
  <c r="R4" i="8" s="1"/>
  <c r="U3" i="8"/>
  <c r="T3" i="8"/>
  <c r="V3" i="8" s="1"/>
  <c r="S3" i="8" a="1"/>
  <c r="S3" i="8" s="1"/>
  <c r="R3" i="8" a="1"/>
  <c r="R3" i="8" s="1"/>
  <c r="U2" i="8"/>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7" i="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AA26" i="5"/>
  <c r="Z26" i="5"/>
  <c r="Y26" i="5"/>
  <c r="X26" i="5"/>
  <c r="T26" i="5"/>
  <c r="S26" i="5"/>
  <c r="AA25" i="5"/>
  <c r="S25" i="5"/>
  <c r="Z24" i="5"/>
  <c r="Y24" i="5"/>
  <c r="X24" i="5"/>
  <c r="W24" i="5"/>
  <c r="V24" i="5"/>
  <c r="U24" i="5"/>
  <c r="T24" i="5"/>
  <c r="S24" i="5"/>
  <c r="Q24" i="5"/>
  <c r="O24" i="5"/>
  <c r="L24" i="5"/>
  <c r="K24" i="5"/>
  <c r="J24" i="5"/>
  <c r="I24" i="5"/>
  <c r="H24" i="5"/>
  <c r="G24" i="5"/>
  <c r="D24" i="5"/>
  <c r="C24" i="5"/>
  <c r="B24" i="5"/>
  <c r="B3" i="4"/>
  <c r="B57" i="12" l="1"/>
  <c r="C36" i="12"/>
  <c r="C10" i="10"/>
  <c r="C9" i="10"/>
  <c r="B56" i="12"/>
  <c r="C35" i="12"/>
  <c r="C8" i="10"/>
  <c r="C34" i="12"/>
  <c r="B55" i="12"/>
  <c r="C7" i="10"/>
  <c r="C33" i="12"/>
  <c r="B9" i="12"/>
  <c r="C9" i="11"/>
  <c r="E9" i="11" s="1"/>
  <c r="E11" i="11"/>
  <c r="B21" i="12"/>
  <c r="B37" i="12"/>
  <c r="D3" i="12"/>
  <c r="F3" i="12" s="1" a="1"/>
  <c r="F3" i="12" s="1"/>
  <c r="E20" i="12"/>
  <c r="D20" i="12"/>
  <c r="F20" i="12" s="1" a="1"/>
  <c r="F20" i="12" s="1"/>
  <c r="D19" i="12"/>
  <c r="F19" i="12" s="1" a="1"/>
  <c r="F19" i="12" s="1"/>
  <c r="E19" i="12"/>
  <c r="E18" i="12"/>
  <c r="D18" i="12"/>
  <c r="F18" i="12" s="1" a="1"/>
  <c r="F18" i="12" s="1"/>
  <c r="E7" i="12"/>
  <c r="D7" i="12"/>
  <c r="F7" i="12" s="1" a="1"/>
  <c r="F7" i="12" s="1"/>
  <c r="D5" i="12"/>
  <c r="F5" i="12" s="1" a="1"/>
  <c r="F5" i="12" s="1"/>
  <c r="C8" i="12"/>
  <c r="D14" i="11" s="1"/>
  <c r="E14" i="11" s="1"/>
  <c r="E5" i="12"/>
  <c r="E3" i="12"/>
  <c r="C9" i="12"/>
  <c r="D15" i="11" s="1"/>
  <c r="B10" i="12"/>
  <c r="B14" i="12"/>
  <c r="B15" i="12" s="1"/>
  <c r="E9" i="12"/>
  <c r="D9" i="12"/>
  <c r="F9" i="12" s="1" a="1"/>
  <c r="F9" i="12" s="1"/>
  <c r="E8" i="12"/>
  <c r="D8" i="12"/>
  <c r="F8" i="12" s="1" a="1"/>
  <c r="F8" i="12" s="1"/>
  <c r="B6" i="10"/>
  <c r="B62" i="9"/>
  <c r="B64" i="9"/>
  <c r="B9" i="10"/>
  <c r="B63" i="9"/>
  <c r="B8" i="10"/>
  <c r="B47" i="9"/>
  <c r="B11" i="10"/>
  <c r="B14" i="9"/>
  <c r="C8" i="11"/>
  <c r="B4" i="10"/>
  <c r="E19" i="9"/>
  <c r="D19" i="9"/>
  <c r="F19" i="9" s="1" a="1"/>
  <c r="F19" i="9" s="1"/>
  <c r="E20" i="9"/>
  <c r="D20" i="9"/>
  <c r="F20" i="9" s="1" a="1"/>
  <c r="F20" i="9" s="1"/>
  <c r="D18" i="9"/>
  <c r="F18" i="9" s="1" a="1"/>
  <c r="F18" i="9" s="1"/>
  <c r="E18" i="9"/>
  <c r="B21" i="9"/>
  <c r="B15" i="9"/>
  <c r="B10" i="9"/>
  <c r="D7" i="9"/>
  <c r="F7" i="9" s="1" a="1"/>
  <c r="F7" i="9" s="1"/>
  <c r="D5" i="9"/>
  <c r="D4" i="9"/>
  <c r="D3" i="9"/>
  <c r="C8" i="9"/>
  <c r="D7" i="11" s="1"/>
  <c r="U25" i="5"/>
  <c r="V25" i="5"/>
  <c r="T25" i="5"/>
  <c r="I11" i="1"/>
  <c r="G26" i="4"/>
  <c r="I10" i="1"/>
  <c r="I9" i="1"/>
  <c r="H9" i="1"/>
  <c r="G23" i="4"/>
  <c r="H11" i="1"/>
  <c r="G11" i="1"/>
  <c r="G10" i="1"/>
  <c r="G9" i="1"/>
  <c r="F11" i="1"/>
  <c r="F10" i="1"/>
  <c r="E10" i="1"/>
  <c r="G13" i="4"/>
  <c r="E9" i="1"/>
  <c r="D9" i="1"/>
  <c r="G8" i="4"/>
  <c r="C9" i="1"/>
  <c r="B9" i="1"/>
  <c r="B11" i="1"/>
  <c r="B10" i="1"/>
  <c r="G4" i="4"/>
  <c r="G10" i="4"/>
  <c r="D10" i="1"/>
  <c r="H10" i="1"/>
  <c r="G20" i="4"/>
  <c r="B38" i="1"/>
  <c r="B37" i="1"/>
  <c r="E11" i="1"/>
  <c r="C11" i="1"/>
  <c r="F8" i="1"/>
  <c r="G11" i="4"/>
  <c r="D11" i="1"/>
  <c r="G22" i="4"/>
  <c r="G5" i="4"/>
  <c r="Y25" i="5"/>
  <c r="W26" i="5"/>
  <c r="Z25" i="5"/>
  <c r="X25" i="5"/>
  <c r="W25" i="5"/>
  <c r="G19" i="4"/>
  <c r="G17" i="4"/>
  <c r="F33" i="6"/>
  <c r="G14" i="4"/>
  <c r="G7" i="4"/>
  <c r="V26" i="5"/>
  <c r="U26" i="5"/>
  <c r="G25" i="4"/>
  <c r="F32" i="6"/>
  <c r="F31" i="6"/>
  <c r="F30" i="6"/>
  <c r="G27" i="4"/>
  <c r="R26" i="5"/>
  <c r="AA30" i="5"/>
  <c r="Q26" i="5"/>
  <c r="Z30" i="5"/>
  <c r="P26" i="5"/>
  <c r="Y30" i="5"/>
  <c r="O26" i="5"/>
  <c r="X30" i="5"/>
  <c r="W30" i="5"/>
  <c r="N26" i="5"/>
  <c r="V30" i="5"/>
  <c r="M26" i="5"/>
  <c r="L26" i="5"/>
  <c r="U30" i="5"/>
  <c r="T30" i="5"/>
  <c r="K26" i="5"/>
  <c r="J26" i="5"/>
  <c r="S30" i="5"/>
  <c r="I26" i="5"/>
  <c r="R30" i="5"/>
  <c r="Q30" i="5"/>
  <c r="H26" i="5"/>
  <c r="G26" i="5"/>
  <c r="P30" i="5"/>
  <c r="F26" i="5"/>
  <c r="O30" i="5"/>
  <c r="E26" i="5"/>
  <c r="N30" i="5"/>
  <c r="F30" i="5"/>
  <c r="H30" i="5"/>
  <c r="L30" i="5"/>
  <c r="M30" i="5"/>
  <c r="B26" i="5"/>
  <c r="D30" i="5"/>
  <c r="C30" i="5"/>
  <c r="D26" i="5"/>
  <c r="C26" i="5"/>
  <c r="J30" i="5"/>
  <c r="K30" i="5"/>
  <c r="I30" i="5"/>
  <c r="G30" i="5"/>
  <c r="E30" i="5"/>
  <c r="B30" i="5"/>
  <c r="AA29" i="5"/>
  <c r="R25" i="5"/>
  <c r="Z29" i="5"/>
  <c r="Q25" i="5"/>
  <c r="P25" i="5"/>
  <c r="Y29" i="5"/>
  <c r="X29" i="5"/>
  <c r="O25" i="5"/>
  <c r="N25" i="5"/>
  <c r="W29" i="5"/>
  <c r="M25" i="5"/>
  <c r="V29" i="5"/>
  <c r="U29" i="5"/>
  <c r="L25" i="5"/>
  <c r="T29" i="5"/>
  <c r="K25" i="5"/>
  <c r="S29" i="5"/>
  <c r="J25" i="5"/>
  <c r="I25" i="5"/>
  <c r="R29" i="5"/>
  <c r="Q29" i="5"/>
  <c r="H25" i="5"/>
  <c r="G25" i="5"/>
  <c r="P29" i="5"/>
  <c r="O29" i="5"/>
  <c r="F25" i="5"/>
  <c r="N29" i="5"/>
  <c r="E25" i="5"/>
  <c r="D29" i="5"/>
  <c r="D25" i="5"/>
  <c r="F29" i="5"/>
  <c r="E29" i="5"/>
  <c r="C29" i="5"/>
  <c r="J29" i="5"/>
  <c r="H29" i="5"/>
  <c r="I29" i="5"/>
  <c r="B29" i="5"/>
  <c r="B25" i="5"/>
  <c r="G29" i="5"/>
  <c r="M29" i="5"/>
  <c r="L29" i="5"/>
  <c r="K29" i="5"/>
  <c r="C25" i="5"/>
  <c r="G24" i="4"/>
  <c r="I8" i="1"/>
  <c r="G21" i="4"/>
  <c r="H8" i="1"/>
  <c r="G18" i="4"/>
  <c r="G8" i="1"/>
  <c r="G12" i="4"/>
  <c r="E8" i="1"/>
  <c r="G9" i="4"/>
  <c r="D8" i="1"/>
  <c r="G6" i="4"/>
  <c r="C8" i="1"/>
  <c r="G3" i="4"/>
  <c r="H3" i="4" s="1"/>
  <c r="B4" i="4" s="1"/>
  <c r="B8" i="1"/>
  <c r="F29" i="6"/>
  <c r="F28" i="6"/>
  <c r="G28" i="4"/>
  <c r="G16" i="4"/>
  <c r="G15" i="4"/>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C4" i="10" l="1"/>
  <c r="C54" i="12"/>
  <c r="B32" i="12"/>
  <c r="C15" i="11"/>
  <c r="E15" i="11" s="1"/>
  <c r="E21" i="12"/>
  <c r="D21" i="12"/>
  <c r="F21" i="12" s="1" a="1"/>
  <c r="F21" i="12" s="1"/>
  <c r="C37" i="12"/>
  <c r="B40" i="12"/>
  <c r="C11" i="10"/>
  <c r="C58" i="12"/>
  <c r="B38" i="12"/>
  <c r="C14" i="12"/>
  <c r="C10" i="12"/>
  <c r="B16" i="12"/>
  <c r="B66" i="9"/>
  <c r="B12" i="10"/>
  <c r="F5" i="9" a="1"/>
  <c r="F5" i="9" s="1"/>
  <c r="E4" i="11"/>
  <c r="F4" i="9" a="1"/>
  <c r="F4" i="9" s="1"/>
  <c r="E3" i="11"/>
  <c r="F3" i="9" a="1"/>
  <c r="F3" i="9" s="1"/>
  <c r="E2" i="11"/>
  <c r="D21" i="9"/>
  <c r="F21" i="9" s="1" a="1"/>
  <c r="F21" i="9" s="1"/>
  <c r="E21" i="9"/>
  <c r="B16" i="9"/>
  <c r="C9" i="9"/>
  <c r="E8" i="9"/>
  <c r="D8" i="9"/>
  <c r="H4" i="4"/>
  <c r="B5" i="4" s="1"/>
  <c r="H5" i="4" s="1"/>
  <c r="B24" i="6"/>
  <c r="B23" i="6"/>
  <c r="B58" i="6"/>
  <c r="B59" i="6"/>
  <c r="B57" i="6"/>
  <c r="B96" i="6"/>
  <c r="B95" i="6"/>
  <c r="AA21" i="5"/>
  <c r="R21" i="5"/>
  <c r="L21" i="5"/>
  <c r="H21" i="5"/>
  <c r="C32" i="12" l="1"/>
  <c r="C6" i="10"/>
  <c r="B54" i="12"/>
  <c r="B58" i="12"/>
  <c r="C38" i="12"/>
  <c r="C12" i="10"/>
  <c r="D14" i="12"/>
  <c r="F14" i="12" s="1" a="1"/>
  <c r="F14" i="12" s="1"/>
  <c r="E14" i="12"/>
  <c r="C15" i="12"/>
  <c r="C16" i="12" s="1"/>
  <c r="D10" i="12"/>
  <c r="F10" i="12" s="1" a="1"/>
  <c r="F10" i="12" s="1"/>
  <c r="E10" i="12"/>
  <c r="B22" i="12"/>
  <c r="C14" i="9"/>
  <c r="C15" i="9" s="1"/>
  <c r="C16" i="9" s="1"/>
  <c r="D8" i="11"/>
  <c r="F8" i="9" a="1"/>
  <c r="F8" i="9" s="1"/>
  <c r="E7" i="11"/>
  <c r="D14" i="9"/>
  <c r="F14" i="9" s="1" a="1"/>
  <c r="F14" i="9" s="1"/>
  <c r="E14" i="9"/>
  <c r="B22" i="9"/>
  <c r="D9" i="9"/>
  <c r="E9" i="9"/>
  <c r="C10" i="9"/>
  <c r="Y21" i="5"/>
  <c r="X21" i="5"/>
  <c r="H18" i="1"/>
  <c r="U21" i="5"/>
  <c r="W27" i="5" s="1"/>
  <c r="G18" i="1"/>
  <c r="H17" i="1"/>
  <c r="O21" i="5"/>
  <c r="N21" i="5"/>
  <c r="K21" i="5"/>
  <c r="C18" i="1"/>
  <c r="E21" i="5"/>
  <c r="B18" i="1"/>
  <c r="B6" i="4"/>
  <c r="H6" i="4" s="1"/>
  <c r="B7" i="4" s="1"/>
  <c r="H7" i="4" s="1"/>
  <c r="B8" i="4" s="1"/>
  <c r="H8" i="4" s="1"/>
  <c r="B13" i="1"/>
  <c r="I18" i="1"/>
  <c r="E18" i="1"/>
  <c r="F18" i="1"/>
  <c r="D18" i="1"/>
  <c r="I21" i="5"/>
  <c r="F21" i="5"/>
  <c r="Z21" i="5"/>
  <c r="I20" i="1"/>
  <c r="B8" i="2" s="1"/>
  <c r="W21" i="5"/>
  <c r="H20" i="1"/>
  <c r="V21" i="5"/>
  <c r="T21" i="5"/>
  <c r="G20" i="1"/>
  <c r="G17" i="1"/>
  <c r="Q21" i="5"/>
  <c r="F20" i="1"/>
  <c r="F17" i="1"/>
  <c r="M21" i="5"/>
  <c r="E20" i="1"/>
  <c r="E17" i="1"/>
  <c r="J21" i="5"/>
  <c r="L27" i="5" s="1"/>
  <c r="D20" i="1"/>
  <c r="D17" i="1"/>
  <c r="G21" i="5"/>
  <c r="C20" i="1"/>
  <c r="C17" i="1"/>
  <c r="D21" i="5"/>
  <c r="B20" i="1"/>
  <c r="B17" i="1"/>
  <c r="B93" i="6"/>
  <c r="B94" i="6"/>
  <c r="B19" i="1"/>
  <c r="C18" i="5"/>
  <c r="S21" i="5"/>
  <c r="P21" i="5"/>
  <c r="C21" i="5"/>
  <c r="C22" i="12" l="1"/>
  <c r="C23" i="12" s="1"/>
  <c r="C17" i="12"/>
  <c r="E15" i="12"/>
  <c r="D15" i="12"/>
  <c r="F15" i="12" s="1" a="1"/>
  <c r="F15" i="12" s="1"/>
  <c r="D16" i="12"/>
  <c r="F16" i="12" s="1" a="1"/>
  <c r="F16" i="12" s="1"/>
  <c r="E16" i="12"/>
  <c r="E22" i="12"/>
  <c r="B23" i="12"/>
  <c r="D22" i="12"/>
  <c r="F22" i="12" s="1" a="1"/>
  <c r="F22" i="12" s="1"/>
  <c r="F9" i="9" a="1"/>
  <c r="F9" i="9" s="1"/>
  <c r="E8" i="11"/>
  <c r="C22" i="9"/>
  <c r="E22" i="9" s="1"/>
  <c r="C17" i="9"/>
  <c r="E17" i="9" s="1"/>
  <c r="E15" i="9"/>
  <c r="D15" i="9"/>
  <c r="F15" i="9" s="1" a="1"/>
  <c r="F15" i="9" s="1"/>
  <c r="D16" i="9"/>
  <c r="F16" i="9" s="1" a="1"/>
  <c r="F16" i="9" s="1"/>
  <c r="E16" i="9"/>
  <c r="B23" i="9"/>
  <c r="E10" i="9"/>
  <c r="D10" i="9"/>
  <c r="F10" i="9" s="1" a="1"/>
  <c r="F10" i="9" s="1"/>
  <c r="X27" i="5"/>
  <c r="Y27" i="5"/>
  <c r="V27" i="5"/>
  <c r="C13" i="1"/>
  <c r="B9" i="4"/>
  <c r="H9" i="4" s="1"/>
  <c r="B10" i="4" s="1"/>
  <c r="H10" i="4" s="1"/>
  <c r="B11" i="4" s="1"/>
  <c r="H11" i="4" s="1"/>
  <c r="B24" i="1"/>
  <c r="B12" i="1"/>
  <c r="C7" i="1"/>
  <c r="O27" i="5"/>
  <c r="N27" i="5"/>
  <c r="M27" i="5"/>
  <c r="F27" i="5"/>
  <c r="K27" i="5"/>
  <c r="J27" i="5"/>
  <c r="I27" i="5"/>
  <c r="H27" i="5"/>
  <c r="G27" i="5"/>
  <c r="O31" i="5"/>
  <c r="AA27" i="5"/>
  <c r="Z27" i="5"/>
  <c r="B25" i="1"/>
  <c r="H39" i="1"/>
  <c r="H40" i="1"/>
  <c r="G39" i="1"/>
  <c r="G40" i="1"/>
  <c r="F40" i="1"/>
  <c r="F39" i="1"/>
  <c r="E39" i="1"/>
  <c r="E40" i="1"/>
  <c r="D39" i="1"/>
  <c r="D40" i="1"/>
  <c r="C39" i="1"/>
  <c r="C40" i="1"/>
  <c r="B39" i="1"/>
  <c r="B40" i="1"/>
  <c r="D18" i="5"/>
  <c r="S27" i="5"/>
  <c r="T27" i="5"/>
  <c r="U27" i="5"/>
  <c r="R27" i="5"/>
  <c r="AA31" i="5"/>
  <c r="N31" i="5"/>
  <c r="E27" i="5"/>
  <c r="J31" i="5"/>
  <c r="E31" i="5"/>
  <c r="G31" i="5"/>
  <c r="K31" i="5"/>
  <c r="M31" i="5"/>
  <c r="D31" i="5"/>
  <c r="H31" i="5"/>
  <c r="C31" i="5"/>
  <c r="F31" i="5"/>
  <c r="I31" i="5"/>
  <c r="L31" i="5"/>
  <c r="D27" i="5"/>
  <c r="C27" i="5"/>
  <c r="U31" i="5"/>
  <c r="T31" i="5"/>
  <c r="R31" i="5"/>
  <c r="Q31" i="5"/>
  <c r="P31" i="5"/>
  <c r="Z31" i="5"/>
  <c r="Q27" i="5"/>
  <c r="Y31" i="5"/>
  <c r="P27" i="5"/>
  <c r="X31" i="5"/>
  <c r="W31" i="5"/>
  <c r="V31" i="5"/>
  <c r="S31" i="5"/>
  <c r="D17" i="12" l="1"/>
  <c r="F17" i="12" s="1" a="1"/>
  <c r="F17" i="12" s="1"/>
  <c r="E17" i="12"/>
  <c r="D23" i="12"/>
  <c r="F23" i="12" s="1" a="1"/>
  <c r="F23" i="12" s="1"/>
  <c r="E23" i="12"/>
  <c r="C23" i="9"/>
  <c r="D22" i="9"/>
  <c r="F22" i="9" s="1" a="1"/>
  <c r="F22" i="9" s="1"/>
  <c r="C24" i="1"/>
  <c r="C25" i="1" s="1"/>
  <c r="C26" i="1" s="1"/>
  <c r="C12" i="1"/>
  <c r="D7" i="1"/>
  <c r="D13" i="1"/>
  <c r="B12" i="4"/>
  <c r="H12" i="4" s="1"/>
  <c r="B13" i="4" s="1"/>
  <c r="H13" i="4" s="1"/>
  <c r="B14" i="4" s="1"/>
  <c r="H14" i="4" s="1"/>
  <c r="C37" i="1"/>
  <c r="C38" i="1"/>
  <c r="B32" i="1"/>
  <c r="B33" i="1" s="1"/>
  <c r="E18" i="5"/>
  <c r="D23" i="9" l="1"/>
  <c r="F23" i="9" s="1" a="1"/>
  <c r="F23" i="9" s="1"/>
  <c r="E23" i="9"/>
  <c r="D37" i="1"/>
  <c r="D38" i="1"/>
  <c r="D12" i="1"/>
  <c r="D24" i="1"/>
  <c r="D25" i="1" s="1"/>
  <c r="D26" i="1" s="1"/>
  <c r="E7" i="1"/>
  <c r="E13" i="1"/>
  <c r="B15" i="4"/>
  <c r="H15" i="4" s="1"/>
  <c r="B16" i="4" s="1"/>
  <c r="H16" i="4" s="1"/>
  <c r="B17" i="4" s="1"/>
  <c r="H17" i="4" s="1"/>
  <c r="C32" i="1"/>
  <c r="C33" i="1" s="1"/>
  <c r="C27" i="1"/>
  <c r="C19" i="1"/>
  <c r="F18" i="5"/>
  <c r="E37" i="1" l="1"/>
  <c r="E38" i="1"/>
  <c r="F7" i="1"/>
  <c r="E12" i="1"/>
  <c r="E24" i="1"/>
  <c r="E25" i="1" s="1"/>
  <c r="E26" i="1" s="1"/>
  <c r="F13" i="1"/>
  <c r="B18" i="4"/>
  <c r="H18" i="4" s="1"/>
  <c r="B19" i="4" s="1"/>
  <c r="H19" i="4" s="1"/>
  <c r="B20" i="4" s="1"/>
  <c r="H20" i="4" s="1"/>
  <c r="D32" i="1"/>
  <c r="D33" i="1" s="1"/>
  <c r="D27" i="1"/>
  <c r="G18" i="5"/>
  <c r="F37" i="1" l="1"/>
  <c r="F38" i="1"/>
  <c r="F12" i="1"/>
  <c r="F24" i="1"/>
  <c r="F25" i="1" s="1"/>
  <c r="F26" i="1" s="1"/>
  <c r="G7" i="1"/>
  <c r="B21" i="4"/>
  <c r="H21" i="4" s="1"/>
  <c r="B22" i="4" s="1"/>
  <c r="H22" i="4" s="1"/>
  <c r="B23" i="4" s="1"/>
  <c r="H23" i="4" s="1"/>
  <c r="G13" i="1"/>
  <c r="E32" i="1"/>
  <c r="E33" i="1" s="1"/>
  <c r="E27" i="1"/>
  <c r="H18" i="5"/>
  <c r="H13" i="1" l="1"/>
  <c r="B24" i="4"/>
  <c r="H24" i="4" s="1"/>
  <c r="B25" i="4" s="1"/>
  <c r="H25" i="4" s="1"/>
  <c r="B26" i="4" s="1"/>
  <c r="H26" i="4" s="1"/>
  <c r="B27" i="4" s="1"/>
  <c r="H27" i="4" s="1"/>
  <c r="B28" i="4" s="1"/>
  <c r="H28" i="4" s="1"/>
  <c r="B30" i="4" s="1"/>
  <c r="B32" i="4" s="1"/>
  <c r="G37" i="1"/>
  <c r="G38" i="1"/>
  <c r="H7" i="1"/>
  <c r="G24" i="1"/>
  <c r="G25" i="1" s="1"/>
  <c r="G26" i="1" s="1"/>
  <c r="G12" i="1"/>
  <c r="F32" i="1"/>
  <c r="F33" i="1" s="1"/>
  <c r="F27" i="1"/>
  <c r="D19" i="1"/>
  <c r="I18" i="5"/>
  <c r="H37" i="1" l="1"/>
  <c r="H38" i="1"/>
  <c r="I7" i="1"/>
  <c r="I38" i="1" s="1"/>
  <c r="H24" i="1"/>
  <c r="H25" i="1" s="1"/>
  <c r="H26" i="1" s="1"/>
  <c r="H12" i="1"/>
  <c r="G32" i="1"/>
  <c r="G33" i="1" s="1"/>
  <c r="G27" i="1"/>
  <c r="I24" i="1"/>
  <c r="B44" i="1"/>
  <c r="J18" i="5"/>
  <c r="I12" i="1" l="1"/>
  <c r="I37" i="1"/>
  <c r="B46" i="1"/>
  <c r="B6" i="2"/>
  <c r="B7" i="3" s="1"/>
  <c r="H32" i="1"/>
  <c r="H33" i="1" s="1"/>
  <c r="H27" i="1"/>
  <c r="I25" i="1"/>
  <c r="I26" i="1" s="1"/>
  <c r="K18" i="5"/>
  <c r="G7" i="3" l="1"/>
  <c r="B10" i="3"/>
  <c r="B9" i="3"/>
  <c r="I32" i="1"/>
  <c r="I33" i="1" s="1"/>
  <c r="I27" i="1"/>
  <c r="E19" i="1"/>
  <c r="L18" i="5"/>
  <c r="B11" i="3" l="1"/>
  <c r="B12" i="3" s="1"/>
  <c r="M18" i="5"/>
  <c r="C45" i="3" l="1"/>
  <c r="D45" i="3" s="1"/>
  <c r="C7" i="3"/>
  <c r="B13" i="3"/>
  <c r="N18" i="5"/>
  <c r="C10" i="3" l="1"/>
  <c r="C9" i="3"/>
  <c r="B21" i="3"/>
  <c r="B22" i="3" s="1"/>
  <c r="O18" i="5"/>
  <c r="C11" i="3" l="1"/>
  <c r="C12" i="3" s="1"/>
  <c r="B30" i="3"/>
  <c r="B23" i="3"/>
  <c r="F19" i="1"/>
  <c r="P18" i="5"/>
  <c r="C46" i="3" l="1"/>
  <c r="D46" i="3" s="1"/>
  <c r="C20" i="3"/>
  <c r="C13" i="3"/>
  <c r="D7" i="3"/>
  <c r="B31" i="3"/>
  <c r="Q18" i="5"/>
  <c r="C21" i="3" l="1"/>
  <c r="D9" i="3"/>
  <c r="D10" i="3"/>
  <c r="R18" i="5"/>
  <c r="C22" i="3" l="1"/>
  <c r="D11" i="3"/>
  <c r="D12" i="3" s="1"/>
  <c r="G19" i="1"/>
  <c r="S18" i="5"/>
  <c r="C30" i="3" l="1"/>
  <c r="C23" i="3"/>
  <c r="D20" i="3"/>
  <c r="C47" i="3"/>
  <c r="D47" i="3" s="1"/>
  <c r="E7" i="3"/>
  <c r="D13" i="3"/>
  <c r="T18" i="5"/>
  <c r="C31" i="3" l="1"/>
  <c r="D21" i="3"/>
  <c r="E9" i="3"/>
  <c r="E10" i="3"/>
  <c r="G10" i="3" s="1"/>
  <c r="U18" i="5"/>
  <c r="D22" i="3" l="1"/>
  <c r="G9" i="3"/>
  <c r="G11" i="3" s="1"/>
  <c r="E11" i="3"/>
  <c r="E12" i="3" s="1"/>
  <c r="H19" i="1"/>
  <c r="V18" i="5"/>
  <c r="D30" i="3" l="1"/>
  <c r="D23" i="3"/>
  <c r="B40" i="3"/>
  <c r="C54" i="3" s="1"/>
  <c r="D54" i="3" s="1"/>
  <c r="B34" i="3"/>
  <c r="B35" i="3" s="1"/>
  <c r="C48" i="3"/>
  <c r="D48" i="3" s="1"/>
  <c r="E13" i="3"/>
  <c r="G12" i="3"/>
  <c r="G13" i="3" s="1"/>
  <c r="B37" i="3"/>
  <c r="E20" i="3"/>
  <c r="W18" i="5"/>
  <c r="D31" i="3" l="1"/>
  <c r="G20" i="3"/>
  <c r="E21" i="3"/>
  <c r="X18" i="5"/>
  <c r="B36" i="3" l="1"/>
  <c r="C49" i="3"/>
  <c r="D49" i="3" s="1"/>
  <c r="G21" i="3"/>
  <c r="E22" i="3"/>
  <c r="I19" i="1"/>
  <c r="B7" i="2" s="1"/>
  <c r="Y18" i="5"/>
  <c r="E23" i="3" l="1"/>
  <c r="E30" i="3"/>
  <c r="G22" i="3"/>
  <c r="G23" i="3" s="1"/>
  <c r="AA18" i="5"/>
  <c r="Z18" i="5"/>
  <c r="G30" i="3" l="1"/>
  <c r="E31" i="3"/>
  <c r="G31" i="3" l="1"/>
  <c r="C51" i="3" s="1"/>
  <c r="D51" i="3" s="1"/>
  <c r="C50" i="3"/>
  <c r="D5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tc={DABA5F44-B889-496F-A0C1-7D24F3B228AF}</author>
  </authors>
  <commentList>
    <comment ref="D5" authorId="0" shapeId="0" xr:uid="{DABA5F44-B889-496F-A0C1-7D24F3B228AF}">
      <text>
        <t>[Threaded comment]
Your version of Excel allows you to read this threaded comment; however, any edits to it will get removed if the file is opened in a newer version of Excel. Learn more: https://go.microsoft.com/fwlink/?linkid=870924
Comment:
    The Jan 2026 A vs F file does not include Contraction MRR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<sst xmlns="http://schemas.openxmlformats.org/spreadsheetml/2006/main" count="1570" uniqueCount="674">
  <si>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</si>
  <si>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</si>
  <si>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</si>
  <si>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</si>
  <si>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</si>
  <si>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</si>
  <si>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</si>
  <si>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</si>
  <si>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</si>
  <si>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</si>
  <si>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</si>
  <si>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</si>
  <si>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</si>
  <si>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</si>
  <si>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</si>
  <si>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</si>
  <si>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</si>
  <si>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</si>
  <si>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</si>
  <si>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</si>
  <si>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</si>
  <si>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</si>
  <si>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</si>
  <si>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</si>
  <si>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</si>
  <si>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</si>
  <si>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</si>
  <si>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</si>
  <si>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</si>
  <si>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</si>
  <si>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</si>
  <si>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</si>
  <si>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</si>
  <si>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</si>
  <si>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</si>
  <si>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</si>
  <si>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</si>
  <si>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</si>
  <si>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</si>
  <si>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</si>
  <si>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</si>
  <si>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</si>
  <si>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</si>
  <si>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</si>
  <si>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</si>
  <si>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</si>
  <si>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</si>
  <si>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</si>
  <si>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</si>
  <si>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</si>
  <si>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</si>
  <si>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</si>
  <si>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</si>
  <si>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</si>
  <si>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</si>
  <si>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</si>
  <si>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</si>
  <si>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</si>
  <si>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</si>
  <si>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</si>
  <si>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</si>
  <si>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</si>
  <si>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</si>
  <si>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</si>
  <si>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</si>
  <si>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</si>
  <si>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</si>
  <si>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</si>
  <si>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</si>
  <si>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</si>
  <si>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</si>
  <si>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</si>
  <si>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</si>
  <si>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</si>
  <si>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</si>
  <si>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</si>
  <si>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</si>
  <si>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</si>
  <si>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</si>
  <si>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</si>
  <si>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</si>
  <si>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</si>
  <si>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</si>
  <si>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</si>
  <si>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</si>
  <si>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</si>
  <si>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</si>
  <si>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</si>
  <si>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</si>
  <si>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</si>
  <si>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</si>
  <si>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</si>
  <si>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</si>
  <si>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</si>
  <si>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</si>
  <si>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</si>
  <si>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</si>
  <si>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</si>
  <si>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</si>
  <si>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</si>
  <si>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</si>
  <si>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</si>
  <si>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</si>
  <si>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</si>
  <si>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</si>
  <si>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</si>
  <si>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</si>
  <si>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</si>
  <si>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</si>
  <si>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</si>
  <si>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</si>
  <si>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</si>
  <si>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</si>
  <si>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</si>
  <si>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</si>
  <si>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</si>
  <si>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</si>
  <si>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</si>
  <si>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</si>
  <si>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</si>
  <si>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</si>
  <si>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</si>
  <si>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</si>
  <si>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</si>
  <si>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</si>
  <si>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</si>
  <si>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</si>
  <si>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</si>
  <si>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</si>
  <si>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</si>
  <si>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</si>
  <si>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</si>
  <si>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</si>
  <si>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</si>
  <si>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</si>
  <si>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</si>
  <si>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</si>
  <si>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</si>
  <si>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</si>
  <si>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</si>
  <si>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</si>
  <si>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</si>
  <si>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</si>
  <si>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</si>
  <si>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</si>
  <si>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</si>
  <si>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</si>
  <si>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</si>
  <si>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</si>
  <si>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</si>
  <si>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</si>
  <si>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</si>
  <si>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</si>
  <si>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</si>
  <si>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</si>
  <si>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</si>
  <si>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</si>
  <si>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</si>
  <si>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</si>
  <si>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</si>
  <si>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</si>
  <si>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</si>
  <si>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</si>
  <si>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</si>
  <si>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</si>
  <si>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</si>
  <si>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</si>
  <si>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</si>
  <si>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</si>
  <si>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</si>
  <si>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</si>
  <si>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</si>
  <si>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</si>
  <si>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</si>
  <si>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</si>
  <si>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</si>
  <si>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</si>
  <si>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</si>
  <si>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</si>
  <si>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</si>
  <si>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</si>
  <si>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</si>
  <si>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</si>
  <si>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</si>
  <si>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</si>
  <si>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</si>
  <si>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</si>
  <si>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</si>
  <si>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</si>
  <si>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</si>
  <si>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</si>
  <si>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</si>
  <si>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</si>
  <si>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</si>
  <si>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</si>
  <si>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</si>
  <si>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</si>
  <si>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</si>
  <si>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</si>
  <si>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</si>
  <si>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</si>
  <si>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</si>
  <si>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</si>
  <si>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</si>
  <si>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</si>
  <si>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</si>
  <si>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</si>
  <si>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</si>
  <si>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</si>
  <si>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</si>
  <si>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</si>
  <si>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</si>
  <si>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</si>
  <si>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</si>
  <si>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</si>
  <si>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</si>
  <si>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</si>
  <si>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</si>
  <si>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</si>
  <si>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</si>
  <si>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</si>
  <si>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</si>
  <si>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</si>
  <si>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</si>
  <si>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</si>
  <si>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</si>
  <si>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</si>
  <si>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</si>
  <si>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</si>
  <si>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</si>
  <si>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</si>
  <si>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</si>
  <si>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</si>
  <si>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</si>
  <si>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</si>
  <si>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</si>
  <si>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</si>
  <si>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</si>
  <si>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</si>
  <si>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</si>
  <si>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</si>
  <si>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</si>
  <si>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</si>
  <si>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</si>
  <si>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</si>
  <si>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</si>
  <si>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</si>
  <si>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</si>
  <si>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</si>
  <si>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</si>
  <si>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</si>
  <si>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</si>
  <si>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</si>
  <si>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</si>
  <si>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</si>
  <si>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</si>
  <si>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</si>
  <si>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</si>
  <si>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</si>
  <si>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</si>
  <si>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</si>
  <si>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</si>
  <si>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</si>
  <si>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</si>
  <si>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</si>
  <si>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</si>
  <si>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</si>
  <si>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</si>
  <si>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</si>
  <si>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</si>
  <si>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</si>
  <si>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</si>
  <si>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</si>
  <si>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</si>
  <si>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</si>
  <si>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</si>
  <si>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</si>
  <si>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</si>
  <si>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</si>
  <si>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</si>
  <si>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</si>
  <si>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</si>
  <si>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</si>
  <si>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</si>
  <si>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</si>
  <si>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</si>
  <si>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</si>
  <si>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</si>
  <si>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</si>
  <si>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</si>
  <si>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</si>
  <si>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</si>
  <si>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</si>
  <si>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</si>
  <si>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</si>
  <si>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</si>
  <si>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</si>
  <si>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</si>
  <si>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</si>
  <si>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</si>
  <si>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</si>
  <si>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</si>
  <si>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</si>
  <si>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</si>
  <si>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</si>
  <si>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</si>
  <si>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</si>
  <si>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</si>
  <si>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</si>
  <si>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</si>
  <si>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</si>
  <si>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</si>
  <si>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</si>
  <si>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</si>
  <si>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</si>
  <si>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</si>
  <si>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</si>
  <si>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</si>
  <si>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</si>
  <si>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</si>
  <si>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</si>
  <si>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</si>
  <si>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</si>
  <si>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</si>
  <si>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</si>
  <si>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</si>
  <si>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</si>
  <si>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</si>
  <si>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</si>
  <si>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</si>
  <si>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</si>
  <si>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</si>
  <si>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</si>
  <si>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</si>
  <si>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</si>
  <si>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</si>
  <si>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</si>
  <si>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</si>
  <si>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</si>
  <si>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</si>
  <si>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</si>
  <si>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</si>
  <si>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</si>
  <si>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</si>
  <si>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</si>
  <si>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</si>
  <si>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</si>
  <si>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</si>
  <si>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</si>
  <si>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</si>
  <si>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</si>
  <si>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</si>
  <si>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</si>
  <si>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</si>
  <si>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</si>
  <si>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</si>
  <si>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</si>
  <si>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</si>
  <si>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</si>
  <si>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</si>
  <si>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</si>
  <si>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</si>
  <si>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</si>
  <si>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</si>
  <si>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</si>
  <si>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</si>
  <si>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</si>
  <si>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</si>
  <si>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</si>
  <si>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</si>
  <si>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</si>
  <si>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</si>
  <si>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</si>
  <si>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</si>
  <si>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</si>
  <si>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</si>
  <si>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</si>
  <si>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</si>
  <si>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</si>
  <si>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</si>
  <si>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</si>
  <si>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</si>
  <si>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</si>
  <si>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</si>
  <si>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</si>
  <si>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</si>
  <si>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</si>
  <si>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</si>
  <si>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</si>
  <si>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</si>
  <si>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</si>
  <si>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</si>
  <si>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</si>
  <si>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</si>
  <si>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</si>
  <si>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</si>
  <si>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</si>
  <si>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</si>
  <si>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</si>
  <si>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</si>
  <si>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</si>
  <si>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</si>
  <si>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</si>
  <si>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</si>
  <si>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</si>
  <si>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</si>
  <si>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</si>
  <si>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</si>
  <si>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</si>
  <si>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</si>
  <si>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</si>
  <si>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</si>
  <si>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</si>
  <si>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</si>
  <si>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</si>
  <si>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</si>
  <si>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</si>
  <si>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</si>
  <si>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</si>
  <si>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</si>
  <si>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</si>
  <si>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</si>
  <si>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</si>
  <si>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</si>
  <si>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</si>
  <si>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</si>
  <si>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</si>
  <si>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</si>
  <si>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</si>
  <si>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</si>
  <si>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</si>
  <si>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</si>
  <si>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</si>
  <si>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</si>
  <si>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</si>
  <si>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</si>
  <si>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</si>
  <si>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</si>
  <si>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</si>
  <si>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</si>
  <si>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</si>
  <si>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</si>
  <si>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</si>
  <si>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</si>
  <si>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</si>
  <si>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</si>
  <si>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</si>
  <si>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</si>
  <si>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</si>
  <si>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</si>
  <si>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</si>
  <si>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</si>
  <si>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</si>
  <si>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</si>
  <si>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</si>
  <si>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</si>
  <si>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</si>
  <si>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</si>
  <si>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</si>
  <si>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</si>
  <si>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</si>
  <si>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</si>
  <si>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</si>
  <si>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</si>
  <si>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</si>
  <si>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</si>
  <si>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</si>
  <si>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</si>
  <si>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</si>
  <si>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</si>
  <si>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</si>
  <si>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</si>
  <si>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</si>
  <si>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</si>
  <si>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</si>
  <si>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</si>
  <si>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</si>
  <si>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</si>
  <si>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</si>
  <si>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</si>
  <si>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</si>
  <si>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</si>
  <si>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</si>
  <si>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</si>
  <si>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</si>
  <si>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</si>
  <si>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</si>
  <si>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</si>
  <si>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</si>
  <si>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</si>
  <si>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</si>
  <si>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</si>
  <si>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</si>
  <si>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</si>
  <si>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</si>
  <si>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</si>
  <si>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</si>
  <si>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</si>
  <si>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</si>
  <si>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</si>
  <si>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</si>
  <si>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</si>
  <si>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</si>
  <si>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</si>
  <si>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</si>
  <si>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</si>
  <si>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</si>
  <si>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</si>
  <si>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</si>
  <si>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</si>
  <si>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</si>
  <si>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</si>
  <si>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</si>
  <si>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</si>
  <si>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</si>
  <si>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</si>
  <si>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</si>
  <si>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</si>
  <si>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</si>
  <si>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</si>
  <si>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</si>
  <si>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</si>
  <si>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</si>
  <si>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</si>
  <si>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</si>
  <si>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</si>
  <si>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</si>
  <si>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</si>
  <si>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</si>
  <si>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</si>
  <si>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</si>
  <si>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</si>
  <si>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</si>
  <si>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</si>
  <si>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</si>
  <si>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</si>
  <si>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</si>
  <si>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</si>
  <si>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</si>
  <si>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</si>
  <si>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</si>
  <si>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</si>
  <si>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</si>
  <si>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</si>
  <si>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</si>
  <si>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</si>
  <si>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</si>
  <si>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</si>
  <si>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</si>
  <si>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</si>
  <si>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</si>
  <si>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</si>
  <si>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</si>
  <si>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</si>
  <si>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</si>
  <si>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</si>
  <si>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</si>
  <si>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</si>
  <si>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</si>
  <si>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</si>
  <si>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</si>
  <si>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</si>
  <si>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</si>
  <si>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</si>
  <si>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</si>
  <si>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</si>
  <si>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</si>
  <si>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</si>
  <si>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</si>
  <si>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</si>
  <si>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</si>
  <si>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</si>
  <si>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</si>
  <si>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</si>
  <si>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</si>
  <si>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</si>
  <si>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</si>
  <si>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</si>
  <si>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</si>
  <si>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</si>
  <si>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</si>
  <si>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</si>
  <si>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</si>
  <si>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</si>
  <si>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</si>
  <si>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</si>
  <si>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</si>
  <si>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</si>
  <si>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</si>
  <si>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</si>
  <si>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</si>
  <si>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</si>
  <si>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</si>
  <si>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</si>
  <si>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</si>
  <si>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</si>
  <si>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</si>
  <si>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</si>
  <si>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</si>
  <si>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</si>
  <si>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</si>
  <si>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</si>
  <si>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</si>
  <si>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</si>
  <si>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</si>
  <si>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</si>
  <si>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</si>
  <si>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</si>
  <si>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</si>
  <si>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</si>
  <si>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</si>
  <si>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</si>
  <si>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</si>
  <si>
    <t>January 2026 — SaaS KPIs</t>
  </si>
  <si>
    <t>Notes</t>
  </si>
  <si>
    <t>From your Jan 31 SQL snapshot</t>
  </si>
  <si>
    <t>ARPA</t>
  </si>
  <si>
    <t>Excel 04</t>
  </si>
  <si>
    <t>Gross Margin</t>
  </si>
  <si>
    <t>Already in your P&amp;L</t>
  </si>
  <si>
    <t>GRR</t>
  </si>
  <si>
    <t>Excel 03</t>
  </si>
  <si>
    <t>NRR</t>
  </si>
  <si>
    <t>Quick Ratio</t>
  </si>
  <si>
    <t>N/A — no losses</t>
  </si>
  <si>
    <t>S&amp;M (actual)</t>
  </si>
  <si>
    <t>From Lisa's monthly close message</t>
  </si>
  <si>
    <t>CAC — this month</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</si>
  <si>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</si>
  <si>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</si>
  <si>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</si>
  <si>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</si>
  <si>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</si>
  <si>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</si>
  <si>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</si>
  <si>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</si>
  <si>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</si>
  <si>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Excel 04 — S&amp;M ÷ new customers acquired this month (= 1 new logo Jan)</t>
  </si>
  <si>
    <t>Self-Check — KPIs</t>
  </si>
  <si>
    <t>Your value</t>
  </si>
  <si>
    <t>CAC (monthly)</t>
  </si>
  <si>
    <t>KPI Tracker</t>
  </si>
  <si>
    <t>CAC — monthly</t>
  </si>
  <si>
    <t>CAC — trailing Q</t>
  </si>
  <si>
    <t>(calc at Q1 close)</t>
  </si>
  <si>
    <t>LTV, LTV:CAC, and CAC Payback appear in the Q1 column only. Monthly figures are too sensitive to single-month churn swings to be meaningful.</t>
  </si>
  <si>
    <t>Movement</t>
  </si>
  <si>
    <t>Actual</t>
  </si>
  <si>
    <t>Forecast</t>
  </si>
  <si>
    <t>Variance</t>
  </si>
  <si>
    <t>New MRR</t>
  </si>
  <si>
    <t>Expansion MRR</t>
  </si>
  <si>
    <t>Contraction MRR</t>
  </si>
  <si>
    <t>Churned MRR</t>
  </si>
  <si>
    <t xml:space="preserve">Excel 02 </t>
  </si>
  <si>
    <t xml:space="preserve"> - Contraction MRR</t>
  </si>
  <si>
    <t>Actual - Feb 26</t>
  </si>
  <si>
    <t>Forecast - Feb 26</t>
  </si>
  <si>
    <t>February 2026 — SaaS KPIs</t>
  </si>
  <si>
    <t>vs Jan 2026</t>
  </si>
  <si>
    <t>CAC — Q1 to date</t>
  </si>
  <si>
    <t>From your Feb 28 SQL snapshot</t>
  </si>
  <si>
    <t>Excel 02</t>
  </si>
  <si>
    <t>Excel 04 — S&amp;M ÷ new customers acquired this month</t>
  </si>
  <si>
    <t>Cumulative S&amp;M ÷ cumulative new customers in Q1 so far</t>
  </si>
  <si>
    <t xml:space="preserve">  New customers acquired</t>
  </si>
  <si>
    <t>Enter count of new logos signed in Feb</t>
  </si>
  <si>
    <t>Monthly CAC is noisy with small customer counts. Q1 CAC will be the definitive figure after March closes using total Q1 S&amp;M ÷ total Q1 new customers.</t>
  </si>
  <si>
    <t>Formula check</t>
  </si>
  <si>
    <t xml:space="preserve">  </t>
  </si>
  <si>
    <t>February finished with a Closing MRR of $150,306. This is $1,764 above what we expected to have currently and has driven EBITDA to $31,214 which is $1,235 more than our current forecast and provides a margin of 20.8%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</si>
  <si>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</si>
  <si>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</si>
  <si>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 xml:space="preserve">All of the OpEx lines were the same as expectation and the variance in COGS is due to the increase in revenue meaning it is mechanical and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</si>
</sst>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s>
  <fonts count="48"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
      <b/>
      <sz val="13"/>
      <color theme="1"/>
      <name val="Calibri"/>
      <family val="2"/>
      <scheme val="minor"/>
    </font>
    <font>
      <sz val="11"/>
      <color rgb="FF0000FF"/>
      <name val="Calibri"/>
      <family val="2"/>
      <scheme val="minor"/>
    </font>
    <font>
      <i/>
      <sz val="11"/>
      <color theme="1"/>
      <name val="Calibri"/>
      <family val="2"/>
      <scheme val="minor"/>
    </font>
    <font>
      <b/>
      <i/>
      <sz val="13"/>
      <color theme="1"/>
      <name val="Calibri"/>
      <family val="2"/>
      <scheme val="minor"/>
    </font>
    <font>
      <b/>
      <sz val="14"/>
      <color theme="1"/>
      <name val="Calibri"/>
      <family val="2"/>
      <scheme val="minor"/>
    </font>
    <font>
      <sz val="10"/>
      <color theme="1"/>
      <name val="Arial"/>
    </font>
    <font>
      <b/>
      <sz val="10"/>
      <color theme="1"/>
      <name val="Arial"/>
    </font>
    <font>
      <b/>
      <sz val="10"/>
      <color theme="1"/>
      <name val="Calibri"/>
      <scheme val="minor"/>
    </font>
    <font>
      <b/>
      <i/>
      <sz val="9"/>
      <color rgb="FF666666"/>
      <name val="Arial"/>
    </font>
    <font>
      <b/>
      <sz val="13"/>
      <color theme="1"/>
      <name val="Calibri"/>
      <scheme val="minor"/>
    </font>
    <font>
      <sz val="11"/>
      <color rgb="FF0000FF"/>
      <name val="Calibri"/>
      <scheme val="minor"/>
    </font>
    <font>
      <i/>
      <sz val="11"/>
      <color rgb="FF666666"/>
      <name val="Calibri"/>
      <scheme val="minor"/>
    </font>
    <font>
      <i/>
      <sz val="11"/>
      <color theme="1"/>
      <name val="Calibri"/>
      <scheme val="minor"/>
    </font>
    <font>
      <b/>
      <i/>
      <sz val="13"/>
      <color theme="1"/>
      <name val="Calibri"/>
      <scheme val="minor"/>
    </font>
  </fonts>
  <fills count="17">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FFBDD7EE"/>
        <bgColor indexed="64"/>
      </patternFill>
    </fill>
    <fill>
      <patternFill patternType="solid">
        <fgColor rgb="FFEBF3FB"/>
        <bgColor indexed="64"/>
      </patternFill>
    </fill>
    <fill>
      <patternFill patternType="solid">
        <fgColor rgb="FF1F3864"/>
        <bgColor indexed="64"/>
      </patternFill>
    </fill>
    <fill>
      <patternFill patternType="solid">
        <fgColor rgb="FFB8CCE4"/>
        <bgColor indexed="64"/>
      </patternFill>
    </fill>
    <fill>
      <patternFill patternType="solid">
        <fgColor rgb="FFDCE6F1"/>
        <bgColor indexed="64"/>
      </patternFill>
    </fill>
  </fills>
  <borders count="5">
    <border>
      <left/>
      <right/>
      <top/>
      <bottom/>
      <diagonal/>
    </border>
    <border>
      <left/>
      <right/>
      <top style="thin">
        <color rgb="FF000000"/>
      </top>
      <bottom style="double">
        <color rgb="FF000000"/>
      </bottom>
      <diagonal/>
    </border>
    <border>
      <left/>
      <right/>
      <top style="thin">
        <color rgb="FF000000"/>
      </top>
      <bottom/>
      <diagonal/>
    </border>
    <border>
      <left/>
      <right/>
      <top style="double">
        <color rgb="FF000000"/>
      </top>
      <bottom/>
      <diagonal/>
    </border>
    <border>
      <left/>
      <right/>
      <top style="double">
        <color rgb="FF000000"/>
      </top>
      <bottom style="double">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8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0" fillId="0" borderId="0" xfId="0" applyAlignment="1">
      <alignment horizontal="center"/>
    </xf>
    <xf numFmtId="9" fontId="5" fillId="0" borderId="1" xfId="2" applyFont="1" applyBorder="1" applyAlignment="1">
      <alignment horizontal="center"/>
    </xf>
    <xf numFmtId="0" fontId="33" fillId="0" borderId="0" xfId="0" applyFont="1"/>
    <xf numFmtId="0" fontId="34" fillId="0" borderId="0" xfId="0" applyFont="1"/>
    <xf numFmtId="0" fontId="13" fillId="11" borderId="0" xfId="0" applyFont="1" applyFill="1"/>
    <xf numFmtId="0" fontId="35" fillId="0" borderId="0" xfId="0" applyFont="1"/>
    <xf numFmtId="0" fontId="36" fillId="0" borderId="0" xfId="0" applyFont="1"/>
    <xf numFmtId="0" fontId="37" fillId="0" borderId="0" xfId="0" applyFont="1"/>
    <xf numFmtId="0" fontId="38" fillId="0" borderId="0" xfId="0" applyFont="1"/>
    <xf numFmtId="0" fontId="13" fillId="12" borderId="0" xfId="0" applyFont="1" applyFill="1" applyAlignment="1">
      <alignment horizontal="center"/>
    </xf>
    <xf numFmtId="0" fontId="0" fillId="13" borderId="0" xfId="0" applyFill="1"/>
    <xf numFmtId="1" fontId="0" fillId="0" borderId="0" xfId="0" applyNumberFormat="1"/>
    <xf numFmtId="0" fontId="0" fillId="13" borderId="0" xfId="0" applyFill="1" applyAlignment="1">
      <alignment horizontal="center"/>
    </xf>
    <xf numFmtId="0" fontId="36" fillId="13" borderId="0" xfId="0" applyFont="1" applyFill="1" applyAlignment="1">
      <alignment horizontal="center"/>
    </xf>
    <xf numFmtId="0" fontId="0" fillId="0" borderId="0" xfId="0" applyAlignment="1">
      <alignment wrapText="1"/>
    </xf>
    <xf numFmtId="0" fontId="29" fillId="10" borderId="0" xfId="0" applyFont="1" applyFill="1"/>
    <xf numFmtId="0" fontId="36" fillId="13" borderId="0" xfId="0" applyFont="1" applyFill="1" applyAlignment="1">
      <alignment horizontal="center" wrapText="1"/>
    </xf>
    <xf numFmtId="0" fontId="17" fillId="0" borderId="0" xfId="0" applyFont="1" applyAlignment="1">
      <alignment vertical="top" wrapText="1"/>
    </xf>
    <xf numFmtId="0" fontId="0" fillId="0" borderId="0" xfId="0"/>
    <xf numFmtId="0" fontId="26" fillId="8" borderId="0" xfId="0" applyFont="1" applyFill="1"/>
    <xf numFmtId="0" fontId="24" fillId="0" borderId="0" xfId="0" applyFont="1"/>
    <xf numFmtId="0" fontId="25" fillId="0" borderId="0" xfId="0" applyFont="1"/>
    <xf numFmtId="0" fontId="4" fillId="14" borderId="0" xfId="0" applyFont="1" applyFill="1" applyAlignment="1">
      <alignment horizontal="center"/>
    </xf>
    <xf numFmtId="0" fontId="39" fillId="0" borderId="0" xfId="0" applyFont="1"/>
    <xf numFmtId="0" fontId="40" fillId="0" borderId="0" xfId="0" applyFont="1"/>
    <xf numFmtId="164" fontId="39" fillId="0" borderId="0" xfId="0" applyNumberFormat="1" applyFont="1"/>
    <xf numFmtId="9" fontId="39" fillId="0" borderId="0" xfId="0" applyNumberFormat="1" applyFont="1"/>
    <xf numFmtId="0" fontId="24" fillId="0" borderId="0" xfId="0" applyFont="1" applyAlignment="1">
      <alignment horizontal="center"/>
    </xf>
    <xf numFmtId="175" fontId="24" fillId="0" borderId="0" xfId="0" applyNumberFormat="1" applyFont="1"/>
    <xf numFmtId="9" fontId="24" fillId="0" borderId="0" xfId="0" applyNumberFormat="1" applyFont="1"/>
    <xf numFmtId="0" fontId="39" fillId="0" borderId="0" xfId="0" applyFont="1" applyBorder="1"/>
    <xf numFmtId="164" fontId="39" fillId="0" borderId="0" xfId="0" applyNumberFormat="1" applyFont="1" applyBorder="1"/>
    <xf numFmtId="9" fontId="39" fillId="0" borderId="0" xfId="0" applyNumberFormat="1" applyFont="1" applyBorder="1"/>
    <xf numFmtId="0" fontId="41" fillId="0" borderId="0" xfId="0" applyFont="1" applyBorder="1" applyAlignment="1">
      <alignment horizontal="center"/>
    </xf>
    <xf numFmtId="0" fontId="40" fillId="0" borderId="2" xfId="0" applyFont="1" applyBorder="1"/>
    <xf numFmtId="164" fontId="40" fillId="0" borderId="2" xfId="0" applyNumberFormat="1" applyFont="1" applyBorder="1"/>
    <xf numFmtId="9" fontId="40" fillId="0" borderId="2" xfId="0" applyNumberFormat="1" applyFont="1" applyBorder="1"/>
    <xf numFmtId="0" fontId="40" fillId="0" borderId="2" xfId="0" applyFont="1" applyBorder="1" applyAlignment="1">
      <alignment horizontal="center"/>
    </xf>
    <xf numFmtId="0" fontId="40" fillId="0" borderId="3" xfId="0" applyFont="1" applyBorder="1"/>
    <xf numFmtId="164" fontId="40" fillId="0" borderId="3" xfId="0" applyNumberFormat="1" applyFont="1" applyBorder="1"/>
    <xf numFmtId="9" fontId="40" fillId="0" borderId="3" xfId="0" applyNumberFormat="1" applyFont="1" applyBorder="1"/>
    <xf numFmtId="0" fontId="40" fillId="0" borderId="3" xfId="0" applyFont="1" applyBorder="1" applyAlignment="1">
      <alignment horizontal="center"/>
    </xf>
    <xf numFmtId="0" fontId="40" fillId="0" borderId="0" xfId="0" applyFont="1" applyBorder="1"/>
    <xf numFmtId="165" fontId="40" fillId="0" borderId="0" xfId="0" applyNumberFormat="1" applyFont="1" applyBorder="1"/>
    <xf numFmtId="9" fontId="40" fillId="0" borderId="0" xfId="0" applyNumberFormat="1" applyFont="1" applyBorder="1"/>
    <xf numFmtId="0" fontId="40" fillId="0" borderId="0" xfId="0" applyFont="1" applyBorder="1" applyAlignment="1">
      <alignment horizontal="center"/>
    </xf>
    <xf numFmtId="0" fontId="0" fillId="0" borderId="3" xfId="0" applyBorder="1"/>
    <xf numFmtId="175" fontId="24" fillId="0" borderId="0" xfId="0" applyNumberFormat="1" applyFont="1" applyBorder="1"/>
    <xf numFmtId="9" fontId="24" fillId="0" borderId="0" xfId="0" applyNumberFormat="1" applyFont="1" applyBorder="1"/>
    <xf numFmtId="0" fontId="24" fillId="0" borderId="0" xfId="0" applyFont="1" applyBorder="1" applyAlignment="1">
      <alignment horizontal="center"/>
    </xf>
    <xf numFmtId="175" fontId="25" fillId="0" borderId="2" xfId="0" applyNumberFormat="1" applyFont="1" applyBorder="1"/>
    <xf numFmtId="9" fontId="24" fillId="0" borderId="2" xfId="0" applyNumberFormat="1" applyFont="1" applyBorder="1"/>
    <xf numFmtId="0" fontId="24" fillId="0" borderId="2" xfId="0" applyFont="1" applyBorder="1" applyAlignment="1">
      <alignment horizontal="center"/>
    </xf>
    <xf numFmtId="9" fontId="25" fillId="0" borderId="2" xfId="0" applyNumberFormat="1" applyFont="1" applyBorder="1"/>
    <xf numFmtId="0" fontId="24" fillId="0" borderId="3" xfId="0" applyFont="1" applyBorder="1" applyAlignment="1">
      <alignment horizontal="center"/>
    </xf>
    <xf numFmtId="0" fontId="40" fillId="0" borderId="4" xfId="0" applyFont="1" applyBorder="1"/>
    <xf numFmtId="175" fontId="25" fillId="0" borderId="4" xfId="0" applyNumberFormat="1" applyFont="1" applyBorder="1"/>
    <xf numFmtId="9" fontId="25" fillId="0" borderId="4" xfId="0" applyNumberFormat="1" applyFont="1" applyBorder="1"/>
    <xf numFmtId="0" fontId="24" fillId="0" borderId="4" xfId="0" applyFont="1" applyBorder="1" applyAlignment="1">
      <alignment horizontal="center"/>
    </xf>
    <xf numFmtId="9" fontId="24" fillId="0" borderId="3" xfId="0" applyNumberFormat="1" applyFont="1" applyBorder="1"/>
    <xf numFmtId="9" fontId="24" fillId="9" borderId="3" xfId="0" applyNumberFormat="1" applyFont="1" applyFill="1" applyBorder="1"/>
    <xf numFmtId="0" fontId="42" fillId="0" borderId="0" xfId="0" applyFont="1"/>
    <xf numFmtId="49" fontId="39" fillId="0" borderId="0" xfId="0" applyNumberFormat="1" applyFont="1"/>
    <xf numFmtId="0" fontId="43" fillId="0" borderId="0" xfId="0" applyFont="1"/>
    <xf numFmtId="0" fontId="25" fillId="11" borderId="0" xfId="0" applyFont="1" applyFill="1"/>
    <xf numFmtId="0" fontId="44" fillId="0" borderId="0" xfId="0" applyFont="1"/>
    <xf numFmtId="166" fontId="24" fillId="0" borderId="0" xfId="0" applyNumberFormat="1" applyFont="1"/>
    <xf numFmtId="170" fontId="24" fillId="0" borderId="0" xfId="0" applyNumberFormat="1" applyFont="1"/>
    <xf numFmtId="0" fontId="45" fillId="0" borderId="0" xfId="0" applyFont="1"/>
    <xf numFmtId="0" fontId="46" fillId="0" borderId="0" xfId="0" applyFont="1"/>
    <xf numFmtId="0" fontId="47" fillId="0" borderId="0" xfId="0" applyFont="1"/>
    <xf numFmtId="17" fontId="25" fillId="11" borderId="0" xfId="0" applyNumberFormat="1" applyFont="1" applyFill="1" applyAlignment="1">
      <alignment horizontal="center"/>
    </xf>
    <xf numFmtId="1" fontId="24" fillId="0" borderId="0" xfId="0" applyNumberFormat="1" applyFont="1"/>
    <xf numFmtId="175" fontId="24" fillId="15" borderId="0" xfId="0" applyNumberFormat="1" applyFont="1" applyFill="1"/>
    <xf numFmtId="17" fontId="24" fillId="15" borderId="0" xfId="0" applyNumberFormat="1" applyFont="1" applyFill="1"/>
    <xf numFmtId="0" fontId="24" fillId="16" borderId="0" xfId="0" applyFont="1" applyFill="1"/>
    <xf numFmtId="17" fontId="24" fillId="16" borderId="0" xfId="0" applyNumberFormat="1" applyFont="1" applyFill="1"/>
    <xf numFmtId="0" fontId="24" fillId="15" borderId="0" xfId="0" applyFont="1" applyFill="1"/>
    <xf numFmtId="175" fontId="24" fillId="16" borderId="0" xfId="0" applyNumberFormat="1" applyFont="1" applyFill="1"/>
    <xf numFmtId="2" fontId="44" fillId="0" borderId="0" xfId="0" applyNumberFormat="1" applyFont="1"/>
  </cellXfs>
  <cellStyles count="3">
    <cellStyle name="Currency" xfId="1" builtinId="4"/>
    <cellStyle name="Normal" xfId="0" builtinId="0"/>
    <cellStyle name="Percent" xfId="2" builtinId="5"/>
  </cellStyles>
  <dxfs count="26">
    <dxf>
      <font>
        <sz val="11"/>
        <name val="Calibri"/>
      </font>
      <numFmt numFmtId="175" formatCode="&quot;$&quot;#,##0.00"/>
      <fill>
        <patternFill patternType="solid">
          <fgColor indexed="64"/>
          <bgColor rgb="FFB8CCE4"/>
        </patternFill>
      </fill>
    </dxf>
    <dxf>
      <font>
        <b val="0"/>
        <i val="0"/>
        <strike val="0"/>
        <condense val="0"/>
        <extend val="0"/>
        <outline val="0"/>
        <shadow val="0"/>
        <u val="none"/>
        <vertAlign val="baseline"/>
        <sz val="11"/>
        <color theme="1"/>
        <name val="Calibri"/>
        <scheme val="minor"/>
      </font>
      <numFmt numFmtId="175" formatCode="&quot;$&quot;#,##0.00"/>
      <fill>
        <patternFill patternType="solid">
          <fgColor indexed="64"/>
          <bgColor rgb="FFB8CCE4"/>
        </patternFill>
      </fill>
    </dxf>
    <dxf>
      <font>
        <b val="0"/>
        <i val="0"/>
        <strike val="0"/>
        <condense val="0"/>
        <extend val="0"/>
        <outline val="0"/>
        <shadow val="0"/>
        <u val="none"/>
        <vertAlign val="baseline"/>
        <sz val="11"/>
        <color theme="1"/>
        <name val="Calibri"/>
        <scheme val="minor"/>
      </font>
      <numFmt numFmtId="175" formatCode="&quot;$&quot;#,##0.00"/>
      <fill>
        <patternFill patternType="solid">
          <fgColor indexed="64"/>
          <bgColor rgb="FFB8CCE4"/>
        </patternFill>
      </fill>
    </dxf>
    <dxf>
      <font>
        <b val="0"/>
        <i val="0"/>
        <strike val="0"/>
        <condense val="0"/>
        <extend val="0"/>
        <outline val="0"/>
        <shadow val="0"/>
        <u val="none"/>
        <vertAlign val="baseline"/>
        <sz val="11"/>
        <color theme="1"/>
        <name val="Calibri"/>
        <scheme val="minor"/>
      </font>
      <fill>
        <patternFill patternType="solid">
          <fgColor indexed="64"/>
          <bgColor rgb="FFB8CCE4"/>
        </patternFill>
      </fill>
    </dxf>
    <dxf>
      <font>
        <b val="0"/>
        <i val="0"/>
        <strike val="0"/>
        <condense val="0"/>
        <extend val="0"/>
        <outline val="0"/>
        <shadow val="0"/>
        <u val="none"/>
        <vertAlign val="baseline"/>
        <sz val="11"/>
        <color theme="1"/>
        <name val="Calibri"/>
        <scheme val="minor"/>
      </font>
      <numFmt numFmtId="22" formatCode="mmm/yy"/>
      <fill>
        <patternFill patternType="solid">
          <fgColor indexed="64"/>
          <bgColor rgb="FFB8CCE4"/>
        </patternFill>
      </fill>
    </dxf>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
      <numFmt numFmtId="175" formatCode="&quot;$&quot;#,##0.00"/>
    </dxf>
    <dxf>
      <numFmt numFmtId="175" formatCode="&quot;$&quot;#,##0.00"/>
    </dxf>
    <dxf>
      <numFmt numFmtId="175" formatCode="&quot;$&quot;#,##0.00"/>
    </dxf>
    <dxf>
      <numFmt numFmtId="22" formatCode="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ichael Bezrukov" id="{E0CF43CD-786C-485F-8F02-5CFDECC1ADF9}" userId="c369a87971b237b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2567E-A03E-4943-98E4-EB876B9B20D6}" name="WaterfallData" displayName="WaterfallData" ref="A1:E9" totalsRowCount="1">
  <autoFilter ref="A1:E8" xr:uid="{0792567E-A03E-4943-98E4-EB876B9B20D6}"/>
  <tableColumns count="5">
    <tableColumn id="1" xr3:uid="{E535E1E4-A65E-480E-B37A-792FC0723850}" name="Month" totalsRowFunction="custom" dataDxfId="25" totalsRowDxfId="4">
      <totalsRowFormula>TEXT(DATE(2026,2,1),"mmm-yy")</totalsRowFormula>
    </tableColumn>
    <tableColumn id="2" xr3:uid="{AF51F227-B625-4255-94A7-6199B7D7DAD1}" name="Movement" totalsRowLabel="Opening MRR" totalsRowDxfId="3"/>
    <tableColumn id="3" xr3:uid="{72A4FA60-7150-4102-88DE-5B089CAE1D25}" name="Actual" totalsRowFunction="custom" dataDxfId="24" totalsRowDxfId="2">
      <totalsRowFormula>'Feb 2026 A vs F'!B3</totalsRowFormula>
    </tableColumn>
    <tableColumn id="4" xr3:uid="{69CC0EB6-9154-4E79-8DD0-FAB442AC9657}" name="Forecast" totalsRowFunction="custom" dataDxfId="23" totalsRowDxfId="1">
      <totalsRowFormula>'Feb 2026 A vs F'!C3</totalsRowFormula>
    </tableColumn>
    <tableColumn id="5" xr3:uid="{4D5B15AB-1D25-4871-B2A0-95F16E574BA9}" name="Variance" totalsRowFunction="custom" dataDxfId="22" totalsRowDxfId="0">
      <totalsRowFormula>C9-D9</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98" totalsRowShown="0">
  <autoFilter ref="A1:S98"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21"/>
    <tableColumn id="7" xr3:uid="{6DBCDEDE-28AB-45B0-93DD-BA33B3BFB675}" name="event_date" dataDxfId="20"/>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9">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8" dataDxfId="17">
  <autoFilter ref="A66:J80" xr:uid="{B4D1F123-2972-489C-8FEC-9C6D26BDA440}"/>
  <tableColumns count="10">
    <tableColumn id="1" xr3:uid="{428B9524-495F-4624-8292-AC7281BC37CF}" name="Month" dataDxfId="16"/>
    <tableColumn id="2" xr3:uid="{A39BE488-44BB-4D32-8BC9-2CAD0287B7FB}" name="Sales Comp" dataDxfId="15"/>
    <tableColumn id="3" xr3:uid="{5A5033F7-6D0F-4017-B24D-2EF30AF0C04A}" name="Marketing Comp" dataDxfId="14"/>
    <tableColumn id="4" xr3:uid="{221D6297-6EAF-44F9-9192-FCE924DEAE38}" name="Paid Ads" dataDxfId="13"/>
    <tableColumn id="5" xr3:uid="{DDDAF5EF-D699-4B54-AE9C-1DE1AE53E1FA}" name="Content &amp; SEO" dataDxfId="12"/>
    <tableColumn id="6" xr3:uid="{C06DAFB6-3F41-4AB7-AC72-F2CD13738214}" name="Partner Commissions" dataDxfId="11"/>
    <tableColumn id="7" xr3:uid="{B2373C96-3DA9-4205-B260-ECD2E8248D4F}" name="Tools &amp; Software" dataDxfId="10"/>
    <tableColumn id="8" xr3:uid="{4C8B3A2D-C15B-426C-8B89-E7B5EA3AC7A8}" name="Events" dataDxfId="9"/>
    <tableColumn id="9" xr3:uid="{591DAA16-7C9D-4A8A-8098-00ABCE2C68AB}" name="Total S&amp;M" dataDxfId="8"/>
    <tableColumn id="10" xr3:uid="{27267743-1105-471C-A056-7EE8466EDA53}" name="New Customers"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6"/>
    <tableColumn id="4" xr3:uid="{9C412AFC-8F05-4E39-B8E1-9E65F1E3A073}" name="gross_margin"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6-04-06T20:13:16.37" personId="{E0CF43CD-786C-485F-8F02-5CFDECC1ADF9}" id="{DABA5F44-B889-496F-A0C1-7D24F3B228AF}">
    <text>The Jan 2026 A vs F file does not include Contraction MRR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7"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124" t="s">
        <v>311</v>
      </c>
      <c r="C47" s="124"/>
      <c r="D47" s="124"/>
      <c r="E47" s="124"/>
      <c r="F47" s="124"/>
      <c r="G47" s="124"/>
      <c r="H47" s="124"/>
      <c r="I47" s="124"/>
    </row>
    <row r="49" spans="1:8" x14ac:dyDescent="0.35">
      <c r="A49" s="15" t="s">
        <v>71</v>
      </c>
      <c r="B49" s="124" t="s">
        <v>312</v>
      </c>
      <c r="C49" s="124"/>
      <c r="D49" s="124"/>
      <c r="E49" s="124"/>
      <c r="F49" s="124"/>
      <c r="G49" s="124"/>
      <c r="H49" s="124"/>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I17" sqref="I17"/>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19" activePane="bottomLeft" state="frozen"/>
      <selection pane="bottomLeft" activeCell="B8" sqref="B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66"/>
  <sheetViews>
    <sheetView workbookViewId="0">
      <selection activeCell="H35" sqref="H35"/>
    </sheetView>
  </sheetViews>
  <sheetFormatPr defaultRowHeight="14.5" x14ac:dyDescent="0.35"/>
  <cols>
    <col min="1" max="1" width="32.7265625" customWidth="1"/>
    <col min="2" max="2" width="20" customWidth="1"/>
    <col min="3" max="3" width="58.179687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IFERROR(B3/C3-1, 0)</f>
        <v>0</v>
      </c>
      <c r="F3" s="109" t="str" cm="1">
        <f t="array" ref="F3">_xlfn.IFS(D3&lt;0, "U", D3&gt;0, "F", D3=0, "-")</f>
        <v>-</v>
      </c>
    </row>
    <row r="4" spans="1:8" x14ac:dyDescent="0.35">
      <c r="A4" s="7" t="s">
        <v>16</v>
      </c>
      <c r="B4" s="25">
        <v>1710</v>
      </c>
      <c r="C4" s="25">
        <v>4000</v>
      </c>
      <c r="D4" s="25">
        <f t="shared" ref="D4:D10" si="0">B4-C4</f>
        <v>-2290</v>
      </c>
      <c r="E4" s="101">
        <f t="shared" ref="E4:E7" si="1">IFERROR(B4/C4-1, 0)</f>
        <v>-0.57250000000000001</v>
      </c>
      <c r="F4" s="109" t="str" cm="1">
        <f t="array" ref="F4">_xlfn.IFS(D4&lt;0, "U", D4&gt;0, "F", D4=0, "-")</f>
        <v>U</v>
      </c>
    </row>
    <row r="5" spans="1:8" x14ac:dyDescent="0.35">
      <c r="A5" s="7" t="s">
        <v>18</v>
      </c>
      <c r="B5" s="25">
        <v>0</v>
      </c>
      <c r="C5" s="25">
        <f>'2026 Forecast'!B9/3</f>
        <v>715.34749999999997</v>
      </c>
      <c r="D5" s="25">
        <f t="shared" si="0"/>
        <v>-715.34749999999997</v>
      </c>
      <c r="E5" s="101">
        <f t="shared" si="1"/>
        <v>-1</v>
      </c>
      <c r="F5" s="109" t="str" cm="1">
        <f t="array" ref="F5">_xlfn.IFS(D5&lt;0, "U", D5&gt;0, "F", D5=0, "-")</f>
        <v>U</v>
      </c>
    </row>
    <row r="6" spans="1:8" x14ac:dyDescent="0.35">
      <c r="A6" s="7" t="s">
        <v>655</v>
      </c>
      <c r="B6" s="25">
        <v>0</v>
      </c>
      <c r="C6" s="25">
        <v>0</v>
      </c>
      <c r="D6" s="25">
        <f t="shared" si="0"/>
        <v>0</v>
      </c>
      <c r="E6" s="101">
        <f t="shared" si="1"/>
        <v>0</v>
      </c>
      <c r="F6" s="109" t="str" cm="1">
        <f t="array" ref="F6">_xlfn.IFS(D6&lt;0, "U", D6&gt;0, "F", D6=0, "-")</f>
        <v>-</v>
      </c>
    </row>
    <row r="7" spans="1:8" x14ac:dyDescent="0.35">
      <c r="A7" s="7" t="s">
        <v>22</v>
      </c>
      <c r="B7" s="25">
        <v>0</v>
      </c>
      <c r="C7" s="25">
        <f>'2026 Forecast'!B10/3</f>
        <v>953.79666666666662</v>
      </c>
      <c r="D7" s="25">
        <f t="shared" si="0"/>
        <v>-953.79666666666662</v>
      </c>
      <c r="E7" s="101">
        <f t="shared" si="1"/>
        <v>-1</v>
      </c>
      <c r="F7" s="109" t="str" cm="1">
        <f t="array" ref="F7">_xlfn.IFS(D7&gt;0, "U", D7&lt;0, "F", D7=0, "-")</f>
        <v>F</v>
      </c>
    </row>
    <row r="8" spans="1:8" ht="15" thickBot="1" x14ac:dyDescent="0.4">
      <c r="A8" s="9" t="s">
        <v>24</v>
      </c>
      <c r="B8" s="26">
        <f>B4+B5-B7</f>
        <v>1710</v>
      </c>
      <c r="C8" s="26">
        <f>C4+C5-C7</f>
        <v>3761.5508333333332</v>
      </c>
      <c r="D8" s="26">
        <f t="shared" si="0"/>
        <v>-2051.5508333333332</v>
      </c>
      <c r="E8" s="102">
        <f>B8/C8-1</f>
        <v>-0.54540026819611853</v>
      </c>
      <c r="F8" s="110" t="str" cm="1">
        <f t="array" ref="F8">_xlfn.IFS(D8&lt;0, "U", D8&gt;0, "F", D8=0, "-")</f>
        <v>U</v>
      </c>
    </row>
    <row r="9" spans="1:8" ht="15.5" thickTop="1" thickBot="1" x14ac:dyDescent="0.4">
      <c r="A9" s="9" t="s">
        <v>26</v>
      </c>
      <c r="B9" s="26">
        <f>B3+B4+B5-B7</f>
        <v>144779.5</v>
      </c>
      <c r="C9" s="26">
        <f>C3+C8</f>
        <v>146831.05083333334</v>
      </c>
      <c r="D9" s="26">
        <f t="shared" si="0"/>
        <v>-2051.5508333333419</v>
      </c>
      <c r="E9" s="102">
        <f>B9/C9-1</f>
        <v>-1.3972186548348309E-2</v>
      </c>
      <c r="F9" s="110" t="str" cm="1">
        <f t="array" ref="F9">_xlfn.IFS(D9&lt;0, "U", D9&gt;0, "F", D9=0, "-")</f>
        <v>U</v>
      </c>
    </row>
    <row r="10" spans="1:8" ht="15.5" thickTop="1" thickBot="1" x14ac:dyDescent="0.4">
      <c r="A10" s="9" t="s">
        <v>112</v>
      </c>
      <c r="B10" s="26">
        <f>B9*12</f>
        <v>1737354</v>
      </c>
      <c r="C10" s="22">
        <f>C9*12</f>
        <v>1761972.61</v>
      </c>
      <c r="D10" s="22">
        <f t="shared" si="0"/>
        <v>-24618.610000000102</v>
      </c>
      <c r="E10" s="102">
        <f>B10/C10-1</f>
        <v>-1.3972186548348309E-2</v>
      </c>
      <c r="F10" s="110" t="str" cm="1">
        <f t="array" ref="F10">_xlfn.IFS(D10&lt;0, "U", D10&gt;0, "F", D10=0, "-")</f>
        <v>U</v>
      </c>
    </row>
    <row r="11" spans="1:8" ht="15" thickTop="1" x14ac:dyDescent="0.35"/>
    <row r="12" spans="1:8" x14ac:dyDescent="0.35">
      <c r="A12" s="104" t="s">
        <v>601</v>
      </c>
    </row>
    <row r="13" spans="1:8" x14ac:dyDescent="0.35">
      <c r="A13" s="5" t="s">
        <v>4</v>
      </c>
      <c r="B13" s="5" t="s">
        <v>599</v>
      </c>
      <c r="C13" s="99" t="s">
        <v>596</v>
      </c>
      <c r="D13" s="99" t="s">
        <v>597</v>
      </c>
      <c r="E13" s="99" t="s">
        <v>598</v>
      </c>
      <c r="F13" s="103" t="s">
        <v>602</v>
      </c>
    </row>
    <row r="14" spans="1:8" x14ac:dyDescent="0.35">
      <c r="A14" s="7" t="s">
        <v>38</v>
      </c>
      <c r="B14" s="100">
        <f>B9</f>
        <v>144779.5</v>
      </c>
      <c r="C14" s="100">
        <f>C9</f>
        <v>146831.05083333334</v>
      </c>
      <c r="D14" s="100">
        <f>B14-C14</f>
        <v>-2051.5508333333419</v>
      </c>
      <c r="E14" s="105">
        <f>B14/C14-1</f>
        <v>-1.3972186548348309E-2</v>
      </c>
      <c r="F14" s="109" t="str" cm="1">
        <f t="array" ref="F14">_xlfn.IFS(D14&lt;0, "U", D14&gt;0, "F", D14=0, "-")</f>
        <v>U</v>
      </c>
      <c r="H14" s="2"/>
    </row>
    <row r="15" spans="1:8" x14ac:dyDescent="0.35">
      <c r="A15" s="7" t="s">
        <v>119</v>
      </c>
      <c r="B15" s="100">
        <f>B14*(1-B17)</f>
        <v>43433.850000000006</v>
      </c>
      <c r="C15" s="100">
        <f>C14*0.3</f>
        <v>44049.31525</v>
      </c>
      <c r="D15" s="100">
        <f t="shared" ref="D15:D22" si="2">B15-C15</f>
        <v>-615.46524999999383</v>
      </c>
      <c r="E15" s="105">
        <f t="shared" ref="E15:E23" si="3">B15/C15-1</f>
        <v>-1.3972186548348087E-2</v>
      </c>
      <c r="F15" s="109" t="str" cm="1">
        <f t="array" ref="F15">_xlfn.IFS(D15&gt;0, "U", D15&lt;0, "F", D15=0, "-")</f>
        <v>F</v>
      </c>
      <c r="H15" s="2" t="s">
        <v>120</v>
      </c>
    </row>
    <row r="16" spans="1:8" ht="15" thickBot="1" x14ac:dyDescent="0.4">
      <c r="A16" s="9" t="s">
        <v>42</v>
      </c>
      <c r="B16" s="106">
        <f>B14-B15</f>
        <v>101345.65</v>
      </c>
      <c r="C16" s="106">
        <f>C14-C15</f>
        <v>102781.73558333334</v>
      </c>
      <c r="D16" s="100">
        <f t="shared" si="2"/>
        <v>-1436.085583333348</v>
      </c>
      <c r="E16" s="105">
        <f t="shared" si="3"/>
        <v>-1.3972186548348309E-2</v>
      </c>
      <c r="F16" s="109" t="str" cm="1">
        <f t="array" ref="F16">_xlfn.IFS(D16&lt;0, "U", D16&gt;0, "F", D16=0, "-")</f>
        <v>U</v>
      </c>
      <c r="H16" s="2" t="s">
        <v>121</v>
      </c>
    </row>
    <row r="17" spans="1:8" ht="15" thickTop="1" x14ac:dyDescent="0.35">
      <c r="A17" s="7" t="s">
        <v>44</v>
      </c>
      <c r="B17" s="108">
        <v>0.7</v>
      </c>
      <c r="C17" s="105">
        <f>C16/C14</f>
        <v>0.70000000000000007</v>
      </c>
      <c r="D17" s="100"/>
      <c r="E17" s="105">
        <f t="shared" si="3"/>
        <v>0</v>
      </c>
      <c r="F17" s="109" t="str" cm="1">
        <f t="array" ref="F17">_xlfn.IFS(D17&lt;0, "U", D17&gt;0, "F", D17=0, "-")</f>
        <v>-</v>
      </c>
      <c r="H17" s="2" t="s">
        <v>122</v>
      </c>
    </row>
    <row r="18" spans="1:8" x14ac:dyDescent="0.35">
      <c r="A18" s="7" t="s">
        <v>94</v>
      </c>
      <c r="B18" s="100">
        <f>'Forecast Assumptions'!B26/3</f>
        <v>30000</v>
      </c>
      <c r="C18" s="100">
        <f>'2026 Forecast'!B25/3</f>
        <v>30000</v>
      </c>
      <c r="D18" s="100">
        <f t="shared" si="2"/>
        <v>0</v>
      </c>
      <c r="E18" s="105">
        <f t="shared" si="3"/>
        <v>0</v>
      </c>
      <c r="F18" s="109" t="str" cm="1">
        <f t="array" ref="F18">_xlfn.IFS(D18&lt;0, "U", D18&gt;0, "F", D18=0, "-")</f>
        <v>-</v>
      </c>
      <c r="H18" s="2" t="s">
        <v>123</v>
      </c>
    </row>
    <row r="19" spans="1:8" x14ac:dyDescent="0.35">
      <c r="A19" s="7" t="s">
        <v>95</v>
      </c>
      <c r="B19" s="100">
        <f>'Forecast Assumptions'!B27/3</f>
        <v>25000</v>
      </c>
      <c r="C19" s="100">
        <f>'2026 Forecast'!B26/3</f>
        <v>25000</v>
      </c>
      <c r="D19" s="100">
        <f t="shared" si="2"/>
        <v>0</v>
      </c>
      <c r="E19" s="105">
        <f t="shared" si="3"/>
        <v>0</v>
      </c>
      <c r="F19" s="109" t="str" cm="1">
        <f t="array" ref="F19">_xlfn.IFS(D19&lt;0, "U", D19&gt;0, "F", D19=0, "-")</f>
        <v>-</v>
      </c>
      <c r="H19" s="2" t="s">
        <v>123</v>
      </c>
    </row>
    <row r="20" spans="1:8" x14ac:dyDescent="0.35">
      <c r="A20" s="7" t="s">
        <v>96</v>
      </c>
      <c r="B20" s="100">
        <f>'Forecast Assumptions'!B28/3</f>
        <v>19000</v>
      </c>
      <c r="C20" s="100">
        <f>'2026 Forecast'!B27/3</f>
        <v>19000</v>
      </c>
      <c r="D20" s="100">
        <f t="shared" si="2"/>
        <v>0</v>
      </c>
      <c r="E20" s="105">
        <f t="shared" si="3"/>
        <v>0</v>
      </c>
      <c r="F20" s="109" t="str" cm="1">
        <f t="array" ref="F20">_xlfn.IFS(D20&lt;0, "U", D20&gt;0, "F", D20=0, "-")</f>
        <v>-</v>
      </c>
      <c r="H20" s="2" t="s">
        <v>123</v>
      </c>
    </row>
    <row r="21" spans="1:8" ht="15" thickBot="1" x14ac:dyDescent="0.4">
      <c r="A21" s="9" t="s">
        <v>51</v>
      </c>
      <c r="B21" s="106">
        <f>SUM(B18:B20)</f>
        <v>74000</v>
      </c>
      <c r="C21" s="106">
        <f>'2026 Forecast'!B28/3</f>
        <v>74000</v>
      </c>
      <c r="D21" s="100">
        <f t="shared" si="2"/>
        <v>0</v>
      </c>
      <c r="E21" s="105">
        <f t="shared" si="3"/>
        <v>0</v>
      </c>
      <c r="F21" s="109" t="str" cm="1">
        <f t="array" ref="F21">_xlfn.IFS(D21&lt;0, "U", D21&gt;0, "F", D21=0, "-")</f>
        <v>-</v>
      </c>
      <c r="H21" s="2" t="s">
        <v>52</v>
      </c>
    </row>
    <row r="22" spans="1:8" ht="15.5" thickTop="1" thickBot="1" x14ac:dyDescent="0.4">
      <c r="A22" s="9" t="s">
        <v>53</v>
      </c>
      <c r="B22" s="107">
        <f>B16-B21</f>
        <v>27345.649999999994</v>
      </c>
      <c r="C22" s="107">
        <f>C16-C21</f>
        <v>28781.735583333342</v>
      </c>
      <c r="D22" s="100">
        <f t="shared" si="2"/>
        <v>-1436.085583333348</v>
      </c>
      <c r="E22" s="105">
        <f t="shared" si="3"/>
        <v>-4.9895725682538195E-2</v>
      </c>
      <c r="F22" s="109" t="str" cm="1">
        <f t="array" ref="F22">_xlfn.IFS(D22&lt;0, "U", D22&gt;0, "F", D22=0, "-")</f>
        <v>U</v>
      </c>
      <c r="H22" s="2" t="s">
        <v>124</v>
      </c>
    </row>
    <row r="23" spans="1:8" ht="15" thickTop="1" x14ac:dyDescent="0.35">
      <c r="A23" s="7" t="s">
        <v>55</v>
      </c>
      <c r="B23" s="105">
        <f>B22/B14</f>
        <v>0.18887791434560827</v>
      </c>
      <c r="C23" s="105">
        <f>C22/C14</f>
        <v>0.19601940747535235</v>
      </c>
      <c r="D23" s="105">
        <f>B23-C23</f>
        <v>-7.1414931297440754E-3</v>
      </c>
      <c r="E23" s="105">
        <f t="shared" si="3"/>
        <v>-3.643258196585486E-2</v>
      </c>
      <c r="F23" s="109" t="str" cm="1">
        <f t="array" ref="F23">_xlfn.IFS(D23&lt;0, "U", D23&gt;0, "F", D23=0, "-")</f>
        <v>U</v>
      </c>
      <c r="H23" s="2" t="s">
        <v>125</v>
      </c>
    </row>
    <row r="25" spans="1:8" x14ac:dyDescent="0.35">
      <c r="A25" s="111" t="s">
        <v>611</v>
      </c>
    </row>
    <row r="26" spans="1:8" x14ac:dyDescent="0.35">
      <c r="A26" t="s">
        <v>603</v>
      </c>
    </row>
    <row r="27" spans="1:8" x14ac:dyDescent="0.35">
      <c r="A27" t="s">
        <v>604</v>
      </c>
    </row>
    <row r="28" spans="1:8" x14ac:dyDescent="0.35">
      <c r="A28" t="s">
        <v>605</v>
      </c>
    </row>
    <row r="29" spans="1:8" x14ac:dyDescent="0.35">
      <c r="A29" t="s">
        <v>612</v>
      </c>
    </row>
    <row r="30" spans="1:8" x14ac:dyDescent="0.35">
      <c r="A30" t="s">
        <v>607</v>
      </c>
    </row>
    <row r="31" spans="1:8" x14ac:dyDescent="0.35">
      <c r="A31" t="s">
        <v>606</v>
      </c>
    </row>
    <row r="32" spans="1:8" x14ac:dyDescent="0.35">
      <c r="A32" t="s">
        <v>609</v>
      </c>
    </row>
    <row r="33" spans="1:3" x14ac:dyDescent="0.35">
      <c r="A33" t="s">
        <v>608</v>
      </c>
    </row>
    <row r="34" spans="1:3" x14ac:dyDescent="0.35">
      <c r="A34" t="s">
        <v>610</v>
      </c>
    </row>
    <row r="36" spans="1:3" ht="17" x14ac:dyDescent="0.4">
      <c r="A36" s="112" t="s">
        <v>613</v>
      </c>
    </row>
    <row r="38" spans="1:3" x14ac:dyDescent="0.35">
      <c r="A38" s="113" t="s">
        <v>4</v>
      </c>
      <c r="B38" s="113" t="s">
        <v>283</v>
      </c>
      <c r="C38" s="113" t="s">
        <v>614</v>
      </c>
    </row>
    <row r="39" spans="1:3" x14ac:dyDescent="0.35">
      <c r="A39" t="s">
        <v>193</v>
      </c>
      <c r="B39" s="114">
        <v>39</v>
      </c>
      <c r="C39" t="s">
        <v>615</v>
      </c>
    </row>
    <row r="40" spans="1:3" x14ac:dyDescent="0.35">
      <c r="A40" t="s">
        <v>194</v>
      </c>
      <c r="B40" s="114">
        <v>52</v>
      </c>
      <c r="C40" t="s">
        <v>615</v>
      </c>
    </row>
    <row r="41" spans="1:3" x14ac:dyDescent="0.35">
      <c r="A41" t="s">
        <v>616</v>
      </c>
      <c r="B41" s="100">
        <f>'Jan 2026 A vs F '!B9/'Jan 2026 A vs F '!B39</f>
        <v>3712.2948717948716</v>
      </c>
      <c r="C41" t="s">
        <v>617</v>
      </c>
    </row>
    <row r="42" spans="1:3" x14ac:dyDescent="0.35">
      <c r="A42" t="s">
        <v>618</v>
      </c>
      <c r="B42" s="28">
        <f>B17</f>
        <v>0.7</v>
      </c>
      <c r="C42" t="s">
        <v>619</v>
      </c>
    </row>
    <row r="43" spans="1:3" x14ac:dyDescent="0.35">
      <c r="A43" t="s">
        <v>620</v>
      </c>
      <c r="B43" s="28">
        <f>Retention!Z6</f>
        <v>1</v>
      </c>
      <c r="C43" t="s">
        <v>621</v>
      </c>
    </row>
    <row r="44" spans="1:3" x14ac:dyDescent="0.35">
      <c r="A44" t="s">
        <v>622</v>
      </c>
      <c r="B44" s="28">
        <f>Retention!Z7</f>
        <v>1</v>
      </c>
      <c r="C44" t="s">
        <v>621</v>
      </c>
    </row>
    <row r="45" spans="1:3" x14ac:dyDescent="0.35">
      <c r="A45" t="s">
        <v>623</v>
      </c>
      <c r="B45" t="s">
        <v>624</v>
      </c>
      <c r="C45" t="s">
        <v>654</v>
      </c>
    </row>
    <row r="46" spans="1:3" x14ac:dyDescent="0.35">
      <c r="A46" t="s">
        <v>625</v>
      </c>
      <c r="B46" s="44">
        <f>B18</f>
        <v>30000</v>
      </c>
      <c r="C46" t="s">
        <v>626</v>
      </c>
    </row>
    <row r="47" spans="1:3" x14ac:dyDescent="0.35">
      <c r="A47" t="s">
        <v>627</v>
      </c>
      <c r="B47" s="44">
        <f>B46/1</f>
        <v>30000</v>
      </c>
      <c r="C47" t="s">
        <v>637</v>
      </c>
    </row>
    <row r="48" spans="1:3" x14ac:dyDescent="0.35">
      <c r="A48" t="s">
        <v>628</v>
      </c>
      <c r="B48" t="s">
        <v>629</v>
      </c>
      <c r="C48" t="s">
        <v>630</v>
      </c>
    </row>
    <row r="49" spans="1:3" x14ac:dyDescent="0.35">
      <c r="A49" t="s">
        <v>631</v>
      </c>
      <c r="B49" t="s">
        <v>629</v>
      </c>
      <c r="C49" t="s">
        <v>630</v>
      </c>
    </row>
    <row r="50" spans="1:3" x14ac:dyDescent="0.35">
      <c r="A50" t="s">
        <v>632</v>
      </c>
      <c r="B50" t="s">
        <v>629</v>
      </c>
      <c r="C50" t="s">
        <v>630</v>
      </c>
    </row>
    <row r="52" spans="1:3" x14ac:dyDescent="0.35">
      <c r="A52" s="115" t="s">
        <v>633</v>
      </c>
    </row>
    <row r="53" spans="1:3" x14ac:dyDescent="0.35">
      <c r="A53" s="115" t="s">
        <v>634</v>
      </c>
    </row>
    <row r="55" spans="1:3" x14ac:dyDescent="0.35">
      <c r="A55" s="115" t="s">
        <v>635</v>
      </c>
    </row>
    <row r="56" spans="1:3" x14ac:dyDescent="0.35">
      <c r="A56" s="115" t="s">
        <v>636</v>
      </c>
    </row>
    <row r="59" spans="1:3" ht="17" x14ac:dyDescent="0.4">
      <c r="A59" s="116" t="s">
        <v>638</v>
      </c>
    </row>
    <row r="61" spans="1:3" x14ac:dyDescent="0.35">
      <c r="A61" s="113" t="s">
        <v>4</v>
      </c>
      <c r="B61" s="113" t="s">
        <v>639</v>
      </c>
    </row>
    <row r="62" spans="1:3" x14ac:dyDescent="0.35">
      <c r="A62" t="s">
        <v>616</v>
      </c>
      <c r="B62" s="100">
        <f>B41</f>
        <v>3712.2948717948716</v>
      </c>
    </row>
    <row r="63" spans="1:3" x14ac:dyDescent="0.35">
      <c r="A63" t="s">
        <v>620</v>
      </c>
      <c r="B63" s="28">
        <f>B43</f>
        <v>1</v>
      </c>
    </row>
    <row r="64" spans="1:3" x14ac:dyDescent="0.35">
      <c r="A64" t="s">
        <v>622</v>
      </c>
      <c r="B64" s="28">
        <f>B44</f>
        <v>1</v>
      </c>
    </row>
    <row r="65" spans="1:2" x14ac:dyDescent="0.35">
      <c r="A65" t="s">
        <v>623</v>
      </c>
      <c r="B65" t="str">
        <f>B45</f>
        <v>N/A — no losses</v>
      </c>
    </row>
    <row r="66" spans="1:2" x14ac:dyDescent="0.35">
      <c r="A66" t="s">
        <v>640</v>
      </c>
      <c r="B66" s="44">
        <f>B47</f>
        <v>30000</v>
      </c>
    </row>
  </sheetData>
  <pageMargins left="0.7" right="0.7" top="0.75" bottom="0.75" header="0.3" footer="0.3"/>
  <pageSetup orientation="portrait" r:id="rId1"/>
  <ignoredErrors>
    <ignoredError sqref="F7 F1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F365-9CB5-41C0-864D-069EB78E0ACD}">
  <sheetPr>
    <tabColor theme="8" tint="-0.249977111117893"/>
  </sheetPr>
  <dimension ref="A1:H64"/>
  <sheetViews>
    <sheetView tabSelected="1" workbookViewId="0">
      <selection activeCell="G57" sqref="G57"/>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30" t="s">
        <v>600</v>
      </c>
    </row>
    <row r="2" spans="1:8" x14ac:dyDescent="0.35">
      <c r="A2" s="131" t="s">
        <v>4</v>
      </c>
      <c r="B2" s="131" t="s">
        <v>656</v>
      </c>
      <c r="C2" s="131" t="s">
        <v>657</v>
      </c>
      <c r="D2" s="131" t="s">
        <v>597</v>
      </c>
      <c r="E2" s="131" t="s">
        <v>598</v>
      </c>
      <c r="F2" s="131" t="s">
        <v>602</v>
      </c>
    </row>
    <row r="3" spans="1:8" x14ac:dyDescent="0.35">
      <c r="A3" s="132" t="s">
        <v>14</v>
      </c>
      <c r="B3" s="134">
        <f>'Jan 2026 A vs F '!B9</f>
        <v>144779.5</v>
      </c>
      <c r="C3" s="134">
        <f>'Jan 2026 A vs F '!B9</f>
        <v>144779.5</v>
      </c>
      <c r="D3" s="134">
        <f>B3-C3</f>
        <v>0</v>
      </c>
      <c r="E3" s="135">
        <f>IFERROR(B3/C3-1, 0)</f>
        <v>0</v>
      </c>
      <c r="F3" s="136" t="str" cm="1">
        <f t="array" ref="F3">_xlfn.IFS(D3&lt;0, "U", D3&gt;0, "F", D3=0, "-")</f>
        <v>-</v>
      </c>
    </row>
    <row r="4" spans="1:8" x14ac:dyDescent="0.35">
      <c r="A4" s="171" t="s">
        <v>16</v>
      </c>
      <c r="B4" s="134">
        <v>6120</v>
      </c>
      <c r="C4" s="134">
        <v>4000</v>
      </c>
      <c r="D4" s="134">
        <f>B4-C4</f>
        <v>2120</v>
      </c>
      <c r="E4" s="135">
        <f>IFERROR(B4/C4-1, 0)</f>
        <v>0.53</v>
      </c>
      <c r="F4" s="136" t="str" cm="1">
        <f t="array" ref="F4">_xlfn.IFS(D4&lt;0, "U", D4&gt;0, "F", D4=0, "-")</f>
        <v>F</v>
      </c>
    </row>
    <row r="5" spans="1:8" x14ac:dyDescent="0.35">
      <c r="A5" s="171" t="s">
        <v>18</v>
      </c>
      <c r="B5" s="134">
        <v>0</v>
      </c>
      <c r="C5" s="134">
        <f>'2026 Forecast'!B9/3</f>
        <v>715.34749999999997</v>
      </c>
      <c r="D5" s="134">
        <f>B5-C5</f>
        <v>-715.34749999999997</v>
      </c>
      <c r="E5" s="135">
        <f>IFERROR(B5/C5-1, 0)</f>
        <v>-1</v>
      </c>
      <c r="F5" s="136" t="str" cm="1">
        <f t="array" ref="F5">_xlfn.IFS(D5&lt;0, "U", D5&gt;0, "F", D5=0, "-")</f>
        <v>U</v>
      </c>
    </row>
    <row r="6" spans="1:8" x14ac:dyDescent="0.35">
      <c r="A6" s="132" t="s">
        <v>655</v>
      </c>
      <c r="B6" s="134">
        <v>0</v>
      </c>
      <c r="C6" s="134">
        <v>0</v>
      </c>
      <c r="D6" s="134">
        <f>B6-C6</f>
        <v>0</v>
      </c>
      <c r="E6" s="135">
        <f>IFERROR(B6/C6-1, 0)</f>
        <v>0</v>
      </c>
      <c r="F6" s="136" t="str" cm="1">
        <f t="array" ref="F6">_xlfn.IFS(D6&lt;0, "U", D6&gt;0, "F", D6=0, "-")</f>
        <v>-</v>
      </c>
    </row>
    <row r="7" spans="1:8" x14ac:dyDescent="0.35">
      <c r="A7" s="139" t="s">
        <v>22</v>
      </c>
      <c r="B7" s="140">
        <v>594</v>
      </c>
      <c r="C7" s="140">
        <f>'2026 Forecast'!B10/3</f>
        <v>953.79666666666662</v>
      </c>
      <c r="D7" s="140">
        <f>B7-C7</f>
        <v>-359.79666666666662</v>
      </c>
      <c r="E7" s="141">
        <f>IFERROR(B7/C7-1, 0)</f>
        <v>-0.37722575391680269</v>
      </c>
      <c r="F7" s="142" t="str" cm="1">
        <f t="array" ref="F7">_xlfn.IFS(D7&gt;0, "U", D7&lt;0, "F", D7=0, "-")</f>
        <v>F</v>
      </c>
    </row>
    <row r="8" spans="1:8" ht="15" thickBot="1" x14ac:dyDescent="0.4">
      <c r="A8" s="143" t="s">
        <v>24</v>
      </c>
      <c r="B8" s="144">
        <f>B4+B5-B7</f>
        <v>5526</v>
      </c>
      <c r="C8" s="144">
        <f>C4+C5-C7</f>
        <v>3761.5508333333332</v>
      </c>
      <c r="D8" s="144">
        <f>B8-C8</f>
        <v>1764.4491666666668</v>
      </c>
      <c r="E8" s="145">
        <f>B8/C8-1</f>
        <v>0.46907492277675367</v>
      </c>
      <c r="F8" s="146" t="str" cm="1">
        <f t="array" ref="F8">_xlfn.IFS(D8&lt;0, "U", D8&gt;0, "F", D8=0, "-")</f>
        <v>F</v>
      </c>
    </row>
    <row r="9" spans="1:8" ht="15" thickTop="1" x14ac:dyDescent="0.35">
      <c r="A9" s="147" t="s">
        <v>26</v>
      </c>
      <c r="B9" s="148">
        <f>B3+B4+B5-B7</f>
        <v>150305.5</v>
      </c>
      <c r="C9" s="148">
        <f>C3+C8</f>
        <v>148541.05083333334</v>
      </c>
      <c r="D9" s="148">
        <f>B9-C9</f>
        <v>1764.4491666666581</v>
      </c>
      <c r="E9" s="149">
        <f>B9/C9-1</f>
        <v>1.1878528910142183E-2</v>
      </c>
      <c r="F9" s="150" t="str" cm="1">
        <f t="array" ref="F9">_xlfn.IFS(D9&lt;0, "U", D9&gt;0, "F", D9=0, "-")</f>
        <v>F</v>
      </c>
    </row>
    <row r="10" spans="1:8" ht="15" thickBot="1" x14ac:dyDescent="0.4">
      <c r="A10" s="151" t="s">
        <v>112</v>
      </c>
      <c r="B10" s="152">
        <f>B9*12</f>
        <v>1803666</v>
      </c>
      <c r="C10" s="152">
        <f>C9*12</f>
        <v>1782492.61</v>
      </c>
      <c r="D10" s="152">
        <f>B10-C10</f>
        <v>21173.389999999898</v>
      </c>
      <c r="E10" s="153">
        <f>B10/C10-1</f>
        <v>1.1878528910142183E-2</v>
      </c>
      <c r="F10" s="154" t="str" cm="1">
        <f t="array" ref="F10">_xlfn.IFS(D10&lt;0, "U", D10&gt;0, "F", D10=0, "-")</f>
        <v>F</v>
      </c>
    </row>
    <row r="11" spans="1:8" ht="15" thickTop="1" x14ac:dyDescent="0.35">
      <c r="A11" s="155"/>
      <c r="B11" s="155"/>
      <c r="C11" s="155"/>
      <c r="D11" s="155"/>
      <c r="E11" s="155"/>
      <c r="F11" s="155"/>
    </row>
    <row r="12" spans="1:8" x14ac:dyDescent="0.35">
      <c r="A12" s="133" t="s">
        <v>601</v>
      </c>
    </row>
    <row r="13" spans="1:8" x14ac:dyDescent="0.35">
      <c r="A13" s="131" t="s">
        <v>4</v>
      </c>
      <c r="B13" s="131" t="s">
        <v>656</v>
      </c>
      <c r="C13" s="131" t="s">
        <v>657</v>
      </c>
      <c r="D13" s="131" t="s">
        <v>597</v>
      </c>
      <c r="E13" s="131" t="s">
        <v>598</v>
      </c>
      <c r="F13" s="131" t="s">
        <v>602</v>
      </c>
    </row>
    <row r="14" spans="1:8" x14ac:dyDescent="0.35">
      <c r="A14" s="133" t="s">
        <v>38</v>
      </c>
      <c r="B14" s="137">
        <f>B9</f>
        <v>150305.5</v>
      </c>
      <c r="C14" s="137">
        <f>C9</f>
        <v>148541.05083333334</v>
      </c>
      <c r="D14" s="137">
        <f>B14-C14</f>
        <v>1764.4491666666581</v>
      </c>
      <c r="E14" s="138">
        <f>B14/C14-1</f>
        <v>1.1878528910142183E-2</v>
      </c>
      <c r="F14" s="136" t="str" cm="1">
        <f t="array" ref="F14">_xlfn.IFS(D14&lt;0, "U", D14&gt;0, "F", D14=0, "-")</f>
        <v>F</v>
      </c>
      <c r="H14" s="2" t="s">
        <v>120</v>
      </c>
    </row>
    <row r="15" spans="1:8" x14ac:dyDescent="0.35">
      <c r="A15" s="151" t="s">
        <v>119</v>
      </c>
      <c r="B15" s="156">
        <f>B14*(1-B17)</f>
        <v>45091.650000000009</v>
      </c>
      <c r="C15" s="156">
        <f>C14*0.3</f>
        <v>44562.31525</v>
      </c>
      <c r="D15" s="156">
        <f>B15-C15</f>
        <v>529.33475000000908</v>
      </c>
      <c r="E15" s="157">
        <f>B15/C15-1</f>
        <v>1.1878528910142405E-2</v>
      </c>
      <c r="F15" s="158" t="str" cm="1">
        <f t="array" ref="F15">_xlfn.IFS(D15&gt;0, "U", D15&lt;0, "F", D15=0, "-")</f>
        <v>U</v>
      </c>
      <c r="H15" s="2" t="s">
        <v>121</v>
      </c>
    </row>
    <row r="16" spans="1:8" ht="15" thickBot="1" x14ac:dyDescent="0.4">
      <c r="A16" s="143" t="s">
        <v>42</v>
      </c>
      <c r="B16" s="159">
        <f>B14-B15</f>
        <v>105213.84999999999</v>
      </c>
      <c r="C16" s="159">
        <f>C14-C15</f>
        <v>103978.73558333334</v>
      </c>
      <c r="D16" s="159">
        <f>B16-C16</f>
        <v>1235.114416666649</v>
      </c>
      <c r="E16" s="160">
        <f>B16/C16-1</f>
        <v>1.1878528910142183E-2</v>
      </c>
      <c r="F16" s="161" t="str" cm="1">
        <f t="array" ref="F16">_xlfn.IFS(D16&lt;0, "U", D16&gt;0, "F", D16=0, "-")</f>
        <v>F</v>
      </c>
      <c r="H16" s="2" t="s">
        <v>122</v>
      </c>
    </row>
    <row r="17" spans="1:8" ht="15" thickTop="1" x14ac:dyDescent="0.35">
      <c r="A17" s="147" t="s">
        <v>44</v>
      </c>
      <c r="B17" s="169">
        <v>0.7</v>
      </c>
      <c r="C17" s="168">
        <f>C16/C14</f>
        <v>0.70000000000000007</v>
      </c>
      <c r="D17" s="168">
        <f>B17-C17</f>
        <v>0</v>
      </c>
      <c r="E17" s="168">
        <f>B17/C17-1</f>
        <v>0</v>
      </c>
      <c r="F17" s="163" t="str" cm="1">
        <f t="array" ref="F17">_xlfn.IFS(D17&lt;0, "U", D17&gt;0, "F", D17=0, "-")</f>
        <v>-</v>
      </c>
      <c r="H17" s="2" t="s">
        <v>123</v>
      </c>
    </row>
    <row r="18" spans="1:8" x14ac:dyDescent="0.35">
      <c r="A18" s="133" t="s">
        <v>94</v>
      </c>
      <c r="B18" s="137">
        <f>'Forecast Assumptions'!B26/3</f>
        <v>30000</v>
      </c>
      <c r="C18" s="137">
        <f>'2026 Forecast'!B25/3</f>
        <v>30000</v>
      </c>
      <c r="D18" s="137">
        <f>B18-C18</f>
        <v>0</v>
      </c>
      <c r="E18" s="138">
        <f>B18/C18-1</f>
        <v>0</v>
      </c>
      <c r="F18" s="136" t="str" cm="1">
        <f t="array" ref="F18">_xlfn.IFS(D18&lt;0, "U", D18&gt;0, "F", D18=0, "-")</f>
        <v>-</v>
      </c>
      <c r="H18" s="2" t="s">
        <v>123</v>
      </c>
    </row>
    <row r="19" spans="1:8" x14ac:dyDescent="0.35">
      <c r="A19" s="133" t="s">
        <v>95</v>
      </c>
      <c r="B19" s="137">
        <f>'Forecast Assumptions'!B27/3</f>
        <v>25000</v>
      </c>
      <c r="C19" s="137">
        <f>'2026 Forecast'!B26/3</f>
        <v>25000</v>
      </c>
      <c r="D19" s="137">
        <f>B19-C19</f>
        <v>0</v>
      </c>
      <c r="E19" s="138">
        <f>B19/C19-1</f>
        <v>0</v>
      </c>
      <c r="F19" s="136" t="str" cm="1">
        <f t="array" ref="F19">_xlfn.IFS(D19&lt;0, "U", D19&gt;0, "F", D19=0, "-")</f>
        <v>-</v>
      </c>
      <c r="H19" s="2" t="s">
        <v>123</v>
      </c>
    </row>
    <row r="20" spans="1:8" x14ac:dyDescent="0.35">
      <c r="A20" s="151" t="s">
        <v>96</v>
      </c>
      <c r="B20" s="156">
        <f>'Forecast Assumptions'!B28/3</f>
        <v>19000</v>
      </c>
      <c r="C20" s="156">
        <f>'2026 Forecast'!B27/3</f>
        <v>19000</v>
      </c>
      <c r="D20" s="156">
        <f>B20-C20</f>
        <v>0</v>
      </c>
      <c r="E20" s="157">
        <f>B20/C20-1</f>
        <v>0</v>
      </c>
      <c r="F20" s="158" t="str" cm="1">
        <f t="array" ref="F20">_xlfn.IFS(D20&lt;0, "U", D20&gt;0, "F", D20=0, "-")</f>
        <v>-</v>
      </c>
      <c r="H20" s="2" t="s">
        <v>52</v>
      </c>
    </row>
    <row r="21" spans="1:8" ht="15" thickBot="1" x14ac:dyDescent="0.4">
      <c r="A21" s="143" t="s">
        <v>51</v>
      </c>
      <c r="B21" s="159">
        <f>SUM(B18:B20)</f>
        <v>74000</v>
      </c>
      <c r="C21" s="159">
        <f>'2026 Forecast'!B28/3</f>
        <v>74000</v>
      </c>
      <c r="D21" s="159">
        <f>B21-C21</f>
        <v>0</v>
      </c>
      <c r="E21" s="162">
        <f>B21/C21-1</f>
        <v>0</v>
      </c>
      <c r="F21" s="161" t="str" cm="1">
        <f t="array" ref="F21">_xlfn.IFS(D21&lt;0, "U", D21&gt;0, "F", D21=0, "-")</f>
        <v>-</v>
      </c>
      <c r="H21" s="2" t="s">
        <v>124</v>
      </c>
    </row>
    <row r="22" spans="1:8" ht="15.5" thickTop="1" thickBot="1" x14ac:dyDescent="0.4">
      <c r="A22" s="164" t="s">
        <v>53</v>
      </c>
      <c r="B22" s="165">
        <f>B16-B21</f>
        <v>31213.849999999991</v>
      </c>
      <c r="C22" s="165">
        <f>C16-C21</f>
        <v>29978.735583333342</v>
      </c>
      <c r="D22" s="165">
        <f>B22-C22</f>
        <v>1235.114416666649</v>
      </c>
      <c r="E22" s="166">
        <f>B22/C22-1</f>
        <v>4.1199683463411629E-2</v>
      </c>
      <c r="F22" s="167" t="str" cm="1">
        <f t="array" ref="F22">_xlfn.IFS(D22&lt;0, "U", D22&gt;0, "F", D22=0, "-")</f>
        <v>F</v>
      </c>
      <c r="H22" s="2" t="s">
        <v>125</v>
      </c>
    </row>
    <row r="23" spans="1:8" ht="15" thickTop="1" x14ac:dyDescent="0.35">
      <c r="A23" s="133" t="s">
        <v>55</v>
      </c>
      <c r="B23" s="138">
        <f>B22/B14</f>
        <v>0.20766938002934018</v>
      </c>
      <c r="C23" s="138">
        <f>C22/C14</f>
        <v>0.20182121652667054</v>
      </c>
      <c r="D23" s="138">
        <f>B23-C23</f>
        <v>5.8481635026696455E-3</v>
      </c>
      <c r="E23" s="138">
        <f>B23/C23-1</f>
        <v>2.8976951003051754E-2</v>
      </c>
      <c r="F23" s="136" t="str" cm="1">
        <f t="array" ref="F23">IFERROR(_xlfn.IFS(D23&lt;0, "U", D23&gt;0, "F", D23=0, "-"), "-")</f>
        <v>F</v>
      </c>
    </row>
    <row r="25" spans="1:8" x14ac:dyDescent="0.35">
      <c r="A25" s="170"/>
    </row>
    <row r="27" spans="1:8" ht="17" x14ac:dyDescent="0.4">
      <c r="A27" s="172" t="s">
        <v>658</v>
      </c>
    </row>
    <row r="29" spans="1:8" x14ac:dyDescent="0.35">
      <c r="A29" s="173" t="s">
        <v>4</v>
      </c>
      <c r="B29" s="173" t="s">
        <v>283</v>
      </c>
      <c r="C29" s="173" t="s">
        <v>659</v>
      </c>
      <c r="D29" s="173" t="s">
        <v>614</v>
      </c>
    </row>
    <row r="30" spans="1:8" x14ac:dyDescent="0.35">
      <c r="A30" s="129" t="s">
        <v>193</v>
      </c>
      <c r="B30" s="174">
        <v>41</v>
      </c>
      <c r="C30" s="129">
        <f>IFERROR(B30-_xlfn.XLOOKUP("Active Customers",'KPI Tracker'!$A$4:$A$16,'KPI Tracker'!$B$4:$B$16),"—")</f>
        <v>2</v>
      </c>
      <c r="D30" s="129" t="s">
        <v>661</v>
      </c>
    </row>
    <row r="31" spans="1:8" x14ac:dyDescent="0.35">
      <c r="A31" s="129" t="s">
        <v>194</v>
      </c>
      <c r="B31" s="174">
        <v>53</v>
      </c>
      <c r="C31" s="129" t="str">
        <f>IFERROR(B31-_xlfn.XLOOKUP("Active Subscriptions",'KPI Tracker'!$A$4:$A$16,'KPI Tracker'!$B$4:$B$16),"—")</f>
        <v>—</v>
      </c>
      <c r="D31" s="129" t="s">
        <v>661</v>
      </c>
    </row>
    <row r="32" spans="1:8" x14ac:dyDescent="0.35">
      <c r="A32" s="129" t="s">
        <v>616</v>
      </c>
      <c r="B32" s="137">
        <f>B9/B30</f>
        <v>3665.9878048780488</v>
      </c>
      <c r="C32" s="137">
        <f>IFERROR(B32-_xlfn.XLOOKUP("ARPA",'KPI Tracker'!$A$4:$A$16,'KPI Tracker'!$B$4:$B$16),"—")</f>
        <v>-46.307066916822805</v>
      </c>
      <c r="D32" s="129" t="s">
        <v>617</v>
      </c>
    </row>
    <row r="33" spans="1:4" x14ac:dyDescent="0.35">
      <c r="A33" s="129" t="s">
        <v>618</v>
      </c>
      <c r="B33" s="175">
        <f>B17</f>
        <v>0.7</v>
      </c>
      <c r="C33" s="175">
        <f>IFERROR(B33-_xlfn.XLOOKUP("Gross Margin",'KPI Tracker'!$A$4:$A$16,'KPI Tracker'!$B$4:$B$16),"—")</f>
        <v>0</v>
      </c>
      <c r="D33" s="129" t="s">
        <v>619</v>
      </c>
    </row>
    <row r="34" spans="1:4" x14ac:dyDescent="0.35">
      <c r="A34" s="129" t="s">
        <v>620</v>
      </c>
      <c r="B34" s="175">
        <f>Retention!AA6</f>
        <v>0.99610819735501566</v>
      </c>
      <c r="C34" s="175">
        <f>IFERROR(B34-_xlfn.XLOOKUP("GRR",'KPI Tracker'!$A$4:$A$16,'KPI Tracker'!$B$4:$B$16),"—")</f>
        <v>-3.8918026449843435E-3</v>
      </c>
      <c r="D34" s="129" t="s">
        <v>621</v>
      </c>
    </row>
    <row r="35" spans="1:4" x14ac:dyDescent="0.35">
      <c r="A35" s="129" t="s">
        <v>622</v>
      </c>
      <c r="B35" s="175">
        <f>Retention!AA7</f>
        <v>0.99610819735501566</v>
      </c>
      <c r="C35" s="175">
        <f>IFERROR(B35-_xlfn.XLOOKUP("NRR",'KPI Tracker'!$A$4:$A$16,'KPI Tracker'!$B$4:$B$16),"—")</f>
        <v>-3.8918026449843435E-3</v>
      </c>
      <c r="D35" s="129" t="s">
        <v>621</v>
      </c>
    </row>
    <row r="36" spans="1:4" x14ac:dyDescent="0.35">
      <c r="A36" s="129" t="s">
        <v>623</v>
      </c>
      <c r="B36" s="129">
        <f>IFERROR(IF((B6+B7)=0,"N/A — no losses",(B4+B5)/(B6+B7)),"N/A")</f>
        <v>10.303030303030303</v>
      </c>
      <c r="C36" s="129" t="str">
        <f>IFERROR(IF(ISNUMBER(B36),B36-_xlfn.XLOOKUP("Quick Ratio",'KPI Tracker'!$A$4:$A$16,'KPI Tracker'!$B$4:$B$16),"—"),"—")</f>
        <v>—</v>
      </c>
      <c r="D36" s="129" t="s">
        <v>662</v>
      </c>
    </row>
    <row r="37" spans="1:4" x14ac:dyDescent="0.35">
      <c r="A37" s="129" t="s">
        <v>625</v>
      </c>
      <c r="B37" s="176">
        <f>B18</f>
        <v>30000</v>
      </c>
      <c r="C37" s="176">
        <f>IFERROR(B37-_xlfn.XLOOKUP("S&amp;M (actual)",'KPI Tracker'!$A$4:$A$16,'KPI Tracker'!$B$4:$B$16),"—")</f>
        <v>0</v>
      </c>
      <c r="D37" s="129" t="s">
        <v>626</v>
      </c>
    </row>
    <row r="38" spans="1:4" x14ac:dyDescent="0.35">
      <c r="A38" s="129" t="s">
        <v>627</v>
      </c>
      <c r="B38" s="176">
        <f>IFERROR(IF(B39=0,"—",B37/B39),"—")</f>
        <v>15000</v>
      </c>
      <c r="C38" s="176">
        <f>IFERROR(IF(ISNUMBER(B38),B38-_xlfn.XLOOKUP("CAC — monthly",'KPI Tracker'!$A$4:$A$16,'KPI Tracker'!$B$4:$B$16),"—"),"—")</f>
        <v>-15000</v>
      </c>
      <c r="D38" s="129" t="s">
        <v>663</v>
      </c>
    </row>
    <row r="39" spans="1:4" x14ac:dyDescent="0.35">
      <c r="A39" s="177" t="s">
        <v>665</v>
      </c>
      <c r="B39" s="188">
        <v>2</v>
      </c>
      <c r="C39" s="129" t="s">
        <v>629</v>
      </c>
      <c r="D39" s="177" t="s">
        <v>666</v>
      </c>
    </row>
    <row r="40" spans="1:4" x14ac:dyDescent="0.35">
      <c r="A40" s="129" t="s">
        <v>660</v>
      </c>
      <c r="B40" s="176">
        <f>IFERROR(IF(('Jan 2026 A vs F '!B46/'Jan 2026 A vs F '!B47+B39)=0,"—",('Jan 2026 A vs F '!B46+B37)/('Jan 2026 A vs F '!B46/'Jan 2026 A vs F '!B47+B39)),"—")</f>
        <v>20000</v>
      </c>
      <c r="C40" s="129" t="s">
        <v>629</v>
      </c>
      <c r="D40" s="129" t="s">
        <v>664</v>
      </c>
    </row>
    <row r="41" spans="1:4" x14ac:dyDescent="0.35">
      <c r="A41" s="129" t="s">
        <v>628</v>
      </c>
      <c r="B41" s="129" t="s">
        <v>629</v>
      </c>
      <c r="C41" s="129" t="s">
        <v>629</v>
      </c>
      <c r="D41" s="129" t="s">
        <v>630</v>
      </c>
    </row>
    <row r="42" spans="1:4" x14ac:dyDescent="0.35">
      <c r="A42" s="129" t="s">
        <v>631</v>
      </c>
      <c r="B42" s="129" t="s">
        <v>629</v>
      </c>
      <c r="C42" s="129" t="s">
        <v>629</v>
      </c>
      <c r="D42" s="129" t="s">
        <v>630</v>
      </c>
    </row>
    <row r="43" spans="1:4" x14ac:dyDescent="0.35">
      <c r="A43" s="129" t="s">
        <v>632</v>
      </c>
      <c r="B43" s="129" t="s">
        <v>629</v>
      </c>
      <c r="C43" s="129" t="s">
        <v>629</v>
      </c>
      <c r="D43" s="129" t="s">
        <v>630</v>
      </c>
    </row>
    <row r="44" spans="1:4" x14ac:dyDescent="0.35">
      <c r="A44" s="178" t="s">
        <v>633</v>
      </c>
    </row>
    <row r="45" spans="1:4" x14ac:dyDescent="0.35">
      <c r="A45" s="178" t="s">
        <v>667</v>
      </c>
    </row>
    <row r="47" spans="1:4" x14ac:dyDescent="0.35">
      <c r="A47" s="178" t="s">
        <v>635</v>
      </c>
    </row>
    <row r="48" spans="1:4" x14ac:dyDescent="0.35">
      <c r="A48" s="178" t="s">
        <v>636</v>
      </c>
    </row>
    <row r="51" spans="1:3" ht="17" x14ac:dyDescent="0.4">
      <c r="A51" s="179" t="s">
        <v>638</v>
      </c>
    </row>
    <row r="53" spans="1:3" x14ac:dyDescent="0.35">
      <c r="A53" s="173" t="s">
        <v>4</v>
      </c>
      <c r="B53" s="173" t="s">
        <v>639</v>
      </c>
      <c r="C53" s="173" t="s">
        <v>668</v>
      </c>
    </row>
    <row r="54" spans="1:3" x14ac:dyDescent="0.35">
      <c r="A54" s="129" t="s">
        <v>616</v>
      </c>
      <c r="B54" s="137">
        <f>B32</f>
        <v>3665.9878048780488</v>
      </c>
      <c r="C54" s="137">
        <f>B9/B30</f>
        <v>3665.9878048780488</v>
      </c>
    </row>
    <row r="55" spans="1:3" x14ac:dyDescent="0.35">
      <c r="A55" s="129" t="s">
        <v>620</v>
      </c>
      <c r="B55" s="175">
        <f>B34</f>
        <v>0.99610819735501566</v>
      </c>
      <c r="C55" s="175">
        <f>Retention!AA6</f>
        <v>0.99610819735501566</v>
      </c>
    </row>
    <row r="56" spans="1:3" x14ac:dyDescent="0.35">
      <c r="A56" s="129" t="s">
        <v>622</v>
      </c>
      <c r="B56" s="175">
        <f>B35</f>
        <v>0.99610819735501566</v>
      </c>
      <c r="C56" s="175">
        <f>Retention!AA7</f>
        <v>0.99610819735501566</v>
      </c>
    </row>
    <row r="57" spans="1:3" x14ac:dyDescent="0.35">
      <c r="A57" s="129" t="s">
        <v>623</v>
      </c>
      <c r="B57" s="129">
        <f>B36</f>
        <v>10.303030303030303</v>
      </c>
      <c r="C57" s="129">
        <f>IFERROR(IF((B6+B7)=0,"N/A — no losses",(B4+B5)/(B6+B7)),"N/A")</f>
        <v>10.303030303030303</v>
      </c>
    </row>
    <row r="58" spans="1:3" x14ac:dyDescent="0.35">
      <c r="A58" s="129" t="s">
        <v>640</v>
      </c>
      <c r="B58" s="176">
        <f>B38</f>
        <v>15000</v>
      </c>
      <c r="C58" s="176">
        <f>IFERROR(IF(B39=0,"—",B37/B39),"—")</f>
        <v>15000</v>
      </c>
    </row>
    <row r="60" spans="1:3" x14ac:dyDescent="0.35">
      <c r="A60" s="130" t="s">
        <v>611</v>
      </c>
    </row>
    <row r="61" spans="1:3" x14ac:dyDescent="0.35">
      <c r="A61" t="s">
        <v>670</v>
      </c>
    </row>
    <row r="62" spans="1:3" x14ac:dyDescent="0.35">
      <c r="A62" t="s">
        <v>671</v>
      </c>
    </row>
    <row r="63" spans="1:3" x14ac:dyDescent="0.35">
      <c r="A63" t="s">
        <v>672</v>
      </c>
    </row>
    <row r="64" spans="1:3" x14ac:dyDescent="0.35">
      <c r="A64" t="s">
        <v>673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6536-E0F1-4975-A641-B712DF8BD68D}">
  <sheetPr>
    <tabColor theme="9" tint="-0.499984740745262"/>
  </sheetPr>
  <dimension ref="A1:E18"/>
  <sheetViews>
    <sheetView workbookViewId="0">
      <selection activeCell="D27" sqref="D27"/>
    </sheetView>
  </sheetViews>
  <sheetFormatPr defaultRowHeight="14.5" x14ac:dyDescent="0.35"/>
  <cols>
    <col min="1" max="1" width="29.08984375" customWidth="1"/>
    <col min="2" max="4" width="20" customWidth="1"/>
    <col min="5" max="5" width="23.6328125" customWidth="1"/>
  </cols>
  <sheetData>
    <row r="1" spans="1:5" ht="18.5" x14ac:dyDescent="0.45">
      <c r="A1" s="117" t="s">
        <v>641</v>
      </c>
    </row>
    <row r="3" spans="1:5" x14ac:dyDescent="0.35">
      <c r="A3" s="113" t="s">
        <v>4</v>
      </c>
      <c r="B3" s="180" t="str">
        <f>TEXT(DATE(2026,1,1),"mmm-yy")</f>
        <v>Jan-26</v>
      </c>
      <c r="C3" s="180" t="str">
        <f>TEXT(DATE(2026,2,1),"mmm-yy")</f>
        <v>Feb-26</v>
      </c>
      <c r="D3" s="180" t="str">
        <f>TEXT(DATE(2026,3,1),"mmm-yy")</f>
        <v>Mar-26</v>
      </c>
      <c r="E3" s="118" t="s">
        <v>81</v>
      </c>
    </row>
    <row r="4" spans="1:5" x14ac:dyDescent="0.35">
      <c r="A4" t="s">
        <v>26</v>
      </c>
      <c r="B4" s="100">
        <f>'Jan 2026 A vs F '!B9</f>
        <v>144779.5</v>
      </c>
      <c r="C4" s="137">
        <f>'Feb 2026 A vs F'!B9</f>
        <v>150305.5</v>
      </c>
      <c r="E4" s="119"/>
    </row>
    <row r="5" spans="1:5" x14ac:dyDescent="0.35">
      <c r="A5" t="s">
        <v>193</v>
      </c>
      <c r="B5" s="120">
        <f>'Jan 2026 A vs F '!B39</f>
        <v>39</v>
      </c>
      <c r="C5" s="181">
        <f>'Feb 2026 A vs F'!B30</f>
        <v>41</v>
      </c>
      <c r="E5" s="119"/>
    </row>
    <row r="6" spans="1:5" x14ac:dyDescent="0.35">
      <c r="A6" t="s">
        <v>616</v>
      </c>
      <c r="B6" s="100">
        <f>'Jan 2026 A vs F '!B41</f>
        <v>3712.2948717948716</v>
      </c>
      <c r="C6" s="137">
        <f>'Feb 2026 A vs F'!B32</f>
        <v>3665.9878048780488</v>
      </c>
      <c r="E6" s="119"/>
    </row>
    <row r="7" spans="1:5" x14ac:dyDescent="0.35">
      <c r="A7" t="s">
        <v>618</v>
      </c>
      <c r="B7" s="28">
        <f>'Jan 2026 A vs F '!B42</f>
        <v>0.7</v>
      </c>
      <c r="C7" s="175">
        <f>'Feb 2026 A vs F'!B33</f>
        <v>0.7</v>
      </c>
      <c r="E7" s="119"/>
    </row>
    <row r="8" spans="1:5" x14ac:dyDescent="0.35">
      <c r="A8" t="s">
        <v>620</v>
      </c>
      <c r="B8" s="28">
        <f>'Jan 2026 A vs F '!B43</f>
        <v>1</v>
      </c>
      <c r="C8" s="175">
        <f>'Feb 2026 A vs F'!B34</f>
        <v>0.99610819735501566</v>
      </c>
      <c r="E8" s="119"/>
    </row>
    <row r="9" spans="1:5" x14ac:dyDescent="0.35">
      <c r="A9" t="s">
        <v>622</v>
      </c>
      <c r="B9" s="28">
        <f>'Jan 2026 A vs F '!B44</f>
        <v>1</v>
      </c>
      <c r="C9" s="175">
        <f>'Feb 2026 A vs F'!B35</f>
        <v>0.99610819735501566</v>
      </c>
      <c r="E9" s="119"/>
    </row>
    <row r="10" spans="1:5" x14ac:dyDescent="0.35">
      <c r="A10" t="s">
        <v>623</v>
      </c>
      <c r="B10" t="str">
        <f>'Jan 2026 A vs F '!B45</f>
        <v>N/A — no losses</v>
      </c>
      <c r="C10" s="129">
        <f>'Feb 2026 A vs F'!B36</f>
        <v>10.303030303030303</v>
      </c>
      <c r="E10" s="119"/>
    </row>
    <row r="11" spans="1:5" x14ac:dyDescent="0.35">
      <c r="A11" t="s">
        <v>625</v>
      </c>
      <c r="B11" s="44">
        <f>'Jan 2026 A vs F '!B46</f>
        <v>30000</v>
      </c>
      <c r="C11" s="176">
        <f>'Feb 2026 A vs F'!B37</f>
        <v>30000</v>
      </c>
      <c r="E11" s="119"/>
    </row>
    <row r="12" spans="1:5" x14ac:dyDescent="0.35">
      <c r="A12" t="s">
        <v>642</v>
      </c>
      <c r="B12" s="44">
        <f>'Jan 2026 A vs F '!B47</f>
        <v>30000</v>
      </c>
      <c r="C12" s="176">
        <f>'Feb 2026 A vs F'!B38</f>
        <v>15000</v>
      </c>
      <c r="E12" s="119"/>
    </row>
    <row r="13" spans="1:5" x14ac:dyDescent="0.35">
      <c r="A13" s="119" t="s">
        <v>643</v>
      </c>
      <c r="B13" s="121" t="s">
        <v>629</v>
      </c>
      <c r="C13" s="121" t="s">
        <v>629</v>
      </c>
      <c r="D13" s="121" t="s">
        <v>629</v>
      </c>
      <c r="E13" s="122" t="s">
        <v>644</v>
      </c>
    </row>
    <row r="14" spans="1:5" x14ac:dyDescent="0.35">
      <c r="A14" s="119" t="s">
        <v>628</v>
      </c>
      <c r="B14" s="121" t="s">
        <v>629</v>
      </c>
      <c r="C14" s="121" t="s">
        <v>629</v>
      </c>
      <c r="D14" s="121" t="s">
        <v>629</v>
      </c>
      <c r="E14" s="122" t="s">
        <v>644</v>
      </c>
    </row>
    <row r="15" spans="1:5" x14ac:dyDescent="0.35">
      <c r="A15" s="119" t="s">
        <v>631</v>
      </c>
      <c r="B15" s="121" t="s">
        <v>629</v>
      </c>
      <c r="C15" s="121" t="s">
        <v>629</v>
      </c>
      <c r="D15" s="121" t="s">
        <v>629</v>
      </c>
      <c r="E15" s="122" t="s">
        <v>644</v>
      </c>
    </row>
    <row r="16" spans="1:5" x14ac:dyDescent="0.35">
      <c r="A16" s="119" t="s">
        <v>632</v>
      </c>
      <c r="B16" s="121" t="s">
        <v>629</v>
      </c>
      <c r="C16" s="121" t="s">
        <v>629</v>
      </c>
      <c r="D16" s="121" t="s">
        <v>629</v>
      </c>
      <c r="E16" s="122" t="s">
        <v>644</v>
      </c>
    </row>
    <row r="18" spans="1:5" ht="30" customHeight="1" x14ac:dyDescent="0.35">
      <c r="A18" s="125" t="s">
        <v>645</v>
      </c>
      <c r="B18" s="125"/>
      <c r="C18" s="125"/>
      <c r="D18" s="123"/>
      <c r="E18" s="123"/>
    </row>
  </sheetData>
  <mergeCells count="1">
    <mergeCell ref="A18:C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400A-F6A7-4884-99EF-FD343C8B71C2}">
  <sheetPr>
    <tabColor theme="8" tint="-0.499984740745262"/>
  </sheetPr>
  <dimension ref="A1:I17"/>
  <sheetViews>
    <sheetView workbookViewId="0">
      <selection activeCell="O22" sqref="O22"/>
    </sheetView>
  </sheetViews>
  <sheetFormatPr defaultRowHeight="14.5" x14ac:dyDescent="0.35"/>
  <cols>
    <col min="1" max="1" width="8.81640625" bestFit="1" customWidth="1"/>
    <col min="2" max="2" width="15" bestFit="1" customWidth="1"/>
    <col min="3" max="4" width="10.81640625" bestFit="1" customWidth="1"/>
    <col min="5" max="5" width="10.36328125" bestFit="1" customWidth="1"/>
  </cols>
  <sheetData>
    <row r="1" spans="1:5" x14ac:dyDescent="0.35">
      <c r="A1" t="s">
        <v>155</v>
      </c>
      <c r="B1" t="s">
        <v>646</v>
      </c>
      <c r="C1" t="s">
        <v>647</v>
      </c>
      <c r="D1" t="s">
        <v>648</v>
      </c>
      <c r="E1" t="s">
        <v>649</v>
      </c>
    </row>
    <row r="2" spans="1:5" x14ac:dyDescent="0.35">
      <c r="A2" s="96">
        <v>46023</v>
      </c>
      <c r="B2" t="s">
        <v>14</v>
      </c>
      <c r="C2" s="100">
        <f>'Jan 2026 A vs F '!B3</f>
        <v>143069.5</v>
      </c>
      <c r="D2" s="100">
        <f>'Jan 2026 A vs F '!C3</f>
        <v>143069.5</v>
      </c>
      <c r="E2" s="100">
        <f>'Jan 2026 A vs F '!D3</f>
        <v>0</v>
      </c>
    </row>
    <row r="3" spans="1:5" x14ac:dyDescent="0.35">
      <c r="A3" s="96">
        <v>46023</v>
      </c>
      <c r="B3" t="s">
        <v>650</v>
      </c>
      <c r="C3" s="100">
        <f>'Jan 2026 A vs F '!B4</f>
        <v>1710</v>
      </c>
      <c r="D3" s="100">
        <f>'Jan 2026 A vs F '!C4</f>
        <v>4000</v>
      </c>
      <c r="E3" s="100">
        <f>'Jan 2026 A vs F '!D4</f>
        <v>-2290</v>
      </c>
    </row>
    <row r="4" spans="1:5" x14ac:dyDescent="0.35">
      <c r="A4" s="96">
        <v>46023</v>
      </c>
      <c r="B4" t="s">
        <v>651</v>
      </c>
      <c r="C4" s="100">
        <f>'Jan 2026 A vs F '!B5</f>
        <v>0</v>
      </c>
      <c r="D4" s="100">
        <f>'Jan 2026 A vs F '!C5</f>
        <v>715.34749999999997</v>
      </c>
      <c r="E4" s="100">
        <f>'Jan 2026 A vs F '!D5</f>
        <v>-715.34749999999997</v>
      </c>
    </row>
    <row r="5" spans="1:5" x14ac:dyDescent="0.35">
      <c r="A5" s="96">
        <v>46023</v>
      </c>
      <c r="B5" t="s">
        <v>652</v>
      </c>
      <c r="C5" s="100">
        <f>'Jan 2026 A vs F '!B6</f>
        <v>0</v>
      </c>
      <c r="D5" s="100">
        <f>'Jan 2026 A vs F '!C6</f>
        <v>0</v>
      </c>
      <c r="E5" s="100">
        <f>C5-D5</f>
        <v>0</v>
      </c>
    </row>
    <row r="6" spans="1:5" x14ac:dyDescent="0.35">
      <c r="A6" s="96">
        <v>46023</v>
      </c>
      <c r="B6" t="s">
        <v>653</v>
      </c>
      <c r="C6" s="100">
        <f>'Jan 2026 A vs F '!B7</f>
        <v>0</v>
      </c>
      <c r="D6" s="100">
        <f>'Jan 2026 A vs F '!C7</f>
        <v>953.79666666666662</v>
      </c>
      <c r="E6" s="182">
        <f>D6-C6</f>
        <v>953.79666666666662</v>
      </c>
    </row>
    <row r="7" spans="1:5" x14ac:dyDescent="0.35">
      <c r="A7" s="96">
        <v>46023</v>
      </c>
      <c r="B7" t="s">
        <v>24</v>
      </c>
      <c r="C7" s="100">
        <f>'Jan 2026 A vs F '!B8</f>
        <v>1710</v>
      </c>
      <c r="D7" s="100">
        <f>'Jan 2026 A vs F '!C8</f>
        <v>3761.5508333333332</v>
      </c>
      <c r="E7" s="100">
        <f>'Jan 2026 A vs F '!D8</f>
        <v>-2051.5508333333332</v>
      </c>
    </row>
    <row r="8" spans="1:5" x14ac:dyDescent="0.35">
      <c r="A8" s="96">
        <v>46023</v>
      </c>
      <c r="B8" t="s">
        <v>26</v>
      </c>
      <c r="C8" s="100">
        <f>'Jan 2026 A vs F '!B9</f>
        <v>144779.5</v>
      </c>
      <c r="D8" s="100">
        <f>'Jan 2026 A vs F '!C9</f>
        <v>146831.05083333334</v>
      </c>
      <c r="E8" s="100">
        <f>'Jan 2026 A vs F '!D9</f>
        <v>-2051.5508333333419</v>
      </c>
    </row>
    <row r="9" spans="1:5" x14ac:dyDescent="0.35">
      <c r="A9" s="183" t="str">
        <f>TEXT(DATE(2026,2,1),"mmm-yy")</f>
        <v>Feb-26</v>
      </c>
      <c r="B9" s="186" t="s">
        <v>14</v>
      </c>
      <c r="C9" s="182">
        <f>'Feb 2026 A vs F'!B3</f>
        <v>144779.5</v>
      </c>
      <c r="D9" s="182">
        <f>'Feb 2026 A vs F'!C3</f>
        <v>144779.5</v>
      </c>
      <c r="E9" s="182">
        <f>C9-D9</f>
        <v>0</v>
      </c>
    </row>
    <row r="10" spans="1:5" x14ac:dyDescent="0.35">
      <c r="A10" s="185" t="str">
        <f>TEXT(DATE(2026,2,1),"mmm-yy")</f>
        <v>Feb-26</v>
      </c>
      <c r="B10" s="184" t="s">
        <v>650</v>
      </c>
      <c r="C10" s="187">
        <f>'Feb 2026 A vs F'!B4</f>
        <v>6120</v>
      </c>
      <c r="D10" s="187">
        <f>'Feb 2026 A vs F'!C4</f>
        <v>4000</v>
      </c>
      <c r="E10" s="187">
        <f>C10-D10</f>
        <v>2120</v>
      </c>
    </row>
    <row r="11" spans="1:5" x14ac:dyDescent="0.35">
      <c r="A11" s="183" t="str">
        <f>TEXT(DATE(2026,2,1),"mmm-yy")</f>
        <v>Feb-26</v>
      </c>
      <c r="B11" s="186" t="s">
        <v>651</v>
      </c>
      <c r="C11" s="182">
        <f>'Feb 2026 A vs F'!B5</f>
        <v>0</v>
      </c>
      <c r="D11" s="182">
        <f>'Feb 2026 A vs F'!C5</f>
        <v>715.34749999999997</v>
      </c>
      <c r="E11" s="182">
        <f>C11-D11</f>
        <v>-715.34749999999997</v>
      </c>
    </row>
    <row r="12" spans="1:5" x14ac:dyDescent="0.35">
      <c r="A12" s="185" t="str">
        <f>TEXT(DATE(2026,2,1),"mmm-yy")</f>
        <v>Feb-26</v>
      </c>
      <c r="B12" s="184" t="s">
        <v>652</v>
      </c>
      <c r="C12" s="187">
        <f>'Feb 2026 A vs F'!B6</f>
        <v>0</v>
      </c>
      <c r="D12" s="187">
        <f>'Feb 2026 A vs F'!C6</f>
        <v>0</v>
      </c>
      <c r="E12" s="187">
        <f>D12-C12</f>
        <v>0</v>
      </c>
    </row>
    <row r="13" spans="1:5" x14ac:dyDescent="0.35">
      <c r="A13" s="183" t="str">
        <f>TEXT(DATE(2026,2,1),"mmm-yy")</f>
        <v>Feb-26</v>
      </c>
      <c r="B13" s="186" t="s">
        <v>653</v>
      </c>
      <c r="C13" s="182">
        <f>'Feb 2026 A vs F'!B7</f>
        <v>594</v>
      </c>
      <c r="D13" s="182">
        <f>'Feb 2026 A vs F'!C7</f>
        <v>953.79666666666662</v>
      </c>
      <c r="E13" s="182">
        <f>D13-C13</f>
        <v>359.79666666666662</v>
      </c>
    </row>
    <row r="14" spans="1:5" x14ac:dyDescent="0.35">
      <c r="A14" s="185" t="str">
        <f>TEXT(DATE(2026,2,1),"mmm-yy")</f>
        <v>Feb-26</v>
      </c>
      <c r="B14" s="184" t="s">
        <v>24</v>
      </c>
      <c r="C14" s="187">
        <f>'Feb 2026 A vs F'!B8</f>
        <v>5526</v>
      </c>
      <c r="D14" s="187">
        <f>'Feb 2026 A vs F'!C8</f>
        <v>3761.5508333333332</v>
      </c>
      <c r="E14" s="187">
        <f>C14-D14</f>
        <v>1764.4491666666668</v>
      </c>
    </row>
    <row r="15" spans="1:5" x14ac:dyDescent="0.35">
      <c r="A15" s="183" t="str">
        <f>TEXT(DATE(2026,2,1),"mmm-yy")</f>
        <v>Feb-26</v>
      </c>
      <c r="B15" s="186" t="s">
        <v>26</v>
      </c>
      <c r="C15" s="182">
        <f>'Feb 2026 A vs F'!B9</f>
        <v>150305.5</v>
      </c>
      <c r="D15" s="182">
        <f>'Feb 2026 A vs F'!C9</f>
        <v>148541.05083333334</v>
      </c>
      <c r="E15" s="182">
        <f>C15-D15</f>
        <v>1764.4491666666581</v>
      </c>
    </row>
    <row r="17" spans="9:9" x14ac:dyDescent="0.35">
      <c r="I17" t="s">
        <v>669</v>
      </c>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98"/>
  <sheetViews>
    <sheetView workbookViewId="0">
      <selection activeCell="T23" sqref="T23"/>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IF(H2&lt;&gt;"cancelled",0,IF(COUNTIFS($C$2:$C$98,$C2,$H$2:$H$98,"created",$F$2:$F$98,"&lt;="&amp;F2)-COUNTIFS($C$2:$C$98,$C2,$H$2:$H$98,"cancelled",$F$2:$F$98,"&lt;="&amp;F2)=0,1,0))</f>
        <v>0</v>
      </c>
      <c r="V2">
        <f>IF(AND(H2="created",T2=0,COUNTIFS($C$2:$C$98,$C2,$H$2:$H$98,"cancelled",$F$2:$F$98,"&lt;"&amp;F2)&gt;0,COUNTIFS($C$2:$C$98,$C2,$H$2:$H$98,"created",$F$2:$F$98,"&lt;"&amp;F2)-COUNTIFS($C$2:$C$98,$C2,$H$2:$H$98,"cancelled",$F$2:$F$98,"&lt;"&amp;F2)=0),1,0)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ref="U3:U66" si="0">IF(H3&lt;&gt;"cancelled",0,IF(COUNTIFS($C$2:$C$98,$C3,$H$2:$H$98,"created",$F$2:$F$98,"&lt;="&amp;F3)-COUNTIFS($C$2:$C$98,$C3,$H$2:$H$98,"cancelled",$F$2:$F$98,"&lt;="&amp;F3)=0,1,0))</f>
        <v>0</v>
      </c>
      <c r="V3">
        <f t="shared" ref="V3:V66" si="1">IF(AND(H3="created",T3=0,COUNTIFS($C$2:$C$98,$C3,$H$2:$H$98,"cancelled",$F$2:$F$98,"&lt;"&amp;F3)&gt;0,COUNTIFS($C$2:$C$98,$C3,$H$2:$H$98,"created",$F$2:$F$98,"&lt;"&amp;F3)-COUNTIFS($C$2:$C$98,$C3,$H$2:$H$98,"cancelled",$F$2:$F$98,"&lt;"&amp;F3)=0),1,0)</f>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si="0"/>
        <v>0</v>
      </c>
      <c r="V34">
        <f t="shared" si="1"/>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0"/>
        <v>1</v>
      </c>
      <c r="V35">
        <f t="shared" si="1"/>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0"/>
        <v>0</v>
      </c>
      <c r="V36">
        <f t="shared" si="1"/>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0"/>
        <v>0</v>
      </c>
      <c r="V37">
        <f t="shared" si="1"/>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0"/>
        <v>0</v>
      </c>
      <c r="V38">
        <f t="shared" si="1"/>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0"/>
        <v>0</v>
      </c>
      <c r="V39">
        <f t="shared" si="1"/>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0"/>
        <v>0</v>
      </c>
      <c r="V40">
        <f t="shared" si="1"/>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0"/>
        <v>0</v>
      </c>
      <c r="V41">
        <f t="shared" si="1"/>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0"/>
        <v>0</v>
      </c>
      <c r="V42">
        <f t="shared" si="1"/>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0"/>
        <v>0</v>
      </c>
      <c r="V43">
        <f t="shared" si="1"/>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0"/>
        <v>1</v>
      </c>
      <c r="V44">
        <f t="shared" si="1"/>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0"/>
        <v>0</v>
      </c>
      <c r="V45">
        <f t="shared" si="1"/>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0"/>
        <v>0</v>
      </c>
      <c r="V46">
        <f t="shared" si="1"/>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0"/>
        <v>0</v>
      </c>
      <c r="V47">
        <f t="shared" si="1"/>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0"/>
        <v>0</v>
      </c>
      <c r="V48">
        <f t="shared" si="1"/>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0"/>
        <v>0</v>
      </c>
      <c r="V49">
        <f t="shared" si="1"/>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0"/>
        <v>0</v>
      </c>
      <c r="V50">
        <f t="shared" si="1"/>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0"/>
        <v>0</v>
      </c>
      <c r="V51">
        <f t="shared" si="1"/>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0"/>
        <v>0</v>
      </c>
      <c r="V52">
        <f t="shared" si="1"/>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0"/>
        <v>0</v>
      </c>
      <c r="V53">
        <f t="shared" si="1"/>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0"/>
        <v>0</v>
      </c>
      <c r="V54">
        <f t="shared" si="1"/>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0"/>
        <v>0</v>
      </c>
      <c r="V55">
        <f t="shared" si="1"/>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0"/>
        <v>0</v>
      </c>
      <c r="V56">
        <f t="shared" si="1"/>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0"/>
        <v>0</v>
      </c>
      <c r="V57">
        <f t="shared" si="1"/>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0"/>
        <v>0</v>
      </c>
      <c r="V58">
        <f t="shared" si="1"/>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0"/>
        <v>0</v>
      </c>
      <c r="V59">
        <f t="shared" si="1"/>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0"/>
        <v>0</v>
      </c>
      <c r="V60">
        <f t="shared" si="1"/>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0"/>
        <v>0</v>
      </c>
      <c r="V61">
        <f t="shared" si="1"/>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0"/>
        <v>0</v>
      </c>
      <c r="V62">
        <f t="shared" si="1"/>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0"/>
        <v>0</v>
      </c>
      <c r="V63">
        <f t="shared" si="1"/>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0"/>
        <v>0</v>
      </c>
      <c r="V64">
        <f t="shared" si="1"/>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0"/>
        <v>0</v>
      </c>
      <c r="V65">
        <f t="shared" si="1"/>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si="0"/>
        <v>0</v>
      </c>
      <c r="V66">
        <f t="shared" si="1"/>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ref="U67:U98" si="2">IF(H67&lt;&gt;"cancelled",0,IF(COUNTIFS($C$2:$C$98,$C67,$H$2:$H$98,"created",$F$2:$F$98,"&lt;="&amp;F67)-COUNTIFS($C$2:$C$98,$C67,$H$2:$H$98,"cancelled",$F$2:$F$98,"&lt;="&amp;F67)=0,1,0))</f>
        <v>0</v>
      </c>
      <c r="V67">
        <f t="shared" ref="V67:V98" si="3">IF(AND(H67="created",T67=0,COUNTIFS($C$2:$C$98,$C67,$H$2:$H$98,"cancelled",$F$2:$F$98,"&lt;"&amp;F67)&gt;0,COUNTIFS($C$2:$C$98,$C67,$H$2:$H$98,"created",$F$2:$F$98,"&lt;"&amp;F67)-COUNTIFS($C$2:$C$98,$C67,$H$2:$H$98,"cancelled",$F$2:$F$98,"&lt;"&amp;F67)=0),1,0)</f>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2"/>
        <v>0</v>
      </c>
      <c r="V68">
        <f t="shared" si="3"/>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2"/>
        <v>0</v>
      </c>
      <c r="V69">
        <f t="shared" si="3"/>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2"/>
        <v>0</v>
      </c>
      <c r="V70">
        <f t="shared" si="3"/>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2"/>
        <v>0</v>
      </c>
      <c r="V71">
        <f t="shared" si="3"/>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2"/>
        <v>0</v>
      </c>
      <c r="V72">
        <f t="shared" si="3"/>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2"/>
        <v>0</v>
      </c>
      <c r="V73">
        <f t="shared" si="3"/>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2"/>
        <v>0</v>
      </c>
      <c r="V74">
        <f t="shared" si="3"/>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2"/>
        <v>0</v>
      </c>
      <c r="V75">
        <f t="shared" si="3"/>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2"/>
        <v>0</v>
      </c>
      <c r="V76">
        <f t="shared" si="3"/>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2"/>
        <v>1</v>
      </c>
      <c r="V77">
        <f t="shared" si="3"/>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2"/>
        <v>0</v>
      </c>
      <c r="V78">
        <f t="shared" si="3"/>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2"/>
        <v>0</v>
      </c>
      <c r="V79">
        <f t="shared" si="3"/>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2"/>
        <v>0</v>
      </c>
      <c r="V80">
        <f t="shared" si="3"/>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2"/>
        <v>0</v>
      </c>
      <c r="V81">
        <f t="shared" si="3"/>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2"/>
        <v>0</v>
      </c>
      <c r="V82">
        <f t="shared" si="3"/>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2"/>
        <v>0</v>
      </c>
      <c r="V83">
        <f t="shared" si="3"/>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2"/>
        <v>0</v>
      </c>
      <c r="V84">
        <f t="shared" si="3"/>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2"/>
        <v>0</v>
      </c>
      <c r="V85">
        <f t="shared" si="3"/>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2"/>
        <v>0</v>
      </c>
      <c r="V86">
        <f t="shared" si="3"/>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2"/>
        <v>0</v>
      </c>
      <c r="V87">
        <f t="shared" si="3"/>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2"/>
        <v>0</v>
      </c>
      <c r="V88">
        <f t="shared" si="3"/>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2"/>
        <v>0</v>
      </c>
      <c r="V89">
        <f t="shared" si="3"/>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2"/>
        <v>0</v>
      </c>
      <c r="V90">
        <f t="shared" si="3"/>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2"/>
        <v>0</v>
      </c>
      <c r="V91">
        <f t="shared" si="3"/>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2"/>
        <v>0</v>
      </c>
      <c r="V92">
        <f t="shared" si="3"/>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2"/>
        <v>0</v>
      </c>
      <c r="V93">
        <f t="shared" si="3"/>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2"/>
        <v>0</v>
      </c>
      <c r="V94">
        <f t="shared" si="3"/>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2"/>
        <v>0</v>
      </c>
      <c r="V95">
        <f t="shared" si="3"/>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2"/>
        <v>0</v>
      </c>
      <c r="V96">
        <f t="shared" si="3"/>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2"/>
        <v>0</v>
      </c>
      <c r="V97">
        <f t="shared" si="3"/>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2"/>
        <v>0</v>
      </c>
      <c r="V98">
        <f t="shared" si="3"/>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2"/>
  <sheetViews>
    <sheetView workbookViewId="0">
      <pane ySplit="1" topLeftCell="A2" activePane="bottomLeft" state="frozen"/>
      <selection pane="bottomLeft" activeCell="M26" sqref="M26"/>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SUMIFS(Engine!$S$2:$S$98, Engine!$R$2:$R$98, "New", Engine!$F$2:$F$98, Waterfall!A3)</f>
        <v>5800</v>
      </c>
      <c r="D3" s="39">
        <f>SUMIFS(Engine!$S$2:$S$98, Engine!$R$2:$R$98, "Expansion", Engine!$F$2:$F$98, Waterfall!A3)</f>
        <v>0</v>
      </c>
      <c r="E3" s="38">
        <f>SUMIFS(Engine!$S$2:$S$98, Engine!$R$2:$R$98, "Contraction", Engine!$F$2:$F$98, Waterfall!A3)</f>
        <v>0</v>
      </c>
      <c r="F3" s="38">
        <f>SUMIFS(Engine!$S$2:$S$98, Engine!$R$2:$R$98, "Churned", Engine!$F$2:$F$98, Waterfall!A3)</f>
        <v>0</v>
      </c>
      <c r="G3" s="38">
        <f>C3+D3+E3+F3</f>
        <v>5800</v>
      </c>
      <c r="H3" s="38">
        <f>B3+G3</f>
        <v>5800</v>
      </c>
    </row>
    <row r="4" spans="1:8" x14ac:dyDescent="0.35">
      <c r="A4" s="37">
        <v>45323</v>
      </c>
      <c r="B4" s="38">
        <f>H3</f>
        <v>5800</v>
      </c>
      <c r="C4" s="39">
        <f>SUMIFS(Engine!$S$2:$S$98, Engine!$R$2:$R$98, "New", Engine!$F$2:$F$98, Waterfall!A4)</f>
        <v>8615</v>
      </c>
      <c r="D4" s="39">
        <f>SUMIFS(Engine!$S$2:$S$98, Engine!$R$2:$R$98, "Expansion", Engine!$F$2:$F$98, Waterfall!A4)</f>
        <v>0</v>
      </c>
      <c r="E4" s="38">
        <f>SUMIFS(Engine!$S$2:$S$98, Engine!$R$2:$R$98, "Contraction", Engine!$F$2:$F$98, Waterfall!A4)</f>
        <v>0</v>
      </c>
      <c r="F4" s="38">
        <f>SUMIFS(Engine!$S$2:$S$98, Engine!$R$2:$R$98, "Churned", Engine!$F$2:$F$98, Waterfall!A4)</f>
        <v>0</v>
      </c>
      <c r="G4" s="38">
        <f t="shared" ref="G4:G28" si="0">C4+D4+E4+F4</f>
        <v>8615</v>
      </c>
      <c r="H4" s="38">
        <f t="shared" ref="H4:H28" si="1">B4+G4</f>
        <v>14415</v>
      </c>
    </row>
    <row r="5" spans="1:8" x14ac:dyDescent="0.35">
      <c r="A5" s="37">
        <v>45352</v>
      </c>
      <c r="B5" s="38">
        <f t="shared" ref="B5:B28" si="2">H4</f>
        <v>14415</v>
      </c>
      <c r="C5" s="39">
        <f>SUMIFS(Engine!$S$2:$S$98, Engine!$R$2:$R$98, "New", Engine!$F$2:$F$98, Waterfall!A5)</f>
        <v>6075</v>
      </c>
      <c r="D5" s="39">
        <f>SUMIFS(Engine!$S$2:$S$98, Engine!$R$2:$R$98, "Expansion", Engine!$F$2:$F$98, Waterfall!A5)</f>
        <v>0</v>
      </c>
      <c r="E5" s="38">
        <f>SUMIFS(Engine!$S$2:$S$98, Engine!$R$2:$R$98, "Contraction", Engine!$F$2:$F$98, Waterfall!A5)</f>
        <v>0</v>
      </c>
      <c r="F5" s="38">
        <f>SUMIFS(Engine!$S$2:$S$98, Engine!$R$2:$R$98, "Churned", Engine!$F$2:$F$98, Waterfall!A5)</f>
        <v>0</v>
      </c>
      <c r="G5" s="38">
        <f t="shared" si="0"/>
        <v>6075</v>
      </c>
      <c r="H5" s="38">
        <f t="shared" si="1"/>
        <v>20490</v>
      </c>
    </row>
    <row r="6" spans="1:8" x14ac:dyDescent="0.35">
      <c r="A6" s="37">
        <v>45383</v>
      </c>
      <c r="B6" s="38">
        <f t="shared" si="2"/>
        <v>20490</v>
      </c>
      <c r="C6" s="39">
        <f>SUMIFS(Engine!$S$2:$S$98, Engine!$R$2:$R$98, "New", Engine!$F$2:$F$98, Waterfall!A6)</f>
        <v>9444</v>
      </c>
      <c r="D6" s="39">
        <f>SUMIFS(Engine!$S$2:$S$98, Engine!$R$2:$R$98, "Expansion", Engine!$F$2:$F$98, Waterfall!A6)</f>
        <v>0</v>
      </c>
      <c r="E6" s="38">
        <f>SUMIFS(Engine!$S$2:$S$98, Engine!$R$2:$R$98, "Contraction", Engine!$F$2:$F$98, Waterfall!A6)</f>
        <v>0</v>
      </c>
      <c r="F6" s="38">
        <f>SUMIFS(Engine!$S$2:$S$98, Engine!$R$2:$R$98, "Churned", Engine!$F$2:$F$98, Waterfall!A6)</f>
        <v>0</v>
      </c>
      <c r="G6" s="38">
        <f t="shared" si="0"/>
        <v>9444</v>
      </c>
      <c r="H6" s="38">
        <f t="shared" si="1"/>
        <v>29934</v>
      </c>
    </row>
    <row r="7" spans="1:8" x14ac:dyDescent="0.35">
      <c r="A7" s="37">
        <v>45413</v>
      </c>
      <c r="B7" s="38">
        <f t="shared" si="2"/>
        <v>29934</v>
      </c>
      <c r="C7" s="39">
        <f>SUMIFS(Engine!$S$2:$S$98, Engine!$R$2:$R$98, "New", Engine!$F$2:$F$98, Waterfall!A7)</f>
        <v>2565</v>
      </c>
      <c r="D7" s="39">
        <f>SUMIFS(Engine!$S$2:$S$98, Engine!$R$2:$R$98, "Expansion", Engine!$F$2:$F$98, Waterfall!A7)</f>
        <v>0</v>
      </c>
      <c r="E7" s="38">
        <f>SUMIFS(Engine!$S$2:$S$98, Engine!$R$2:$R$98, "Contraction", Engine!$F$2:$F$98, Waterfall!A7)</f>
        <v>0</v>
      </c>
      <c r="F7" s="38">
        <f>SUMIFS(Engine!$S$2:$S$98, Engine!$R$2:$R$98, "Churned", Engine!$F$2:$F$98, Waterfall!A7)</f>
        <v>0</v>
      </c>
      <c r="G7" s="38">
        <f t="shared" si="0"/>
        <v>2565</v>
      </c>
      <c r="H7" s="38">
        <f t="shared" si="1"/>
        <v>32499</v>
      </c>
    </row>
    <row r="8" spans="1:8" x14ac:dyDescent="0.35">
      <c r="A8" s="37">
        <v>45444</v>
      </c>
      <c r="B8" s="38">
        <f t="shared" si="2"/>
        <v>32499</v>
      </c>
      <c r="C8" s="39">
        <f>SUMIFS(Engine!$S$2:$S$98, Engine!$R$2:$R$98, "New", Engine!$F$2:$F$98, Waterfall!A8)</f>
        <v>3490</v>
      </c>
      <c r="D8" s="39">
        <f>SUMIFS(Engine!$S$2:$S$98, Engine!$R$2:$R$98, "Expansion", Engine!$F$2:$F$98, Waterfall!A8)</f>
        <v>0</v>
      </c>
      <c r="E8" s="38">
        <f>SUMIFS(Engine!$S$2:$S$98, Engine!$R$2:$R$98, "Contraction", Engine!$F$2:$F$98, Waterfall!A8)</f>
        <v>0</v>
      </c>
      <c r="F8" s="38">
        <f>SUMIFS(Engine!$S$2:$S$98, Engine!$R$2:$R$98, "Churned", Engine!$F$2:$F$98, Waterfall!A8)</f>
        <v>0</v>
      </c>
      <c r="G8" s="38">
        <f t="shared" si="0"/>
        <v>3490</v>
      </c>
      <c r="H8" s="38">
        <f t="shared" si="1"/>
        <v>35989</v>
      </c>
    </row>
    <row r="9" spans="1:8" x14ac:dyDescent="0.35">
      <c r="A9" s="37">
        <v>45474</v>
      </c>
      <c r="B9" s="38">
        <f t="shared" si="2"/>
        <v>35989</v>
      </c>
      <c r="C9" s="39">
        <f>SUMIFS(Engine!$S$2:$S$98, Engine!$R$2:$R$98, "New", Engine!$F$2:$F$98, Waterfall!A9)</f>
        <v>9364.5</v>
      </c>
      <c r="D9" s="39">
        <f>SUMIFS(Engine!$S$2:$S$98, Engine!$R$2:$R$98, "Expansion", Engine!$F$2:$F$98, Waterfall!A9)</f>
        <v>0</v>
      </c>
      <c r="E9" s="38">
        <f>SUMIFS(Engine!$S$2:$S$98, Engine!$R$2:$R$98, "Contraction", Engine!$F$2:$F$98, Waterfall!A9)</f>
        <v>0</v>
      </c>
      <c r="F9" s="38">
        <f>SUMIFS(Engine!$S$2:$S$98, Engine!$R$2:$R$98, "Churned", Engine!$F$2:$F$98, Waterfall!A9)</f>
        <v>0</v>
      </c>
      <c r="G9" s="38">
        <f t="shared" si="0"/>
        <v>9364.5</v>
      </c>
      <c r="H9" s="38">
        <f t="shared" si="1"/>
        <v>45353.5</v>
      </c>
    </row>
    <row r="10" spans="1:8" x14ac:dyDescent="0.35">
      <c r="A10" s="37">
        <v>45505</v>
      </c>
      <c r="B10" s="38">
        <f t="shared" si="2"/>
        <v>45353.5</v>
      </c>
      <c r="C10" s="39">
        <f>SUMIFS(Engine!$S$2:$S$98, Engine!$R$2:$R$98, "New", Engine!$F$2:$F$98, Waterfall!A10)</f>
        <v>6840</v>
      </c>
      <c r="D10" s="39">
        <f>SUMIFS(Engine!$S$2:$S$98, Engine!$R$2:$R$98, "Expansion", Engine!$F$2:$F$98, Waterfall!A10)</f>
        <v>0</v>
      </c>
      <c r="E10" s="38">
        <f>SUMIFS(Engine!$S$2:$S$98, Engine!$R$2:$R$98, "Contraction", Engine!$F$2:$F$98, Waterfall!A10)</f>
        <v>0</v>
      </c>
      <c r="F10" s="40">
        <f>SUMIFS(Engine!$S$2:$S$98, Engine!$R$2:$R$98, "Churned", Engine!$F$2:$F$98, Waterfall!A10)</f>
        <v>-1900</v>
      </c>
      <c r="G10" s="38">
        <f t="shared" si="0"/>
        <v>4940</v>
      </c>
      <c r="H10" s="38">
        <f t="shared" si="1"/>
        <v>50293.5</v>
      </c>
    </row>
    <row r="11" spans="1:8" x14ac:dyDescent="0.35">
      <c r="A11" s="37">
        <v>45536</v>
      </c>
      <c r="B11" s="38">
        <f t="shared" si="2"/>
        <v>50293.5</v>
      </c>
      <c r="C11" s="39">
        <f>SUMIFS(Engine!$S$2:$S$98, Engine!$R$2:$R$98, "New", Engine!$F$2:$F$98, Waterfall!A11)</f>
        <v>13415</v>
      </c>
      <c r="D11" s="39">
        <f>SUMIFS(Engine!$S$2:$S$98, Engine!$R$2:$R$98, "Expansion", Engine!$F$2:$F$98, Waterfall!A11)</f>
        <v>0</v>
      </c>
      <c r="E11" s="38">
        <f>SUMIFS(Engine!$S$2:$S$98, Engine!$R$2:$R$98, "Contraction", Engine!$F$2:$F$98, Waterfall!A11)</f>
        <v>0</v>
      </c>
      <c r="F11" s="38">
        <f>SUMIFS(Engine!$S$2:$S$98, Engine!$R$2:$R$98, "Churned", Engine!$F$2:$F$98, Waterfall!A11)</f>
        <v>0</v>
      </c>
      <c r="G11" s="38">
        <f t="shared" si="0"/>
        <v>13415</v>
      </c>
      <c r="H11" s="38">
        <f t="shared" si="1"/>
        <v>63708.5</v>
      </c>
    </row>
    <row r="12" spans="1:8" x14ac:dyDescent="0.35">
      <c r="A12" s="37">
        <v>45566</v>
      </c>
      <c r="B12" s="38">
        <f t="shared" si="2"/>
        <v>63708.5</v>
      </c>
      <c r="C12" s="39">
        <f>SUMIFS(Engine!$S$2:$S$98, Engine!$R$2:$R$98, "New", Engine!$F$2:$F$98, Waterfall!A12)</f>
        <v>10130</v>
      </c>
      <c r="D12" s="39">
        <f>SUMIFS(Engine!$S$2:$S$98, Engine!$R$2:$R$98, "Expansion", Engine!$F$2:$F$98, Waterfall!A12)</f>
        <v>0</v>
      </c>
      <c r="E12" s="38">
        <f>SUMIFS(Engine!$S$2:$S$98, Engine!$R$2:$R$98, "Contraction", Engine!$F$2:$F$98, Waterfall!A12)</f>
        <v>0</v>
      </c>
      <c r="F12" s="38">
        <f>SUMIFS(Engine!$S$2:$S$98, Engine!$R$2:$R$98, "Churned", Engine!$F$2:$F$98, Waterfall!A12)</f>
        <v>0</v>
      </c>
      <c r="G12" s="38">
        <f t="shared" si="0"/>
        <v>10130</v>
      </c>
      <c r="H12" s="38">
        <f t="shared" si="1"/>
        <v>73838.5</v>
      </c>
    </row>
    <row r="13" spans="1:8" x14ac:dyDescent="0.35">
      <c r="A13" s="37">
        <v>45597</v>
      </c>
      <c r="B13" s="38">
        <f t="shared" si="2"/>
        <v>73838.5</v>
      </c>
      <c r="C13" s="39">
        <f>SUMIFS(Engine!$S$2:$S$98, Engine!$R$2:$R$98, "New", Engine!$F$2:$F$98, Waterfall!A13)</f>
        <v>4955</v>
      </c>
      <c r="D13" s="39">
        <f>SUMIFS(Engine!$S$2:$S$98, Engine!$R$2:$R$98, "Expansion", Engine!$F$2:$F$98, Waterfall!A13)</f>
        <v>0</v>
      </c>
      <c r="E13" s="38">
        <f>SUMIFS(Engine!$S$2:$S$98, Engine!$R$2:$R$98, "Contraction", Engine!$F$2:$F$98, Waterfall!A13)</f>
        <v>0</v>
      </c>
      <c r="F13" s="40">
        <f>SUMIFS(Engine!$S$2:$S$98, Engine!$R$2:$R$98, "Churned", Engine!$F$2:$F$98, Waterfall!A13)</f>
        <v>-495</v>
      </c>
      <c r="G13" s="38">
        <f t="shared" si="0"/>
        <v>4460</v>
      </c>
      <c r="H13" s="38">
        <f t="shared" si="1"/>
        <v>78298.5</v>
      </c>
    </row>
    <row r="14" spans="1:8" x14ac:dyDescent="0.35">
      <c r="A14" s="37">
        <v>45627</v>
      </c>
      <c r="B14" s="38">
        <f t="shared" si="2"/>
        <v>78298.5</v>
      </c>
      <c r="C14" s="39">
        <f>SUMIFS(Engine!$S$2:$S$98, Engine!$R$2:$R$98, "New", Engine!$F$2:$F$98, Waterfall!A14)</f>
        <v>14915</v>
      </c>
      <c r="D14" s="39">
        <f>SUMIFS(Engine!$S$2:$S$98, Engine!$R$2:$R$98, "Expansion", Engine!$F$2:$F$98, Waterfall!A14)</f>
        <v>0</v>
      </c>
      <c r="E14" s="38">
        <f>SUMIFS(Engine!$S$2:$S$98, Engine!$R$2:$R$98, "Contraction", Engine!$F$2:$F$98, Waterfall!A14)</f>
        <v>0</v>
      </c>
      <c r="F14" s="40">
        <f>SUMIFS(Engine!$S$2:$S$98, Engine!$R$2:$R$98, "Churned", Engine!$F$2:$F$98, Waterfall!A14)</f>
        <v>-2090</v>
      </c>
      <c r="G14" s="38">
        <f t="shared" si="0"/>
        <v>12825</v>
      </c>
      <c r="H14" s="38">
        <f t="shared" si="1"/>
        <v>91123.5</v>
      </c>
    </row>
    <row r="15" spans="1:8" x14ac:dyDescent="0.35">
      <c r="A15" s="37">
        <v>45658</v>
      </c>
      <c r="B15" s="38">
        <f t="shared" si="2"/>
        <v>91123.5</v>
      </c>
      <c r="C15" s="39">
        <f>SUMIFS(Engine!$S$2:$S$98, Engine!$R$2:$R$98, "New", Engine!$F$2:$F$98, Waterfall!A15)</f>
        <v>9940.5</v>
      </c>
      <c r="D15" s="39">
        <f>SUMIFS(Engine!$S$2:$S$98, Engine!$R$2:$R$98, "Expansion", Engine!$F$2:$F$98, Waterfall!A15)</f>
        <v>140</v>
      </c>
      <c r="E15" s="38">
        <f>SUMIFS(Engine!$S$2:$S$98, Engine!$R$2:$R$98, "Contraction", Engine!$F$2:$F$98, Waterfall!A15)</f>
        <v>0</v>
      </c>
      <c r="F15" s="40">
        <f>SUMIFS(Engine!$S$2:$S$98, Engine!$R$2:$R$98, "Churned", Engine!$F$2:$F$98, Waterfall!A15)</f>
        <v>-450</v>
      </c>
      <c r="G15" s="38">
        <f t="shared" si="0"/>
        <v>9630.5</v>
      </c>
      <c r="H15" s="38">
        <f t="shared" si="1"/>
        <v>100754</v>
      </c>
    </row>
    <row r="16" spans="1:8" x14ac:dyDescent="0.35">
      <c r="A16" s="37">
        <v>45689</v>
      </c>
      <c r="B16" s="38">
        <f t="shared" si="2"/>
        <v>100754</v>
      </c>
      <c r="C16" s="39">
        <f>SUMIFS(Engine!$S$2:$S$98, Engine!$R$2:$R$98, "New", Engine!$F$2:$F$98, Waterfall!A16)</f>
        <v>7405</v>
      </c>
      <c r="D16" s="39">
        <f>SUMIFS(Engine!$S$2:$S$98, Engine!$R$2:$R$98, "Expansion", Engine!$F$2:$F$98, Waterfall!A16)</f>
        <v>0</v>
      </c>
      <c r="E16" s="38">
        <f>SUMIFS(Engine!$S$2:$S$98, Engine!$R$2:$R$98, "Contraction", Engine!$F$2:$F$98, Waterfall!A16)</f>
        <v>0</v>
      </c>
      <c r="F16" s="38">
        <f>SUMIFS(Engine!$S$2:$S$98, Engine!$R$2:$R$98, "Churned", Engine!$F$2:$F$98, Waterfall!A16)</f>
        <v>0</v>
      </c>
      <c r="G16" s="38">
        <f t="shared" si="0"/>
        <v>7405</v>
      </c>
      <c r="H16" s="38">
        <f t="shared" si="1"/>
        <v>108159</v>
      </c>
    </row>
    <row r="17" spans="1:8" x14ac:dyDescent="0.35">
      <c r="A17" s="37">
        <v>45717</v>
      </c>
      <c r="B17" s="38">
        <f t="shared" si="2"/>
        <v>108159</v>
      </c>
      <c r="C17" s="39">
        <f>SUMIFS(Engine!$S$2:$S$98, Engine!$R$2:$R$98, "New", Engine!$F$2:$F$98, Waterfall!A17)</f>
        <v>19390</v>
      </c>
      <c r="D17" s="39">
        <f>SUMIFS(Engine!$S$2:$S$98, Engine!$R$2:$R$98, "Expansion", Engine!$F$2:$F$98, Waterfall!A17)</f>
        <v>0</v>
      </c>
      <c r="E17" s="40">
        <f>SUMIFS(Engine!$S$2:$S$98, Engine!$R$2:$R$98, "Contraction", Engine!$F$2:$F$98, Waterfall!A17)</f>
        <v>-1009.5</v>
      </c>
      <c r="F17" s="38">
        <f>SUMIFS(Engine!$S$2:$S$98, Engine!$R$2:$R$98, "Churned", Engine!$F$2:$F$98, Waterfall!A17)</f>
        <v>0</v>
      </c>
      <c r="G17" s="38">
        <f t="shared" si="0"/>
        <v>18380.5</v>
      </c>
      <c r="H17" s="38">
        <f t="shared" si="1"/>
        <v>126539.5</v>
      </c>
    </row>
    <row r="18" spans="1:8" x14ac:dyDescent="0.35">
      <c r="A18" s="37">
        <v>45748</v>
      </c>
      <c r="B18" s="38">
        <f t="shared" si="2"/>
        <v>126539.5</v>
      </c>
      <c r="C18" s="39">
        <f>SUMIFS(Engine!$S$2:$S$98, Engine!$R$2:$R$98, "New", Engine!$F$2:$F$98, Waterfall!A18)</f>
        <v>5780</v>
      </c>
      <c r="D18" s="39">
        <f>SUMIFS(Engine!$S$2:$S$98, Engine!$R$2:$R$98, "Expansion", Engine!$F$2:$F$98, Waterfall!A18)</f>
        <v>755</v>
      </c>
      <c r="E18" s="38">
        <f>SUMIFS(Engine!$S$2:$S$98, Engine!$R$2:$R$98, "Contraction", Engine!$F$2:$F$98, Waterfall!A18)</f>
        <v>0</v>
      </c>
      <c r="F18" s="38">
        <f>SUMIFS(Engine!$S$2:$S$98, Engine!$R$2:$R$98, "Churned", Engine!$F$2:$F$98, Waterfall!A18)</f>
        <v>0</v>
      </c>
      <c r="G18" s="38">
        <f t="shared" si="0"/>
        <v>6535</v>
      </c>
      <c r="H18" s="38">
        <f t="shared" si="1"/>
        <v>133074.5</v>
      </c>
    </row>
    <row r="19" spans="1:8" x14ac:dyDescent="0.35">
      <c r="A19" s="37">
        <v>45778</v>
      </c>
      <c r="B19" s="38">
        <f t="shared" si="2"/>
        <v>133074.5</v>
      </c>
      <c r="C19" s="39">
        <f>SUMIFS(Engine!$S$2:$S$98, Engine!$R$2:$R$98, "New", Engine!$F$2:$F$98, Waterfall!A19)</f>
        <v>12060</v>
      </c>
      <c r="D19" s="39">
        <f>SUMIFS(Engine!$S$2:$S$98, Engine!$R$2:$R$98, "Expansion", Engine!$F$2:$F$98, Waterfall!A19)</f>
        <v>330</v>
      </c>
      <c r="E19" s="38">
        <f>SUMIFS(Engine!$S$2:$S$98, Engine!$R$2:$R$98, "Contraction", Engine!$F$2:$F$98, Waterfall!A19)</f>
        <v>0</v>
      </c>
      <c r="F19" s="40">
        <f>SUMIFS(Engine!$S$2:$S$98, Engine!$R$2:$R$98, "Churned", Engine!$F$2:$F$98, Waterfall!A19)</f>
        <v>-2375</v>
      </c>
      <c r="G19" s="38">
        <f t="shared" si="0"/>
        <v>10015</v>
      </c>
      <c r="H19" s="38">
        <f t="shared" si="1"/>
        <v>143089.5</v>
      </c>
    </row>
    <row r="20" spans="1:8" x14ac:dyDescent="0.35">
      <c r="A20" s="37">
        <v>45809</v>
      </c>
      <c r="B20" s="38">
        <f t="shared" si="2"/>
        <v>143089.5</v>
      </c>
      <c r="C20" s="39">
        <f>SUMIFS(Engine!$S$2:$S$98, Engine!$R$2:$R$98, "New", Engine!$F$2:$F$98, Waterfall!A20)</f>
        <v>8630</v>
      </c>
      <c r="D20" s="39">
        <f>SUMIFS(Engine!$S$2:$S$98, Engine!$R$2:$R$98, "Expansion", Engine!$F$2:$F$98, Waterfall!A20)</f>
        <v>1700</v>
      </c>
      <c r="E20" s="38">
        <f>SUMIFS(Engine!$S$2:$S$98, Engine!$R$2:$R$98, "Contraction", Engine!$F$2:$F$98, Waterfall!A20)</f>
        <v>0</v>
      </c>
      <c r="F20" s="40">
        <f>SUMIFS(Engine!$S$2:$S$98, Engine!$R$2:$R$98, "Churned", Engine!$F$2:$F$98, Waterfall!A20)</f>
        <v>-1305</v>
      </c>
      <c r="G20" s="38">
        <f t="shared" si="0"/>
        <v>9025</v>
      </c>
      <c r="H20" s="38">
        <f t="shared" si="1"/>
        <v>152114.5</v>
      </c>
    </row>
    <row r="21" spans="1:8" x14ac:dyDescent="0.35">
      <c r="A21" s="37">
        <v>45839</v>
      </c>
      <c r="B21" s="38">
        <f t="shared" si="2"/>
        <v>152114.5</v>
      </c>
      <c r="C21" s="39">
        <f>SUMIFS(Engine!$S$2:$S$98, Engine!$R$2:$R$98, "New", Engine!$F$2:$F$98, Waterfall!A21)</f>
        <v>0</v>
      </c>
      <c r="D21" s="39">
        <f>SUMIFS(Engine!$S$2:$S$98, Engine!$R$2:$R$98, "Expansion", Engine!$F$2:$F$98, Waterfall!A21)</f>
        <v>660</v>
      </c>
      <c r="E21" s="38">
        <f>SUMIFS(Engine!$S$2:$S$98, Engine!$R$2:$R$98, "Contraction", Engine!$F$2:$F$98, Waterfall!A21)</f>
        <v>0</v>
      </c>
      <c r="F21" s="40">
        <f>SUMIFS(Engine!$S$2:$S$98, Engine!$R$2:$R$98, "Churned", Engine!$F$2:$F$98, Waterfall!A21)</f>
        <v>-1760</v>
      </c>
      <c r="G21" s="38">
        <f t="shared" si="0"/>
        <v>-1100</v>
      </c>
      <c r="H21" s="38">
        <f t="shared" si="1"/>
        <v>151014.5</v>
      </c>
    </row>
    <row r="22" spans="1:8" x14ac:dyDescent="0.35">
      <c r="A22" s="37">
        <v>45870</v>
      </c>
      <c r="B22" s="38">
        <f t="shared" si="2"/>
        <v>151014.5</v>
      </c>
      <c r="C22" s="39">
        <f>SUMIFS(Engine!$S$2:$S$98, Engine!$R$2:$R$98, "New", Engine!$F$2:$F$98, Waterfall!A22)</f>
        <v>0</v>
      </c>
      <c r="D22" s="39">
        <f>SUMIFS(Engine!$S$2:$S$98, Engine!$R$2:$R$98, "Expansion", Engine!$F$2:$F$98, Waterfall!A22)</f>
        <v>2960</v>
      </c>
      <c r="E22" s="40">
        <f>SUMIFS(Engine!$S$2:$S$98, Engine!$R$2:$R$98, "Contraction", Engine!$F$2:$F$98, Waterfall!A22)</f>
        <v>-710</v>
      </c>
      <c r="F22" s="40">
        <f>SUMIFS(Engine!$S$2:$S$98, Engine!$R$2:$R$98, "Churned", Engine!$F$2:$F$98, Waterfall!A22)</f>
        <v>-4680</v>
      </c>
      <c r="G22" s="38">
        <f t="shared" si="0"/>
        <v>-2430</v>
      </c>
      <c r="H22" s="38">
        <f t="shared" si="1"/>
        <v>148584.5</v>
      </c>
    </row>
    <row r="23" spans="1:8" x14ac:dyDescent="0.35">
      <c r="A23" s="37">
        <v>45901</v>
      </c>
      <c r="B23" s="38">
        <f t="shared" si="2"/>
        <v>148584.5</v>
      </c>
      <c r="C23" s="39">
        <f>SUMIFS(Engine!$S$2:$S$98, Engine!$R$2:$R$98, "New", Engine!$F$2:$F$98, Waterfall!A23)</f>
        <v>0</v>
      </c>
      <c r="D23" s="39">
        <f>SUMIFS(Engine!$S$2:$S$98, Engine!$R$2:$R$98, "Expansion", Engine!$F$2:$F$98, Waterfall!A23)</f>
        <v>1900</v>
      </c>
      <c r="E23" s="40">
        <f>SUMIFS(Engine!$S$2:$S$98, Engine!$R$2:$R$98, "Contraction", Engine!$F$2:$F$98, Waterfall!A23)</f>
        <v>-125</v>
      </c>
      <c r="F23" s="38">
        <f>SUMIFS(Engine!$S$2:$S$98, Engine!$R$2:$R$98, "Churned", Engine!$F$2:$F$98, Waterfall!A23)</f>
        <v>0</v>
      </c>
      <c r="G23" s="38">
        <f t="shared" si="0"/>
        <v>1775</v>
      </c>
      <c r="H23" s="38">
        <f t="shared" si="1"/>
        <v>150359.5</v>
      </c>
    </row>
    <row r="24" spans="1:8" x14ac:dyDescent="0.35">
      <c r="A24" s="37">
        <v>45931</v>
      </c>
      <c r="B24" s="38">
        <f t="shared" si="2"/>
        <v>150359.5</v>
      </c>
      <c r="C24" s="39">
        <f>SUMIFS(Engine!$S$2:$S$98, Engine!$R$2:$R$98, "New", Engine!$F$2:$F$98, Waterfall!A24)</f>
        <v>935</v>
      </c>
      <c r="D24" s="39">
        <f>SUMIFS(Engine!$S$2:$S$98, Engine!$R$2:$R$98, "Expansion", Engine!$F$2:$F$98, Waterfall!A24)</f>
        <v>1325</v>
      </c>
      <c r="E24" s="38">
        <f>SUMIFS(Engine!$S$2:$S$98, Engine!$R$2:$R$98, "Contraction", Engine!$F$2:$F$98, Waterfall!A24)</f>
        <v>0</v>
      </c>
      <c r="F24" s="38">
        <f>SUMIFS(Engine!$S$2:$S$98, Engine!$R$2:$R$98, "Churned", Engine!$F$2:$F$98, Waterfall!A24)</f>
        <v>0</v>
      </c>
      <c r="G24" s="38">
        <f t="shared" si="0"/>
        <v>2260</v>
      </c>
      <c r="H24" s="38">
        <f t="shared" si="1"/>
        <v>152619.5</v>
      </c>
    </row>
    <row r="25" spans="1:8" x14ac:dyDescent="0.35">
      <c r="A25" s="37">
        <v>45962</v>
      </c>
      <c r="B25" s="38">
        <f t="shared" si="2"/>
        <v>152619.5</v>
      </c>
      <c r="C25" s="39">
        <f>SUMIFS(Engine!$S$2:$S$98, Engine!$R$2:$R$98, "New", Engine!$F$2:$F$98, Waterfall!A25)</f>
        <v>0</v>
      </c>
      <c r="D25" s="39">
        <f>SUMIFS(Engine!$S$2:$S$98, Engine!$R$2:$R$98, "Expansion", Engine!$F$2:$F$98, Waterfall!A25)</f>
        <v>0</v>
      </c>
      <c r="E25" s="40">
        <f>SUMIFS(Engine!$S$2:$S$98, Engine!$R$2:$R$98, "Contraction", Engine!$F$2:$F$98, Waterfall!A25)</f>
        <v>-435.5</v>
      </c>
      <c r="F25" s="38">
        <f>SUMIFS(Engine!$S$2:$S$98, Engine!$R$2:$R$98, "Churned", Engine!$F$2:$F$98, Waterfall!A25)</f>
        <v>0</v>
      </c>
      <c r="G25" s="40">
        <f t="shared" si="0"/>
        <v>-435.5</v>
      </c>
      <c r="H25" s="38">
        <f t="shared" si="1"/>
        <v>152184</v>
      </c>
    </row>
    <row r="26" spans="1:8" x14ac:dyDescent="0.35">
      <c r="A26" s="37">
        <v>45992</v>
      </c>
      <c r="B26" s="38">
        <f t="shared" si="2"/>
        <v>152184</v>
      </c>
      <c r="C26" s="39">
        <f>SUMIFS(Engine!$S$2:$S$98, Engine!$R$2:$R$98, "New", Engine!$F$2:$F$98, Waterfall!A26)</f>
        <v>0</v>
      </c>
      <c r="D26" s="39">
        <f>SUMIFS(Engine!$S$2:$S$98, Engine!$R$2:$R$98, "Expansion", Engine!$F$2:$F$98, Waterfall!A26)</f>
        <v>440</v>
      </c>
      <c r="E26" s="40">
        <f>SUMIFS(Engine!$S$2:$S$98, Engine!$R$2:$R$98, "Contraction", Engine!$F$2:$F$98, Waterfall!A26)</f>
        <v>-81</v>
      </c>
      <c r="F26" s="40">
        <f>SUMIFS(Engine!$S$2:$S$98, Engine!$R$2:$R$98, "Churned", Engine!$F$2:$F$98, Waterfall!A26)</f>
        <v>-1624.5</v>
      </c>
      <c r="G26" s="38">
        <f t="shared" si="0"/>
        <v>-1265.5</v>
      </c>
      <c r="H26" s="38">
        <f t="shared" si="1"/>
        <v>150918.5</v>
      </c>
    </row>
    <row r="27" spans="1:8" x14ac:dyDescent="0.35">
      <c r="A27" s="37">
        <v>46023</v>
      </c>
      <c r="B27" s="38">
        <f t="shared" si="2"/>
        <v>150918.5</v>
      </c>
      <c r="C27" s="39">
        <f>SUMIFS(Engine!$S$2:$S$98, Engine!$R$2:$R$98, "New", Engine!$F$2:$F$98, Waterfall!A27)</f>
        <v>1710</v>
      </c>
      <c r="D27" s="39">
        <f>SUMIFS(Engine!$S$2:$S$98, Engine!$R$2:$R$98, "Expansion", Engine!$F$2:$F$98, Waterfall!A27)</f>
        <v>0</v>
      </c>
      <c r="E27" s="38">
        <f>SUMIFS(Engine!$S$2:$S$98, Engine!$R$2:$R$98, "Contraction", Engine!$F$2:$F$98, Waterfall!A27)</f>
        <v>0</v>
      </c>
      <c r="F27" s="38">
        <f>SUMIFS(Engine!$S$2:$S$98, Engine!$R$2:$R$98, "Churned", Engine!$F$2:$F$98, Waterfall!A27)</f>
        <v>0</v>
      </c>
      <c r="G27" s="38">
        <f t="shared" si="0"/>
        <v>1710</v>
      </c>
      <c r="H27" s="38">
        <f t="shared" si="1"/>
        <v>152628.5</v>
      </c>
    </row>
    <row r="28" spans="1:8" x14ac:dyDescent="0.35">
      <c r="A28" s="37">
        <v>46054</v>
      </c>
      <c r="B28" s="38">
        <f t="shared" si="2"/>
        <v>152628.5</v>
      </c>
      <c r="C28" s="39">
        <f>SUMIFS(Engine!$S$2:$S$98, Engine!$R$2:$R$98, "New", Engine!$F$2:$F$98, Waterfall!A28)</f>
        <v>0</v>
      </c>
      <c r="D28" s="39">
        <f>SUMIFS(Engine!$S$2:$S$98, Engine!$R$2:$R$98, "Expansion", Engine!$F$2:$F$98, Waterfall!A28)</f>
        <v>0</v>
      </c>
      <c r="E28" s="38">
        <f>SUMIFS(Engine!$S$2:$S$98, Engine!$R$2:$R$98, "Contraction", Engine!$F$2:$F$98, Waterfall!A28)</f>
        <v>0</v>
      </c>
      <c r="F28" s="40">
        <f>SUMIFS(Engine!$S$2:$S$98, Engine!$R$2:$R$98, "Churned", Engine!$F$2:$F$98, Waterfall!A28)</f>
        <v>-594</v>
      </c>
      <c r="G28" s="38">
        <f t="shared" si="0"/>
        <v>-594</v>
      </c>
      <c r="H28" s="38">
        <f t="shared" si="1"/>
        <v>152034.5</v>
      </c>
    </row>
    <row r="30" spans="1:8" x14ac:dyDescent="0.35">
      <c r="A30" t="s">
        <v>163</v>
      </c>
      <c r="B30" s="38">
        <f>H28</f>
        <v>152034.5</v>
      </c>
    </row>
    <row r="31" spans="1:8" x14ac:dyDescent="0.35">
      <c r="A31" t="s">
        <v>164</v>
      </c>
      <c r="B31" s="38">
        <f>SUM(Engine!$S$2:$S$98)</f>
        <v>152034.5</v>
      </c>
    </row>
    <row r="32" spans="1:8" x14ac:dyDescent="0.35">
      <c r="A32" t="s">
        <v>165</v>
      </c>
      <c r="B32" s="38">
        <f>B30-B31</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A37"/>
  <sheetViews>
    <sheetView workbookViewId="0">
      <selection activeCell="B35" sqref="B35"/>
    </sheetView>
  </sheetViews>
  <sheetFormatPr defaultRowHeight="14.5" x14ac:dyDescent="0.35"/>
  <cols>
    <col min="1" max="1" width="40" customWidth="1"/>
  </cols>
  <sheetData>
    <row r="1" spans="1:27" ht="15.5" x14ac:dyDescent="0.35">
      <c r="A1" s="41" t="s">
        <v>166</v>
      </c>
    </row>
    <row r="3" spans="1:27" x14ac:dyDescent="0.35">
      <c r="A3" s="42" t="s">
        <v>167</v>
      </c>
    </row>
    <row r="4" spans="1:27"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row>
    <row r="5" spans="1:27"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row>
    <row r="6" spans="1:27"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row>
    <row r="7" spans="1:27"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row>
    <row r="9" spans="1:27" x14ac:dyDescent="0.35">
      <c r="A9" s="42" t="s">
        <v>170</v>
      </c>
    </row>
    <row r="10" spans="1:27"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row>
    <row r="11" spans="1:27"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row>
    <row r="12" spans="1:27"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row>
    <row r="14" spans="1:27" x14ac:dyDescent="0.35">
      <c r="A14" s="42" t="s">
        <v>173</v>
      </c>
    </row>
    <row r="15" spans="1:27"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row>
    <row r="16" spans="1:27" x14ac:dyDescent="0.35">
      <c r="A16" s="42" t="s">
        <v>174</v>
      </c>
      <c r="B16" s="31">
        <v>0</v>
      </c>
      <c r="C16" s="31">
        <f>B16+COUNTIFS(Engine!$H$2:$H$98,"created",Engine!$F$2:$F$98,B15)-COUNTIFS(Engine!$H$2:$H$98,"cancelled",Engine!$F$2:$F$98,B15)</f>
        <v>2</v>
      </c>
      <c r="D16" s="31">
        <f>C16+COUNTIFS(Engine!$H$2:$H$98,"created",Engine!$F$2:$F$98,C15)-COUNTIFS(Engine!$H$2:$H$98,"cancelled",Engine!$F$2:$F$98,C15)</f>
        <v>5</v>
      </c>
      <c r="E16" s="31">
        <f>D16+COUNTIFS(Engine!$H$2:$H$98,"created",Engine!$F$2:$F$98,D15)-COUNTIFS(Engine!$H$2:$H$98,"cancelled",Engine!$F$2:$F$98,D15)</f>
        <v>7</v>
      </c>
      <c r="F16" s="31">
        <f>E16+COUNTIFS(Engine!$H$2:$H$98,"created",Engine!$F$2:$F$98,E15)-COUNTIFS(Engine!$H$2:$H$98,"cancelled",Engine!$F$2:$F$98,E15)</f>
        <v>11</v>
      </c>
      <c r="G16" s="31">
        <f>F16+COUNTIFS(Engine!$H$2:$H$98,"created",Engine!$F$2:$F$98,F15)-COUNTIFS(Engine!$H$2:$H$98,"cancelled",Engine!$F$2:$F$98,F15)</f>
        <v>13</v>
      </c>
      <c r="H16" s="31">
        <f>G16+COUNTIFS(Engine!$H$2:$H$98,"created",Engine!$F$2:$F$98,G15)-COUNTIFS(Engine!$H$2:$H$98,"cancelled",Engine!$F$2:$F$98,G15)</f>
        <v>16</v>
      </c>
      <c r="I16" s="31">
        <f>H16+COUNTIFS(Engine!$H$2:$H$98,"created",Engine!$F$2:$F$98,H15)-COUNTIFS(Engine!$H$2:$H$98,"cancelled",Engine!$F$2:$F$98,H15)</f>
        <v>20</v>
      </c>
      <c r="J16" s="31">
        <f>I16+COUNTIFS(Engine!$H$2:$H$98,"created",Engine!$F$2:$F$98,I15)-COUNTIFS(Engine!$H$2:$H$98,"cancelled",Engine!$F$2:$F$98,I15)</f>
        <v>21</v>
      </c>
      <c r="K16" s="31">
        <f>J16+COUNTIFS(Engine!$H$2:$H$98,"created",Engine!$F$2:$F$98,J15)-COUNTIFS(Engine!$H$2:$H$98,"cancelled",Engine!$F$2:$F$98,J15)</f>
        <v>26</v>
      </c>
      <c r="L16" s="31">
        <f>K16+COUNTIFS(Engine!$H$2:$H$98,"created",Engine!$F$2:$F$98,K15)-COUNTIFS(Engine!$H$2:$H$98,"cancelled",Engine!$F$2:$F$98,K15)</f>
        <v>29</v>
      </c>
      <c r="M16" s="31">
        <f>L16+COUNTIFS(Engine!$H$2:$H$98,"created",Engine!$F$2:$F$98,L15)-COUNTIFS(Engine!$H$2:$H$98,"cancelled",Engine!$F$2:$F$98,L15)</f>
        <v>31</v>
      </c>
      <c r="N16" s="31">
        <f>M16+COUNTIFS(Engine!$H$2:$H$98,"created",Engine!$F$2:$F$98,M15)-COUNTIFS(Engine!$H$2:$H$98,"cancelled",Engine!$F$2:$F$98,M15)</f>
        <v>34</v>
      </c>
      <c r="O16" s="31">
        <f>N16+COUNTIFS(Engine!$H$2:$H$98,"created",Engine!$F$2:$F$98,N15)-COUNTIFS(Engine!$H$2:$H$98,"cancelled",Engine!$F$2:$F$98,N15)</f>
        <v>37</v>
      </c>
      <c r="P16" s="31">
        <f>O16+COUNTIFS(Engine!$H$2:$H$98,"created",Engine!$F$2:$F$98,O15)-COUNTIFS(Engine!$H$2:$H$98,"cancelled",Engine!$F$2:$F$98,O15)</f>
        <v>41</v>
      </c>
      <c r="Q16" s="31">
        <f>P16+COUNTIFS(Engine!$H$2:$H$98,"created",Engine!$F$2:$F$98,P15)-COUNTIFS(Engine!$H$2:$H$98,"cancelled",Engine!$F$2:$F$98,P15)</f>
        <v>46</v>
      </c>
      <c r="R16" s="31">
        <f>Q16+COUNTIFS(Engine!$H$2:$H$98,"created",Engine!$F$2:$F$98,Q15)-COUNTIFS(Engine!$H$2:$H$98,"cancelled",Engine!$F$2:$F$98,Q15)</f>
        <v>49</v>
      </c>
      <c r="S16" s="31">
        <f>R16+COUNTIFS(Engine!$H$2:$H$98,"created",Engine!$F$2:$F$98,R15)-COUNTIFS(Engine!$H$2:$H$98,"cancelled",Engine!$F$2:$F$98,R15)</f>
        <v>52</v>
      </c>
      <c r="T16" s="31">
        <f>S16+COUNTIFS(Engine!$H$2:$H$98,"created",Engine!$F$2:$F$98,S15)-COUNTIFS(Engine!$H$2:$H$98,"cancelled",Engine!$F$2:$F$98,S15)</f>
        <v>53</v>
      </c>
      <c r="U16" s="31">
        <f>T16+COUNTIFS(Engine!$H$2:$H$98,"created",Engine!$F$2:$F$98,T15)-COUNTIFS(Engine!$H$2:$H$98,"cancelled",Engine!$F$2:$F$98,T15)</f>
        <v>52</v>
      </c>
      <c r="V16" s="31">
        <f>U16+COUNTIFS(Engine!$H$2:$H$98,"created",Engine!$F$2:$F$98,U15)-COUNTIFS(Engine!$H$2:$H$98,"cancelled",Engine!$F$2:$F$98,U15)</f>
        <v>51</v>
      </c>
      <c r="W16" s="31">
        <f>V16+COUNTIFS(Engine!$H$2:$H$98,"created",Engine!$F$2:$F$98,V15)-COUNTIFS(Engine!$H$2:$H$98,"cancelled",Engine!$F$2:$F$98,V15)</f>
        <v>51</v>
      </c>
      <c r="X16" s="31">
        <f>W16+COUNTIFS(Engine!$H$2:$H$98,"created",Engine!$F$2:$F$98,W15)-COUNTIFS(Engine!$H$2:$H$98,"cancelled",Engine!$F$2:$F$98,W15)</f>
        <v>52</v>
      </c>
      <c r="Y16" s="31">
        <f>X16+COUNTIFS(Engine!$H$2:$H$98,"created",Engine!$F$2:$F$98,X15)-COUNTIFS(Engine!$H$2:$H$98,"cancelled",Engine!$F$2:$F$98,X15)</f>
        <v>52</v>
      </c>
      <c r="Z16" s="31">
        <f>Y16+COUNTIFS(Engine!$H$2:$H$98,"created",Engine!$F$2:$F$98,Y15)-COUNTIFS(Engine!$H$2:$H$98,"cancelled",Engine!$F$2:$F$98,Y15)</f>
        <v>51</v>
      </c>
      <c r="AA16" s="31">
        <f>Z16+COUNTIFS(Engine!$H$2:$H$98,"created",Engine!$F$2:$F$98,Z15)-COUNTIFS(Engine!$H$2:$H$98,"cancelled",Engine!$F$2:$F$98,Z15)</f>
        <v>52</v>
      </c>
    </row>
    <row r="17" spans="1:27" x14ac:dyDescent="0.35">
      <c r="A17" s="42" t="s">
        <v>175</v>
      </c>
      <c r="B17" s="31">
        <f>COUNTIFS(Engine!$H$2:$H$98,"cancelled",Engine!$F$2:$F$98,B15)</f>
        <v>0</v>
      </c>
      <c r="C17" s="31">
        <f>COUNTIFS(Engine!$H$2:$H$98,"cancelled",Engine!$F$2:$F$98,C15)</f>
        <v>0</v>
      </c>
      <c r="D17" s="31">
        <f>COUNTIFS(Engine!$H$2:$H$98,"cancelled",Engine!$F$2:$F$98,D15)</f>
        <v>0</v>
      </c>
      <c r="E17" s="31">
        <f>COUNTIFS(Engine!$H$2:$H$98,"cancelled",Engine!$F$2:$F$98,E15)</f>
        <v>0</v>
      </c>
      <c r="F17" s="31">
        <f>COUNTIFS(Engine!$H$2:$H$98,"cancelled",Engine!$F$2:$F$98,F15)</f>
        <v>0</v>
      </c>
      <c r="G17" s="31">
        <f>COUNTIFS(Engine!$H$2:$H$98,"cancelled",Engine!$F$2:$F$98,G15)</f>
        <v>0</v>
      </c>
      <c r="H17" s="31">
        <f>COUNTIFS(Engine!$H$2:$H$98,"cancelled",Engine!$F$2:$F$98,H15)</f>
        <v>0</v>
      </c>
      <c r="I17" s="31">
        <f>COUNTIFS(Engine!$H$2:$H$98,"cancelled",Engine!$F$2:$F$98,I15)</f>
        <v>1</v>
      </c>
      <c r="J17" s="31">
        <f>COUNTIFS(Engine!$H$2:$H$98,"cancelled",Engine!$F$2:$F$98,J15)</f>
        <v>0</v>
      </c>
      <c r="K17" s="31">
        <f>COUNTIFS(Engine!$H$2:$H$98,"cancelled",Engine!$F$2:$F$98,K15)</f>
        <v>0</v>
      </c>
      <c r="L17" s="31">
        <f>COUNTIFS(Engine!$H$2:$H$98,"cancelled",Engine!$F$2:$F$98,L15)</f>
        <v>1</v>
      </c>
      <c r="M17" s="31">
        <f>COUNTIFS(Engine!$H$2:$H$98,"cancelled",Engine!$F$2:$F$98,M15)</f>
        <v>1</v>
      </c>
      <c r="N17" s="31">
        <f>COUNTIFS(Engine!$H$2:$H$98,"cancelled",Engine!$F$2:$F$98,N15)</f>
        <v>1</v>
      </c>
      <c r="O17" s="31">
        <f>COUNTIFS(Engine!$H$2:$H$98,"cancelled",Engine!$F$2:$F$98,O15)</f>
        <v>0</v>
      </c>
      <c r="P17" s="31">
        <f>COUNTIFS(Engine!$H$2:$H$98,"cancelled",Engine!$F$2:$F$98,P15)</f>
        <v>0</v>
      </c>
      <c r="Q17" s="31">
        <f>COUNTIFS(Engine!$H$2:$H$98,"cancelled",Engine!$F$2:$F$98,Q15)</f>
        <v>0</v>
      </c>
      <c r="R17" s="31">
        <f>COUNTIFS(Engine!$H$2:$H$98,"cancelled",Engine!$F$2:$F$98,R15)</f>
        <v>1</v>
      </c>
      <c r="S17" s="31">
        <f>COUNTIFS(Engine!$H$2:$H$98,"cancelled",Engine!$F$2:$F$98,S15)</f>
        <v>2</v>
      </c>
      <c r="T17" s="31">
        <f>COUNTIFS(Engine!$H$2:$H$98,"cancelled",Engine!$F$2:$F$98,T15)</f>
        <v>1</v>
      </c>
      <c r="U17" s="31">
        <f>COUNTIFS(Engine!$H$2:$H$98,"cancelled",Engine!$F$2:$F$98,U15)</f>
        <v>1</v>
      </c>
      <c r="V17" s="31">
        <f>COUNTIFS(Engine!$H$2:$H$98,"cancelled",Engine!$F$2:$F$98,V15)</f>
        <v>0</v>
      </c>
      <c r="W17" s="31">
        <f>COUNTIFS(Engine!$H$2:$H$98,"cancelled",Engine!$F$2:$F$98,W15)</f>
        <v>0</v>
      </c>
      <c r="X17" s="31">
        <f>COUNTIFS(Engine!$H$2:$H$98,"cancelled",Engine!$F$2:$F$98,X15)</f>
        <v>0</v>
      </c>
      <c r="Y17" s="31">
        <f>COUNTIFS(Engine!$H$2:$H$98,"cancelled",Engine!$F$2:$F$98,Y15)</f>
        <v>1</v>
      </c>
      <c r="Z17" s="31">
        <f>COUNTIFS(Engine!$H$2:$H$98,"cancelled",Engine!$F$2:$F$98,Z15)</f>
        <v>0</v>
      </c>
      <c r="AA17" s="31">
        <f>COUNTIFS(Engine!$H$2:$H$98,"cancelled",Engine!$F$2:$F$98,AA15)</f>
        <v>1</v>
      </c>
    </row>
    <row r="18" spans="1:27" x14ac:dyDescent="0.35">
      <c r="A18" s="42" t="s">
        <v>176</v>
      </c>
      <c r="B18" s="28" t="str">
        <f t="shared" ref="B18:AA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row>
    <row r="19" spans="1:27" x14ac:dyDescent="0.35">
      <c r="A19" s="45" t="s">
        <v>177</v>
      </c>
      <c r="B19" s="46">
        <f>0</f>
        <v>0</v>
      </c>
      <c r="C19" s="46">
        <f>COUNTIFS(Engine!$T$2:$T$98,1,Engine!$F$2:$F$98,"&lt;="&amp;B15)+COUNTIFS(Engine!$V$2:$V$98,1,Engine!$F$2:$F$98,"&lt;="&amp;B15)-COUNTIFS(Engine!$U$2:$U$98,1,Engine!$F$2:$F$98,"&lt;="&amp;B15)</f>
        <v>2</v>
      </c>
      <c r="D19" s="46">
        <f>COUNTIFS(Engine!$T$2:$T$98,1,Engine!$F$2:$F$98,"&lt;="&amp;C15)+COUNTIFS(Engine!$V$2:$V$98,1,Engine!$F$2:$F$98,"&lt;="&amp;C15)-COUNTIFS(Engine!$U$2:$U$98,1,Engine!$F$2:$F$98,"&lt;="&amp;C15)</f>
        <v>4</v>
      </c>
      <c r="E19" s="46">
        <f>COUNTIFS(Engine!$T$2:$T$98,1,Engine!$F$2:$F$98,"&lt;="&amp;D15)+COUNTIFS(Engine!$V$2:$V$98,1,Engine!$F$2:$F$98,"&lt;="&amp;D15)-COUNTIFS(Engine!$U$2:$U$98,1,Engine!$F$2:$F$98,"&lt;="&amp;D15)</f>
        <v>6</v>
      </c>
      <c r="F19" s="46">
        <f>COUNTIFS(Engine!$T$2:$T$98,1,Engine!$F$2:$F$98,"&lt;="&amp;E15)+COUNTIFS(Engine!$V$2:$V$98,1,Engine!$F$2:$F$98,"&lt;="&amp;E15)-COUNTIFS(Engine!$U$2:$U$98,1,Engine!$F$2:$F$98,"&lt;="&amp;E15)</f>
        <v>9</v>
      </c>
      <c r="G19" s="46">
        <f>COUNTIFS(Engine!$T$2:$T$98,1,Engine!$F$2:$F$98,"&lt;="&amp;F15)+COUNTIFS(Engine!$V$2:$V$98,1,Engine!$F$2:$F$98,"&lt;="&amp;F15)-COUNTIFS(Engine!$U$2:$U$98,1,Engine!$F$2:$F$98,"&lt;="&amp;F15)</f>
        <v>11</v>
      </c>
      <c r="H19" s="46">
        <f>COUNTIFS(Engine!$T$2:$T$98,1,Engine!$F$2:$F$98,"&lt;="&amp;G15)+COUNTIFS(Engine!$V$2:$V$98,1,Engine!$F$2:$F$98,"&lt;="&amp;G15)-COUNTIFS(Engine!$U$2:$U$98,1,Engine!$F$2:$F$98,"&lt;="&amp;G15)</f>
        <v>13</v>
      </c>
      <c r="I19" s="46">
        <f>COUNTIFS(Engine!$T$2:$T$98,1,Engine!$F$2:$F$98,"&lt;="&amp;H15)+COUNTIFS(Engine!$V$2:$V$98,1,Engine!$F$2:$F$98,"&lt;="&amp;H15)-COUNTIFS(Engine!$U$2:$U$98,1,Engine!$F$2:$F$98,"&lt;="&amp;H15)</f>
        <v>15</v>
      </c>
      <c r="J19" s="46">
        <f>COUNTIFS(Engine!$T$2:$T$98,1,Engine!$F$2:$F$98,"&lt;="&amp;I15)+COUNTIFS(Engine!$V$2:$V$98,1,Engine!$F$2:$F$98,"&lt;="&amp;I15)-COUNTIFS(Engine!$U$2:$U$98,1,Engine!$F$2:$F$98,"&lt;="&amp;I15)</f>
        <v>17</v>
      </c>
      <c r="K19" s="46">
        <f>COUNTIFS(Engine!$T$2:$T$98,1,Engine!$F$2:$F$98,"&lt;="&amp;J15)+COUNTIFS(Engine!$V$2:$V$98,1,Engine!$F$2:$F$98,"&lt;="&amp;J15)-COUNTIFS(Engine!$U$2:$U$98,1,Engine!$F$2:$F$98,"&lt;="&amp;J15)</f>
        <v>20</v>
      </c>
      <c r="L19" s="46">
        <f>COUNTIFS(Engine!$T$2:$T$98,1,Engine!$F$2:$F$98,"&lt;="&amp;K15)+COUNTIFS(Engine!$V$2:$V$98,1,Engine!$F$2:$F$98,"&lt;="&amp;K15)-COUNTIFS(Engine!$U$2:$U$98,1,Engine!$F$2:$F$98,"&lt;="&amp;K15)</f>
        <v>22</v>
      </c>
      <c r="M19" s="46">
        <f>COUNTIFS(Engine!$T$2:$T$98,1,Engine!$F$2:$F$98,"&lt;="&amp;L15)+COUNTIFS(Engine!$V$2:$V$98,1,Engine!$F$2:$F$98,"&lt;="&amp;L15)-COUNTIFS(Engine!$U$2:$U$98,1,Engine!$F$2:$F$98,"&lt;="&amp;L15)</f>
        <v>23</v>
      </c>
      <c r="N19" s="46">
        <f>COUNTIFS(Engine!$T$2:$T$98,1,Engine!$F$2:$F$98,"&lt;="&amp;M15)+COUNTIFS(Engine!$V$2:$V$98,1,Engine!$F$2:$F$98,"&lt;="&amp;M15)-COUNTIFS(Engine!$U$2:$U$98,1,Engine!$F$2:$F$98,"&lt;="&amp;M15)</f>
        <v>25</v>
      </c>
      <c r="O19" s="46">
        <f>COUNTIFS(Engine!$T$2:$T$98,1,Engine!$F$2:$F$98,"&lt;="&amp;N15)+COUNTIFS(Engine!$V$2:$V$98,1,Engine!$F$2:$F$98,"&lt;="&amp;N15)-COUNTIFS(Engine!$U$2:$U$98,1,Engine!$F$2:$F$98,"&lt;="&amp;N15)</f>
        <v>26</v>
      </c>
      <c r="P19" s="46">
        <f>COUNTIFS(Engine!$T$2:$T$98,1,Engine!$F$2:$F$98,"&lt;="&amp;O15)+COUNTIFS(Engine!$V$2:$V$98,1,Engine!$F$2:$F$98,"&lt;="&amp;O15)-COUNTIFS(Engine!$U$2:$U$98,1,Engine!$F$2:$F$98,"&lt;="&amp;O15)</f>
        <v>28</v>
      </c>
      <c r="Q19" s="46">
        <f>COUNTIFS(Engine!$T$2:$T$98,1,Engine!$F$2:$F$98,"&lt;="&amp;P15)+COUNTIFS(Engine!$V$2:$V$98,1,Engine!$F$2:$F$98,"&lt;="&amp;P15)-COUNTIFS(Engine!$U$2:$U$98,1,Engine!$F$2:$F$98,"&lt;="&amp;P15)</f>
        <v>31</v>
      </c>
      <c r="R19" s="46">
        <f>COUNTIFS(Engine!$T$2:$T$98,1,Engine!$F$2:$F$98,"&lt;="&amp;Q15)+COUNTIFS(Engine!$V$2:$V$98,1,Engine!$F$2:$F$98,"&lt;="&amp;Q15)-COUNTIFS(Engine!$U$2:$U$98,1,Engine!$F$2:$F$98,"&lt;="&amp;Q15)</f>
        <v>33</v>
      </c>
      <c r="S19" s="46">
        <f>COUNTIFS(Engine!$T$2:$T$98,1,Engine!$F$2:$F$98,"&lt;="&amp;R15)+COUNTIFS(Engine!$V$2:$V$98,1,Engine!$F$2:$F$98,"&lt;="&amp;R15)-COUNTIFS(Engine!$U$2:$U$98,1,Engine!$F$2:$F$98,"&lt;="&amp;R15)</f>
        <v>36</v>
      </c>
      <c r="T19" s="46">
        <f>COUNTIFS(Engine!$T$2:$T$98,1,Engine!$F$2:$F$98,"&lt;="&amp;S15)+COUNTIFS(Engine!$V$2:$V$98,1,Engine!$F$2:$F$98,"&lt;="&amp;S15)-COUNTIFS(Engine!$U$2:$U$98,1,Engine!$F$2:$F$98,"&lt;="&amp;S15)</f>
        <v>37</v>
      </c>
      <c r="U19" s="46">
        <f>COUNTIFS(Engine!$T$2:$T$98,1,Engine!$F$2:$F$98,"&lt;="&amp;T15)+COUNTIFS(Engine!$V$2:$V$98,1,Engine!$F$2:$F$98,"&lt;="&amp;T15)-COUNTIFS(Engine!$U$2:$U$98,1,Engine!$F$2:$F$98,"&lt;="&amp;T15)</f>
        <v>37</v>
      </c>
      <c r="V19" s="46">
        <f>COUNTIFS(Engine!$T$2:$T$98,1,Engine!$F$2:$F$98,"&lt;="&amp;U15)+COUNTIFS(Engine!$V$2:$V$98,1,Engine!$F$2:$F$98,"&lt;="&amp;U15)-COUNTIFS(Engine!$U$2:$U$98,1,Engine!$F$2:$F$98,"&lt;="&amp;U15)</f>
        <v>37</v>
      </c>
      <c r="W19" s="46">
        <f>COUNTIFS(Engine!$T$2:$T$98,1,Engine!$F$2:$F$98,"&lt;="&amp;V15)+COUNTIFS(Engine!$V$2:$V$98,1,Engine!$F$2:$F$98,"&lt;="&amp;V15)-COUNTIFS(Engine!$U$2:$U$98,1,Engine!$F$2:$F$98,"&lt;="&amp;V15)</f>
        <v>37</v>
      </c>
      <c r="X19" s="46">
        <f>COUNTIFS(Engine!$T$2:$T$98,1,Engine!$F$2:$F$98,"&lt;="&amp;W15)+COUNTIFS(Engine!$V$2:$V$98,1,Engine!$F$2:$F$98,"&lt;="&amp;W15)-COUNTIFS(Engine!$U$2:$U$98,1,Engine!$F$2:$F$98,"&lt;="&amp;W15)</f>
        <v>38</v>
      </c>
      <c r="Y19" s="46">
        <f>COUNTIFS(Engine!$T$2:$T$98,1,Engine!$F$2:$F$98,"&lt;="&amp;X15)+COUNTIFS(Engine!$V$2:$V$98,1,Engine!$F$2:$F$98,"&lt;="&amp;X15)-COUNTIFS(Engine!$U$2:$U$98,1,Engine!$F$2:$F$98,"&lt;="&amp;X15)</f>
        <v>38</v>
      </c>
      <c r="Z19" s="46">
        <f>COUNTIFS(Engine!$T$2:$T$98,1,Engine!$F$2:$F$98,"&lt;="&amp;Y15)+COUNTIFS(Engine!$V$2:$V$98,1,Engine!$F$2:$F$98,"&lt;="&amp;Y15)-COUNTIFS(Engine!$U$2:$U$98,1,Engine!$F$2:$F$98,"&lt;="&amp;Y15)</f>
        <v>38</v>
      </c>
      <c r="AA19" s="46">
        <f>COUNTIFS(Engine!$T$2:$T$98,1,Engine!$F$2:$F$98,"&lt;="&amp;Z15)+COUNTIFS(Engine!$V$2:$V$98,1,Engine!$F$2:$F$98,"&lt;="&amp;Z15)-COUNTIFS(Engine!$U$2:$U$98,1,Engine!$F$2:$F$98,"&lt;="&amp;Z15)</f>
        <v>39</v>
      </c>
    </row>
    <row r="20" spans="1:27" x14ac:dyDescent="0.35">
      <c r="A20" s="45" t="s">
        <v>178</v>
      </c>
      <c r="B20" s="46">
        <f>COUNTIFS(Engine!$U$2:$U$98,1,Engine!$F$2:$F$98,B15)</f>
        <v>0</v>
      </c>
      <c r="C20" s="46">
        <f>COUNTIFS(Engine!$U$2:$U$98,1,Engine!$F$2:$F$98,C15)</f>
        <v>0</v>
      </c>
      <c r="D20" s="46">
        <f>COUNTIFS(Engine!$U$2:$U$98,1,Engine!$F$2:$F$98,D15)</f>
        <v>0</v>
      </c>
      <c r="E20" s="46">
        <f>COUNTIFS(Engine!$U$2:$U$98,1,Engine!$F$2:$F$98,E15)</f>
        <v>0</v>
      </c>
      <c r="F20" s="46">
        <f>COUNTIFS(Engine!$U$2:$U$98,1,Engine!$F$2:$F$98,F15)</f>
        <v>0</v>
      </c>
      <c r="G20" s="46">
        <f>COUNTIFS(Engine!$U$2:$U$98,1,Engine!$F$2:$F$98,G15)</f>
        <v>0</v>
      </c>
      <c r="H20" s="46">
        <f>COUNTIFS(Engine!$U$2:$U$98,1,Engine!$F$2:$F$98,H15)</f>
        <v>0</v>
      </c>
      <c r="I20" s="46">
        <f>COUNTIFS(Engine!$U$2:$U$98,1,Engine!$F$2:$F$98,I15)</f>
        <v>0</v>
      </c>
      <c r="J20" s="46">
        <f>COUNTIFS(Engine!$U$2:$U$98,1,Engine!$F$2:$F$98,J15)</f>
        <v>0</v>
      </c>
      <c r="K20" s="46">
        <f>COUNTIFS(Engine!$U$2:$U$98,1,Engine!$F$2:$F$98,K15)</f>
        <v>0</v>
      </c>
      <c r="L20" s="46">
        <f>COUNTIFS(Engine!$U$2:$U$98,1,Engine!$F$2:$F$98,L15)</f>
        <v>1</v>
      </c>
      <c r="M20" s="46">
        <f>COUNTIFS(Engine!$U$2:$U$98,1,Engine!$F$2:$F$98,M15)</f>
        <v>0</v>
      </c>
      <c r="N20" s="46">
        <f>COUNTIFS(Engine!$U$2:$U$98,1,Engine!$F$2:$F$98,N15)</f>
        <v>1</v>
      </c>
      <c r="O20" s="46">
        <f>COUNTIFS(Engine!$U$2:$U$98,1,Engine!$F$2:$F$98,O15)</f>
        <v>0</v>
      </c>
      <c r="P20" s="46">
        <f>COUNTIFS(Engine!$U$2:$U$98,1,Engine!$F$2:$F$98,P15)</f>
        <v>0</v>
      </c>
      <c r="Q20" s="46">
        <f>COUNTIFS(Engine!$U$2:$U$98,1,Engine!$F$2:$F$98,Q15)</f>
        <v>0</v>
      </c>
      <c r="R20" s="46">
        <f>COUNTIFS(Engine!$U$2:$U$98,1,Engine!$F$2:$F$98,R15)</f>
        <v>0</v>
      </c>
      <c r="S20" s="46">
        <f>COUNTIFS(Engine!$U$2:$U$98,1,Engine!$F$2:$F$98,S15)</f>
        <v>1</v>
      </c>
      <c r="T20" s="46">
        <f>COUNTIFS(Engine!$U$2:$U$98,1,Engine!$F$2:$F$98,T15)</f>
        <v>0</v>
      </c>
      <c r="U20" s="46">
        <f>COUNTIFS(Engine!$U$2:$U$98,1,Engine!$F$2:$F$98,U15)</f>
        <v>0</v>
      </c>
      <c r="V20" s="46">
        <f>COUNTIFS(Engine!$U$2:$U$98,1,Engine!$F$2:$F$98,V15)</f>
        <v>0</v>
      </c>
      <c r="W20" s="46">
        <f>COUNTIFS(Engine!$U$2:$U$98,1,Engine!$F$2:$F$98,W15)</f>
        <v>0</v>
      </c>
      <c r="X20" s="46">
        <f>COUNTIFS(Engine!$U$2:$U$98,1,Engine!$F$2:$F$98,X15)</f>
        <v>0</v>
      </c>
      <c r="Y20" s="46">
        <f>COUNTIFS(Engine!$U$2:$U$98,1,Engine!$F$2:$F$98,Y15)</f>
        <v>0</v>
      </c>
      <c r="Z20" s="46">
        <f>COUNTIFS(Engine!$U$2:$U$98,1,Engine!$F$2:$F$98,Z15)</f>
        <v>0</v>
      </c>
      <c r="AA20" s="46">
        <f>COUNTIFS(Engine!$U$2:$U$98,1,Engine!$F$2:$F$98,AA15)</f>
        <v>0</v>
      </c>
    </row>
    <row r="21" spans="1:27" x14ac:dyDescent="0.35">
      <c r="A21" s="45" t="s">
        <v>179</v>
      </c>
      <c r="B21" s="47" t="str">
        <f t="shared" ref="B21:AA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row>
    <row r="23" spans="1:27" x14ac:dyDescent="0.35">
      <c r="A23" s="42" t="s">
        <v>180</v>
      </c>
    </row>
    <row r="24" spans="1:27"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row>
    <row r="25" spans="1:27" x14ac:dyDescent="0.35">
      <c r="A25" s="42" t="s">
        <v>181</v>
      </c>
      <c r="B25" s="28" t="str">
        <f>IFERROR(AVERAGEIF(B6:B6,"&gt;0"),"-")</f>
        <v>-</v>
      </c>
      <c r="C25" s="28">
        <f>IFERROR(AVERAGEIF(B6:C6,"&gt;0"),"-")</f>
        <v>1</v>
      </c>
      <c r="D25" s="28">
        <f>IFERROR(AVERAGEIF(B6:D6,"&gt;0"),"-")</f>
        <v>1</v>
      </c>
      <c r="E25" s="28">
        <f t="shared" ref="E25:AA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row>
    <row r="26" spans="1:27"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row>
    <row r="27" spans="1:27" x14ac:dyDescent="0.35">
      <c r="A27" s="42" t="s">
        <v>183</v>
      </c>
      <c r="B27" s="28" t="str">
        <f>IFERROR(AVERAGE(B21),"-")</f>
        <v>-</v>
      </c>
      <c r="C27" s="28">
        <f>IFERROR(AVERAGE(B21:C21),"-")</f>
        <v>0</v>
      </c>
      <c r="D27" s="28">
        <f>IFERROR(AVERAGE(B21:D21),"-")</f>
        <v>0</v>
      </c>
      <c r="E27" s="28">
        <f t="shared" ref="E27:AA27" si="6">AVERAGE(C21:E21)</f>
        <v>0</v>
      </c>
      <c r="F27" s="28">
        <f t="shared" si="6"/>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row>
    <row r="28" spans="1:27"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7"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A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row>
    <row r="30" spans="1:27"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row>
    <row r="31" spans="1:27"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A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row>
    <row r="32" spans="1:27" ht="20" customHeight="1" x14ac:dyDescent="0.35"/>
    <row r="33" spans="1:27" x14ac:dyDescent="0.35">
      <c r="A33" s="42" t="s">
        <v>187</v>
      </c>
    </row>
    <row r="34" spans="1:27" ht="80" customHeight="1" x14ac:dyDescent="0.35">
      <c r="A34" s="126" t="s">
        <v>188</v>
      </c>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row>
    <row r="35" spans="1:27" ht="15" customHeight="1" x14ac:dyDescent="0.35"/>
    <row r="36" spans="1:27" x14ac:dyDescent="0.35">
      <c r="A36" s="42" t="s">
        <v>189</v>
      </c>
    </row>
    <row r="37" spans="1:27" ht="95" customHeight="1" x14ac:dyDescent="0.35">
      <c r="A37" s="126" t="s">
        <v>190</v>
      </c>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row>
  </sheetData>
  <mergeCells count="2">
    <mergeCell ref="A34:AA34"/>
    <mergeCell ref="A37:AA37"/>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workbookViewId="0">
      <pane xSplit="1" topLeftCell="B1" activePane="topRight" state="frozen"/>
      <selection pane="topRight" activeCell="D10" sqref="D10"/>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40</v>
      </c>
      <c r="C4" s="52"/>
    </row>
    <row r="5" spans="1:4" x14ac:dyDescent="0.35">
      <c r="A5" s="51" t="s">
        <v>194</v>
      </c>
      <c r="B5" s="52">
        <f>COUNTA(Table1[subscription_id])</f>
        <v>97</v>
      </c>
      <c r="C5" s="52"/>
    </row>
    <row r="6" spans="1:4" x14ac:dyDescent="0.35">
      <c r="A6" s="51" t="s">
        <v>195</v>
      </c>
      <c r="B6" s="53">
        <f>SUM(C12:C17)</f>
        <v>144185.5</v>
      </c>
      <c r="C6" s="53"/>
    </row>
    <row r="7" spans="1:4" x14ac:dyDescent="0.35">
      <c r="A7" s="51" t="s">
        <v>196</v>
      </c>
      <c r="B7" s="53">
        <f>B6/B4</f>
        <v>3604.6374999999998</v>
      </c>
      <c r="C7" s="53"/>
    </row>
    <row r="8" spans="1:4" x14ac:dyDescent="0.35">
      <c r="A8" s="51" t="s">
        <v>197</v>
      </c>
      <c r="B8" s="53">
        <f>B6/B5</f>
        <v>1486.4484536082475</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2523.2462500000001</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422598.52928410121</v>
      </c>
    </row>
    <row r="58" spans="1:10" x14ac:dyDescent="0.35">
      <c r="A58" s="67" t="s">
        <v>252</v>
      </c>
      <c r="B58" s="68">
        <f>B7*B23/B37</f>
        <v>295818.97049887088</v>
      </c>
    </row>
    <row r="59" spans="1:10" x14ac:dyDescent="0.35">
      <c r="A59" s="62" t="s">
        <v>253</v>
      </c>
      <c r="B59" s="66">
        <f>B7*C53*B23</f>
        <v>28974.679940419308</v>
      </c>
    </row>
    <row r="61" spans="1:10" x14ac:dyDescent="0.35">
      <c r="A61" s="62" t="s">
        <v>254</v>
      </c>
    </row>
    <row r="62" spans="1:10" ht="195.5" x14ac:dyDescent="0.35">
      <c r="A62" s="69" t="s">
        <v>255</v>
      </c>
    </row>
    <row r="64" spans="1:10" x14ac:dyDescent="0.35">
      <c r="A64" s="128" t="s">
        <v>256</v>
      </c>
      <c r="B64" s="128"/>
      <c r="C64" s="128"/>
      <c r="D64" s="128"/>
      <c r="E64" s="128"/>
      <c r="F64" s="128"/>
      <c r="G64" s="128"/>
      <c r="H64" s="128"/>
      <c r="I64" s="128"/>
      <c r="J64" s="128"/>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21.875122960667358</v>
      </c>
      <c r="C93" s="81" t="s">
        <v>293</v>
      </c>
    </row>
    <row r="94" spans="1:10" x14ac:dyDescent="0.35">
      <c r="A94" s="62" t="s">
        <v>294</v>
      </c>
      <c r="B94" s="82">
        <f>B58/B89</f>
        <v>8.7676043419938026</v>
      </c>
      <c r="C94" s="65" t="s">
        <v>293</v>
      </c>
    </row>
    <row r="95" spans="1:10" x14ac:dyDescent="0.35">
      <c r="A95" s="67" t="s">
        <v>295</v>
      </c>
      <c r="B95" s="83">
        <f>B85/B24</f>
        <v>5.3593964216044796</v>
      </c>
      <c r="C95" s="81" t="s">
        <v>296</v>
      </c>
    </row>
    <row r="96" spans="1:10" x14ac:dyDescent="0.35">
      <c r="A96" s="62" t="s">
        <v>297</v>
      </c>
      <c r="B96" s="84">
        <f>B89/B24</f>
        <v>13.371663586144237</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G5" sqref="G5"/>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Historical Baseline</vt:lpstr>
      <vt:lpstr>Forecast Assumptions</vt:lpstr>
      <vt:lpstr>2026 Forecast</vt:lpstr>
      <vt:lpstr>Jan 2026 A vs F </vt:lpstr>
      <vt:lpstr>Feb 2026 A vs F</vt:lpstr>
      <vt:lpstr>KPI Tracker</vt:lpstr>
      <vt:lpstr>Waterfall Data</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2026-04-09T20:39:11Z</dcterms:modified>
</cp:coreProperties>
</file>