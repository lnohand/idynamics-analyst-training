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AF1B7E1B-59F7-4178-B3F0-A7C4240D5171}" xr6:coauthVersionLast="47" xr6:coauthVersionMax="47" xr10:uidLastSave="{00000000-0000-0000-0000-000000000000}"/>
  <bookViews>
    <workbookView xWindow="-110" yWindow="-110" windowWidth="38620" windowHeight="21100" xr2:uid="{00000000-000D-0000-FFFF-FFFF00000000}"/>
  </bookViews>
  <sheets>
    <sheet name="Actuals" sheetId="14" r:id="rId1"/>
    <sheet name="Historical Baseline" sheetId="1" r:id="rId2"/>
    <sheet name="Forecast Assumptions" sheetId="2" r:id="rId3"/>
    <sheet name="Jan 2026 A vs F " sheetId="9" r:id="rId4"/>
    <sheet name="Feb 2026 A vs F" sheetId="12" r:id="rId5"/>
    <sheet name="Mar 2026 A vs F" sheetId="13" r:id="rId6"/>
    <sheet name="2026 Forecast" sheetId="3" r:id="rId7"/>
    <sheet name="KPI Tracker" sheetId="10" r:id="rId8"/>
    <sheet name="Waterfall Data" sheetId="11" r:id="rId9"/>
    <sheet name="Engine" sheetId="8" r:id="rId10"/>
    <sheet name="Waterfall" sheetId="4" r:id="rId11"/>
    <sheet name="Retention" sheetId="5" r:id="rId12"/>
    <sheet name="Unit Economics" sheetId="6" r:id="rId13"/>
    <sheet name="Ref" sheetId="7"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3" l="1"/>
  <c r="B18" i="13"/>
  <c r="AB5" i="5"/>
  <c r="B13" i="13"/>
  <c r="B2" i="13"/>
  <c r="C33" i="13"/>
  <c r="C29" i="13"/>
  <c r="B39" i="13"/>
  <c r="B31" i="13"/>
  <c r="C31" i="13" s="1"/>
  <c r="B30" i="13"/>
  <c r="C30" i="13" s="1"/>
  <c r="B20" i="13"/>
  <c r="B19" i="13"/>
  <c r="B7" i="13"/>
  <c r="C20" i="11" s="1"/>
  <c r="B5" i="13"/>
  <c r="B72" i="13" s="1"/>
  <c r="B4" i="13"/>
  <c r="E4" i="13" s="1"/>
  <c r="I4" i="13"/>
  <c r="B91" i="13"/>
  <c r="D10" i="14"/>
  <c r="C10" i="14"/>
  <c r="B10" i="14"/>
  <c r="B6" i="14"/>
  <c r="C2" i="14" s="1"/>
  <c r="C6" i="14" s="1"/>
  <c r="B3" i="12"/>
  <c r="B9" i="12" s="1"/>
  <c r="C7" i="13"/>
  <c r="D20" i="11" s="1"/>
  <c r="D9" i="11"/>
  <c r="F7" i="12" a="1"/>
  <c r="F7" i="12" s="1"/>
  <c r="D19" i="11"/>
  <c r="D17" i="11"/>
  <c r="C19" i="11"/>
  <c r="A22" i="11"/>
  <c r="A21" i="11"/>
  <c r="A20" i="11"/>
  <c r="A19" i="11"/>
  <c r="A18" i="11"/>
  <c r="A17" i="11"/>
  <c r="A16" i="11"/>
  <c r="D7" i="9"/>
  <c r="D7" i="12"/>
  <c r="AB12" i="5"/>
  <c r="AB11" i="5"/>
  <c r="AB7" i="5"/>
  <c r="AB6" i="5"/>
  <c r="AB4" i="5"/>
  <c r="AB24" i="5" s="1"/>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R99" i="8" a="1"/>
  <c r="R99" i="8" s="1"/>
  <c r="R100" i="8" a="1"/>
  <c r="R100" i="8" s="1"/>
  <c r="R101" i="8" a="1"/>
  <c r="R101" i="8" s="1"/>
  <c r="R102" i="8" a="1"/>
  <c r="R102" i="8" s="1"/>
  <c r="S99" i="8" a="1"/>
  <c r="S99" i="8" s="1"/>
  <c r="S100" i="8" a="1"/>
  <c r="S100" i="8" s="1"/>
  <c r="S101" i="8" a="1"/>
  <c r="S101" i="8" s="1"/>
  <c r="S102" i="8" a="1"/>
  <c r="S102" i="8" s="1"/>
  <c r="B33" i="13"/>
  <c r="C21" i="13"/>
  <c r="C20" i="13"/>
  <c r="C19" i="13"/>
  <c r="C18" i="13"/>
  <c r="E6" i="13"/>
  <c r="D6" i="13"/>
  <c r="F6" i="13" s="1" a="1"/>
  <c r="F6" i="13" s="1"/>
  <c r="C5" i="13"/>
  <c r="D18" i="11" s="1"/>
  <c r="B38" i="12"/>
  <c r="D12" i="11"/>
  <c r="D10" i="11"/>
  <c r="C14" i="11"/>
  <c r="C13" i="11"/>
  <c r="C12" i="11"/>
  <c r="C11" i="11"/>
  <c r="C10" i="11"/>
  <c r="A15" i="11"/>
  <c r="A14" i="11"/>
  <c r="A13" i="11"/>
  <c r="A12" i="11"/>
  <c r="A11" i="11"/>
  <c r="A10" i="11"/>
  <c r="A9" i="11"/>
  <c r="C5" i="10"/>
  <c r="B46" i="9"/>
  <c r="C57" i="12"/>
  <c r="C31" i="12"/>
  <c r="C30" i="12"/>
  <c r="B36" i="12"/>
  <c r="B3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Z24" i="5" s="1"/>
  <c r="Y4" i="5"/>
  <c r="Y24" i="5" s="1"/>
  <c r="X4" i="5"/>
  <c r="W4" i="5"/>
  <c r="V4" i="5"/>
  <c r="U4" i="5"/>
  <c r="T4" i="5"/>
  <c r="S4" i="5"/>
  <c r="R4" i="5"/>
  <c r="R24" i="5" s="1"/>
  <c r="Q4" i="5"/>
  <c r="P4" i="5"/>
  <c r="P24" i="5" s="1"/>
  <c r="O4" i="5"/>
  <c r="O24" i="5" s="1"/>
  <c r="N4" i="5"/>
  <c r="N24" i="5" s="1"/>
  <c r="M4" i="5"/>
  <c r="M24" i="5" s="1"/>
  <c r="L4" i="5"/>
  <c r="L24" i="5" s="1"/>
  <c r="K4" i="5"/>
  <c r="K24" i="5" s="1"/>
  <c r="J4" i="5"/>
  <c r="J24" i="5" s="1"/>
  <c r="I4" i="5"/>
  <c r="I24" i="5" s="1"/>
  <c r="H4" i="5"/>
  <c r="G4" i="5"/>
  <c r="F4" i="5"/>
  <c r="F24" i="5" s="1"/>
  <c r="E4" i="5"/>
  <c r="E24" i="5" s="1"/>
  <c r="D4" i="5"/>
  <c r="C4" i="5"/>
  <c r="B4" i="5"/>
  <c r="C56" i="13" s="1"/>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X24" i="5"/>
  <c r="W24" i="5"/>
  <c r="V24" i="5"/>
  <c r="U24" i="5"/>
  <c r="T24" i="5"/>
  <c r="S24" i="5"/>
  <c r="Q24" i="5"/>
  <c r="H24" i="5"/>
  <c r="G24" i="5"/>
  <c r="D24" i="5"/>
  <c r="C24" i="5"/>
  <c r="B24" i="5"/>
  <c r="B3" i="4"/>
  <c r="B35" i="13" l="1"/>
  <c r="AB10" i="5"/>
  <c r="AB15" i="5"/>
  <c r="C55" i="13"/>
  <c r="B34" i="13"/>
  <c r="B21" i="13"/>
  <c r="B85" i="13" s="1"/>
  <c r="C17" i="11"/>
  <c r="B71" i="13"/>
  <c r="C18" i="11"/>
  <c r="D4" i="13"/>
  <c r="F4" i="13" s="1" a="1"/>
  <c r="F4" i="13" s="1"/>
  <c r="B73" i="13"/>
  <c r="D7" i="13"/>
  <c r="F7" i="13" s="1" a="1"/>
  <c r="F7" i="13" s="1"/>
  <c r="B8" i="13"/>
  <c r="C21" i="11" s="1"/>
  <c r="E5" i="10"/>
  <c r="D5" i="10"/>
  <c r="B84" i="13"/>
  <c r="B37" i="13"/>
  <c r="C37" i="13" s="1"/>
  <c r="B83" i="13"/>
  <c r="E11" i="10" s="1"/>
  <c r="B36" i="13"/>
  <c r="B57" i="13" s="1"/>
  <c r="C57" i="13"/>
  <c r="D2" i="14"/>
  <c r="C11" i="14"/>
  <c r="C12" i="14" s="1"/>
  <c r="C13" i="14" s="1"/>
  <c r="B11" i="14"/>
  <c r="B12" i="14"/>
  <c r="B13" i="14" s="1"/>
  <c r="B32" i="12"/>
  <c r="D7" i="10"/>
  <c r="E20" i="11"/>
  <c r="E19" i="1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D20" i="13"/>
  <c r="F20" i="13" s="1" a="1"/>
  <c r="F20" i="13" s="1"/>
  <c r="E20" i="13"/>
  <c r="D19" i="13"/>
  <c r="F19" i="13" s="1" a="1"/>
  <c r="F19" i="13" s="1"/>
  <c r="E19" i="13"/>
  <c r="E18" i="13"/>
  <c r="D18" i="13"/>
  <c r="F18" i="13" s="1" a="1"/>
  <c r="F18" i="13" s="1"/>
  <c r="E7" i="13"/>
  <c r="C8" i="13"/>
  <c r="D21" i="11" s="1"/>
  <c r="E5" i="13"/>
  <c r="D5" i="13"/>
  <c r="E10" i="11"/>
  <c r="B57" i="12"/>
  <c r="C36" i="12"/>
  <c r="C10" i="10"/>
  <c r="C7" i="10"/>
  <c r="C33"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T17" i="5" l="1"/>
  <c r="U19" i="5"/>
  <c r="T20" i="5"/>
  <c r="D20" i="5"/>
  <c r="E19" i="5"/>
  <c r="D17" i="5"/>
  <c r="U17" i="5"/>
  <c r="U20" i="5"/>
  <c r="V19" i="5"/>
  <c r="V20" i="5"/>
  <c r="W19" i="5"/>
  <c r="V17" i="5"/>
  <c r="E20" i="5"/>
  <c r="E17" i="5"/>
  <c r="F19" i="5"/>
  <c r="F17" i="5"/>
  <c r="G19" i="5"/>
  <c r="F20" i="5"/>
  <c r="O20" i="5"/>
  <c r="O17" i="5"/>
  <c r="P19" i="5"/>
  <c r="M20" i="5"/>
  <c r="M17" i="5"/>
  <c r="N19" i="5"/>
  <c r="H19" i="5"/>
  <c r="G20" i="5"/>
  <c r="G17" i="5"/>
  <c r="H17" i="5"/>
  <c r="I19" i="5"/>
  <c r="H20" i="5"/>
  <c r="H21" i="5" s="1"/>
  <c r="Y19" i="5"/>
  <c r="X20" i="5"/>
  <c r="X17" i="5"/>
  <c r="AB20" i="5"/>
  <c r="AB17" i="5"/>
  <c r="L17" i="5"/>
  <c r="L20" i="5"/>
  <c r="M19" i="5"/>
  <c r="O19" i="5"/>
  <c r="N20" i="5"/>
  <c r="N17" i="5"/>
  <c r="W20" i="5"/>
  <c r="X19" i="5"/>
  <c r="W17" i="5"/>
  <c r="P17" i="5"/>
  <c r="Q19" i="5"/>
  <c r="P20" i="5"/>
  <c r="I17" i="5"/>
  <c r="J19" i="5"/>
  <c r="I20" i="5"/>
  <c r="Q17" i="5"/>
  <c r="R19" i="5"/>
  <c r="R21" i="5" s="1"/>
  <c r="Q20" i="5"/>
  <c r="Y17" i="5"/>
  <c r="Z19" i="5"/>
  <c r="Y20" i="5"/>
  <c r="B20" i="5"/>
  <c r="B17" i="5"/>
  <c r="C19"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K19" i="5"/>
  <c r="J20" i="5"/>
  <c r="J17" i="5"/>
  <c r="R17" i="5"/>
  <c r="S19" i="5"/>
  <c r="R20" i="5"/>
  <c r="AA19" i="5"/>
  <c r="AA21" i="5" s="1"/>
  <c r="Z20" i="5"/>
  <c r="Z17" i="5"/>
  <c r="C20" i="5"/>
  <c r="C17" i="5"/>
  <c r="D19" i="5"/>
  <c r="K20" i="5"/>
  <c r="K17" i="5"/>
  <c r="L19" i="5"/>
  <c r="S20" i="5"/>
  <c r="T19" i="5"/>
  <c r="S17" i="5"/>
  <c r="AA17" i="5"/>
  <c r="AA20" i="5"/>
  <c r="AB19" i="5"/>
  <c r="D6" i="14"/>
  <c r="B3" i="13"/>
  <c r="D21" i="13"/>
  <c r="F21" i="13" s="1" a="1"/>
  <c r="F21" i="13" s="1"/>
  <c r="B38" i="13"/>
  <c r="C38" i="13" s="1"/>
  <c r="C58" i="13"/>
  <c r="E17" i="11"/>
  <c r="E21" i="13"/>
  <c r="B74" i="13"/>
  <c r="B92" i="13"/>
  <c r="E13" i="10" s="1"/>
  <c r="D12" i="10"/>
  <c r="B40" i="13"/>
  <c r="D11" i="10"/>
  <c r="D10" i="10"/>
  <c r="C36" i="13"/>
  <c r="D11" i="14"/>
  <c r="D12" i="14" s="1"/>
  <c r="D13" i="14" s="1"/>
  <c r="F5" i="13" a="1"/>
  <c r="F5" i="13" s="1"/>
  <c r="E18" i="11"/>
  <c r="D15" i="1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L21" i="5"/>
  <c r="E8" i="13"/>
  <c r="D8" i="13"/>
  <c r="C4" i="10"/>
  <c r="C54"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AB21" i="5" l="1"/>
  <c r="AB18" i="5"/>
  <c r="C16" i="11"/>
  <c r="B9" i="13"/>
  <c r="E12" i="10"/>
  <c r="B58" i="13"/>
  <c r="F8" i="13" a="1"/>
  <c r="F8" i="13" s="1"/>
  <c r="E21" i="11"/>
  <c r="D3" i="13"/>
  <c r="E3" i="13"/>
  <c r="D16" i="11"/>
  <c r="E9" i="13"/>
  <c r="D9" i="13"/>
  <c r="D22" i="11"/>
  <c r="C14" i="13"/>
  <c r="C10" i="13"/>
  <c r="C7" i="5"/>
  <c r="C11" i="5"/>
  <c r="C6" i="5"/>
  <c r="C29" i="5" s="1"/>
  <c r="C5" i="5"/>
  <c r="H4" i="4"/>
  <c r="B5" i="4" s="1"/>
  <c r="C12" i="5"/>
  <c r="C30" i="5"/>
  <c r="C26" i="5"/>
  <c r="C25" i="5"/>
  <c r="H5" i="4"/>
  <c r="D11" i="5"/>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B32" i="13" l="1"/>
  <c r="C22" i="11"/>
  <c r="D4" i="10"/>
  <c r="B10" i="13"/>
  <c r="C54" i="13"/>
  <c r="B75" i="13"/>
  <c r="B14" i="13"/>
  <c r="E10" i="13"/>
  <c r="D10" i="13"/>
  <c r="F10" i="13" s="1" a="1"/>
  <c r="F10" i="13" s="1"/>
  <c r="E14" i="13"/>
  <c r="D14" i="13"/>
  <c r="F14" i="13" s="1" a="1"/>
  <c r="F14" i="13" s="1"/>
  <c r="F3" i="13" a="1"/>
  <c r="F3" i="13" s="1"/>
  <c r="E16" i="11"/>
  <c r="E22" i="11"/>
  <c r="F9" i="13" a="1"/>
  <c r="F9" i="13" s="1"/>
  <c r="C15" i="13"/>
  <c r="C16" i="13" s="1"/>
  <c r="AB31" i="5"/>
  <c r="L27" i="5"/>
  <c r="E27" i="5"/>
  <c r="D6" i="5"/>
  <c r="D5" i="5"/>
  <c r="D7" i="5"/>
  <c r="D12" i="5"/>
  <c r="B13" i="1"/>
  <c r="B6" i="4"/>
  <c r="W27" i="5"/>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B79" i="13" l="1"/>
  <c r="B15" i="13"/>
  <c r="E6" i="10"/>
  <c r="E4" i="10"/>
  <c r="C32" i="13"/>
  <c r="D6" i="10"/>
  <c r="B54" i="13"/>
  <c r="D15" i="13"/>
  <c r="F15" i="13" s="1" a="1"/>
  <c r="F15" i="13" s="1"/>
  <c r="E15" i="13"/>
  <c r="C23" i="12"/>
  <c r="D22" i="12"/>
  <c r="F22" i="12" s="1" a="1"/>
  <c r="F22" i="12" s="1"/>
  <c r="C17" i="13"/>
  <c r="C22" i="13"/>
  <c r="D25" i="5"/>
  <c r="D29" i="5"/>
  <c r="D26" i="5"/>
  <c r="D30" i="5"/>
  <c r="H6" i="4"/>
  <c r="B7" i="4" s="1"/>
  <c r="E7" i="5"/>
  <c r="E5" i="5"/>
  <c r="E6" i="5"/>
  <c r="E12" i="5"/>
  <c r="E11" i="5"/>
  <c r="B24" i="1"/>
  <c r="B25" i="1" s="1"/>
  <c r="B26" i="1" s="1"/>
  <c r="B12" i="1"/>
  <c r="C7" i="1"/>
  <c r="D17" i="12"/>
  <c r="F17" i="12" s="1" a="1"/>
  <c r="F17" i="12" s="1"/>
  <c r="E17" i="12"/>
  <c r="D23" i="12"/>
  <c r="F23" i="12" s="1" a="1"/>
  <c r="F23" i="12" s="1"/>
  <c r="E23" i="12"/>
  <c r="C23" i="9"/>
  <c r="D22" i="9"/>
  <c r="F22" i="9" s="1" a="1"/>
  <c r="F22" i="9" s="1"/>
  <c r="E18" i="5"/>
  <c r="B80" i="13" l="1"/>
  <c r="B16" i="13"/>
  <c r="B81" i="13"/>
  <c r="C23" i="13"/>
  <c r="E17" i="13"/>
  <c r="D17" i="13"/>
  <c r="F17" i="13" s="1" a="1"/>
  <c r="F17" i="13" s="1"/>
  <c r="E25" i="5"/>
  <c r="E29" i="5"/>
  <c r="F7" i="5"/>
  <c r="F5" i="5"/>
  <c r="F11" i="5"/>
  <c r="F12" i="5"/>
  <c r="F6" i="5"/>
  <c r="H7" i="4"/>
  <c r="B8" i="4" s="1"/>
  <c r="E26" i="5"/>
  <c r="E30" i="5"/>
  <c r="C38" i="1"/>
  <c r="C37" i="1"/>
  <c r="B32" i="1"/>
  <c r="B33" i="1" s="1"/>
  <c r="B27" i="1"/>
  <c r="D23" i="9"/>
  <c r="F23" i="9" s="1" a="1"/>
  <c r="F23" i="9" s="1"/>
  <c r="E23" i="9"/>
  <c r="C19" i="1"/>
  <c r="F18" i="5"/>
  <c r="B86" i="13" l="1"/>
  <c r="B87" i="13" s="1"/>
  <c r="B82" i="13"/>
  <c r="B22" i="13"/>
  <c r="D16" i="13"/>
  <c r="F16" i="13" s="1" a="1"/>
  <c r="F16" i="13" s="1"/>
  <c r="E16" i="13"/>
  <c r="H8" i="4"/>
  <c r="G11" i="5"/>
  <c r="G12" i="5"/>
  <c r="G7" i="5"/>
  <c r="F30" i="5"/>
  <c r="F26" i="5"/>
  <c r="F25" i="5"/>
  <c r="F29" i="5"/>
  <c r="G5" i="5"/>
  <c r="G6" i="5"/>
  <c r="G18" i="5"/>
  <c r="B23" i="13" l="1"/>
  <c r="E22" i="13"/>
  <c r="D22" i="13"/>
  <c r="F22" i="13" s="1" a="1"/>
  <c r="F22" i="13" s="1"/>
  <c r="E7" i="10"/>
  <c r="B93" i="13"/>
  <c r="B95" i="13"/>
  <c r="E16" i="10" s="1"/>
  <c r="B9" i="4"/>
  <c r="C13" i="1"/>
  <c r="G26" i="5"/>
  <c r="G30" i="5"/>
  <c r="G25" i="5"/>
  <c r="G29" i="5"/>
  <c r="H18" i="5"/>
  <c r="E14" i="10" l="1"/>
  <c r="B94" i="13"/>
  <c r="E15" i="10" s="1"/>
  <c r="A61" i="13"/>
  <c r="D23" i="13"/>
  <c r="F23" i="13" s="1" a="1"/>
  <c r="F23" i="13" s="1"/>
  <c r="E23" i="13"/>
  <c r="H6" i="5"/>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C35" i="13" l="1"/>
  <c r="AB30" i="5"/>
  <c r="B34" i="12"/>
  <c r="C34" i="13"/>
  <c r="AB29" i="5"/>
  <c r="AB25" i="5"/>
  <c r="AB26" i="5"/>
  <c r="AA30" i="5"/>
  <c r="C56" i="12"/>
  <c r="B35" i="12"/>
  <c r="AA26" i="5"/>
  <c r="AA25" i="5"/>
  <c r="AA29" i="5"/>
  <c r="B37" i="6" s="1"/>
  <c r="C55" i="12"/>
  <c r="B29" i="4"/>
  <c r="H29" i="4" s="1"/>
  <c r="B31" i="4"/>
  <c r="B33" i="4" s="1"/>
  <c r="B63" i="9"/>
  <c r="B8" i="10"/>
  <c r="B9" i="10"/>
  <c r="B64" i="9"/>
  <c r="D8" i="10" l="1"/>
  <c r="E8" i="10"/>
  <c r="D9" i="10"/>
  <c r="E9" i="10"/>
  <c r="B56" i="13"/>
  <c r="C9" i="10"/>
  <c r="B56" i="12"/>
  <c r="C35" i="12"/>
  <c r="B57" i="6"/>
  <c r="B58" i="6"/>
  <c r="B38" i="6"/>
  <c r="B55"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<sst xmlns="http://schemas.openxmlformats.org/spreadsheetml/2006/main" count="1760" uniqueCount="738">
  <si>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</si>
  <si>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</si>
  <si>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</si>
  <si>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</si>
  <si>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</si>
  <si>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</si>
  <si>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</si>
  <si>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</si>
  <si>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</si>
  <si>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</si>
  <si>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</si>
  <si>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</si>
  <si>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</si>
  <si>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</si>
  <si>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</si>
  <si>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</si>
  <si>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</si>
  <si>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</si>
  <si>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</si>
  <si>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</si>
  <si>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</si>
  <si>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</si>
  <si>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</si>
  <si>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</si>
  <si>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</si>
  <si>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</si>
  <si>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</si>
  <si>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</si>
  <si>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</si>
  <si>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</si>
  <si>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</si>
  <si>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</si>
  <si>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</si>
  <si>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</si>
  <si>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</si>
  <si>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</si>
  <si>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</si>
  <si>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</si>
  <si>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</si>
  <si>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</si>
  <si>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</si>
  <si>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</si>
  <si>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</si>
  <si>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</si>
  <si>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</si>
  <si>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</si>
  <si>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</si>
  <si>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</si>
  <si>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</si>
  <si>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</si>
  <si>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</si>
  <si>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</si>
  <si>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</si>
  <si>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</si>
  <si>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</si>
  <si>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</si>
  <si>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</si>
  <si>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</si>
  <si>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</si>
  <si>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</si>
  <si>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</si>
  <si>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</si>
  <si>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</si>
  <si>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</si>
  <si>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</si>
  <si>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</si>
  <si>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</si>
  <si>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</si>
  <si>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</si>
  <si>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</si>
  <si>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</si>
  <si>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</si>
  <si>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</si>
  <si>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</si>
  <si>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</si>
  <si>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</si>
  <si>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</si>
  <si>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</si>
  <si>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</si>
  <si>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</si>
  <si>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</si>
  <si>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</si>
  <si>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</si>
  <si>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</si>
  <si>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</si>
  <si>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</si>
  <si>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</si>
  <si>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</si>
  <si>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</si>
  <si>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</si>
  <si>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</si>
  <si>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</si>
  <si>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</si>
  <si>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</si>
  <si>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</si>
  <si>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</si>
  <si>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</si>
  <si>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</si>
  <si>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</si>
  <si>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</si>
  <si>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</si>
  <si>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</si>
  <si>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</si>
  <si>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</si>
  <si>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</si>
  <si>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</si>
  <si>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</si>
  <si>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</si>
  <si>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</si>
  <si>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</si>
  <si>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</si>
  <si>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</si>
  <si>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</si>
  <si>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</si>
  <si>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</si>
  <si>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</si>
  <si>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</si>
  <si>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</si>
  <si>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</si>
  <si>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</si>
  <si>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</si>
  <si>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</si>
  <si>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</si>
  <si>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</si>
  <si>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</si>
  <si>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</si>
  <si>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</si>
  <si>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</si>
  <si>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</si>
  <si>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</si>
  <si>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</si>
  <si>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</si>
  <si>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</si>
  <si>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</si>
  <si>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</si>
  <si>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</si>
  <si>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</si>
  <si>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</si>
  <si>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</si>
  <si>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</si>
  <si>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</si>
  <si>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</si>
  <si>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</si>
  <si>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</si>
  <si>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</si>
  <si>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</si>
  <si>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</si>
  <si>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</si>
  <si>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</si>
  <si>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</si>
  <si>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</si>
  <si>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</si>
  <si>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</si>
  <si>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</si>
  <si>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</si>
  <si>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</si>
  <si>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</si>
  <si>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</si>
  <si>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</si>
  <si>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</si>
  <si>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</si>
  <si>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</si>
  <si>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</si>
  <si>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</si>
  <si>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</si>
  <si>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</si>
  <si>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</si>
  <si>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</si>
  <si>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</si>
  <si>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</si>
  <si>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</si>
  <si>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</si>
  <si>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</si>
  <si>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</si>
  <si>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</si>
  <si>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</si>
  <si>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</si>
  <si>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</si>
  <si>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</si>
  <si>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</si>
  <si>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</si>
  <si>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</si>
  <si>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</si>
  <si>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</si>
  <si>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</si>
  <si>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</si>
  <si>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</si>
  <si>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</si>
  <si>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</si>
  <si>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</si>
  <si>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</si>
  <si>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</si>
  <si>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</si>
  <si>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</si>
  <si>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</si>
  <si>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</si>
  <si>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</si>
  <si>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</si>
  <si>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</si>
  <si>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</si>
  <si>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</si>
  <si>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</si>
  <si>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</si>
  <si>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</si>
  <si>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</si>
  <si>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</si>
  <si>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</si>
  <si>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</si>
  <si>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</si>
  <si>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</si>
  <si>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</si>
  <si>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</si>
  <si>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</si>
  <si>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</si>
  <si>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</si>
  <si>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</si>
  <si>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</si>
  <si>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</si>
  <si>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</si>
  <si>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</si>
  <si>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</si>
  <si>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</si>
  <si>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</si>
  <si>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</si>
  <si>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</si>
  <si>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</si>
  <si>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</si>
  <si>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</si>
  <si>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</si>
  <si>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</si>
  <si>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</si>
  <si>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</si>
  <si>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</si>
  <si>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</si>
  <si>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</si>
  <si>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</si>
  <si>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</si>
  <si>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</si>
  <si>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</si>
  <si>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</si>
  <si>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</si>
  <si>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</si>
  <si>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</si>
  <si>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</si>
  <si>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</si>
  <si>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</si>
  <si>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</si>
  <si>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</si>
  <si>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</si>
  <si>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</si>
  <si>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</si>
  <si>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</si>
  <si>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</si>
  <si>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</si>
  <si>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</si>
  <si>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</si>
  <si>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</si>
  <si>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</si>
  <si>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</si>
  <si>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</si>
  <si>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</si>
  <si>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</si>
  <si>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</si>
  <si>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</si>
  <si>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</si>
  <si>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</si>
  <si>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</si>
  <si>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</si>
  <si>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</si>
  <si>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</si>
  <si>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</si>
  <si>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</si>
  <si>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</si>
  <si>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</si>
  <si>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</si>
  <si>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</si>
  <si>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</si>
  <si>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</si>
  <si>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</si>
  <si>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</si>
  <si>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</si>
  <si>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</si>
  <si>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</si>
  <si>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</si>
  <si>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</si>
  <si>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</si>
  <si>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</si>
  <si>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</si>
  <si>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</si>
  <si>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</si>
  <si>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</si>
  <si>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</si>
  <si>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</si>
  <si>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</si>
  <si>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</si>
  <si>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</si>
  <si>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</si>
  <si>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</si>
  <si>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</si>
  <si>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</si>
  <si>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</si>
  <si>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</si>
  <si>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</si>
  <si>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</si>
  <si>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</si>
  <si>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</si>
  <si>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</si>
  <si>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</si>
  <si>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</si>
  <si>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</si>
  <si>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</si>
  <si>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</si>
  <si>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</si>
  <si>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</si>
  <si>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</si>
  <si>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</si>
  <si>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</si>
  <si>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</si>
  <si>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</si>
  <si>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</si>
  <si>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</si>
  <si>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</si>
  <si>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</si>
  <si>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</si>
  <si>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</si>
  <si>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</si>
  <si>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</si>
  <si>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</si>
  <si>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</si>
  <si>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</si>
  <si>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</si>
  <si>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</si>
  <si>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</si>
  <si>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</si>
  <si>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</si>
  <si>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</si>
  <si>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</si>
  <si>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</si>
  <si>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</si>
  <si>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</si>
  <si>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</si>
  <si>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</si>
  <si>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</si>
  <si>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</si>
  <si>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</si>
  <si>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</si>
  <si>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</si>
  <si>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</si>
  <si>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</si>
  <si>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</si>
  <si>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</si>
  <si>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</si>
  <si>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</si>
  <si>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</si>
  <si>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</si>
  <si>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</si>
  <si>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</si>
  <si>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</si>
  <si>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</si>
  <si>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</si>
  <si>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</si>
  <si>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</si>
  <si>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</si>
  <si>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</si>
  <si>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</si>
  <si>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</si>
  <si>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</si>
  <si>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</si>
  <si>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</si>
  <si>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</si>
  <si>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</si>
  <si>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</si>
  <si>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</si>
  <si>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</si>
  <si>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</si>
  <si>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</si>
  <si>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</si>
  <si>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</si>
  <si>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</si>
  <si>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</si>
  <si>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</si>
  <si>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</si>
  <si>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</si>
  <si>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</si>
  <si>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</si>
  <si>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</si>
  <si>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</si>
  <si>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</si>
  <si>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</si>
  <si>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</si>
  <si>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</si>
  <si>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</si>
  <si>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</si>
  <si>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</si>
  <si>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</si>
  <si>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</si>
  <si>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</si>
  <si>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</si>
  <si>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</si>
  <si>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</si>
  <si>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</si>
  <si>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</si>
  <si>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</si>
  <si>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</si>
  <si>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</si>
  <si>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</si>
  <si>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</si>
  <si>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</si>
  <si>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</si>
  <si>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</si>
  <si>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</si>
  <si>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</si>
  <si>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</si>
  <si>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</si>
  <si>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</si>
  <si>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</si>
  <si>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</si>
  <si>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</si>
  <si>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</si>
  <si>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</si>
  <si>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</si>
  <si>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</si>
  <si>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</si>
  <si>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</si>
  <si>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</si>
  <si>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</si>
  <si>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</si>
  <si>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</si>
  <si>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</si>
  <si>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</si>
  <si>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</si>
  <si>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</si>
  <si>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</si>
  <si>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</si>
  <si>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</si>
  <si>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</si>
  <si>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</si>
  <si>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</si>
  <si>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</si>
  <si>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</si>
  <si>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</si>
  <si>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</si>
  <si>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</si>
  <si>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</si>
  <si>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</si>
  <si>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</si>
  <si>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</si>
  <si>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</si>
  <si>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</si>
  <si>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</si>
  <si>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</si>
  <si>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</si>
  <si>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</si>
  <si>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</si>
  <si>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</si>
  <si>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</si>
  <si>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</si>
  <si>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</si>
  <si>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</si>
  <si>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</si>
  <si>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</si>
  <si>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</si>
  <si>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</si>
  <si>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</si>
  <si>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</si>
  <si>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</si>
  <si>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</si>
  <si>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</si>
  <si>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</si>
  <si>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</si>
  <si>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</si>
  <si>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</si>
  <si>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</si>
  <si>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</si>
  <si>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</si>
  <si>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</si>
  <si>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</si>
  <si>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</si>
  <si>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</si>
  <si>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</si>
  <si>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</si>
  <si>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</si>
  <si>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</si>
  <si>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</si>
  <si>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</si>
  <si>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</si>
  <si>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</si>
  <si>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</si>
  <si>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</si>
  <si>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</si>
  <si>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</si>
  <si>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</si>
  <si>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</si>
  <si>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</si>
  <si>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</si>
  <si>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</si>
  <si>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</si>
  <si>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</si>
  <si>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</si>
  <si>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</si>
  <si>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</si>
  <si>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</si>
  <si>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</si>
  <si>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</si>
  <si>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</si>
  <si>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</si>
  <si>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</si>
  <si>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</si>
  <si>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</si>
  <si>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</si>
  <si>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</si>
  <si>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</si>
  <si>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</si>
  <si>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</si>
  <si>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</si>
  <si>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</si>
  <si>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</si>
  <si>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</si>
  <si>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</si>
  <si>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</si>
  <si>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</si>
  <si>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</si>
  <si>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</si>
  <si>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</si>
  <si>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</si>
  <si>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</si>
  <si>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</si>
  <si>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</si>
  <si>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</si>
  <si>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</si>
  <si>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</si>
  <si>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</si>
  <si>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</si>
  <si>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</si>
  <si>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</si>
  <si>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</si>
  <si>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</si>
  <si>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</si>
  <si>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</si>
  <si>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</si>
  <si>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</si>
  <si>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</si>
  <si>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</si>
  <si>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</si>
  <si>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</si>
  <si>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</si>
  <si>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</si>
  <si>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</si>
  <si>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</si>
  <si>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</si>
  <si>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</si>
  <si>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</si>
  <si>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</si>
  <si>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</si>
  <si>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</si>
  <si>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</si>
  <si>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</si>
  <si>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</si>
  <si>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</si>
  <si>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</si>
  <si>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</si>
  <si>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</si>
  <si>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</si>
  <si>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</si>
  <si>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</si>
  <si>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</si>
  <si>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</si>
  <si>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</si>
  <si>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</si>
  <si>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</si>
  <si>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</si>
  <si>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</si>
  <si>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</si>
  <si>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</si>
  <si>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</si>
  <si>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</si>
  <si>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</si>
  <si>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</si>
  <si>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</si>
  <si>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</si>
  <si>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</si>
  <si>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</si>
  <si>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</si>
  <si>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</si>
  <si>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</si>
  <si>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</si>
  <si>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</si>
  <si>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</si>
  <si>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</si>
  <si>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</si>
  <si>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</si>
  <si>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</si>
  <si>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</si>
  <si>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</si>
  <si>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</si>
  <si>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</si>
  <si>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</si>
  <si>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</si>
  <si>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</si>
  <si>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</si>
  <si>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</si>
  <si>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</si>
  <si>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</si>
  <si>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</si>
  <si>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</si>
  <si>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</si>
  <si>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</si>
  <si>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</si>
  <si>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</si>
  <si>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</si>
  <si>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</si>
  <si>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</si>
  <si>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</si>
  <si>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</si>
  <si>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</si>
  <si>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</si>
  <si>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</si>
  <si>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</si>
  <si>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</si>
  <si>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</si>
  <si>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</si>
  <si>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</si>
  <si>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</si>
  <si>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</si>
  <si>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</si>
  <si>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</si>
  <si>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</si>
  <si>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</si>
  <si>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</si>
  <si>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</si>
  <si>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</si>
  <si>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</si>
  <si>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</si>
  <si>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</si>
  <si>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</si>
  <si>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</si>
  <si>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</si>
  <si>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</si>
  <si>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</si>
  <si>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</si>
  <si>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</si>
  <si>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</si>
  <si>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</si>
  <si>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</si>
  <si>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</si>
  <si>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</si>
  <si>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</si>
  <si>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</si>
  <si>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</si>
  <si>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</si>
  <si>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</si>
  <si>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</si>
  <si>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</si>
  <si>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</si>
  <si>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</si>
  <si>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</si>
  <si>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</si>
  <si>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</si>
  <si>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</si>
  <si>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</si>
  <si>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</si>
  <si>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</si>
  <si>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</si>
  <si>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</si>
  <si>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</si>
  <si>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</si>
  <si>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</si>
  <si>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</si>
  <si>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</si>
  <si>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</si>
  <si>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</si>
  <si>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</si>
  <si>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</si>
  <si>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</si>
  <si>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</si>
  <si>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Forecast - Mar 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</si>
  <si>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</si>
  <si>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</si>
  <si>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</si>
  <si>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</si>
  <si>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</si>
  <si>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</si>
  <si>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</si>
  <si>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</si>
  <si>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</si>
  <si>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</si>
  <si>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</si>
  <si>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</si>
  <si>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</si>
  <si>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</si>
  <si>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</si>
  <si>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</si>
  <si>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</si>
  <si>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</si>
  <si>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</si>
  <si>
    <t>Q1 2026 Roll-Up</t>
  </si>
  <si>
    <t>Q1 MRR Summary</t>
  </si>
  <si>
    <t>Q1 Total</t>
  </si>
  <si>
    <t>Q1 Total New MRR</t>
  </si>
  <si>
    <t>Q1 Total Expansion MRR</t>
  </si>
  <si>
    <t>Q1 Total Churned MRR</t>
  </si>
  <si>
    <t>Q1 Net New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</si>
  <si>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</si>
  <si>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</si>
  <si>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</si>
  <si>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</si>
  <si>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</si>
  <si>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</si>
  <si>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</si>
  <si>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</si>
  <si>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</si>
  <si>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</si>
  <si>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</si>
  <si>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</si>
  <si>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</si>
  <si>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</si>
  <si>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</si>
  <si>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The key watch item for Q2 is new logo conversion. New MRR missed forecast in every month of Q1 ($10,830 actual vs. $12,000 planned) and the March expansion signal came from a single account. If this trend doesn't change, Q2 could face the same issue.</t>
  </si>
  <si>
    <t>Q1 Commentary:</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</si>
  <si>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</si>
  <si>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</si>
  <si>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Legend:</t>
  </si>
  <si>
    <t>INPUT = type here</t>
  </si>
  <si>
    <t>FORMULA = never type here</t>
  </si>
  <si>
    <t>ANCHOR =  one-time historical</t>
  </si>
  <si>
    <t>MONTHLY CONFIG</t>
  </si>
  <si>
    <t>Current month:</t>
  </si>
  <si>
    <t>← change this when creating a new month</t>
  </si>
  <si>
    <t>Prior month tab:</t>
  </si>
  <si>
    <t>Feb 2026 A vs F</t>
  </si>
  <si>
    <t>Month-end date:</t>
  </si>
  <si>
    <t>← formula: last day of current month</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</si>
  <si>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</si>
  <si>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</si>
  <si>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</si>
  <si>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</si>
  <si>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March closed at $153,686 MRR, bringing Q1 total net new MRR to $10,616, which is a 7.4% gain on the opening value of $143,070.</t>
  </si>
  <si>
    <t>INDEX(Retention!$B$6:$AZ$6,MATCH($I$2,Retention!$B$4:$AZ$4,0))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</si>
</sst>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 numFmtId="178" formatCode="&quot;$&quot;#,##0.00;\(&quot;$&quot;#,##0.00\);\-"/>
    <numFmt numFmtId="179" formatCode="0.0%;\(0.0%\);\-"/>
    <numFmt numFmtId="180" formatCode="0.00&quot;x&quot;"/>
    <numFmt numFmtId="182" formatCode="#,##0.0"/>
  </numFmts>
  <fonts count="56"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
      <b/>
      <sz val="10"/>
      <color rgb="FF000000"/>
      <name val="Arial"/>
    </font>
    <font>
      <b/>
      <i/>
      <sz val="10"/>
      <color rgb="FFFFFFFF"/>
      <name val="Arial"/>
      <family val="2"/>
    </font>
    <font>
      <b/>
      <sz val="10"/>
      <color rgb="FF0000FF"/>
      <name val="Arial"/>
      <family val="2"/>
    </font>
    <font>
      <i/>
      <sz val="9"/>
      <color rgb="FF666666"/>
      <name val="Arial"/>
      <family val="2"/>
    </font>
    <font>
      <sz val="10"/>
      <color theme="1"/>
      <name val="Arial"/>
      <family val="2"/>
    </font>
    <font>
      <i/>
      <sz val="10"/>
      <color theme="1"/>
      <name val="Arial"/>
      <family val="2"/>
    </font>
    <font>
      <sz val="10"/>
      <color rgb="FF000000"/>
      <name val="Arial"/>
      <family val="2"/>
    </font>
    <font>
      <b/>
      <sz val="11"/>
      <color rgb="FF1F3864"/>
      <name val="Calibri"/>
      <family val="2"/>
      <scheme val="minor"/>
    </font>
  </fonts>
  <fills count="19">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
      <patternFill patternType="solid">
        <fgColor rgb="FFFFFFFF"/>
        <bgColor indexed="64"/>
      </patternFill>
    </fill>
    <fill>
      <patternFill patternType="solid">
        <fgColor theme="0"/>
        <bgColor indexed="64"/>
      </patternFill>
    </fill>
  </fills>
  <borders count="14">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right/>
      <top/>
      <bottom style="thin">
        <color rgb="FF1F3864"/>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244">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2" fillId="17" borderId="0" xfId="0" applyFont="1" applyFill="1"/>
    <xf numFmtId="0" fontId="48" fillId="17" borderId="0" xfId="0" applyFont="1" applyFill="1"/>
    <xf numFmtId="178" fontId="39" fillId="0" borderId="0" xfId="0" applyNumberFormat="1" applyFont="1"/>
    <xf numFmtId="178" fontId="40" fillId="0" borderId="0" xfId="0" applyNumberFormat="1" applyFont="1"/>
    <xf numFmtId="179" fontId="39" fillId="0" borderId="0" xfId="0" applyNumberFormat="1" applyFont="1"/>
    <xf numFmtId="0" fontId="31" fillId="14" borderId="0" xfId="0" applyFont="1" applyFill="1" applyAlignment="1">
      <alignment horizontal="center"/>
    </xf>
    <xf numFmtId="2" fontId="0" fillId="0" borderId="0" xfId="0" applyNumberFormat="1"/>
    <xf numFmtId="1" fontId="0" fillId="16" borderId="0" xfId="0" applyNumberFormat="1" applyFill="1"/>
    <xf numFmtId="166" fontId="0" fillId="16" borderId="0" xfId="0" applyNumberFormat="1" applyFill="1"/>
    <xf numFmtId="166" fontId="0" fillId="15" borderId="0" xfId="0" applyNumberFormat="1" applyFill="1"/>
    <xf numFmtId="0" fontId="0" fillId="15" borderId="0" xfId="0" applyFill="1" applyAlignment="1">
      <alignment horizontal="center"/>
    </xf>
    <xf numFmtId="170" fontId="0" fillId="16" borderId="0" xfId="0" applyNumberFormat="1" applyFill="1"/>
    <xf numFmtId="170" fontId="0" fillId="15" borderId="0" xfId="0" applyNumberFormat="1" applyFill="1"/>
    <xf numFmtId="170" fontId="36" fillId="13" borderId="0" xfId="0" applyNumberFormat="1" applyFont="1" applyFill="1" applyAlignment="1">
      <alignment horizontal="center"/>
    </xf>
    <xf numFmtId="175" fontId="36" fillId="13" borderId="0" xfId="0" applyNumberFormat="1" applyFont="1" applyFill="1" applyAlignment="1">
      <alignment horizontal="center"/>
    </xf>
    <xf numFmtId="180" fontId="36" fillId="13" borderId="0" xfId="0" applyNumberFormat="1" applyFont="1" applyFill="1" applyAlignment="1">
      <alignment horizontal="center"/>
    </xf>
    <xf numFmtId="172" fontId="36" fillId="13" borderId="0" xfId="0" applyNumberFormat="1" applyFont="1" applyFill="1" applyAlignment="1">
      <alignment horizontal="center"/>
    </xf>
    <xf numFmtId="0" fontId="27" fillId="17" borderId="0" xfId="0" applyFont="1" applyFill="1"/>
    <xf numFmtId="10" fontId="0" fillId="0" borderId="0" xfId="2" applyNumberFormat="1" applyFont="1"/>
    <xf numFmtId="0" fontId="16" fillId="17" borderId="0" xfId="0" applyFont="1" applyFill="1"/>
    <xf numFmtId="0" fontId="21" fillId="14" borderId="0" xfId="0" applyFont="1" applyFill="1"/>
    <xf numFmtId="175" fontId="23" fillId="11" borderId="0" xfId="0" applyNumberFormat="1" applyFont="1" applyFill="1"/>
    <xf numFmtId="175" fontId="44" fillId="9" borderId="0" xfId="0" applyNumberFormat="1" applyFont="1" applyFill="1"/>
    <xf numFmtId="1" fontId="44" fillId="9" borderId="0" xfId="0" applyNumberFormat="1" applyFont="1" applyFill="1"/>
    <xf numFmtId="175" fontId="44" fillId="10" borderId="0" xfId="0" applyNumberFormat="1" applyFont="1" applyFill="1"/>
    <xf numFmtId="175" fontId="22" fillId="11" borderId="0" xfId="0" applyNumberFormat="1" applyFont="1" applyFill="1"/>
    <xf numFmtId="0" fontId="25" fillId="0" borderId="13" xfId="0" applyFont="1" applyBorder="1"/>
    <xf numFmtId="175" fontId="22" fillId="11" borderId="13" xfId="0" applyNumberFormat="1" applyFont="1" applyFill="1" applyBorder="1"/>
    <xf numFmtId="0" fontId="24" fillId="0" borderId="13" xfId="0" applyFont="1" applyBorder="1"/>
    <xf numFmtId="1" fontId="44" fillId="9" borderId="13" xfId="0" applyNumberFormat="1" applyFont="1" applyFill="1" applyBorder="1"/>
    <xf numFmtId="0" fontId="35" fillId="9" borderId="0" xfId="0" applyFont="1" applyFill="1"/>
    <xf numFmtId="0" fontId="16" fillId="11" borderId="0" xfId="0" applyFont="1" applyFill="1"/>
    <xf numFmtId="0" fontId="35" fillId="10" borderId="0" xfId="0" applyFont="1" applyFill="1"/>
    <xf numFmtId="0" fontId="31" fillId="14" borderId="0" xfId="0" applyFont="1" applyFill="1"/>
    <xf numFmtId="0" fontId="0" fillId="14" borderId="0" xfId="0" applyFill="1"/>
    <xf numFmtId="0" fontId="49" fillId="14" borderId="0" xfId="0" applyFont="1" applyFill="1" applyAlignment="1">
      <alignment horizontal="center"/>
    </xf>
    <xf numFmtId="15" fontId="50" fillId="9" borderId="0" xfId="0" applyNumberFormat="1" applyFont="1" applyFill="1"/>
    <xf numFmtId="0" fontId="51" fillId="0" borderId="0" xfId="0" applyFont="1"/>
    <xf numFmtId="0" fontId="53" fillId="0" borderId="0" xfId="0" applyFont="1"/>
    <xf numFmtId="49" fontId="50" fillId="9" borderId="0" xfId="0" applyNumberFormat="1" applyFont="1" applyFill="1"/>
    <xf numFmtId="15" fontId="54" fillId="11" borderId="0" xfId="0" applyNumberFormat="1" applyFont="1" applyFill="1"/>
    <xf numFmtId="164" fontId="52" fillId="0" borderId="0" xfId="0" applyNumberFormat="1" applyFont="1"/>
    <xf numFmtId="1" fontId="35" fillId="0" borderId="0" xfId="0" applyNumberFormat="1" applyFont="1"/>
    <xf numFmtId="169" fontId="21" fillId="14" borderId="0" xfId="0" applyNumberFormat="1" applyFont="1" applyFill="1" applyAlignment="1">
      <alignment horizontal="center"/>
    </xf>
    <xf numFmtId="0" fontId="55" fillId="18" borderId="0" xfId="0" applyFont="1" applyFill="1"/>
    <xf numFmtId="182" fontId="0" fillId="0" borderId="0" xfId="0" applyNumberFormat="1"/>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cellXfs>
  <cellStyles count="3">
    <cellStyle name="Currency" xfId="1" builtinId="4"/>
    <cellStyle name="Normal" xfId="0" builtinId="0"/>
    <cellStyle name="Percent" xfId="2" builtinId="5"/>
  </cellStyles>
  <dxfs count="28">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EEDB7-8B1A-4D96-B70C-C183AB1D0677}">
  <dimension ref="A1:D18"/>
  <sheetViews>
    <sheetView tabSelected="1" workbookViewId="0">
      <pane ySplit="1" topLeftCell="A2" activePane="bottomLeft" state="frozen"/>
      <selection pane="bottomLeft" activeCell="J25" sqref="J25"/>
    </sheetView>
  </sheetViews>
  <sheetFormatPr defaultRowHeight="14.5" x14ac:dyDescent="0.35"/>
  <cols>
    <col min="1" max="1" width="17.54296875" bestFit="1" customWidth="1"/>
    <col min="2" max="2" width="16.6328125" bestFit="1" customWidth="1"/>
    <col min="3" max="3" width="25.36328125" bestFit="1" customWidth="1"/>
    <col min="4" max="4" width="26.7265625" bestFit="1" customWidth="1"/>
  </cols>
  <sheetData>
    <row r="1" spans="1:4" x14ac:dyDescent="0.35">
      <c r="A1" s="213" t="s">
        <v>4</v>
      </c>
      <c r="B1" s="236">
        <v>46023</v>
      </c>
      <c r="C1" s="236">
        <v>46054</v>
      </c>
      <c r="D1" s="236">
        <v>46082</v>
      </c>
    </row>
    <row r="2" spans="1:4" x14ac:dyDescent="0.35">
      <c r="A2" s="123" t="s">
        <v>14</v>
      </c>
      <c r="B2" s="217">
        <v>143069.5</v>
      </c>
      <c r="C2" s="214">
        <f>B6</f>
        <v>144779.5</v>
      </c>
      <c r="D2" s="214">
        <f>C6</f>
        <v>150305.5</v>
      </c>
    </row>
    <row r="3" spans="1:4" x14ac:dyDescent="0.35">
      <c r="A3" s="123" t="s">
        <v>649</v>
      </c>
      <c r="B3" s="215">
        <v>1710</v>
      </c>
      <c r="C3" s="215">
        <v>6120</v>
      </c>
      <c r="D3" s="215">
        <v>3000</v>
      </c>
    </row>
    <row r="4" spans="1:4" x14ac:dyDescent="0.35">
      <c r="A4" s="123" t="s">
        <v>650</v>
      </c>
      <c r="B4" s="215">
        <v>0</v>
      </c>
      <c r="C4" s="215">
        <v>0</v>
      </c>
      <c r="D4" s="215">
        <v>380</v>
      </c>
    </row>
    <row r="5" spans="1:4" x14ac:dyDescent="0.35">
      <c r="A5" s="123" t="s">
        <v>652</v>
      </c>
      <c r="B5" s="215">
        <v>0</v>
      </c>
      <c r="C5" s="215">
        <v>594</v>
      </c>
      <c r="D5" s="215">
        <v>0</v>
      </c>
    </row>
    <row r="6" spans="1:4" x14ac:dyDescent="0.35">
      <c r="A6" s="219" t="s">
        <v>26</v>
      </c>
      <c r="B6" s="220">
        <f>B2+B3+B4-B5</f>
        <v>144779.5</v>
      </c>
      <c r="C6" s="220">
        <f>C2+C3+C4-C5</f>
        <v>150305.5</v>
      </c>
      <c r="D6" s="220">
        <f>D2+D3+D4-D5</f>
        <v>153685.5</v>
      </c>
    </row>
    <row r="7" spans="1:4" x14ac:dyDescent="0.35">
      <c r="A7" s="123" t="s">
        <v>46</v>
      </c>
      <c r="B7" s="215">
        <v>30000</v>
      </c>
      <c r="C7" s="215">
        <v>31000</v>
      </c>
      <c r="D7" s="215">
        <v>29000</v>
      </c>
    </row>
    <row r="8" spans="1:4" x14ac:dyDescent="0.35">
      <c r="A8" s="123" t="s">
        <v>48</v>
      </c>
      <c r="B8" s="215">
        <v>25000</v>
      </c>
      <c r="C8" s="215">
        <v>25000</v>
      </c>
      <c r="D8" s="215">
        <v>22000</v>
      </c>
    </row>
    <row r="9" spans="1:4" x14ac:dyDescent="0.35">
      <c r="A9" s="123" t="s">
        <v>50</v>
      </c>
      <c r="B9" s="215">
        <v>19000</v>
      </c>
      <c r="C9" s="215">
        <v>19000</v>
      </c>
      <c r="D9" s="215">
        <v>22000</v>
      </c>
    </row>
    <row r="10" spans="1:4" x14ac:dyDescent="0.35">
      <c r="A10" s="124" t="s">
        <v>51</v>
      </c>
      <c r="B10" s="218">
        <f>B7+B8+B9</f>
        <v>74000</v>
      </c>
      <c r="C10" s="218">
        <f>C7+C8+C9</f>
        <v>75000</v>
      </c>
      <c r="D10" s="218">
        <f>D7+D8+D9</f>
        <v>73000</v>
      </c>
    </row>
    <row r="11" spans="1:4" x14ac:dyDescent="0.35">
      <c r="A11" s="123" t="s">
        <v>119</v>
      </c>
      <c r="B11" s="214">
        <f>B6*0.3</f>
        <v>43433.85</v>
      </c>
      <c r="C11" s="214">
        <f>C6*0.3</f>
        <v>45091.65</v>
      </c>
      <c r="D11" s="214">
        <f>D6*0.3</f>
        <v>46105.65</v>
      </c>
    </row>
    <row r="12" spans="1:4" x14ac:dyDescent="0.35">
      <c r="A12" s="123" t="s">
        <v>42</v>
      </c>
      <c r="B12" s="214">
        <f>B6-B11</f>
        <v>101345.65</v>
      </c>
      <c r="C12" s="214">
        <f>C6-C11</f>
        <v>105213.85</v>
      </c>
      <c r="D12" s="214">
        <f>D6-D11</f>
        <v>107579.85</v>
      </c>
    </row>
    <row r="13" spans="1:4" x14ac:dyDescent="0.35">
      <c r="A13" s="219" t="s">
        <v>53</v>
      </c>
      <c r="B13" s="220">
        <f>B12-B10</f>
        <v>27345.649999999994</v>
      </c>
      <c r="C13" s="220">
        <f>C12-C10</f>
        <v>30213.850000000006</v>
      </c>
      <c r="D13" s="220">
        <f>D12-D10</f>
        <v>34579.850000000006</v>
      </c>
    </row>
    <row r="14" spans="1:4" x14ac:dyDescent="0.35">
      <c r="A14" s="123" t="s">
        <v>266</v>
      </c>
      <c r="B14" s="216">
        <v>1</v>
      </c>
      <c r="C14" s="216">
        <v>2</v>
      </c>
      <c r="D14" s="216">
        <v>2</v>
      </c>
    </row>
    <row r="15" spans="1:4" x14ac:dyDescent="0.35">
      <c r="A15" s="123" t="s">
        <v>193</v>
      </c>
      <c r="B15" s="216">
        <v>39</v>
      </c>
      <c r="C15" s="216">
        <v>41</v>
      </c>
      <c r="D15" s="216">
        <v>42</v>
      </c>
    </row>
    <row r="16" spans="1:4" x14ac:dyDescent="0.35">
      <c r="A16" s="221" t="s">
        <v>194</v>
      </c>
      <c r="B16" s="222">
        <v>52</v>
      </c>
      <c r="C16" s="222">
        <v>53</v>
      </c>
      <c r="D16" s="222">
        <v>54</v>
      </c>
    </row>
    <row r="18" spans="1:4" x14ac:dyDescent="0.35">
      <c r="A18" s="42" t="s">
        <v>721</v>
      </c>
      <c r="B18" s="223" t="s">
        <v>722</v>
      </c>
      <c r="C18" s="224" t="s">
        <v>723</v>
      </c>
      <c r="D18" s="225" t="s">
        <v>724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10"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239" t="s">
        <v>311</v>
      </c>
      <c r="C47" s="239"/>
      <c r="D47" s="239"/>
      <c r="E47" s="239"/>
      <c r="F47" s="239"/>
      <c r="G47" s="239"/>
      <c r="H47" s="239"/>
      <c r="I47" s="239"/>
    </row>
    <row r="49" spans="1:8" x14ac:dyDescent="0.35">
      <c r="A49" s="15" t="s">
        <v>71</v>
      </c>
      <c r="B49" s="239" t="s">
        <v>312</v>
      </c>
      <c r="C49" s="239"/>
      <c r="D49" s="239"/>
      <c r="E49" s="239"/>
      <c r="F49" s="239"/>
      <c r="G49" s="239"/>
      <c r="H49" s="239"/>
    </row>
  </sheetData>
  <mergeCells count="2">
    <mergeCell ref="B47:I47"/>
    <mergeCell ref="B49:H49"/>
  </mergeCell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L24" sqref="L24"/>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topLeftCell="A7"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654</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653</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workbookViewId="0">
      <selection activeCell="E73" sqref="E73"/>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655</v>
      </c>
      <c r="C2" s="125" t="s">
        <v>656</v>
      </c>
      <c r="D2" s="125" t="s">
        <v>597</v>
      </c>
      <c r="E2" s="125" t="s">
        <v>598</v>
      </c>
      <c r="F2" s="125" t="s">
        <v>602</v>
      </c>
    </row>
    <row r="3" spans="1:8" x14ac:dyDescent="0.35">
      <c r="A3" s="126" t="s">
        <v>14</v>
      </c>
      <c r="B3" s="128">
        <f>'Jan 2026 A vs F '!B9</f>
        <v>144779.5</v>
      </c>
      <c r="C3" s="128">
        <v>146831.04999999999</v>
      </c>
      <c r="D3" s="128">
        <f t="shared" ref="D3:D10" si="0">B3-C3</f>
        <v>-2051.5499999999884</v>
      </c>
      <c r="E3" s="129">
        <f>IFERROR(B3/C3-1, 0)</f>
        <v>-1.397218095218955E-2</v>
      </c>
      <c r="F3" s="130" t="str" cm="1">
        <f t="array" ref="F3">_xlfn.IFS(D3&lt;0, "U", D3&gt;0, "F", D3=0, "-")</f>
        <v>U</v>
      </c>
    </row>
    <row r="4" spans="1:8" x14ac:dyDescent="0.35">
      <c r="A4" s="158" t="s">
        <v>16</v>
      </c>
      <c r="B4" s="128">
        <v>6120</v>
      </c>
      <c r="C4" s="128">
        <v>4000</v>
      </c>
      <c r="D4" s="128">
        <f t="shared" si="0"/>
        <v>2120</v>
      </c>
      <c r="E4" s="129">
        <f>IFERROR(B4/C4-1, 0)</f>
        <v>0.53</v>
      </c>
      <c r="F4" s="130" t="str" cm="1">
        <f t="array" ref="F4">_xlfn.IFS(D4&lt;0, "U", D4&gt;0, "F", D4=0, "-")</f>
        <v>F</v>
      </c>
    </row>
    <row r="5" spans="1:8" x14ac:dyDescent="0.35">
      <c r="A5" s="158" t="s">
        <v>18</v>
      </c>
      <c r="B5" s="128">
        <v>0</v>
      </c>
      <c r="C5" s="128">
        <f>'2026 Forecast'!B9/3</f>
        <v>715.34749999999997</v>
      </c>
      <c r="D5" s="128">
        <f t="shared" si="0"/>
        <v>-715.34749999999997</v>
      </c>
      <c r="E5" s="129">
        <f>IFERROR(B5/C5-1, 0)</f>
        <v>-1</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594</v>
      </c>
      <c r="C7" s="128">
        <f>'2026 Forecast'!B10/3</f>
        <v>953.79666666666662</v>
      </c>
      <c r="D7" s="128">
        <f>C7-B7</f>
        <v>359.79666666666662</v>
      </c>
      <c r="E7" s="129">
        <f>IFERROR(B7/C7-1, 0)</f>
        <v>-0.37722575391680269</v>
      </c>
      <c r="F7" s="133" t="str" cm="1">
        <f t="array" ref="F7">_xlfn.IFS(D7&gt;0, "F", D7&lt;0, "U", D7=0, "-")</f>
        <v>F</v>
      </c>
    </row>
    <row r="8" spans="1:8" ht="15" thickBot="1" x14ac:dyDescent="0.4">
      <c r="A8" s="134" t="s">
        <v>24</v>
      </c>
      <c r="B8" s="135">
        <f>B4+B5-B7</f>
        <v>5526</v>
      </c>
      <c r="C8" s="135">
        <f>C4+C5-C7</f>
        <v>3761.5508333333332</v>
      </c>
      <c r="D8" s="135">
        <f t="shared" si="0"/>
        <v>1764.4491666666668</v>
      </c>
      <c r="E8" s="136">
        <f>B8/C8-1</f>
        <v>0.46907492277675367</v>
      </c>
      <c r="F8" s="137" t="str" cm="1">
        <f t="array" ref="F8">_xlfn.IFS(D8&lt;0, "U", D8&gt;0, "F", D8=0, "-")</f>
        <v>F</v>
      </c>
    </row>
    <row r="9" spans="1:8" ht="15" thickTop="1" x14ac:dyDescent="0.35">
      <c r="A9" s="138" t="s">
        <v>26</v>
      </c>
      <c r="B9" s="139">
        <f>B3+B4+B5-B7</f>
        <v>150305.5</v>
      </c>
      <c r="C9" s="139">
        <f>C3+C8</f>
        <v>150592.60083333333</v>
      </c>
      <c r="D9" s="139">
        <f t="shared" si="0"/>
        <v>-287.10083333333023</v>
      </c>
      <c r="E9" s="140">
        <f>B9/C9-1</f>
        <v>-1.9064737028552381E-3</v>
      </c>
      <c r="F9" s="141" t="str" cm="1">
        <f t="array" ref="F9">_xlfn.IFS(D9&lt;0, "U", D9&gt;0, "F", D9=0, "-")</f>
        <v>U</v>
      </c>
    </row>
    <row r="10" spans="1:8" ht="15" thickBot="1" x14ac:dyDescent="0.4">
      <c r="A10" s="127" t="s">
        <v>112</v>
      </c>
      <c r="B10" s="142">
        <f>B9*12</f>
        <v>1803666</v>
      </c>
      <c r="C10" s="142">
        <f>C9*12</f>
        <v>1807111.21</v>
      </c>
      <c r="D10" s="142">
        <f t="shared" si="0"/>
        <v>-3445.2099999999627</v>
      </c>
      <c r="E10" s="143">
        <f>B10/C10-1</f>
        <v>-1.9064737028552381E-3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655</v>
      </c>
      <c r="C13" s="125" t="s">
        <v>656</v>
      </c>
      <c r="D13" s="125" t="s">
        <v>597</v>
      </c>
      <c r="E13" s="125" t="s">
        <v>598</v>
      </c>
      <c r="F13" s="125" t="s">
        <v>602</v>
      </c>
    </row>
    <row r="14" spans="1:8" x14ac:dyDescent="0.35">
      <c r="A14" s="127" t="s">
        <v>38</v>
      </c>
      <c r="B14" s="131">
        <f>B9</f>
        <v>150305.5</v>
      </c>
      <c r="C14" s="131">
        <f>C9</f>
        <v>150592.60083333333</v>
      </c>
      <c r="D14" s="131">
        <f t="shared" ref="D14:D23" si="1">B14-C14</f>
        <v>-287.10083333333023</v>
      </c>
      <c r="E14" s="132">
        <f t="shared" ref="E14:E23" si="2">B14/C14-1</f>
        <v>-1.9064737028552381E-3</v>
      </c>
      <c r="F14" s="130" t="str" cm="1">
        <f t="array" ref="F14">_xlfn.IFS(D14&lt;0, "U", D14&gt;0, "F", D14=0, "-")</f>
        <v>U</v>
      </c>
      <c r="H14" s="2" t="s">
        <v>120</v>
      </c>
    </row>
    <row r="15" spans="1:8" x14ac:dyDescent="0.35">
      <c r="A15" s="127" t="s">
        <v>119</v>
      </c>
      <c r="B15" s="131">
        <f>B14*(1-B17)</f>
        <v>45091.650000000009</v>
      </c>
      <c r="C15" s="131">
        <f>C14*0.3</f>
        <v>45177.780249999996</v>
      </c>
      <c r="D15" s="131">
        <f t="shared" si="1"/>
        <v>-86.130249999987427</v>
      </c>
      <c r="E15" s="132">
        <f t="shared" si="2"/>
        <v>-1.9064737028550161E-3</v>
      </c>
      <c r="F15" s="130" t="str" cm="1">
        <f t="array" ref="F15">_xlfn.IFS(D15&gt;0, "U", D15&lt;0, "F", D15=0, "-")</f>
        <v>F</v>
      </c>
      <c r="H15" s="2" t="s">
        <v>121</v>
      </c>
    </row>
    <row r="16" spans="1:8" ht="15" thickBot="1" x14ac:dyDescent="0.4">
      <c r="A16" s="134" t="s">
        <v>42</v>
      </c>
      <c r="B16" s="146">
        <f>B14-B15</f>
        <v>105213.84999999999</v>
      </c>
      <c r="C16" s="146">
        <f>C14-C15</f>
        <v>105414.82058333333</v>
      </c>
      <c r="D16" s="146">
        <f t="shared" si="1"/>
        <v>-200.9705833333428</v>
      </c>
      <c r="E16" s="147">
        <f t="shared" si="2"/>
        <v>-1.9064737028553491E-3</v>
      </c>
      <c r="F16" s="148" t="str" cm="1">
        <f t="array" ref="F16">_xlfn.IFS(D16&lt;0, "U", D16&gt;0, "F", D16=0, "-")</f>
        <v>U</v>
      </c>
      <c r="H16" s="2" t="s">
        <v>122</v>
      </c>
    </row>
    <row r="17" spans="1:8" ht="15" thickTop="1" x14ac:dyDescent="0.35">
      <c r="A17" s="138" t="s">
        <v>44</v>
      </c>
      <c r="B17" s="156">
        <v>0.7</v>
      </c>
      <c r="C17" s="155">
        <f>C16/C14</f>
        <v>0.70000000000000007</v>
      </c>
      <c r="D17" s="155">
        <f t="shared" si="1"/>
        <v>0</v>
      </c>
      <c r="E17" s="155">
        <f t="shared" si="2"/>
        <v>0</v>
      </c>
      <c r="F17" s="150" t="str" cm="1">
        <f t="array" ref="F17">_xlfn.IFS(D17&lt;0, "U", D17&gt;0, "F", D17=0, "-")</f>
        <v>-</v>
      </c>
      <c r="H17" s="2" t="s">
        <v>123</v>
      </c>
    </row>
    <row r="18" spans="1:8" x14ac:dyDescent="0.35">
      <c r="A18" s="127" t="s">
        <v>94</v>
      </c>
      <c r="B18" s="131">
        <v>31000</v>
      </c>
      <c r="C18" s="131">
        <f>'2026 Forecast'!B25/3</f>
        <v>30000</v>
      </c>
      <c r="D18" s="131">
        <f t="shared" si="1"/>
        <v>1000</v>
      </c>
      <c r="E18" s="132">
        <f t="shared" si="2"/>
        <v>3.3333333333333437E-2</v>
      </c>
      <c r="F18" s="130" t="str" cm="1">
        <f t="array" ref="F18">_xlfn.IFS(D18&lt;0, "U", D18&gt;0, "F", D18=0, "-")</f>
        <v>F</v>
      </c>
      <c r="H18" s="2" t="s">
        <v>123</v>
      </c>
    </row>
    <row r="19" spans="1:8" x14ac:dyDescent="0.35">
      <c r="A19" s="127" t="s">
        <v>95</v>
      </c>
      <c r="B19" s="131">
        <f>'Forecast Assumptions'!B27/3</f>
        <v>25000</v>
      </c>
      <c r="C19" s="131">
        <f>'2026 Forecast'!B26/3</f>
        <v>25000</v>
      </c>
      <c r="D19" s="131">
        <f t="shared" si="1"/>
        <v>0</v>
      </c>
      <c r="E19" s="132">
        <f t="shared" si="2"/>
        <v>0</v>
      </c>
      <c r="F19" s="130" t="str" cm="1">
        <f t="array" ref="F19">_xlfn.IFS(D19&lt;0, "U", D19&gt;0, "F", D19=0, "-")</f>
        <v>-</v>
      </c>
      <c r="H19" s="2" t="s">
        <v>123</v>
      </c>
    </row>
    <row r="20" spans="1:8" x14ac:dyDescent="0.35">
      <c r="A20" s="127" t="s">
        <v>96</v>
      </c>
      <c r="B20" s="131">
        <f>'Forecast Assumptions'!B28/3</f>
        <v>19000</v>
      </c>
      <c r="C20" s="131">
        <f>'2026 Forecast'!B27/3</f>
        <v>19000</v>
      </c>
      <c r="D20" s="131">
        <f t="shared" si="1"/>
        <v>0</v>
      </c>
      <c r="E20" s="132">
        <f t="shared" si="2"/>
        <v>0</v>
      </c>
      <c r="F20" s="130" t="str" cm="1">
        <f t="array" ref="F20">_xlfn.IFS(D20&lt;0, "U", D20&gt;0, "F", D20=0, "-")</f>
        <v>-</v>
      </c>
      <c r="H20" s="2" t="s">
        <v>52</v>
      </c>
    </row>
    <row r="21" spans="1:8" ht="15" thickBot="1" x14ac:dyDescent="0.4">
      <c r="A21" s="134" t="s">
        <v>51</v>
      </c>
      <c r="B21" s="146">
        <f>SUM(B18:B20)</f>
        <v>75000</v>
      </c>
      <c r="C21" s="146">
        <f>'2026 Forecast'!B28/3</f>
        <v>74000</v>
      </c>
      <c r="D21" s="146">
        <f t="shared" si="1"/>
        <v>1000</v>
      </c>
      <c r="E21" s="149">
        <f t="shared" si="2"/>
        <v>1.3513513513513598E-2</v>
      </c>
      <c r="F21" s="148" t="str" cm="1">
        <f t="array" ref="F21">_xlfn.IFS(D21&lt;0, "U", D21&gt;0, "F", D21=0, "-")</f>
        <v>F</v>
      </c>
      <c r="H21" s="2" t="s">
        <v>124</v>
      </c>
    </row>
    <row r="22" spans="1:8" ht="15.5" thickTop="1" thickBot="1" x14ac:dyDescent="0.4">
      <c r="A22" s="151" t="s">
        <v>53</v>
      </c>
      <c r="B22" s="152">
        <f>B16-B21</f>
        <v>30213.849999999991</v>
      </c>
      <c r="C22" s="152">
        <f>C16-C21</f>
        <v>31414.820583333334</v>
      </c>
      <c r="D22" s="152">
        <f t="shared" si="1"/>
        <v>-1200.9705833333428</v>
      </c>
      <c r="E22" s="153">
        <f t="shared" si="2"/>
        <v>-3.8229426781144826E-2</v>
      </c>
      <c r="F22" s="154" t="str" cm="1">
        <f t="array" ref="F22">_xlfn.IFS(D22&lt;0, "U", D22&gt;0, "F", D22=0, "-")</f>
        <v>U</v>
      </c>
      <c r="H22" s="2" t="s">
        <v>125</v>
      </c>
    </row>
    <row r="23" spans="1:8" ht="15" thickTop="1" x14ac:dyDescent="0.35">
      <c r="A23" s="127" t="s">
        <v>55</v>
      </c>
      <c r="B23" s="132">
        <f>B22/B14</f>
        <v>0.2010162635432502</v>
      </c>
      <c r="C23" s="132">
        <f>C22/C14</f>
        <v>0.20860799540942476</v>
      </c>
      <c r="D23" s="132">
        <f t="shared" si="1"/>
        <v>-7.591731866174567E-3</v>
      </c>
      <c r="E23" s="132">
        <f t="shared" si="2"/>
        <v>-3.6392334106248647E-2</v>
      </c>
      <c r="F23" s="130" t="str" cm="1">
        <f t="array" ref="F23">IFERROR(_xlfn.IFS(D23&lt;0, "U", D23&gt;0, "F", D23=0, "-"), "-")</f>
        <v>U</v>
      </c>
    </row>
    <row r="25" spans="1:8" x14ac:dyDescent="0.35">
      <c r="A25" s="157"/>
    </row>
    <row r="27" spans="1:8" ht="17" x14ac:dyDescent="0.4">
      <c r="A27" s="159" t="s">
        <v>657</v>
      </c>
    </row>
    <row r="29" spans="1:8" x14ac:dyDescent="0.35">
      <c r="A29" s="160" t="s">
        <v>4</v>
      </c>
      <c r="B29" s="160" t="s">
        <v>283</v>
      </c>
      <c r="C29" s="160" t="s">
        <v>658</v>
      </c>
      <c r="D29" s="160" t="s">
        <v>614</v>
      </c>
    </row>
    <row r="30" spans="1:8" x14ac:dyDescent="0.35">
      <c r="A30" s="123" t="s">
        <v>193</v>
      </c>
      <c r="B30" s="161">
        <v>41</v>
      </c>
      <c r="C30" s="123">
        <f>IFERROR(B30-_xlfn.XLOOKUP("Active Customers",'KPI Tracker'!$A$4:$A$16,'KPI Tracker'!$B$4:$B$16),"—")</f>
        <v>2</v>
      </c>
      <c r="D30" s="123" t="s">
        <v>660</v>
      </c>
    </row>
    <row r="31" spans="1:8" x14ac:dyDescent="0.35">
      <c r="A31" s="123" t="s">
        <v>194</v>
      </c>
      <c r="B31" s="161">
        <v>53</v>
      </c>
      <c r="C31" s="123" t="str">
        <f>IFERROR(B31-_xlfn.XLOOKUP("Active Subscriptions",'KPI Tracker'!$A$4:$A$16,'KPI Tracker'!$B$4:$B$16),"—")</f>
        <v>—</v>
      </c>
      <c r="D31" s="123" t="s">
        <v>660</v>
      </c>
    </row>
    <row r="32" spans="1:8" x14ac:dyDescent="0.35">
      <c r="A32" s="123" t="s">
        <v>616</v>
      </c>
      <c r="B32" s="131">
        <f>B9/B30</f>
        <v>3665.9878048780488</v>
      </c>
      <c r="C32" s="131">
        <f>IFERROR(B32-_xlfn.XLOOKUP("ARPA",'KPI Tracker'!$A$4:$A$16,'KPI Tracker'!$B$4:$B$16),"—")</f>
        <v>-46.307066916822805</v>
      </c>
      <c r="D32" s="123" t="s">
        <v>617</v>
      </c>
    </row>
    <row r="33" spans="1:4" x14ac:dyDescent="0.35">
      <c r="A33" s="123" t="s">
        <v>618</v>
      </c>
      <c r="B33" s="162">
        <f>B17</f>
        <v>0.7</v>
      </c>
      <c r="C33" s="162">
        <f>IFERROR(B33-_xlfn.XLOOKUP("Gross Margin",'KPI Tracker'!$A$4:$A$16,'KPI Tracker'!$B$4:$B$16),"—")</f>
        <v>0</v>
      </c>
      <c r="D33" s="123" t="s">
        <v>619</v>
      </c>
    </row>
    <row r="34" spans="1:4" x14ac:dyDescent="0.35">
      <c r="A34" s="123" t="s">
        <v>620</v>
      </c>
      <c r="B34" s="162">
        <f>Retention!AA6</f>
        <v>0.99610819735501566</v>
      </c>
      <c r="C34" s="162">
        <f>IFERROR(B34-_xlfn.XLOOKUP("GRR",'KPI Tracker'!$A$4:$A$16,'KPI Tracker'!$B$4:$B$16),"—")</f>
        <v>-3.8918026449843435E-3</v>
      </c>
      <c r="D34" s="123" t="s">
        <v>621</v>
      </c>
    </row>
    <row r="35" spans="1:4" x14ac:dyDescent="0.35">
      <c r="A35" s="123" t="s">
        <v>622</v>
      </c>
      <c r="B35" s="162">
        <f>Retention!AA7</f>
        <v>0.99610819735501566</v>
      </c>
      <c r="C35" s="162">
        <f>IFERROR(B35-_xlfn.XLOOKUP("NRR",'KPI Tracker'!$A$4:$A$16,'KPI Tracker'!$B$4:$B$16),"—")</f>
        <v>-3.8918026449843435E-3</v>
      </c>
      <c r="D35" s="123" t="s">
        <v>621</v>
      </c>
    </row>
    <row r="36" spans="1:4" x14ac:dyDescent="0.35">
      <c r="A36" s="123" t="s">
        <v>623</v>
      </c>
      <c r="B36" s="123">
        <f>IFERROR(IF((B6+B7)=0,"N/A — no losses",(B4+B5)/(B6+B7)),"N/A")</f>
        <v>10.303030303030303</v>
      </c>
      <c r="C36" s="123">
        <f>IFERROR(IF(ISNUMBER(B36),B36-_xlfn.XLOOKUP("Quick Ratio",'KPI Tracker'!$A$4:$A$16,'KPI Tracker'!$B$4:$B$16),"—"),"—")</f>
        <v>10.303030303030303</v>
      </c>
      <c r="D36" s="123" t="s">
        <v>661</v>
      </c>
    </row>
    <row r="37" spans="1:4" x14ac:dyDescent="0.35">
      <c r="A37" s="123" t="s">
        <v>625</v>
      </c>
      <c r="B37" s="163">
        <f>B18</f>
        <v>31000</v>
      </c>
      <c r="C37" s="163">
        <f>IFERROR(B37-_xlfn.XLOOKUP("S&amp;M (actual)",'KPI Tracker'!$A$4:$A$16,'KPI Tracker'!$B$4:$B$16),"—")</f>
        <v>1000</v>
      </c>
      <c r="D37" s="123" t="s">
        <v>626</v>
      </c>
    </row>
    <row r="38" spans="1:4" x14ac:dyDescent="0.35">
      <c r="A38" s="123" t="s">
        <v>627</v>
      </c>
      <c r="B38" s="163">
        <f>IFERROR(IF(B39=0,"—",B37/B39),"—")</f>
        <v>15500</v>
      </c>
      <c r="C38" s="163">
        <f>IFERROR(IF(ISNUMBER(B38),B38-_xlfn.XLOOKUP("CAC — monthly",'KPI Tracker'!$A$4:$A$16,'KPI Tracker'!$B$4:$B$16),"—"),"—")</f>
        <v>-14500</v>
      </c>
      <c r="D38" s="123" t="s">
        <v>662</v>
      </c>
    </row>
    <row r="39" spans="1:4" x14ac:dyDescent="0.35">
      <c r="A39" s="164" t="s">
        <v>664</v>
      </c>
      <c r="B39" s="172">
        <v>2</v>
      </c>
      <c r="C39" s="123" t="s">
        <v>629</v>
      </c>
      <c r="D39" s="164" t="s">
        <v>665</v>
      </c>
    </row>
    <row r="40" spans="1:4" x14ac:dyDescent="0.35">
      <c r="A40" s="123" t="s">
        <v>659</v>
      </c>
      <c r="B40" s="163">
        <f>IFERROR(IF(('Jan 2026 A vs F '!B46/'Jan 2026 A vs F '!B47+B39)=0,"—",('Jan 2026 A vs F '!B46+B37)/('Jan 2026 A vs F '!B46/'Jan 2026 A vs F '!B47+B39)),"—")</f>
        <v>20333.333333333332</v>
      </c>
      <c r="C40" s="123" t="s">
        <v>629</v>
      </c>
      <c r="D40" s="123" t="s">
        <v>663</v>
      </c>
    </row>
    <row r="41" spans="1:4" x14ac:dyDescent="0.35">
      <c r="A41" s="123" t="s">
        <v>628</v>
      </c>
      <c r="B41" s="123" t="s">
        <v>629</v>
      </c>
      <c r="C41" s="123" t="s">
        <v>629</v>
      </c>
      <c r="D41" s="123" t="s">
        <v>630</v>
      </c>
    </row>
    <row r="42" spans="1:4" x14ac:dyDescent="0.35">
      <c r="A42" s="123" t="s">
        <v>631</v>
      </c>
      <c r="B42" s="123" t="s">
        <v>629</v>
      </c>
      <c r="C42" s="123" t="s">
        <v>629</v>
      </c>
      <c r="D42" s="123" t="s">
        <v>630</v>
      </c>
    </row>
    <row r="43" spans="1:4" x14ac:dyDescent="0.35">
      <c r="A43" s="123" t="s">
        <v>632</v>
      </c>
      <c r="B43" s="123" t="s">
        <v>629</v>
      </c>
      <c r="C43" s="123" t="s">
        <v>629</v>
      </c>
      <c r="D43" s="123" t="s">
        <v>630</v>
      </c>
    </row>
    <row r="44" spans="1:4" x14ac:dyDescent="0.35">
      <c r="A44" s="165" t="s">
        <v>633</v>
      </c>
    </row>
    <row r="45" spans="1:4" x14ac:dyDescent="0.35">
      <c r="A45" s="165" t="s">
        <v>666</v>
      </c>
    </row>
    <row r="47" spans="1:4" x14ac:dyDescent="0.35">
      <c r="A47" s="165" t="s">
        <v>635</v>
      </c>
    </row>
    <row r="48" spans="1:4"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3665.9878048780488</v>
      </c>
      <c r="C54" s="131">
        <f>B9/B30</f>
        <v>3665.9878048780488</v>
      </c>
    </row>
    <row r="55" spans="1:3" x14ac:dyDescent="0.35">
      <c r="A55" s="123" t="s">
        <v>620</v>
      </c>
      <c r="B55" s="162">
        <f>B34</f>
        <v>0.99610819735501566</v>
      </c>
      <c r="C55" s="162">
        <f>Retention!AA6</f>
        <v>0.99610819735501566</v>
      </c>
    </row>
    <row r="56" spans="1:3" x14ac:dyDescent="0.35">
      <c r="A56" s="123" t="s">
        <v>622</v>
      </c>
      <c r="B56" s="162">
        <f>B35</f>
        <v>0.99610819735501566</v>
      </c>
      <c r="C56" s="162">
        <f>Retention!AA7</f>
        <v>0.99610819735501566</v>
      </c>
    </row>
    <row r="57" spans="1:3" x14ac:dyDescent="0.35">
      <c r="A57" s="123" t="s">
        <v>623</v>
      </c>
      <c r="B57" s="123">
        <f>B36</f>
        <v>10.303030303030303</v>
      </c>
      <c r="C57" s="123">
        <f>IFERROR(IF((B6+B7)=0,"N/A — no losses",(B4+B5)/(B6+B7)),"N/A")</f>
        <v>10.303030303030303</v>
      </c>
    </row>
    <row r="58" spans="1:3" x14ac:dyDescent="0.35">
      <c r="A58" s="123" t="s">
        <v>640</v>
      </c>
      <c r="B58" s="163">
        <f>B38</f>
        <v>15500</v>
      </c>
      <c r="C58" s="163">
        <f>IFERROR(IF(B39=0,"—",B37/B39),"—")</f>
        <v>15500</v>
      </c>
    </row>
    <row r="60" spans="1:3" x14ac:dyDescent="0.35">
      <c r="A60" s="124" t="s">
        <v>611</v>
      </c>
    </row>
    <row r="61" spans="1:3" x14ac:dyDescent="0.35">
      <c r="A61" t="s">
        <v>693</v>
      </c>
    </row>
    <row r="62" spans="1:3" x14ac:dyDescent="0.35">
      <c r="A62" t="s">
        <v>669</v>
      </c>
    </row>
    <row r="63" spans="1:3" x14ac:dyDescent="0.35">
      <c r="A63" t="s">
        <v>670</v>
      </c>
    </row>
    <row r="64" spans="1:3" x14ac:dyDescent="0.35">
      <c r="A64" t="s">
        <v>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N101"/>
  <sheetViews>
    <sheetView workbookViewId="0">
      <selection activeCell="C56" sqref="C56"/>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 min="9" max="9" width="14.54296875" bestFit="1" customWidth="1"/>
  </cols>
  <sheetData>
    <row r="1" spans="1:10" x14ac:dyDescent="0.35">
      <c r="A1" s="124" t="s">
        <v>600</v>
      </c>
      <c r="H1" s="226" t="s">
        <v>725</v>
      </c>
      <c r="I1" s="227"/>
      <c r="J1" s="227"/>
    </row>
    <row r="2" spans="1:10" x14ac:dyDescent="0.35">
      <c r="A2" s="125" t="s">
        <v>4</v>
      </c>
      <c r="B2" s="198" t="str">
        <f>"Actual - "&amp;TEXT($I$2,"mmm yy")</f>
        <v>Actual - Mar 26</v>
      </c>
      <c r="C2" s="125" t="s">
        <v>675</v>
      </c>
      <c r="D2" s="125" t="s">
        <v>597</v>
      </c>
      <c r="E2" s="125" t="s">
        <v>598</v>
      </c>
      <c r="F2" s="125" t="s">
        <v>602</v>
      </c>
      <c r="H2" s="228" t="s">
        <v>726</v>
      </c>
      <c r="I2" s="229">
        <v>46082</v>
      </c>
      <c r="J2" s="230" t="s">
        <v>727</v>
      </c>
    </row>
    <row r="3" spans="1:10" x14ac:dyDescent="0.35">
      <c r="A3" s="126" t="s">
        <v>14</v>
      </c>
      <c r="B3" s="234">
        <f>INDEX(Actuals!$B$2:$Y$2,MATCH($I$2,Actuals!$B$1:$Y$1,0))</f>
        <v>150305.5</v>
      </c>
      <c r="C3" s="128">
        <v>150592.6</v>
      </c>
      <c r="D3" s="128">
        <f t="shared" ref="D3:D10" si="0">B3-C3</f>
        <v>-287.10000000000582</v>
      </c>
      <c r="E3" s="129">
        <f>IFERROR(B3/C3-1, 0)</f>
        <v>-1.9064681797114069E-3</v>
      </c>
      <c r="F3" s="130" t="str" cm="1">
        <f t="array" ref="F3">_xlfn.IFS(D3&lt;0, "U", D3&gt;0, "F", D3=0, "-")</f>
        <v>U</v>
      </c>
      <c r="H3" s="231" t="s">
        <v>728</v>
      </c>
      <c r="I3" s="232" t="s">
        <v>729</v>
      </c>
      <c r="J3" s="230" t="s">
        <v>727</v>
      </c>
    </row>
    <row r="4" spans="1:10" x14ac:dyDescent="0.35">
      <c r="A4" s="158" t="s">
        <v>16</v>
      </c>
      <c r="B4" s="234">
        <f>INDEX(Actuals!$B$3:$Y$3,MATCH($I$2,Actuals!$B$1:$Y$1,0))</f>
        <v>3000</v>
      </c>
      <c r="C4" s="128">
        <v>4000</v>
      </c>
      <c r="D4" s="128">
        <f t="shared" si="0"/>
        <v>-1000</v>
      </c>
      <c r="E4" s="129">
        <f>IFERROR(B4/C4-1, 0)</f>
        <v>-0.25</v>
      </c>
      <c r="F4" s="130" t="str" cm="1">
        <f t="array" ref="F4">_xlfn.IFS(D4&lt;0, "U", D4&gt;0, "F", D4=0, "-")</f>
        <v>U</v>
      </c>
      <c r="H4" s="231" t="s">
        <v>730</v>
      </c>
      <c r="I4" s="233">
        <f>EOMONTH(I2,0)</f>
        <v>46112</v>
      </c>
      <c r="J4" s="230" t="s">
        <v>731</v>
      </c>
    </row>
    <row r="5" spans="1:10" x14ac:dyDescent="0.35">
      <c r="A5" s="158" t="s">
        <v>18</v>
      </c>
      <c r="B5" s="234">
        <f>INDEX(Actuals!$B$4:$Y$4,MATCH($I$2,Actuals!$B$1:$Y$1,0))</f>
        <v>380</v>
      </c>
      <c r="C5" s="128">
        <f>'2026 Forecast'!B9/3</f>
        <v>715.34749999999997</v>
      </c>
      <c r="D5" s="128">
        <f t="shared" si="0"/>
        <v>-335.34749999999997</v>
      </c>
      <c r="E5" s="129">
        <f>IFERROR(B5/C5-1, 0)</f>
        <v>-0.46878964419390579</v>
      </c>
      <c r="F5" s="130" t="str" cm="1">
        <f t="array" ref="F5">_xlfn.IFS(D5&lt;0, "U", D5&gt;0, "F", D5=0, "-")</f>
        <v>U</v>
      </c>
    </row>
    <row r="6" spans="1:10" x14ac:dyDescent="0.35">
      <c r="A6" s="126" t="s">
        <v>654</v>
      </c>
      <c r="B6" s="128">
        <v>0</v>
      </c>
      <c r="C6" s="128">
        <v>0</v>
      </c>
      <c r="D6" s="128">
        <f t="shared" si="0"/>
        <v>0</v>
      </c>
      <c r="E6" s="129">
        <f>IFERROR(B6/C6-1, 0)</f>
        <v>0</v>
      </c>
      <c r="F6" s="130" t="str" cm="1">
        <f t="array" ref="F6">_xlfn.IFS(D6&lt;0, "U", D6&gt;0, "F", D6=0, "-")</f>
        <v>-</v>
      </c>
    </row>
    <row r="7" spans="1:10" x14ac:dyDescent="0.35">
      <c r="A7" s="126" t="s">
        <v>22</v>
      </c>
      <c r="B7" s="234">
        <f>INDEX(Actuals!$B$5:$Y$5,MATCH($I$2,Actuals!$B$1:$Y$1,0))</f>
        <v>0</v>
      </c>
      <c r="C7" s="128">
        <f>'2026 Forecast'!B10/3</f>
        <v>953.79666666666662</v>
      </c>
      <c r="D7" s="128">
        <f>C7-B7</f>
        <v>953.79666666666662</v>
      </c>
      <c r="E7" s="129">
        <f>IFERROR(B7/C7-1, 0)</f>
        <v>-1</v>
      </c>
      <c r="F7" s="133" t="str" cm="1">
        <f t="array" ref="F7">_xlfn.IFS(D7&gt;0, "F", D7&lt;0, "U", D7=0, "-")</f>
        <v>F</v>
      </c>
      <c r="J7">
        <f>INDEX(Actuals!$B$7:$Y$7,MATCH($I$2,Actuals!$B$1:$Y$1,0))</f>
        <v>29000</v>
      </c>
    </row>
    <row r="8" spans="1:10" ht="15" thickBot="1" x14ac:dyDescent="0.4">
      <c r="A8" s="134" t="s">
        <v>24</v>
      </c>
      <c r="B8" s="135">
        <f>B4+B5-B7</f>
        <v>3380</v>
      </c>
      <c r="C8" s="135">
        <f>C4+C5-C7</f>
        <v>3761.5508333333332</v>
      </c>
      <c r="D8" s="135">
        <f t="shared" si="0"/>
        <v>-381.55083333333323</v>
      </c>
      <c r="E8" s="136">
        <f>B8/C8-1</f>
        <v>-0.10143444824729864</v>
      </c>
      <c r="F8" s="137" t="str" cm="1">
        <f t="array" ref="F8">_xlfn.IFS(D8&lt;0, "U", D8&gt;0, "F", D8=0, "-")</f>
        <v>U</v>
      </c>
    </row>
    <row r="9" spans="1:10" ht="15" thickTop="1" x14ac:dyDescent="0.35">
      <c r="A9" s="138" t="s">
        <v>26</v>
      </c>
      <c r="B9" s="139">
        <f>B3+B4+B5-B7</f>
        <v>153685.5</v>
      </c>
      <c r="C9" s="139">
        <f>C3+C8</f>
        <v>154354.15083333335</v>
      </c>
      <c r="D9" s="139">
        <f t="shared" si="0"/>
        <v>-668.65083333334769</v>
      </c>
      <c r="E9" s="140">
        <f>B9/C9-1</f>
        <v>-4.3319264802624824E-3</v>
      </c>
      <c r="F9" s="141" t="str" cm="1">
        <f t="array" ref="F9">_xlfn.IFS(D9&lt;0, "U", D9&gt;0, "F", D9=0, "-")</f>
        <v>U</v>
      </c>
    </row>
    <row r="10" spans="1:10" ht="15" thickBot="1" x14ac:dyDescent="0.4">
      <c r="A10" s="127" t="s">
        <v>112</v>
      </c>
      <c r="B10" s="142">
        <f>B9*12</f>
        <v>1844226</v>
      </c>
      <c r="C10" s="142">
        <f>C9*12</f>
        <v>1852249.81</v>
      </c>
      <c r="D10" s="142">
        <f t="shared" si="0"/>
        <v>-8023.8100000000559</v>
      </c>
      <c r="E10" s="143">
        <f>B10/C10-1</f>
        <v>-4.3319264802624824E-3</v>
      </c>
      <c r="F10" s="144" t="str" cm="1">
        <f t="array" ref="F10">_xlfn.IFS(D10&lt;0, "U", D10&gt;0, "F", D10=0, "-")</f>
        <v>U</v>
      </c>
    </row>
    <row r="11" spans="1:10" ht="15" thickTop="1" x14ac:dyDescent="0.35">
      <c r="A11" s="145"/>
      <c r="B11" s="145"/>
      <c r="C11" s="145"/>
      <c r="D11" s="145"/>
      <c r="E11" s="145"/>
      <c r="F11" s="145"/>
    </row>
    <row r="12" spans="1:10" x14ac:dyDescent="0.35">
      <c r="A12" s="127" t="s">
        <v>601</v>
      </c>
    </row>
    <row r="13" spans="1:10" x14ac:dyDescent="0.35">
      <c r="A13" s="125" t="s">
        <v>4</v>
      </c>
      <c r="B13" s="198" t="str">
        <f>"Actual - "&amp;TEXT($I$2,"mmm yy")</f>
        <v>Actual - Mar 26</v>
      </c>
      <c r="C13" s="125" t="s">
        <v>675</v>
      </c>
      <c r="D13" s="125" t="s">
        <v>597</v>
      </c>
      <c r="E13" s="125" t="s">
        <v>598</v>
      </c>
      <c r="F13" s="125" t="s">
        <v>602</v>
      </c>
    </row>
    <row r="14" spans="1:10" x14ac:dyDescent="0.35">
      <c r="A14" s="127" t="s">
        <v>38</v>
      </c>
      <c r="B14" s="131">
        <f>B9</f>
        <v>153685.5</v>
      </c>
      <c r="C14" s="131">
        <f>C9</f>
        <v>154354.15083333335</v>
      </c>
      <c r="D14" s="131">
        <f t="shared" ref="D14:D23" si="1">B14-C14</f>
        <v>-668.65083333334769</v>
      </c>
      <c r="E14" s="132">
        <f t="shared" ref="E14:E23" si="2">B14/C14-1</f>
        <v>-4.3319264802624824E-3</v>
      </c>
      <c r="F14" s="130" t="str" cm="1">
        <f t="array" ref="F14">_xlfn.IFS(D14&lt;0, "U", D14&gt;0, "F", D14=0, "-")</f>
        <v>U</v>
      </c>
      <c r="H14" s="2" t="s">
        <v>120</v>
      </c>
    </row>
    <row r="15" spans="1:10" x14ac:dyDescent="0.35">
      <c r="A15" s="127" t="s">
        <v>119</v>
      </c>
      <c r="B15" s="131">
        <f>B14*(1-B17)</f>
        <v>46105.650000000009</v>
      </c>
      <c r="C15" s="131">
        <f>C14*0.3</f>
        <v>46306.24525</v>
      </c>
      <c r="D15" s="131">
        <f t="shared" si="1"/>
        <v>-200.59524999999121</v>
      </c>
      <c r="E15" s="132">
        <f t="shared" si="2"/>
        <v>-4.3319264802622603E-3</v>
      </c>
      <c r="F15" s="130" t="str" cm="1">
        <f t="array" ref="F15">_xlfn.IFS(D15&gt;0, "U", D15&lt;0, "F", D15=0, "-")</f>
        <v>F</v>
      </c>
      <c r="H15" s="2" t="s">
        <v>121</v>
      </c>
    </row>
    <row r="16" spans="1:10" ht="15" thickBot="1" x14ac:dyDescent="0.4">
      <c r="A16" s="134" t="s">
        <v>42</v>
      </c>
      <c r="B16" s="146">
        <f>B14-B15</f>
        <v>107579.84999999999</v>
      </c>
      <c r="C16" s="146">
        <f>C14-C15</f>
        <v>108047.90558333334</v>
      </c>
      <c r="D16" s="146">
        <f t="shared" si="1"/>
        <v>-468.0555833333492</v>
      </c>
      <c r="E16" s="147">
        <f t="shared" si="2"/>
        <v>-4.3319264802625934E-3</v>
      </c>
      <c r="F16" s="148" t="str" cm="1">
        <f t="array" ref="F16">_xlfn.IFS(D16&lt;0, "U", D16&gt;0, "F", D16=0, "-")</f>
        <v>U</v>
      </c>
      <c r="H16" s="2" t="s">
        <v>122</v>
      </c>
    </row>
    <row r="17" spans="1:14" ht="15" thickTop="1" x14ac:dyDescent="0.35">
      <c r="A17" s="138" t="s">
        <v>44</v>
      </c>
      <c r="B17" s="156">
        <v>0.7</v>
      </c>
      <c r="C17" s="155">
        <f>C16/C14</f>
        <v>0.7</v>
      </c>
      <c r="D17" s="155">
        <f t="shared" si="1"/>
        <v>0</v>
      </c>
      <c r="E17" s="155">
        <f t="shared" si="2"/>
        <v>0</v>
      </c>
      <c r="F17" s="150" t="str" cm="1">
        <f t="array" ref="F17">_xlfn.IFS(D17&lt;0, "U", D17&gt;0, "F", D17=0, "-")</f>
        <v>-</v>
      </c>
      <c r="H17" s="2" t="s">
        <v>123</v>
      </c>
    </row>
    <row r="18" spans="1:14" x14ac:dyDescent="0.35">
      <c r="A18" s="127" t="s">
        <v>94</v>
      </c>
      <c r="B18" s="100">
        <f>INDEX(Actuals!$B$7:$Y$7,MATCH($I$2,Actuals!$B$1:$Y$1,0))</f>
        <v>29000</v>
      </c>
      <c r="C18" s="131">
        <f>'2026 Forecast'!B25/3</f>
        <v>30000</v>
      </c>
      <c r="D18" s="131">
        <f t="shared" si="1"/>
        <v>-1000</v>
      </c>
      <c r="E18" s="132">
        <f t="shared" si="2"/>
        <v>-3.3333333333333326E-2</v>
      </c>
      <c r="F18" s="130" t="str" cm="1">
        <f t="array" ref="F18">_xlfn.IFS(D18&lt;0, "U", D18&gt;0, "F", D18=0, "-")</f>
        <v>U</v>
      </c>
      <c r="H18" s="2" t="s">
        <v>123</v>
      </c>
    </row>
    <row r="19" spans="1:14" x14ac:dyDescent="0.35">
      <c r="A19" s="127" t="s">
        <v>95</v>
      </c>
      <c r="B19" s="100">
        <f>INDEX(Actuals!$B$8:$Y$8,MATCH($I$2,Actuals!$B$1:$Y$1,0))</f>
        <v>22000</v>
      </c>
      <c r="C19" s="131">
        <f>'2026 Forecast'!B26/3</f>
        <v>25000</v>
      </c>
      <c r="D19" s="131">
        <f t="shared" si="1"/>
        <v>-3000</v>
      </c>
      <c r="E19" s="132">
        <f t="shared" si="2"/>
        <v>-0.12</v>
      </c>
      <c r="F19" s="130" t="str" cm="1">
        <f t="array" ref="F19">_xlfn.IFS(D19&lt;0, "U", D19&gt;0, "F", D19=0, "-")</f>
        <v>U</v>
      </c>
      <c r="H19" s="2" t="s">
        <v>123</v>
      </c>
    </row>
    <row r="20" spans="1:14" x14ac:dyDescent="0.35">
      <c r="A20" s="127" t="s">
        <v>96</v>
      </c>
      <c r="B20" s="100">
        <f>INDEX(Actuals!$B$9:$Y$9,MATCH($I$2,Actuals!$B$1:$Y$1,0))</f>
        <v>22000</v>
      </c>
      <c r="C20" s="131">
        <f>'2026 Forecast'!B27/3</f>
        <v>19000</v>
      </c>
      <c r="D20" s="131">
        <f t="shared" si="1"/>
        <v>3000</v>
      </c>
      <c r="E20" s="132">
        <f t="shared" si="2"/>
        <v>0.15789473684210531</v>
      </c>
      <c r="F20" s="130" t="str" cm="1">
        <f t="array" ref="F20">_xlfn.IFS(D20&lt;0, "U", D20&gt;0, "F", D20=0, "-")</f>
        <v>F</v>
      </c>
      <c r="H20" s="2" t="s">
        <v>52</v>
      </c>
    </row>
    <row r="21" spans="1:14" ht="15" thickBot="1" x14ac:dyDescent="0.4">
      <c r="A21" s="134" t="s">
        <v>51</v>
      </c>
      <c r="B21" s="146">
        <f>SUM(B18:B20)</f>
        <v>73000</v>
      </c>
      <c r="C21" s="146">
        <f>'2026 Forecast'!B28/3</f>
        <v>74000</v>
      </c>
      <c r="D21" s="146">
        <f t="shared" si="1"/>
        <v>-1000</v>
      </c>
      <c r="E21" s="149">
        <f t="shared" si="2"/>
        <v>-1.3513513513513487E-2</v>
      </c>
      <c r="F21" s="148" t="str" cm="1">
        <f t="array" ref="F21">_xlfn.IFS(D21&lt;0, "U", D21&gt;0, "F", D21=0, "-")</f>
        <v>U</v>
      </c>
      <c r="H21" s="2" t="s">
        <v>124</v>
      </c>
    </row>
    <row r="22" spans="1:14" ht="15.5" thickTop="1" thickBot="1" x14ac:dyDescent="0.4">
      <c r="A22" s="151" t="s">
        <v>53</v>
      </c>
      <c r="B22" s="152">
        <f>B16-B21</f>
        <v>34579.849999999991</v>
      </c>
      <c r="C22" s="152">
        <f>C16-C21</f>
        <v>34047.90558333334</v>
      </c>
      <c r="D22" s="152">
        <f t="shared" si="1"/>
        <v>531.9444166666508</v>
      </c>
      <c r="E22" s="153">
        <f t="shared" si="2"/>
        <v>1.5623410825218009E-2</v>
      </c>
      <c r="F22" s="154" t="str" cm="1">
        <f t="array" ref="F22">_xlfn.IFS(D22&lt;0, "U", D22&gt;0, "F", D22=0, "-")</f>
        <v>F</v>
      </c>
      <c r="H22" s="2" t="s">
        <v>125</v>
      </c>
    </row>
    <row r="23" spans="1:14" ht="15" thickTop="1" x14ac:dyDescent="0.35">
      <c r="A23" s="127" t="s">
        <v>55</v>
      </c>
      <c r="B23" s="162">
        <f>B22/B14</f>
        <v>0.22500398541176617</v>
      </c>
      <c r="C23" s="162">
        <f>C22/C14</f>
        <v>0.22058302546134426</v>
      </c>
      <c r="D23" s="132">
        <f t="shared" si="1"/>
        <v>4.4209599504219099E-3</v>
      </c>
      <c r="E23" s="132">
        <f t="shared" si="2"/>
        <v>2.0042158462445503E-2</v>
      </c>
      <c r="F23" s="130" t="str" cm="1">
        <f t="array" ref="F23">IFERROR(_xlfn.IFS(D23&lt;0, "U", D23&gt;0, "F", D23=0, "-"), "-")</f>
        <v>F</v>
      </c>
    </row>
    <row r="25" spans="1:14" x14ac:dyDescent="0.35">
      <c r="A25" s="157"/>
    </row>
    <row r="27" spans="1:14" ht="17" x14ac:dyDescent="0.4">
      <c r="A27" s="159" t="s">
        <v>694</v>
      </c>
    </row>
    <row r="28" spans="1:14" x14ac:dyDescent="0.35">
      <c r="H28" s="238"/>
    </row>
    <row r="29" spans="1:14" x14ac:dyDescent="0.35">
      <c r="A29" s="160" t="s">
        <v>4</v>
      </c>
      <c r="B29" s="160" t="s">
        <v>283</v>
      </c>
      <c r="C29" s="113" t="str">
        <f>"vs "&amp;TEXT(EOMONTH($I$2,-1),"mmm yyyy")</f>
        <v>vs Feb 2026</v>
      </c>
      <c r="D29" s="160" t="s">
        <v>614</v>
      </c>
    </row>
    <row r="30" spans="1:14" x14ac:dyDescent="0.35">
      <c r="A30" s="123" t="s">
        <v>193</v>
      </c>
      <c r="B30" s="235">
        <f>INDEX(Actuals!$B$15:$Y$15,MATCH($I$2,Actuals!$B$1:$Y$1,0))</f>
        <v>42</v>
      </c>
      <c r="C30" s="123">
        <f>IFERROR(B30-_xlfn.XLOOKUP("Active Customers",'KPI Tracker'!$A$4:$A$16,'KPI Tracker'!$C$4:$C$16),"—")</f>
        <v>1</v>
      </c>
      <c r="D30" s="123" t="s">
        <v>676</v>
      </c>
    </row>
    <row r="31" spans="1:14" x14ac:dyDescent="0.35">
      <c r="A31" s="123" t="s">
        <v>194</v>
      </c>
      <c r="B31" s="235">
        <f>INDEX(Actuals!$B$16:$Y$16,MATCH($I$2,Actuals!$B$1:$Y$1,0))</f>
        <v>54</v>
      </c>
      <c r="C31" s="167">
        <f>B31-INDEX(Actuals!$B$16:$Y$16,MATCH(DATE(YEAR($I$2),MONTH($I$2)-1,1),Actuals!$B$1:$Y$1,0))</f>
        <v>1</v>
      </c>
      <c r="D31" s="123" t="s">
        <v>677</v>
      </c>
      <c r="N31" t="s">
        <v>668</v>
      </c>
    </row>
    <row r="32" spans="1:14" x14ac:dyDescent="0.35">
      <c r="A32" s="123" t="s">
        <v>616</v>
      </c>
      <c r="B32" s="131">
        <f>B9/B30</f>
        <v>3659.1785714285716</v>
      </c>
      <c r="C32" s="131">
        <f>IFERROR(B32-INDEX(Actuals!$B$6:$Y$6,MATCH(DATE(YEAR($I$2),MONTH($I$2)-1,1),Actuals!$B$1:$Y$1,0))/INDEX(Actuals!$B$15:$Y$15,MATCH(DATE(YEAR($I$2),MONTH($I$2)-1,1),Actuals!$B$1:$Y$1,0)),"—")</f>
        <v>-6.8092334494772331</v>
      </c>
      <c r="D32" s="123" t="s">
        <v>617</v>
      </c>
    </row>
    <row r="33" spans="1:11" x14ac:dyDescent="0.35">
      <c r="A33" s="123" t="s">
        <v>618</v>
      </c>
      <c r="B33" s="162">
        <f>B17</f>
        <v>0.7</v>
      </c>
      <c r="C33" s="162">
        <f>0</f>
        <v>0</v>
      </c>
      <c r="D33" s="123" t="s">
        <v>619</v>
      </c>
    </row>
    <row r="34" spans="1:11" x14ac:dyDescent="0.35">
      <c r="A34" s="123" t="s">
        <v>620</v>
      </c>
      <c r="B34" s="28">
        <f>INDEX(Retention!$B$6:$AY$6,MATCH($I$2,Retention!$B$4:$AY$4,0))</f>
        <v>1</v>
      </c>
      <c r="C34" s="162">
        <f>B34-INDEX(Retention!$B$6:$AY$6,MATCH(DATE(YEAR($I$2),MONTH($I$2)-1,1),Retention!$B$4:$AY$4,0))</f>
        <v>3.8918026449843435E-3</v>
      </c>
      <c r="D34" s="123" t="s">
        <v>621</v>
      </c>
    </row>
    <row r="35" spans="1:11" x14ac:dyDescent="0.35">
      <c r="A35" s="123" t="s">
        <v>622</v>
      </c>
      <c r="B35" s="28">
        <f>INDEX(Retention!$B$7:$AY$7,MATCH($I$2,Retention!$B$4:$AY$4,0))</f>
        <v>1.00240271380201</v>
      </c>
      <c r="C35" s="162">
        <f>B35-INDEX(Retention!$B$7:$AY$7,MATCH(DATE(YEAR($I$2),MONTH($I$2)-1,1),Retention!$B$4:$AY$4,0))</f>
        <v>6.2945164469943027E-3</v>
      </c>
      <c r="D35" s="123" t="s">
        <v>621</v>
      </c>
    </row>
    <row r="36" spans="1:11" x14ac:dyDescent="0.35">
      <c r="A36" s="123" t="s">
        <v>623</v>
      </c>
      <c r="B36" s="123" t="str">
        <f>IFERROR(IF((B6+B7)=0,"N/A — no losses",(B4+B5)/(B6+B7)),"N/A")</f>
        <v>N/A — no losses</v>
      </c>
      <c r="C36" s="123" t="str">
        <f>IFERROR(IF(ISNUMBER(B36),B36-_xlfn.XLOOKUP("Quick Ratio",'KPI Tracker'!$A$4:$A$16,'KPI Tracker'!$B$4:$B$16),"—"),"—")</f>
        <v>—</v>
      </c>
      <c r="D36" s="123" t="s">
        <v>661</v>
      </c>
    </row>
    <row r="37" spans="1:11" x14ac:dyDescent="0.35">
      <c r="A37" s="123" t="s">
        <v>625</v>
      </c>
      <c r="B37" s="163">
        <f>B18</f>
        <v>29000</v>
      </c>
      <c r="C37" s="163">
        <f>B37-INDEX(Actuals!$B$7:$Y$7,MATCH(DATE(YEAR($I$2),MONTH($I$2)-1,1),Actuals!$B$1:$Y$1,0))</f>
        <v>-2000</v>
      </c>
      <c r="D37" s="123" t="s">
        <v>626</v>
      </c>
    </row>
    <row r="38" spans="1:11" x14ac:dyDescent="0.35">
      <c r="A38" s="123" t="s">
        <v>627</v>
      </c>
      <c r="B38" s="163">
        <f>IFERROR(IF(B39=0,"—",B37/B39),"—")</f>
        <v>14500</v>
      </c>
      <c r="C38" s="163">
        <f>IFERROR(B38-INDEX(Actuals!$B$7:$Y$7,MATCH(DATE(YEAR($I$2),MONTH($I$2)-1,1),Actuals!$B$1:$Y$1,0))/INDEX(Actuals!$B$14:$Y$14,MATCH(DATE(YEAR($I$2),MONTH($I$2)-1,1),Actuals!$B$1:$Y$1,0)),"—")</f>
        <v>-1000</v>
      </c>
      <c r="D38" s="123" t="s">
        <v>662</v>
      </c>
    </row>
    <row r="39" spans="1:11" x14ac:dyDescent="0.35">
      <c r="A39" s="164" t="s">
        <v>664</v>
      </c>
      <c r="B39" s="235">
        <f>INDEX(Actuals!$B$14:$Y$14,MATCH($I$2,Actuals!$B$1:$Y$1,0))</f>
        <v>2</v>
      </c>
      <c r="C39" s="123" t="s">
        <v>629</v>
      </c>
      <c r="D39" s="164" t="s">
        <v>678</v>
      </c>
    </row>
    <row r="40" spans="1:11" x14ac:dyDescent="0.35">
      <c r="A40" s="123" t="s">
        <v>659</v>
      </c>
      <c r="B40" s="163">
        <f>IFERROR(IF(('Jan 2026 A vs F '!B46/'Jan 2026 A vs F '!B47+'Feb 2026 A vs F'!B39+B39)=0,"—",('Jan 2026 A vs F '!B46+'Feb 2026 A vs F'!B37+B37)/('Jan 2026 A vs F '!B46/'Jan 2026 A vs F '!B47+'Feb 2026 A vs F'!B39+B39)),"—")</f>
        <v>18000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5" ht="17" x14ac:dyDescent="0.4">
      <c r="A51" s="166" t="s">
        <v>638</v>
      </c>
    </row>
    <row r="53" spans="1:5" x14ac:dyDescent="0.35">
      <c r="A53" s="160" t="s">
        <v>4</v>
      </c>
      <c r="B53" s="160" t="s">
        <v>639</v>
      </c>
      <c r="C53" s="160" t="s">
        <v>667</v>
      </c>
    </row>
    <row r="54" spans="1:5" x14ac:dyDescent="0.35">
      <c r="A54" s="123" t="s">
        <v>616</v>
      </c>
      <c r="B54" s="131">
        <f>B32</f>
        <v>3659.1785714285716</v>
      </c>
      <c r="C54" s="131">
        <f>B9/B30</f>
        <v>3659.1785714285716</v>
      </c>
    </row>
    <row r="55" spans="1:5" x14ac:dyDescent="0.35">
      <c r="A55" s="123" t="s">
        <v>620</v>
      </c>
      <c r="B55" s="162">
        <f>B34</f>
        <v>1</v>
      </c>
      <c r="C55" s="162">
        <f>INDEX(Retention!$B$6:$AY$6, MATCH($I$2, Retention!$B$4:$AY$4,0))</f>
        <v>1</v>
      </c>
      <c r="E55" t="s">
        <v>737</v>
      </c>
    </row>
    <row r="56" spans="1:5" x14ac:dyDescent="0.35">
      <c r="A56" s="123" t="s">
        <v>622</v>
      </c>
      <c r="B56" s="162">
        <f>B35</f>
        <v>1.00240271380201</v>
      </c>
      <c r="C56" s="162">
        <f>INDEX(Retention!$B$7:$AY$7, MATCH($I$2, Retention!$B$4:$AY$4,0))</f>
        <v>1.00240271380201</v>
      </c>
    </row>
    <row r="57" spans="1:5" x14ac:dyDescent="0.35">
      <c r="A57" s="123" t="s">
        <v>623</v>
      </c>
      <c r="B57" s="123" t="str">
        <f>B36</f>
        <v>N/A — no losses</v>
      </c>
      <c r="C57" s="123" t="str">
        <f>IFERROR(IF((B6+B7)=0,"N/A — no losses",(B4+B5)/(B6+B7)),"N/A")</f>
        <v>N/A — no losses</v>
      </c>
    </row>
    <row r="58" spans="1:5" x14ac:dyDescent="0.35">
      <c r="A58" s="123" t="s">
        <v>640</v>
      </c>
      <c r="B58" s="163">
        <f>B38</f>
        <v>14500</v>
      </c>
      <c r="C58" s="163">
        <f>IFERROR(IF(B39=0,"—",B37/B39),"—")</f>
        <v>14500</v>
      </c>
    </row>
    <row r="60" spans="1:5" x14ac:dyDescent="0.35">
      <c r="A60" s="124" t="s">
        <v>611</v>
      </c>
    </row>
    <row r="61" spans="1:5" x14ac:dyDescent="0.35">
      <c r="A61" s="237" t="str">
        <f>TEXT($I$2,"mmmm yyyy")&amp;" — Closing MRR: "&amp;TEXT(B9,"$#,##0")&amp;" | NRR: "&amp;TEXT(B35,"0.0%")&amp;" | EBITDA margin: "&amp;TEXT(B23,"0.0%")</f>
        <v>March 2026 — Closing MRR: $153,686 | NRR: 100.2% | EBITDA margin: 22.5%</v>
      </c>
    </row>
    <row r="62" spans="1:5" x14ac:dyDescent="0.35">
      <c r="A62" s="212" t="s">
        <v>736</v>
      </c>
    </row>
    <row r="63" spans="1:5" x14ac:dyDescent="0.35">
      <c r="A63" s="212" t="s">
        <v>732</v>
      </c>
    </row>
    <row r="64" spans="1:5" x14ac:dyDescent="0.35">
      <c r="A64" s="212" t="s">
        <v>733</v>
      </c>
    </row>
    <row r="65" spans="1:3" x14ac:dyDescent="0.35">
      <c r="A65" s="212" t="s">
        <v>717</v>
      </c>
    </row>
    <row r="67" spans="1:3" x14ac:dyDescent="0.35">
      <c r="A67" s="193" t="s">
        <v>695</v>
      </c>
    </row>
    <row r="69" spans="1:3" x14ac:dyDescent="0.35">
      <c r="A69" s="194" t="s">
        <v>696</v>
      </c>
    </row>
    <row r="70" spans="1:3" x14ac:dyDescent="0.35">
      <c r="A70" s="125" t="s">
        <v>645</v>
      </c>
      <c r="B70" s="125" t="s">
        <v>697</v>
      </c>
    </row>
    <row r="71" spans="1:3" x14ac:dyDescent="0.35">
      <c r="A71" s="126" t="s">
        <v>698</v>
      </c>
      <c r="B71" s="195">
        <f>'Jan 2026 A vs F '!B4+'Feb 2026 A vs F'!B4+'Mar 2026 A vs F'!B4</f>
        <v>10830</v>
      </c>
    </row>
    <row r="72" spans="1:3" x14ac:dyDescent="0.35">
      <c r="A72" s="126" t="s">
        <v>699</v>
      </c>
      <c r="B72" s="195">
        <f>'Jan 2026 A vs F '!B5+'Feb 2026 A vs F'!B5+'Mar 2026 A vs F'!B5</f>
        <v>380</v>
      </c>
    </row>
    <row r="73" spans="1:3" x14ac:dyDescent="0.35">
      <c r="A73" s="126" t="s">
        <v>700</v>
      </c>
      <c r="B73" s="195">
        <f>'Jan 2026 A vs F '!B7+'Feb 2026 A vs F'!B7+'Mar 2026 A vs F'!B7</f>
        <v>594</v>
      </c>
    </row>
    <row r="74" spans="1:3" x14ac:dyDescent="0.35">
      <c r="A74" s="126" t="s">
        <v>701</v>
      </c>
      <c r="B74" s="195">
        <f>'Jan 2026 A vs F '!B8+'Feb 2026 A vs F'!B8+'Mar 2026 A vs F'!B8</f>
        <v>10616</v>
      </c>
    </row>
    <row r="75" spans="1:3" x14ac:dyDescent="0.35">
      <c r="A75" s="127" t="s">
        <v>146</v>
      </c>
      <c r="B75" s="196">
        <f>'Mar 2026 A vs F'!B9</f>
        <v>153685.5</v>
      </c>
    </row>
    <row r="77" spans="1:3" x14ac:dyDescent="0.35">
      <c r="A77" s="194" t="s">
        <v>702</v>
      </c>
    </row>
    <row r="78" spans="1:3" x14ac:dyDescent="0.35">
      <c r="A78" s="125" t="s">
        <v>703</v>
      </c>
      <c r="B78" s="125" t="s">
        <v>697</v>
      </c>
    </row>
    <row r="79" spans="1:3" x14ac:dyDescent="0.35">
      <c r="A79" s="126" t="s">
        <v>704</v>
      </c>
      <c r="B79" s="195">
        <f>'Jan 2026 A vs F '!B14+'Feb 2026 A vs F'!B14+'Mar 2026 A vs F'!B14</f>
        <v>448770.5</v>
      </c>
      <c r="C79" s="30"/>
    </row>
    <row r="80" spans="1:3" x14ac:dyDescent="0.35">
      <c r="A80" s="126" t="s">
        <v>705</v>
      </c>
      <c r="B80" s="195">
        <f>'Jan 2026 A vs F '!B15+'Feb 2026 A vs F'!B15+'Mar 2026 A vs F'!B15</f>
        <v>134631.15000000002</v>
      </c>
    </row>
    <row r="81" spans="1:2" x14ac:dyDescent="0.35">
      <c r="A81" s="127" t="s">
        <v>706</v>
      </c>
      <c r="B81" s="196">
        <f>B79-B80</f>
        <v>314139.34999999998</v>
      </c>
    </row>
    <row r="82" spans="1:2" x14ac:dyDescent="0.35">
      <c r="A82" s="126" t="s">
        <v>707</v>
      </c>
      <c r="B82" s="197">
        <f>B81/B79</f>
        <v>0.7</v>
      </c>
    </row>
    <row r="83" spans="1:2" x14ac:dyDescent="0.35">
      <c r="A83" s="126" t="s">
        <v>708</v>
      </c>
      <c r="B83" s="195">
        <f>'Jan 2026 A vs F '!B18+'Feb 2026 A vs F'!B18+'Mar 2026 A vs F'!B18</f>
        <v>90000</v>
      </c>
    </row>
    <row r="84" spans="1:2" x14ac:dyDescent="0.35">
      <c r="A84" s="126" t="s">
        <v>709</v>
      </c>
      <c r="B84" s="195">
        <f>'Jan 2026 A vs F '!B19+'Jan 2026 A vs F '!B20+'Feb 2026 A vs F'!B19+'Feb 2026 A vs F'!B20+'Mar 2026 A vs F'!B19+'Mar 2026 A vs F'!B20</f>
        <v>132000</v>
      </c>
    </row>
    <row r="85" spans="1:2" x14ac:dyDescent="0.35">
      <c r="A85" s="127" t="s">
        <v>710</v>
      </c>
      <c r="B85" s="196">
        <f>'Jan 2026 A vs F '!B21+'Feb 2026 A vs F'!B21+'Mar 2026 A vs F'!B21</f>
        <v>222000</v>
      </c>
    </row>
    <row r="86" spans="1:2" x14ac:dyDescent="0.35">
      <c r="A86" s="127" t="s">
        <v>711</v>
      </c>
      <c r="B86" s="196">
        <f>B81-B85</f>
        <v>92139.349999999977</v>
      </c>
    </row>
    <row r="87" spans="1:2" x14ac:dyDescent="0.35">
      <c r="A87" s="126" t="s">
        <v>712</v>
      </c>
      <c r="B87" s="197">
        <f>B86/B79</f>
        <v>0.20531507752849168</v>
      </c>
    </row>
    <row r="89" spans="1:2" x14ac:dyDescent="0.35">
      <c r="A89" s="194" t="s">
        <v>713</v>
      </c>
    </row>
    <row r="90" spans="1:2" x14ac:dyDescent="0.35">
      <c r="A90" s="198" t="s">
        <v>4</v>
      </c>
      <c r="B90" s="125" t="s">
        <v>697</v>
      </c>
    </row>
    <row r="91" spans="1:2" x14ac:dyDescent="0.35">
      <c r="A91" t="s">
        <v>714</v>
      </c>
      <c r="B91" s="167">
        <f>Actuals!B14+Actuals!C14+Actuals!D14</f>
        <v>5</v>
      </c>
    </row>
    <row r="92" spans="1:2" x14ac:dyDescent="0.35">
      <c r="A92" t="s">
        <v>715</v>
      </c>
      <c r="B92" s="100">
        <f>B83/B91</f>
        <v>18000</v>
      </c>
    </row>
    <row r="93" spans="1:2" x14ac:dyDescent="0.35">
      <c r="A93" t="s">
        <v>628</v>
      </c>
      <c r="B93" s="100">
        <f>(B82/((B73/'Jan 2026 A vs F '!B3)*12)*'Mar 2026 A vs F'!B54)</f>
        <v>51411.587266764865</v>
      </c>
    </row>
    <row r="94" spans="1:2" x14ac:dyDescent="0.35">
      <c r="A94" t="s">
        <v>631</v>
      </c>
      <c r="B94" s="199">
        <f>B93/B92</f>
        <v>2.8561992925980482</v>
      </c>
    </row>
    <row r="95" spans="1:2" x14ac:dyDescent="0.35">
      <c r="A95" t="s">
        <v>716</v>
      </c>
      <c r="B95" s="199">
        <f>B92/(B54*B82)</f>
        <v>7.0273382980177059</v>
      </c>
    </row>
    <row r="97" spans="1:1" x14ac:dyDescent="0.35">
      <c r="A97" s="210" t="s">
        <v>718</v>
      </c>
    </row>
    <row r="98" spans="1:1" x14ac:dyDescent="0.35">
      <c r="A98" s="212" t="s">
        <v>734</v>
      </c>
    </row>
    <row r="99" spans="1:1" x14ac:dyDescent="0.35">
      <c r="A99" s="212" t="s">
        <v>735</v>
      </c>
    </row>
    <row r="100" spans="1:1" x14ac:dyDescent="0.35">
      <c r="A100" s="212" t="s">
        <v>719</v>
      </c>
    </row>
    <row r="101" spans="1:1" x14ac:dyDescent="0.35">
      <c r="A101" s="212" t="s">
        <v>720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7" activePane="bottomLeft" state="frozen"/>
      <selection pane="bottomLeft" activeCell="J48" sqref="J4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C37" sqref="C3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5" t="s">
        <v>672</v>
      </c>
      <c r="C3" s="175" t="s">
        <v>673</v>
      </c>
      <c r="D3" s="175" t="s">
        <v>674</v>
      </c>
      <c r="E3" s="118" t="s">
        <v>81</v>
      </c>
    </row>
    <row r="4" spans="1:5" x14ac:dyDescent="0.35">
      <c r="A4" t="s">
        <v>26</v>
      </c>
      <c r="B4" s="100">
        <f>'Jan 2026 A vs F '!B9</f>
        <v>144779.5</v>
      </c>
      <c r="C4" s="131">
        <f>'Feb 2026 A vs F'!B9</f>
        <v>150305.5</v>
      </c>
      <c r="D4" s="131">
        <f>'Mar 2026 A vs F'!B9</f>
        <v>153685.5</v>
      </c>
      <c r="E4" s="174">
        <f>'Mar 2026 A vs F'!B75</f>
        <v>153685.5</v>
      </c>
    </row>
    <row r="5" spans="1:5" x14ac:dyDescent="0.35">
      <c r="A5" t="s">
        <v>193</v>
      </c>
      <c r="B5" s="120">
        <f>'Jan 2026 A vs F '!B39</f>
        <v>39</v>
      </c>
      <c r="C5" s="167">
        <f>'Feb 2026 A vs F'!B30</f>
        <v>41</v>
      </c>
      <c r="D5">
        <f>'Mar 2026 A vs F'!B30</f>
        <v>42</v>
      </c>
      <c r="E5" s="200">
        <f>'Mar 2026 A vs F'!B30</f>
        <v>42</v>
      </c>
    </row>
    <row r="6" spans="1:5" x14ac:dyDescent="0.35">
      <c r="A6" t="s">
        <v>616</v>
      </c>
      <c r="B6" s="100">
        <f>'Jan 2026 A vs F '!B41</f>
        <v>3712.2948717948716</v>
      </c>
      <c r="C6" s="131">
        <f>'Feb 2026 A vs F'!B32</f>
        <v>3665.9878048780488</v>
      </c>
      <c r="D6" s="131">
        <f>'Mar 2026 A vs F'!B32</f>
        <v>3659.1785714285716</v>
      </c>
      <c r="E6" s="174">
        <f>'Mar 2026 A vs F'!B75/'Mar 2026 A vs F'!B30</f>
        <v>3659.1785714285716</v>
      </c>
    </row>
    <row r="7" spans="1:5" x14ac:dyDescent="0.35">
      <c r="A7" t="s">
        <v>618</v>
      </c>
      <c r="B7" s="28">
        <f>'Jan 2026 A vs F '!B42</f>
        <v>0.7</v>
      </c>
      <c r="C7" s="162">
        <f>'Feb 2026 A vs F'!B33</f>
        <v>0.7</v>
      </c>
      <c r="D7" s="162">
        <f>'Mar 2026 A vs F'!B33</f>
        <v>0.7</v>
      </c>
      <c r="E7" s="201">
        <f>'Mar 2026 A vs F'!B82</f>
        <v>0.7</v>
      </c>
    </row>
    <row r="8" spans="1:5" x14ac:dyDescent="0.35">
      <c r="A8" t="s">
        <v>620</v>
      </c>
      <c r="B8" s="28">
        <f>'Jan 2026 A vs F '!B43</f>
        <v>1</v>
      </c>
      <c r="C8" s="162">
        <f>'Feb 2026 A vs F'!B34</f>
        <v>0.99610819735501566</v>
      </c>
      <c r="D8" s="162">
        <f>'Mar 2026 A vs F'!B34</f>
        <v>1</v>
      </c>
      <c r="E8" s="202">
        <f>'Mar 2026 A vs F'!B34</f>
        <v>1</v>
      </c>
    </row>
    <row r="9" spans="1:5" x14ac:dyDescent="0.35">
      <c r="A9" t="s">
        <v>622</v>
      </c>
      <c r="B9" s="28">
        <f>'Jan 2026 A vs F '!B44</f>
        <v>1</v>
      </c>
      <c r="C9" s="162">
        <f>'Feb 2026 A vs F'!B35</f>
        <v>0.99610819735501566</v>
      </c>
      <c r="D9" s="162">
        <f>'Mar 2026 A vs F'!B35</f>
        <v>1.00240271380201</v>
      </c>
      <c r="E9" s="201">
        <f>'Mar 2026 A vs F'!B35</f>
        <v>1.00240271380201</v>
      </c>
    </row>
    <row r="10" spans="1:5" x14ac:dyDescent="0.35">
      <c r="A10" t="s">
        <v>623</v>
      </c>
      <c r="C10" s="123">
        <f>'Feb 2026 A vs F'!B36</f>
        <v>10.303030303030303</v>
      </c>
      <c r="D10" t="str">
        <f>'Mar 2026 A vs F'!B36</f>
        <v>N/A — no losses</v>
      </c>
      <c r="E10" s="203" t="s">
        <v>629</v>
      </c>
    </row>
    <row r="11" spans="1:5" x14ac:dyDescent="0.35">
      <c r="A11" t="s">
        <v>625</v>
      </c>
      <c r="B11" s="44">
        <f>'Jan 2026 A vs F '!B46</f>
        <v>30000</v>
      </c>
      <c r="C11" s="163">
        <f>'Feb 2026 A vs F'!B37</f>
        <v>31000</v>
      </c>
      <c r="D11" s="163">
        <f>'Mar 2026 A vs F'!B37</f>
        <v>29000</v>
      </c>
      <c r="E11" s="204">
        <f>'Mar 2026 A vs F'!B83</f>
        <v>90000</v>
      </c>
    </row>
    <row r="12" spans="1:5" x14ac:dyDescent="0.35">
      <c r="A12" t="s">
        <v>642</v>
      </c>
      <c r="B12" s="44">
        <f>'Jan 2026 A vs F '!B47</f>
        <v>30000</v>
      </c>
      <c r="C12" s="163">
        <f>'Feb 2026 A vs F'!B38</f>
        <v>15500</v>
      </c>
      <c r="D12" s="163">
        <f>'Mar 2026 A vs F'!B38</f>
        <v>14500</v>
      </c>
      <c r="E12" s="205">
        <f>'Mar 2026 A vs F'!B92</f>
        <v>18000</v>
      </c>
    </row>
    <row r="13" spans="1:5" x14ac:dyDescent="0.35">
      <c r="A13" s="119" t="s">
        <v>643</v>
      </c>
      <c r="B13" s="121">
        <v>0</v>
      </c>
      <c r="C13" s="121"/>
      <c r="D13" s="121"/>
      <c r="E13" s="206">
        <f>'Mar 2026 A vs F'!B92</f>
        <v>18000</v>
      </c>
    </row>
    <row r="14" spans="1:5" x14ac:dyDescent="0.35">
      <c r="A14" s="119" t="s">
        <v>628</v>
      </c>
      <c r="B14" s="121">
        <v>0</v>
      </c>
      <c r="C14" s="121"/>
      <c r="D14" s="121"/>
      <c r="E14" s="207">
        <f>'Mar 2026 A vs F'!B93</f>
        <v>51411.587266764865</v>
      </c>
    </row>
    <row r="15" spans="1:5" x14ac:dyDescent="0.35">
      <c r="A15" s="119" t="s">
        <v>631</v>
      </c>
      <c r="B15" s="121">
        <v>0</v>
      </c>
      <c r="C15" s="121"/>
      <c r="D15" s="121"/>
      <c r="E15" s="208">
        <f>'Mar 2026 A vs F'!B94</f>
        <v>2.8561992925980482</v>
      </c>
    </row>
    <row r="16" spans="1:5" x14ac:dyDescent="0.35">
      <c r="A16" s="119" t="s">
        <v>632</v>
      </c>
      <c r="B16" s="121">
        <v>0</v>
      </c>
      <c r="C16" s="121"/>
      <c r="D16" s="121"/>
      <c r="E16" s="209">
        <f>'Mar 2026 A vs F'!B95</f>
        <v>7.0273382980177059</v>
      </c>
    </row>
    <row r="18" spans="1:5" ht="30" customHeight="1" x14ac:dyDescent="0.35">
      <c r="A18" s="240" t="s">
        <v>644</v>
      </c>
      <c r="B18" s="240"/>
      <c r="C18" s="240"/>
      <c r="D18" s="122"/>
      <c r="E18" s="122"/>
    </row>
  </sheetData>
  <mergeCells count="1">
    <mergeCell ref="A18:C18"/>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J20" sqref="J20"/>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645</v>
      </c>
      <c r="C1" t="s">
        <v>646</v>
      </c>
      <c r="D1" t="s">
        <v>647</v>
      </c>
      <c r="E1" t="s">
        <v>648</v>
      </c>
    </row>
    <row r="2" spans="1:5" x14ac:dyDescent="0.35">
      <c r="A2" s="192">
        <v>46023</v>
      </c>
      <c r="B2" t="s">
        <v>14</v>
      </c>
      <c r="C2" s="100">
        <f>'Jan 2026 A vs F '!B3</f>
        <v>143069.5</v>
      </c>
      <c r="D2" s="100">
        <f>'Jan 2026 A vs F '!C3</f>
        <v>143069.5</v>
      </c>
      <c r="E2" s="100">
        <f>'Jan 2026 A vs F '!D3</f>
        <v>0</v>
      </c>
    </row>
    <row r="3" spans="1:5" x14ac:dyDescent="0.35">
      <c r="A3" s="192">
        <v>46023</v>
      </c>
      <c r="B3" t="s">
        <v>649</v>
      </c>
      <c r="C3" s="100">
        <f>'Jan 2026 A vs F '!B4</f>
        <v>1710</v>
      </c>
      <c r="D3" s="100">
        <f>'Jan 2026 A vs F '!C4</f>
        <v>4000</v>
      </c>
      <c r="E3" s="100">
        <f>'Jan 2026 A vs F '!D4</f>
        <v>-2290</v>
      </c>
    </row>
    <row r="4" spans="1:5" x14ac:dyDescent="0.35">
      <c r="A4" s="192">
        <v>46023</v>
      </c>
      <c r="B4" t="s">
        <v>650</v>
      </c>
      <c r="C4" s="100">
        <f>'Jan 2026 A vs F '!B5</f>
        <v>0</v>
      </c>
      <c r="D4" s="100">
        <f>'Jan 2026 A vs F '!C5</f>
        <v>715.34749999999997</v>
      </c>
      <c r="E4" s="100">
        <f>'Jan 2026 A vs F '!D5</f>
        <v>-715.34749999999997</v>
      </c>
    </row>
    <row r="5" spans="1:5" x14ac:dyDescent="0.35">
      <c r="A5" s="192">
        <v>46023</v>
      </c>
      <c r="B5" t="s">
        <v>651</v>
      </c>
      <c r="C5" s="100">
        <f>'Jan 2026 A vs F '!B6</f>
        <v>0</v>
      </c>
      <c r="D5" s="100">
        <f>'Jan 2026 A vs F '!C6</f>
        <v>0</v>
      </c>
      <c r="E5" s="100">
        <f>C5-D5</f>
        <v>0</v>
      </c>
    </row>
    <row r="6" spans="1:5" x14ac:dyDescent="0.35">
      <c r="A6" s="192">
        <v>46023</v>
      </c>
      <c r="B6" t="s">
        <v>652</v>
      </c>
      <c r="C6" s="100">
        <f>'Jan 2026 A vs F '!B7</f>
        <v>0</v>
      </c>
      <c r="D6" s="100">
        <f>'Jan 2026 A vs F '!C7</f>
        <v>953.79666666666662</v>
      </c>
      <c r="E6" s="168">
        <f>D6-C6</f>
        <v>953.79666666666662</v>
      </c>
    </row>
    <row r="7" spans="1:5" x14ac:dyDescent="0.35">
      <c r="A7" s="192">
        <v>46023</v>
      </c>
      <c r="B7" t="s">
        <v>24</v>
      </c>
      <c r="C7" s="100">
        <f>'Jan 2026 A vs F '!B8</f>
        <v>1710</v>
      </c>
      <c r="D7" s="100">
        <f>'Jan 2026 A vs F '!C8</f>
        <v>3761.5508333333332</v>
      </c>
      <c r="E7" s="100">
        <f>'Jan 2026 A vs F '!D8</f>
        <v>-2051.5508333333332</v>
      </c>
    </row>
    <row r="8" spans="1:5" x14ac:dyDescent="0.35">
      <c r="A8" s="192">
        <v>46023</v>
      </c>
      <c r="B8" t="s">
        <v>26</v>
      </c>
      <c r="C8" s="100">
        <f>'Jan 2026 A vs F '!B9</f>
        <v>144779.5</v>
      </c>
      <c r="D8" s="100">
        <f>'Jan 2026 A vs F '!C9</f>
        <v>146831.05083333334</v>
      </c>
      <c r="E8" s="100">
        <f>'Jan 2026 A vs F '!D9</f>
        <v>-2051.5508333333419</v>
      </c>
    </row>
    <row r="9" spans="1:5" x14ac:dyDescent="0.35">
      <c r="A9" s="192" t="str">
        <f t="shared" ref="A9:A15" si="0">TEXT(DATE(2026,2,1),"mmm-yy")</f>
        <v>Feb-26</v>
      </c>
      <c r="B9" s="173" t="s">
        <v>14</v>
      </c>
      <c r="C9" s="174">
        <f>'Feb 2026 A vs F'!B3</f>
        <v>144779.5</v>
      </c>
      <c r="D9" s="174">
        <f>'Feb 2026 A vs F'!C3</f>
        <v>146831.04999999999</v>
      </c>
      <c r="E9" s="174">
        <f>C9-D9</f>
        <v>-2051.5499999999884</v>
      </c>
    </row>
    <row r="10" spans="1:5" x14ac:dyDescent="0.35">
      <c r="A10" s="192" t="str">
        <f t="shared" si="0"/>
        <v>Feb-26</v>
      </c>
      <c r="B10" s="169" t="s">
        <v>649</v>
      </c>
      <c r="C10" s="171">
        <f>'Feb 2026 A vs F'!B4</f>
        <v>6120</v>
      </c>
      <c r="D10" s="171">
        <f>'Feb 2026 A vs F'!C4</f>
        <v>4000</v>
      </c>
      <c r="E10" s="171">
        <f>C10-D10</f>
        <v>2120</v>
      </c>
    </row>
    <row r="11" spans="1:5" x14ac:dyDescent="0.35">
      <c r="A11" s="192" t="str">
        <f t="shared" si="0"/>
        <v>Feb-26</v>
      </c>
      <c r="B11" s="170" t="s">
        <v>650</v>
      </c>
      <c r="C11" s="168">
        <f>'Feb 2026 A vs F'!B5</f>
        <v>0</v>
      </c>
      <c r="D11" s="168">
        <f>'Feb 2026 A vs F'!C5</f>
        <v>715.34749999999997</v>
      </c>
      <c r="E11" s="168">
        <f>C11-D11</f>
        <v>-715.34749999999997</v>
      </c>
    </row>
    <row r="12" spans="1:5" x14ac:dyDescent="0.35">
      <c r="A12" s="192" t="str">
        <f t="shared" si="0"/>
        <v>Feb-26</v>
      </c>
      <c r="B12" s="169" t="s">
        <v>651</v>
      </c>
      <c r="C12" s="171">
        <f>'Feb 2026 A vs F'!B6</f>
        <v>0</v>
      </c>
      <c r="D12" s="171">
        <f>'Feb 2026 A vs F'!C6</f>
        <v>0</v>
      </c>
      <c r="E12" s="171">
        <f>D12-C12</f>
        <v>0</v>
      </c>
    </row>
    <row r="13" spans="1:5" x14ac:dyDescent="0.35">
      <c r="A13" s="192" t="str">
        <f t="shared" si="0"/>
        <v>Feb-26</v>
      </c>
      <c r="B13" s="170" t="s">
        <v>652</v>
      </c>
      <c r="C13" s="168">
        <f>'Feb 2026 A vs F'!B7</f>
        <v>594</v>
      </c>
      <c r="D13" s="168">
        <f>'Feb 2026 A vs F'!C7</f>
        <v>953.79666666666662</v>
      </c>
      <c r="E13" s="168">
        <f>D13-C13</f>
        <v>359.79666666666662</v>
      </c>
    </row>
    <row r="14" spans="1:5" x14ac:dyDescent="0.35">
      <c r="A14" s="192" t="str">
        <f t="shared" si="0"/>
        <v>Feb-26</v>
      </c>
      <c r="B14" s="169" t="s">
        <v>24</v>
      </c>
      <c r="C14" s="171">
        <f>'Feb 2026 A vs F'!B8</f>
        <v>5526</v>
      </c>
      <c r="D14" s="171">
        <f>'Feb 2026 A vs F'!C8</f>
        <v>3761.5508333333332</v>
      </c>
      <c r="E14" s="171">
        <f>C14-D14</f>
        <v>1764.4491666666668</v>
      </c>
    </row>
    <row r="15" spans="1:5" ht="15" thickBot="1" x14ac:dyDescent="0.4">
      <c r="A15" s="192" t="str">
        <f t="shared" si="0"/>
        <v>Feb-26</v>
      </c>
      <c r="B15" s="170" t="s">
        <v>26</v>
      </c>
      <c r="C15" s="168">
        <f>'Feb 2026 A vs F'!B9</f>
        <v>150305.5</v>
      </c>
      <c r="D15" s="168">
        <f>'Feb 2026 A vs F'!C9</f>
        <v>150592.60083333333</v>
      </c>
      <c r="E15" s="168">
        <f>C15-D15</f>
        <v>-287.10083333333023</v>
      </c>
    </row>
    <row r="16" spans="1:5" x14ac:dyDescent="0.35">
      <c r="A16" s="192" t="str">
        <f t="shared" ref="A16:A22" si="1">TEXT(DATE(2026,3,1),"mmm-yy")</f>
        <v>Mar-26</v>
      </c>
      <c r="B16" s="189" t="s">
        <v>14</v>
      </c>
      <c r="C16" s="190">
        <f>'Mar 2026 A vs F'!B3</f>
        <v>150305.5</v>
      </c>
      <c r="D16" s="190">
        <f>'Mar 2026 A vs F'!C3</f>
        <v>150592.6</v>
      </c>
      <c r="E16" s="191">
        <f>'Mar 2026 A vs F'!D3</f>
        <v>-287.10000000000582</v>
      </c>
    </row>
    <row r="17" spans="1:9" x14ac:dyDescent="0.35">
      <c r="A17" s="192" t="str">
        <f t="shared" si="1"/>
        <v>Mar-26</v>
      </c>
      <c r="B17" s="186" t="s">
        <v>649</v>
      </c>
      <c r="C17" s="187">
        <f>'Mar 2026 A vs F'!B4</f>
        <v>3000</v>
      </c>
      <c r="D17" s="187">
        <f>'Mar 2026 A vs F'!C4</f>
        <v>4000</v>
      </c>
      <c r="E17" s="188">
        <f>'Mar 2026 A vs F'!D4</f>
        <v>-1000</v>
      </c>
    </row>
    <row r="18" spans="1:9" x14ac:dyDescent="0.35">
      <c r="A18" s="192" t="str">
        <f t="shared" si="1"/>
        <v>Mar-26</v>
      </c>
      <c r="B18" s="177" t="s">
        <v>650</v>
      </c>
      <c r="C18" s="184">
        <f>'Mar 2026 A vs F'!B5</f>
        <v>380</v>
      </c>
      <c r="D18" s="184">
        <f>'Mar 2026 A vs F'!C5</f>
        <v>715.34749999999997</v>
      </c>
      <c r="E18" s="179">
        <f>'Mar 2026 A vs F'!D5</f>
        <v>-335.34749999999997</v>
      </c>
      <c r="I18" t="s">
        <v>668</v>
      </c>
    </row>
    <row r="19" spans="1:9" x14ac:dyDescent="0.35">
      <c r="A19" s="192" t="str">
        <f t="shared" si="1"/>
        <v>Mar-26</v>
      </c>
      <c r="B19" s="182" t="s">
        <v>651</v>
      </c>
      <c r="C19" s="185">
        <f>'Mar 2026 A vs F'!B6</f>
        <v>0</v>
      </c>
      <c r="D19" s="185">
        <f>'Mar 2026 A vs F'!C6</f>
        <v>0</v>
      </c>
      <c r="E19" s="183">
        <f>D19-C19</f>
        <v>0</v>
      </c>
    </row>
    <row r="20" spans="1:9" x14ac:dyDescent="0.35">
      <c r="A20" s="192" t="str">
        <f t="shared" si="1"/>
        <v>Mar-26</v>
      </c>
      <c r="B20" s="177" t="s">
        <v>652</v>
      </c>
      <c r="C20" s="184">
        <f>'Mar 2026 A vs F'!B7</f>
        <v>0</v>
      </c>
      <c r="D20" s="184">
        <f>'Mar 2026 A vs F'!C7</f>
        <v>953.79666666666662</v>
      </c>
      <c r="E20" s="179">
        <f>'Mar 2026 A vs F'!D7</f>
        <v>953.79666666666662</v>
      </c>
    </row>
    <row r="21" spans="1:9" x14ac:dyDescent="0.35">
      <c r="A21" s="192" t="str">
        <f t="shared" si="1"/>
        <v>Mar-26</v>
      </c>
      <c r="B21" s="182" t="s">
        <v>24</v>
      </c>
      <c r="C21" s="185">
        <f>'Mar 2026 A vs F'!B8</f>
        <v>3380</v>
      </c>
      <c r="D21" s="185">
        <f>'Mar 2026 A vs F'!C8</f>
        <v>3761.5508333333332</v>
      </c>
      <c r="E21" s="183">
        <f>'Mar 2026 A vs F'!D8</f>
        <v>-381.55083333333323</v>
      </c>
    </row>
    <row r="22" spans="1:9" x14ac:dyDescent="0.35">
      <c r="A22" s="192" t="str">
        <f t="shared" si="1"/>
        <v>Mar-26</v>
      </c>
      <c r="B22" s="178" t="s">
        <v>26</v>
      </c>
      <c r="C22" s="181">
        <f>'Mar 2026 A vs F'!B9</f>
        <v>153685.5</v>
      </c>
      <c r="D22" s="181">
        <f>'Mar 2026 A vs F'!C9</f>
        <v>154354.15083333335</v>
      </c>
      <c r="E22" s="180">
        <f>'Mar 2026 A vs F'!D9</f>
        <v>-668.65083333334769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679</v>
      </c>
      <c r="B99" t="s">
        <v>680</v>
      </c>
      <c r="C99" t="s">
        <v>681</v>
      </c>
      <c r="D99" t="s">
        <v>689</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682</v>
      </c>
      <c r="B100" t="s">
        <v>683</v>
      </c>
      <c r="C100" t="s">
        <v>684</v>
      </c>
      <c r="D100" t="s">
        <v>690</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685</v>
      </c>
      <c r="B101" t="s">
        <v>686</v>
      </c>
      <c r="C101" t="s">
        <v>687</v>
      </c>
      <c r="D101" t="s">
        <v>691</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688</v>
      </c>
      <c r="B102" t="s">
        <v>379</v>
      </c>
      <c r="C102" t="s">
        <v>380</v>
      </c>
      <c r="D102" t="s">
        <v>237</v>
      </c>
      <c r="E102" t="s">
        <v>336</v>
      </c>
      <c r="F102" s="96">
        <v>46082</v>
      </c>
      <c r="G102" s="97">
        <v>46096</v>
      </c>
      <c r="H102" t="s">
        <v>501</v>
      </c>
      <c r="I102">
        <v>23</v>
      </c>
      <c r="J102">
        <v>27</v>
      </c>
      <c r="K102" t="s">
        <v>326</v>
      </c>
      <c r="L102" t="s">
        <v>692</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B37"/>
  <sheetViews>
    <sheetView workbookViewId="0">
      <selection activeCell="M41" sqref="M41"/>
    </sheetView>
  </sheetViews>
  <sheetFormatPr defaultRowHeight="14.5" x14ac:dyDescent="0.35"/>
  <cols>
    <col min="1" max="1" width="40" customWidth="1"/>
    <col min="28" max="28" width="12.08984375" bestFit="1" customWidth="1"/>
  </cols>
  <sheetData>
    <row r="1" spans="1:28" ht="15.5" x14ac:dyDescent="0.35">
      <c r="A1" s="41" t="s">
        <v>166</v>
      </c>
    </row>
    <row r="3" spans="1:28" x14ac:dyDescent="0.35">
      <c r="A3" s="42" t="s">
        <v>167</v>
      </c>
    </row>
    <row r="4" spans="1:28"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row>
    <row r="5" spans="1:28"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8"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row>
    <row r="7" spans="1:28"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row>
    <row r="9" spans="1:28" x14ac:dyDescent="0.35">
      <c r="A9" s="42" t="s">
        <v>170</v>
      </c>
    </row>
    <row r="10" spans="1:28"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8"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8"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8" x14ac:dyDescent="0.35">
      <c r="A14" s="42" t="s">
        <v>173</v>
      </c>
    </row>
    <row r="15" spans="1:28"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8"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6">
        <f>COUNTIFS(Engine!$T$2:$T$102,1,Engine!$F$2:$F$102,"&lt;="&amp;B15)+COUNTIFS(Engine!$V$2:$V$102,1,Engine!$F$2:$F$102,"&lt;="&amp;B15)-COUNTIFS(Engine!$U$2:$U$102,1,Engine!$F$2:$F$102,"&lt;="&amp;B15)</f>
        <v>2</v>
      </c>
      <c r="D19" s="176">
        <f>COUNTIFS(Engine!$T$2:$T$102,1,Engine!$F$2:$F$102,"&lt;="&amp;C15)+COUNTIFS(Engine!$V$2:$V$102,1,Engine!$F$2:$F$102,"&lt;="&amp;C15)-COUNTIFS(Engine!$U$2:$U$102,1,Engine!$F$2:$F$102,"&lt;="&amp;C15)</f>
        <v>4</v>
      </c>
      <c r="E19" s="176">
        <f>COUNTIFS(Engine!$T$2:$T$102,1,Engine!$F$2:$F$102,"&lt;="&amp;D15)+COUNTIFS(Engine!$V$2:$V$102,1,Engine!$F$2:$F$102,"&lt;="&amp;D15)-COUNTIFS(Engine!$U$2:$U$102,1,Engine!$F$2:$F$102,"&lt;="&amp;D15)</f>
        <v>6</v>
      </c>
      <c r="F19" s="176">
        <f>COUNTIFS(Engine!$T$2:$T$102,1,Engine!$F$2:$F$102,"&lt;="&amp;E15)+COUNTIFS(Engine!$V$2:$V$102,1,Engine!$F$2:$F$102,"&lt;="&amp;E15)-COUNTIFS(Engine!$U$2:$U$102,1,Engine!$F$2:$F$102,"&lt;="&amp;E15)</f>
        <v>9</v>
      </c>
      <c r="G19" s="176">
        <f>COUNTIFS(Engine!$T$2:$T$102,1,Engine!$F$2:$F$102,"&lt;="&amp;F15)+COUNTIFS(Engine!$V$2:$V$102,1,Engine!$F$2:$F$102,"&lt;="&amp;F15)-COUNTIFS(Engine!$U$2:$U$102,1,Engine!$F$2:$F$102,"&lt;="&amp;F15)</f>
        <v>11</v>
      </c>
      <c r="H19" s="176">
        <f>COUNTIFS(Engine!$T$2:$T$102,1,Engine!$F$2:$F$102,"&lt;="&amp;G15)+COUNTIFS(Engine!$V$2:$V$102,1,Engine!$F$2:$F$102,"&lt;="&amp;G15)-COUNTIFS(Engine!$U$2:$U$102,1,Engine!$F$2:$F$102,"&lt;="&amp;G15)</f>
        <v>13</v>
      </c>
      <c r="I19" s="176">
        <f>COUNTIFS(Engine!$T$2:$T$102,1,Engine!$F$2:$F$102,"&lt;="&amp;H15)+COUNTIFS(Engine!$V$2:$V$102,1,Engine!$F$2:$F$102,"&lt;="&amp;H15)-COUNTIFS(Engine!$U$2:$U$102,1,Engine!$F$2:$F$102,"&lt;="&amp;H15)</f>
        <v>15</v>
      </c>
      <c r="J19" s="176">
        <f>COUNTIFS(Engine!$T$2:$T$102,1,Engine!$F$2:$F$102,"&lt;="&amp;I15)+COUNTIFS(Engine!$V$2:$V$102,1,Engine!$F$2:$F$102,"&lt;="&amp;I15)-COUNTIFS(Engine!$U$2:$U$102,1,Engine!$F$2:$F$102,"&lt;="&amp;I15)</f>
        <v>17</v>
      </c>
      <c r="K19" s="176">
        <f>COUNTIFS(Engine!$T$2:$T$102,1,Engine!$F$2:$F$102,"&lt;="&amp;J15)+COUNTIFS(Engine!$V$2:$V$102,1,Engine!$F$2:$F$102,"&lt;="&amp;J15)-COUNTIFS(Engine!$U$2:$U$102,1,Engine!$F$2:$F$102,"&lt;="&amp;J15)</f>
        <v>20</v>
      </c>
      <c r="L19" s="176">
        <f>COUNTIFS(Engine!$T$2:$T$102,1,Engine!$F$2:$F$102,"&lt;="&amp;K15)+COUNTIFS(Engine!$V$2:$V$102,1,Engine!$F$2:$F$102,"&lt;="&amp;K15)-COUNTIFS(Engine!$U$2:$U$102,1,Engine!$F$2:$F$102,"&lt;="&amp;K15)</f>
        <v>22</v>
      </c>
      <c r="M19" s="176">
        <f>COUNTIFS(Engine!$T$2:$T$102,1,Engine!$F$2:$F$102,"&lt;="&amp;L15)+COUNTIFS(Engine!$V$2:$V$102,1,Engine!$F$2:$F$102,"&lt;="&amp;L15)-COUNTIFS(Engine!$U$2:$U$102,1,Engine!$F$2:$F$102,"&lt;="&amp;L15)</f>
        <v>23</v>
      </c>
      <c r="N19" s="176">
        <f>COUNTIFS(Engine!$T$2:$T$102,1,Engine!$F$2:$F$102,"&lt;="&amp;M15)+COUNTIFS(Engine!$V$2:$V$102,1,Engine!$F$2:$F$102,"&lt;="&amp;M15)-COUNTIFS(Engine!$U$2:$U$102,1,Engine!$F$2:$F$102,"&lt;="&amp;M15)</f>
        <v>25</v>
      </c>
      <c r="O19" s="176">
        <f>COUNTIFS(Engine!$T$2:$T$102,1,Engine!$F$2:$F$102,"&lt;="&amp;N15)+COUNTIFS(Engine!$V$2:$V$102,1,Engine!$F$2:$F$102,"&lt;="&amp;N15)-COUNTIFS(Engine!$U$2:$U$102,1,Engine!$F$2:$F$102,"&lt;="&amp;N15)</f>
        <v>26</v>
      </c>
      <c r="P19" s="176">
        <f>COUNTIFS(Engine!$T$2:$T$102,1,Engine!$F$2:$F$102,"&lt;="&amp;O15)+COUNTIFS(Engine!$V$2:$V$102,1,Engine!$F$2:$F$102,"&lt;="&amp;O15)-COUNTIFS(Engine!$U$2:$U$102,1,Engine!$F$2:$F$102,"&lt;="&amp;O15)</f>
        <v>28</v>
      </c>
      <c r="Q19" s="176">
        <f>COUNTIFS(Engine!$T$2:$T$102,1,Engine!$F$2:$F$102,"&lt;="&amp;P15)+COUNTIFS(Engine!$V$2:$V$102,1,Engine!$F$2:$F$102,"&lt;="&amp;P15)-COUNTIFS(Engine!$U$2:$U$102,1,Engine!$F$2:$F$102,"&lt;="&amp;P15)</f>
        <v>31</v>
      </c>
      <c r="R19" s="176">
        <f>COUNTIFS(Engine!$T$2:$T$102,1,Engine!$F$2:$F$102,"&lt;="&amp;Q15)+COUNTIFS(Engine!$V$2:$V$102,1,Engine!$F$2:$F$102,"&lt;="&amp;Q15)-COUNTIFS(Engine!$U$2:$U$102,1,Engine!$F$2:$F$102,"&lt;="&amp;Q15)</f>
        <v>33</v>
      </c>
      <c r="S19" s="176">
        <f>COUNTIFS(Engine!$T$2:$T$102,1,Engine!$F$2:$F$102,"&lt;="&amp;R15)+COUNTIFS(Engine!$V$2:$V$102,1,Engine!$F$2:$F$102,"&lt;="&amp;R15)-COUNTIFS(Engine!$U$2:$U$102,1,Engine!$F$2:$F$102,"&lt;="&amp;R15)</f>
        <v>36</v>
      </c>
      <c r="T19" s="176">
        <f>COUNTIFS(Engine!$T$2:$T$102,1,Engine!$F$2:$F$102,"&lt;="&amp;S15)+COUNTIFS(Engine!$V$2:$V$102,1,Engine!$F$2:$F$102,"&lt;="&amp;S15)-COUNTIFS(Engine!$U$2:$U$102,1,Engine!$F$2:$F$102,"&lt;="&amp;S15)</f>
        <v>37</v>
      </c>
      <c r="U19" s="176">
        <f>COUNTIFS(Engine!$T$2:$T$102,1,Engine!$F$2:$F$102,"&lt;="&amp;T15)+COUNTIFS(Engine!$V$2:$V$102,1,Engine!$F$2:$F$102,"&lt;="&amp;T15)-COUNTIFS(Engine!$U$2:$U$102,1,Engine!$F$2:$F$102,"&lt;="&amp;T15)</f>
        <v>37</v>
      </c>
      <c r="V19" s="176">
        <f>COUNTIFS(Engine!$T$2:$T$102,1,Engine!$F$2:$F$102,"&lt;="&amp;U15)+COUNTIFS(Engine!$V$2:$V$102,1,Engine!$F$2:$F$102,"&lt;="&amp;U15)-COUNTIFS(Engine!$U$2:$U$102,1,Engine!$F$2:$F$102,"&lt;="&amp;U15)</f>
        <v>37</v>
      </c>
      <c r="W19" s="176">
        <f>COUNTIFS(Engine!$T$2:$T$102,1,Engine!$F$2:$F$102,"&lt;="&amp;V15)+COUNTIFS(Engine!$V$2:$V$102,1,Engine!$F$2:$F$102,"&lt;="&amp;V15)-COUNTIFS(Engine!$U$2:$U$102,1,Engine!$F$2:$F$102,"&lt;="&amp;V15)</f>
        <v>37</v>
      </c>
      <c r="X19" s="176">
        <f>COUNTIFS(Engine!$T$2:$T$102,1,Engine!$F$2:$F$102,"&lt;="&amp;W15)+COUNTIFS(Engine!$V$2:$V$102,1,Engine!$F$2:$F$102,"&lt;="&amp;W15)-COUNTIFS(Engine!$U$2:$U$102,1,Engine!$F$2:$F$102,"&lt;="&amp;W15)</f>
        <v>38</v>
      </c>
      <c r="Y19" s="176">
        <f>COUNTIFS(Engine!$T$2:$T$102,1,Engine!$F$2:$F$102,"&lt;="&amp;X15)+COUNTIFS(Engine!$V$2:$V$102,1,Engine!$F$2:$F$102,"&lt;="&amp;X15)-COUNTIFS(Engine!$U$2:$U$102,1,Engine!$F$2:$F$102,"&lt;="&amp;X15)</f>
        <v>38</v>
      </c>
      <c r="Z19" s="176">
        <f>COUNTIFS(Engine!$T$2:$T$102,1,Engine!$F$2:$F$102,"&lt;="&amp;Y15)+COUNTIFS(Engine!$V$2:$V$102,1,Engine!$F$2:$F$102,"&lt;="&amp;Y15)-COUNTIFS(Engine!$U$2:$U$102,1,Engine!$F$2:$F$102,"&lt;="&amp;Y15)</f>
        <v>38</v>
      </c>
      <c r="AA19" s="176">
        <f>COUNTIFS(Engine!$T$2:$T$102,1,Engine!$F$2:$F$102,"&lt;="&amp;Z15)+COUNTIFS(Engine!$V$2:$V$102,1,Engine!$F$2:$F$102,"&lt;="&amp;Z15)-COUNTIFS(Engine!$U$2:$U$102,1,Engine!$F$2:$F$102,"&lt;="&amp;Z15)</f>
        <v>39</v>
      </c>
      <c r="AB19" s="176">
        <f>COUNTIFS(Engine!$T$2:$T$102,1,Engine!$F$2:$F$102,"&lt;="&amp;AA15)+COUNTIFS(Engine!$V$2:$V$102,1,Engine!$F$2:$F$102,"&lt;="&amp;AA15)-COUNTIFS(Engine!$U$2:$U$102,1,Engine!$F$2:$F$102,"&lt;="&amp;AA15)</f>
        <v>41</v>
      </c>
    </row>
    <row r="20" spans="1:28" x14ac:dyDescent="0.35">
      <c r="A20" s="45" t="s">
        <v>178</v>
      </c>
      <c r="B20" s="176">
        <f>COUNTIFS(Engine!$U$2:$U$102,1,Engine!$F$2:$F$102,B15)</f>
        <v>0</v>
      </c>
      <c r="C20" s="176">
        <f>COUNTIFS(Engine!$U$2:$U$102,1,Engine!$F$2:$F$102,C15)</f>
        <v>0</v>
      </c>
      <c r="D20" s="176">
        <f>COUNTIFS(Engine!$U$2:$U$102,1,Engine!$F$2:$F$102,D15)</f>
        <v>0</v>
      </c>
      <c r="E20" s="176">
        <f>COUNTIFS(Engine!$U$2:$U$102,1,Engine!$F$2:$F$102,E15)</f>
        <v>0</v>
      </c>
      <c r="F20" s="176">
        <f>COUNTIFS(Engine!$U$2:$U$102,1,Engine!$F$2:$F$102,F15)</f>
        <v>0</v>
      </c>
      <c r="G20" s="176">
        <f>COUNTIFS(Engine!$U$2:$U$102,1,Engine!$F$2:$F$102,G15)</f>
        <v>0</v>
      </c>
      <c r="H20" s="176">
        <f>COUNTIFS(Engine!$U$2:$U$102,1,Engine!$F$2:$F$102,H15)</f>
        <v>0</v>
      </c>
      <c r="I20" s="176">
        <f>COUNTIFS(Engine!$U$2:$U$102,1,Engine!$F$2:$F$102,I15)</f>
        <v>0</v>
      </c>
      <c r="J20" s="176">
        <f>COUNTIFS(Engine!$U$2:$U$102,1,Engine!$F$2:$F$102,J15)</f>
        <v>0</v>
      </c>
      <c r="K20" s="176">
        <f>COUNTIFS(Engine!$U$2:$U$102,1,Engine!$F$2:$F$102,K15)</f>
        <v>0</v>
      </c>
      <c r="L20" s="176">
        <f>COUNTIFS(Engine!$U$2:$U$102,1,Engine!$F$2:$F$102,L15)</f>
        <v>1</v>
      </c>
      <c r="M20" s="176">
        <f>COUNTIFS(Engine!$U$2:$U$102,1,Engine!$F$2:$F$102,M15)</f>
        <v>0</v>
      </c>
      <c r="N20" s="176">
        <f>COUNTIFS(Engine!$U$2:$U$102,1,Engine!$F$2:$F$102,N15)</f>
        <v>1</v>
      </c>
      <c r="O20" s="176">
        <f>COUNTIFS(Engine!$U$2:$U$102,1,Engine!$F$2:$F$102,O15)</f>
        <v>0</v>
      </c>
      <c r="P20" s="176">
        <f>COUNTIFS(Engine!$U$2:$U$102,1,Engine!$F$2:$F$102,P15)</f>
        <v>0</v>
      </c>
      <c r="Q20" s="176">
        <f>COUNTIFS(Engine!$U$2:$U$102,1,Engine!$F$2:$F$102,Q15)</f>
        <v>0</v>
      </c>
      <c r="R20" s="176">
        <f>COUNTIFS(Engine!$U$2:$U$102,1,Engine!$F$2:$F$102,R15)</f>
        <v>0</v>
      </c>
      <c r="S20" s="176">
        <f>COUNTIFS(Engine!$U$2:$U$102,1,Engine!$F$2:$F$102,S15)</f>
        <v>1</v>
      </c>
      <c r="T20" s="176">
        <f>COUNTIFS(Engine!$U$2:$U$102,1,Engine!$F$2:$F$102,T15)</f>
        <v>0</v>
      </c>
      <c r="U20" s="176">
        <f>COUNTIFS(Engine!$U$2:$U$102,1,Engine!$F$2:$F$102,U15)</f>
        <v>0</v>
      </c>
      <c r="V20" s="176">
        <f>COUNTIFS(Engine!$U$2:$U$102,1,Engine!$F$2:$F$102,V15)</f>
        <v>0</v>
      </c>
      <c r="W20" s="176">
        <f>COUNTIFS(Engine!$U$2:$U$102,1,Engine!$F$2:$F$102,W15)</f>
        <v>0</v>
      </c>
      <c r="X20" s="176">
        <f>COUNTIFS(Engine!$U$2:$U$102,1,Engine!$F$2:$F$102,X15)</f>
        <v>0</v>
      </c>
      <c r="Y20" s="176">
        <f>COUNTIFS(Engine!$U$2:$U$102,1,Engine!$F$2:$F$102,Y15)</f>
        <v>0</v>
      </c>
      <c r="Z20" s="176">
        <f>COUNTIFS(Engine!$U$2:$U$102,1,Engine!$F$2:$F$102,Z15)</f>
        <v>0</v>
      </c>
      <c r="AA20" s="176">
        <f>COUNTIFS(Engine!$U$2:$U$102,1,Engine!$F$2:$F$102,AA15)</f>
        <v>0</v>
      </c>
      <c r="AB20" s="176">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241" t="s">
        <v>188</v>
      </c>
      <c r="B34" s="242"/>
      <c r="C34" s="242"/>
      <c r="D34" s="242"/>
      <c r="E34" s="242"/>
      <c r="F34" s="242"/>
      <c r="G34" s="242"/>
      <c r="H34" s="242"/>
      <c r="I34" s="242"/>
      <c r="J34" s="242"/>
      <c r="K34" s="242"/>
      <c r="L34" s="242"/>
      <c r="M34" s="242"/>
      <c r="N34" s="242"/>
      <c r="O34" s="242"/>
      <c r="P34" s="242"/>
      <c r="Q34" s="242"/>
      <c r="R34" s="242"/>
      <c r="S34" s="242"/>
      <c r="T34" s="242"/>
      <c r="U34" s="242"/>
      <c r="V34" s="242"/>
      <c r="W34" s="242"/>
      <c r="X34" s="242"/>
      <c r="Y34" s="242"/>
      <c r="Z34" s="242"/>
      <c r="AA34" s="242"/>
    </row>
    <row r="35" spans="1:27" ht="15" customHeight="1" x14ac:dyDescent="0.35"/>
    <row r="36" spans="1:27" x14ac:dyDescent="0.35">
      <c r="A36" s="42" t="s">
        <v>189</v>
      </c>
    </row>
    <row r="37" spans="1:27" ht="95" customHeight="1" x14ac:dyDescent="0.35">
      <c r="A37" s="241" t="s">
        <v>190</v>
      </c>
      <c r="B37" s="242"/>
      <c r="C37" s="242"/>
      <c r="D37" s="242"/>
      <c r="E37" s="242"/>
      <c r="F37" s="242"/>
      <c r="G37" s="242"/>
      <c r="H37" s="242"/>
      <c r="I37" s="242"/>
      <c r="J37" s="242"/>
      <c r="K37" s="242"/>
      <c r="L37" s="242"/>
      <c r="M37" s="242"/>
      <c r="N37" s="242"/>
      <c r="O37" s="242"/>
      <c r="P37" s="242"/>
      <c r="Q37" s="242"/>
      <c r="R37" s="242"/>
      <c r="S37" s="242"/>
      <c r="T37" s="242"/>
      <c r="U37" s="242"/>
      <c r="V37" s="242"/>
      <c r="W37" s="242"/>
      <c r="X37" s="242"/>
      <c r="Y37" s="242"/>
      <c r="Z37" s="242"/>
      <c r="AA37" s="242"/>
    </row>
  </sheetData>
  <mergeCells count="2">
    <mergeCell ref="A34:AA34"/>
    <mergeCell ref="A37:AA37"/>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2"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243" t="s">
        <v>256</v>
      </c>
      <c r="B64" s="243"/>
      <c r="C64" s="243"/>
      <c r="D64" s="243"/>
      <c r="E64" s="243"/>
      <c r="F64" s="243"/>
      <c r="G64" s="243"/>
      <c r="H64" s="243"/>
      <c r="I64" s="243"/>
      <c r="J64" s="243"/>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Actuals</vt:lpstr>
      <vt:lpstr>Historical Baseline</vt:lpstr>
      <vt:lpstr>Forecast Assumptions</vt:lpstr>
      <vt:lpstr>Jan 2026 A vs F </vt:lpstr>
      <vt:lpstr>Feb 2026 A vs F</vt:lpstr>
      <vt:lpstr>Mar 2026 A vs F</vt:lpstr>
      <vt:lpstr>2026 Forecast</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2026-06-05T19:13:32Z</dcterms:modified>
</cp:coreProperties>
</file>