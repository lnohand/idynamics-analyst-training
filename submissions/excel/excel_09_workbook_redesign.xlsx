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enti\Downloads\idynamics-training\idynamics-analyst-training\submissions\excel\"/>
    </mc:Choice>
  </mc:AlternateContent>
  <xr:revisionPtr revIDLastSave="0" documentId="13_ncr:1_{ED2F5B96-754B-4620-8298-12F56FE82680}" xr6:coauthVersionLast="47" xr6:coauthVersionMax="47" xr10:uidLastSave="{00000000-0000-0000-0000-000000000000}"/>
  <bookViews>
    <workbookView xWindow="-110" yWindow="-110" windowWidth="38620" windowHeight="21100" activeTab="5" xr2:uid="{00000000-000D-0000-FFFF-FFFF00000000}"/>
  </bookViews>
  <sheets>
    <sheet name="billing_jan_2026" sheetId="16" r:id="rId1"/>
    <sheet name="billing_feb_2026" sheetId="17" r:id="rId2"/>
    <sheet name="bank_statement_jan_2026" sheetId="18" r:id="rId3"/>
    <sheet name="bank_statement_feb_2026" sheetId="19" r:id="rId4"/>
    <sheet name="Actuals" sheetId="14" r:id="rId5"/>
    <sheet name="Billing Reconciliation" sheetId="15" r:id="rId6"/>
    <sheet name="Historical Baseline" sheetId="1" r:id="rId7"/>
    <sheet name="Forecast Assumptions" sheetId="2" r:id="rId8"/>
    <sheet name="Jan 2026 A vs F " sheetId="9" r:id="rId9"/>
    <sheet name="Feb 2026 A vs F" sheetId="12" r:id="rId10"/>
    <sheet name="Mar 2026 A vs F" sheetId="13" r:id="rId11"/>
    <sheet name="2026 Forecast" sheetId="3" r:id="rId12"/>
    <sheet name="KPI Tracker" sheetId="10" r:id="rId13"/>
    <sheet name="Waterfall Data" sheetId="11" r:id="rId14"/>
    <sheet name="Engine" sheetId="8" r:id="rId15"/>
    <sheet name="Waterfall" sheetId="4" r:id="rId16"/>
    <sheet name="Retention" sheetId="5" r:id="rId17"/>
    <sheet name="Unit Economics" sheetId="6" r:id="rId18"/>
    <sheet name="Ref" sheetId="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5" l="1"/>
  <c r="C4" i="15"/>
  <c r="C3" i="15"/>
  <c r="B3" i="15"/>
  <c r="B18" i="15" s="1"/>
  <c r="B12" i="15"/>
  <c r="C11" i="15"/>
  <c r="B11" i="15"/>
  <c r="B4" i="15"/>
  <c r="B19" i="15" s="1"/>
  <c r="C2" i="15"/>
  <c r="B2" i="15"/>
  <c r="B10" i="15" s="1"/>
  <c r="J7" i="13"/>
  <c r="B18" i="13"/>
  <c r="AB5" i="5"/>
  <c r="B13" i="13"/>
  <c r="B2" i="13"/>
  <c r="C33" i="13"/>
  <c r="C29" i="13"/>
  <c r="B39" i="13"/>
  <c r="B31" i="13"/>
  <c r="C31" i="13" s="1"/>
  <c r="B30" i="13"/>
  <c r="C30" i="13" s="1"/>
  <c r="B20" i="13"/>
  <c r="B19" i="13"/>
  <c r="B7" i="13"/>
  <c r="C20" i="11" s="1"/>
  <c r="B5" i="13"/>
  <c r="B72" i="13" s="1"/>
  <c r="B4" i="13"/>
  <c r="E4" i="13" s="1"/>
  <c r="I4" i="13"/>
  <c r="B91" i="13"/>
  <c r="D10" i="14"/>
  <c r="C10" i="14"/>
  <c r="B10" i="14"/>
  <c r="B6" i="14"/>
  <c r="C2" i="14" s="1"/>
  <c r="C6" i="14" s="1"/>
  <c r="B3" i="12"/>
  <c r="B9" i="12" s="1"/>
  <c r="C7" i="13"/>
  <c r="D20" i="11" s="1"/>
  <c r="D9" i="11"/>
  <c r="F7" i="12" a="1"/>
  <c r="F7" i="12" s="1"/>
  <c r="D19" i="11"/>
  <c r="D17" i="11"/>
  <c r="C19" i="11"/>
  <c r="A22" i="11"/>
  <c r="A21" i="11"/>
  <c r="A20" i="11"/>
  <c r="A19" i="11"/>
  <c r="A18" i="11"/>
  <c r="A17" i="11"/>
  <c r="A16" i="11"/>
  <c r="D7" i="9"/>
  <c r="D7" i="12"/>
  <c r="AB12" i="5"/>
  <c r="AB11" i="5"/>
  <c r="AB7" i="5"/>
  <c r="AB6" i="5"/>
  <c r="AB4" i="5"/>
  <c r="AB24" i="5" s="1"/>
  <c r="U99" i="8"/>
  <c r="U100" i="8"/>
  <c r="U101" i="8"/>
  <c r="U102" i="8"/>
  <c r="T99" i="8"/>
  <c r="V99" i="8" s="1"/>
  <c r="T100" i="8"/>
  <c r="V100" i="8" s="1"/>
  <c r="T101" i="8"/>
  <c r="V101" i="8" s="1"/>
  <c r="T102" i="8"/>
  <c r="V102" i="8" s="1"/>
  <c r="U98" i="8"/>
  <c r="U97" i="8"/>
  <c r="U96" i="8"/>
  <c r="U95" i="8"/>
  <c r="U94" i="8"/>
  <c r="U93" i="8"/>
  <c r="U92" i="8"/>
  <c r="U91" i="8"/>
  <c r="U90" i="8"/>
  <c r="U89" i="8"/>
  <c r="U88" i="8"/>
  <c r="U87" i="8"/>
  <c r="U86" i="8"/>
  <c r="U85" i="8"/>
  <c r="U84" i="8"/>
  <c r="U83" i="8"/>
  <c r="U82" i="8"/>
  <c r="U81" i="8"/>
  <c r="U80" i="8"/>
  <c r="U79" i="8"/>
  <c r="U78" i="8"/>
  <c r="U77" i="8"/>
  <c r="U76" i="8"/>
  <c r="U75" i="8"/>
  <c r="U74" i="8"/>
  <c r="U73" i="8"/>
  <c r="U72" i="8"/>
  <c r="U71" i="8"/>
  <c r="U70" i="8"/>
  <c r="U69" i="8"/>
  <c r="U68" i="8"/>
  <c r="U67" i="8"/>
  <c r="U66" i="8"/>
  <c r="U65" i="8"/>
  <c r="U64" i="8"/>
  <c r="U63" i="8"/>
  <c r="U62" i="8"/>
  <c r="U61" i="8"/>
  <c r="U60" i="8"/>
  <c r="U59" i="8"/>
  <c r="U58" i="8"/>
  <c r="U57" i="8"/>
  <c r="U56" i="8"/>
  <c r="U55" i="8"/>
  <c r="U54" i="8"/>
  <c r="U53" i="8"/>
  <c r="U52" i="8"/>
  <c r="U51" i="8"/>
  <c r="U50" i="8"/>
  <c r="U49" i="8"/>
  <c r="U48" i="8"/>
  <c r="U47" i="8"/>
  <c r="U46" i="8"/>
  <c r="U45" i="8"/>
  <c r="U44" i="8"/>
  <c r="U43" i="8"/>
  <c r="U42" i="8"/>
  <c r="U41" i="8"/>
  <c r="U40" i="8"/>
  <c r="U39" i="8"/>
  <c r="U38" i="8"/>
  <c r="U37" i="8"/>
  <c r="U36" i="8"/>
  <c r="U35" i="8"/>
  <c r="U34" i="8"/>
  <c r="U33" i="8"/>
  <c r="U32" i="8"/>
  <c r="U31" i="8"/>
  <c r="U30" i="8"/>
  <c r="U29" i="8"/>
  <c r="U28" i="8"/>
  <c r="U27" i="8"/>
  <c r="U26" i="8"/>
  <c r="U25" i="8"/>
  <c r="U24" i="8"/>
  <c r="U23" i="8"/>
  <c r="U22" i="8"/>
  <c r="U21" i="8"/>
  <c r="U20" i="8"/>
  <c r="U19" i="8"/>
  <c r="U18" i="8"/>
  <c r="U17" i="8"/>
  <c r="U16" i="8"/>
  <c r="U15" i="8"/>
  <c r="U14" i="8"/>
  <c r="U13" i="8"/>
  <c r="U12" i="8"/>
  <c r="U11" i="8"/>
  <c r="U10" i="8"/>
  <c r="U9" i="8"/>
  <c r="U8" i="8"/>
  <c r="U7" i="8"/>
  <c r="U6" i="8"/>
  <c r="U5" i="8"/>
  <c r="U4" i="8"/>
  <c r="U3" i="8"/>
  <c r="U2" i="8"/>
  <c r="R99" i="8" a="1"/>
  <c r="R99" i="8" s="1"/>
  <c r="R100" i="8" a="1"/>
  <c r="R100" i="8" s="1"/>
  <c r="R101" i="8" a="1"/>
  <c r="R101" i="8" s="1"/>
  <c r="R102" i="8" a="1"/>
  <c r="R102" i="8" s="1"/>
  <c r="S99" i="8" a="1"/>
  <c r="S99" i="8" s="1"/>
  <c r="S100" i="8" a="1"/>
  <c r="S100" i="8" s="1"/>
  <c r="S101" i="8" a="1"/>
  <c r="S101" i="8" s="1"/>
  <c r="S102" i="8" a="1"/>
  <c r="S102" i="8" s="1"/>
  <c r="B33" i="13"/>
  <c r="C21" i="13"/>
  <c r="C20" i="13"/>
  <c r="C19" i="13"/>
  <c r="C18" i="13"/>
  <c r="E6" i="13"/>
  <c r="D6" i="13"/>
  <c r="F6" i="13" s="1" a="1"/>
  <c r="F6" i="13" s="1"/>
  <c r="C5" i="13"/>
  <c r="D18" i="11" s="1"/>
  <c r="B38" i="12"/>
  <c r="D12" i="11"/>
  <c r="D10" i="11"/>
  <c r="C14" i="11"/>
  <c r="C13" i="11"/>
  <c r="C12" i="11"/>
  <c r="C11" i="11"/>
  <c r="C10" i="11"/>
  <c r="A15" i="11"/>
  <c r="A14" i="11"/>
  <c r="A13" i="11"/>
  <c r="A12" i="11"/>
  <c r="A11" i="11"/>
  <c r="A10" i="11"/>
  <c r="A9" i="11"/>
  <c r="C5" i="10"/>
  <c r="B46" i="9"/>
  <c r="C57" i="12"/>
  <c r="C31" i="12"/>
  <c r="C30" i="12"/>
  <c r="B36" i="12"/>
  <c r="B33" i="12"/>
  <c r="C21" i="12"/>
  <c r="C20" i="12"/>
  <c r="C19" i="12"/>
  <c r="C18" i="12"/>
  <c r="B20" i="12"/>
  <c r="B19" i="12"/>
  <c r="E6" i="12"/>
  <c r="E4" i="12"/>
  <c r="D6" i="12"/>
  <c r="F6" i="12" s="1" a="1"/>
  <c r="F6" i="12" s="1"/>
  <c r="D4" i="12"/>
  <c r="F4" i="12" s="1" a="1"/>
  <c r="F4" i="12" s="1"/>
  <c r="C7" i="12"/>
  <c r="D13" i="11" s="1"/>
  <c r="E13" i="11" s="1"/>
  <c r="C5" i="12"/>
  <c r="D11" i="11" s="1"/>
  <c r="B8" i="12"/>
  <c r="D6" i="11"/>
  <c r="C6" i="11"/>
  <c r="D5" i="11"/>
  <c r="C5" i="11"/>
  <c r="E5" i="11" s="1"/>
  <c r="E4" i="9"/>
  <c r="E5" i="9"/>
  <c r="E6" i="9"/>
  <c r="E7" i="9"/>
  <c r="E3" i="9"/>
  <c r="F6" i="9" a="1"/>
  <c r="F6" i="9" s="1"/>
  <c r="D6" i="9"/>
  <c r="C4" i="11"/>
  <c r="D3" i="11"/>
  <c r="C3" i="11"/>
  <c r="C2" i="11"/>
  <c r="B5" i="10"/>
  <c r="B65" i="9"/>
  <c r="B42" i="9"/>
  <c r="B7" i="10" s="1"/>
  <c r="F17" i="9" a="1"/>
  <c r="F17" i="9" s="1"/>
  <c r="B19" i="9"/>
  <c r="B20" i="9"/>
  <c r="B18" i="9"/>
  <c r="C18" i="9"/>
  <c r="C19" i="9"/>
  <c r="C20" i="9"/>
  <c r="C21" i="9"/>
  <c r="B20" i="3"/>
  <c r="B8" i="9"/>
  <c r="C7" i="11" s="1"/>
  <c r="B9" i="9"/>
  <c r="B41" i="9" s="1"/>
  <c r="C7" i="9"/>
  <c r="C5" i="9"/>
  <c r="D4" i="11" s="1"/>
  <c r="C3" i="9"/>
  <c r="D2" i="11" s="1"/>
  <c r="B21" i="6" a="1"/>
  <c r="B21" i="6"/>
  <c r="E33" i="6"/>
  <c r="E32" i="6"/>
  <c r="E31" i="6"/>
  <c r="E30" i="6"/>
  <c r="E29" i="6"/>
  <c r="E28" i="6"/>
  <c r="B6" i="6"/>
  <c r="C52" i="6" a="1"/>
  <c r="C52" i="6" s="1"/>
  <c r="C51" i="6" a="1"/>
  <c r="C51" i="6" s="1"/>
  <c r="C50" i="6" a="1"/>
  <c r="C50" i="6" s="1"/>
  <c r="C49" i="6" a="1"/>
  <c r="C49" i="6" s="1"/>
  <c r="C48" i="6" a="1"/>
  <c r="C48" i="6" s="1"/>
  <c r="C47" i="6" a="1"/>
  <c r="C47" i="6" s="1"/>
  <c r="C46" i="6" a="1"/>
  <c r="C46" i="6" s="1"/>
  <c r="C45" i="6" a="1"/>
  <c r="C45" i="6" s="1"/>
  <c r="C44" i="6" a="1"/>
  <c r="C44" i="6" s="1"/>
  <c r="C43" i="6" a="1"/>
  <c r="C43" i="6" s="1"/>
  <c r="C42" i="6" a="1"/>
  <c r="C42" i="6" s="1"/>
  <c r="D33" i="6"/>
  <c r="C33" i="6"/>
  <c r="B33" i="6"/>
  <c r="D32" i="6"/>
  <c r="C32" i="6"/>
  <c r="B32" i="6"/>
  <c r="D31" i="6"/>
  <c r="C31" i="6"/>
  <c r="B31" i="6"/>
  <c r="D30" i="6"/>
  <c r="C30" i="6"/>
  <c r="B30" i="6"/>
  <c r="D29" i="6"/>
  <c r="C29" i="6"/>
  <c r="B29" i="6"/>
  <c r="D28" i="6"/>
  <c r="C28" i="6"/>
  <c r="B28" i="6"/>
  <c r="B5" i="6"/>
  <c r="B4" i="6"/>
  <c r="AA4" i="5"/>
  <c r="AA24" i="5" s="1"/>
  <c r="Z4" i="5"/>
  <c r="Z24" i="5" s="1"/>
  <c r="Y4" i="5"/>
  <c r="Y24" i="5" s="1"/>
  <c r="X4" i="5"/>
  <c r="W4" i="5"/>
  <c r="V4" i="5"/>
  <c r="U4" i="5"/>
  <c r="T4" i="5"/>
  <c r="S4" i="5"/>
  <c r="R4" i="5"/>
  <c r="R24" i="5" s="1"/>
  <c r="Q4" i="5"/>
  <c r="P4" i="5"/>
  <c r="P24" i="5" s="1"/>
  <c r="O4" i="5"/>
  <c r="O24" i="5" s="1"/>
  <c r="N4" i="5"/>
  <c r="N24" i="5" s="1"/>
  <c r="M4" i="5"/>
  <c r="M24" i="5" s="1"/>
  <c r="L4" i="5"/>
  <c r="L24" i="5" s="1"/>
  <c r="K4" i="5"/>
  <c r="K24" i="5" s="1"/>
  <c r="J4" i="5"/>
  <c r="J24" i="5" s="1"/>
  <c r="I4" i="5"/>
  <c r="I24" i="5" s="1"/>
  <c r="H4" i="5"/>
  <c r="G4" i="5"/>
  <c r="F4" i="5"/>
  <c r="F24" i="5" s="1"/>
  <c r="E4" i="5"/>
  <c r="E24" i="5" s="1"/>
  <c r="D4" i="5"/>
  <c r="C4" i="5"/>
  <c r="B4" i="5"/>
  <c r="C56" i="13" s="1"/>
  <c r="T98" i="8"/>
  <c r="V98" i="8" s="1"/>
  <c r="S98" i="8" a="1"/>
  <c r="S98" i="8" s="1"/>
  <c r="D52" i="6" s="1" a="1"/>
  <c r="D52" i="6" s="1"/>
  <c r="R98" i="8" a="1"/>
  <c r="R98" i="8" s="1"/>
  <c r="T97" i="8"/>
  <c r="V97" i="8" s="1"/>
  <c r="S97" i="8" a="1"/>
  <c r="S97" i="8" s="1"/>
  <c r="R97" i="8" a="1"/>
  <c r="R97" i="8" s="1"/>
  <c r="T96" i="8"/>
  <c r="V96" i="8" s="1"/>
  <c r="S96" i="8" a="1"/>
  <c r="S96" i="8" s="1"/>
  <c r="D51" i="6" s="1" a="1"/>
  <c r="D51" i="6" s="1"/>
  <c r="R96" i="8" a="1"/>
  <c r="R96" i="8" s="1"/>
  <c r="T95" i="8"/>
  <c r="V95" i="8" s="1"/>
  <c r="S95" i="8" a="1"/>
  <c r="S95" i="8" s="1"/>
  <c r="R95" i="8" a="1"/>
  <c r="R95" i="8" s="1"/>
  <c r="T94" i="8"/>
  <c r="V94" i="8" s="1"/>
  <c r="S94" i="8" a="1"/>
  <c r="S94" i="8" s="1"/>
  <c r="R94" i="8" a="1"/>
  <c r="R94" i="8" s="1"/>
  <c r="T93" i="8"/>
  <c r="V93" i="8" s="1"/>
  <c r="S93" i="8" a="1"/>
  <c r="S93" i="8" s="1"/>
  <c r="R93" i="8" a="1"/>
  <c r="R93" i="8" s="1"/>
  <c r="T92" i="8"/>
  <c r="V92" i="8" s="1"/>
  <c r="S92" i="8" a="1"/>
  <c r="S92" i="8" s="1"/>
  <c r="R92" i="8" a="1"/>
  <c r="R92" i="8" s="1"/>
  <c r="T91" i="8"/>
  <c r="V91" i="8" s="1"/>
  <c r="S91" i="8" a="1"/>
  <c r="S91" i="8" s="1"/>
  <c r="R91" i="8" a="1"/>
  <c r="R91" i="8" s="1"/>
  <c r="T90" i="8"/>
  <c r="V90" i="8" s="1"/>
  <c r="S90" i="8" a="1"/>
  <c r="S90" i="8" s="1"/>
  <c r="R90" i="8" a="1"/>
  <c r="R90" i="8" s="1"/>
  <c r="T89" i="8"/>
  <c r="V89" i="8" s="1"/>
  <c r="S89" i="8" a="1"/>
  <c r="S89" i="8" s="1"/>
  <c r="R89" i="8" a="1"/>
  <c r="R89" i="8" s="1"/>
  <c r="T88" i="8"/>
  <c r="V88" i="8" s="1"/>
  <c r="S88" i="8" a="1"/>
  <c r="S88" i="8" s="1"/>
  <c r="R88" i="8" a="1"/>
  <c r="R88" i="8" s="1"/>
  <c r="T87" i="8"/>
  <c r="V87" i="8" s="1"/>
  <c r="S87" i="8" a="1"/>
  <c r="S87" i="8" s="1"/>
  <c r="R87" i="8" a="1"/>
  <c r="R87" i="8" s="1"/>
  <c r="T86" i="8"/>
  <c r="V86" i="8" s="1"/>
  <c r="S86" i="8" a="1"/>
  <c r="S86" i="8" s="1"/>
  <c r="R86" i="8" a="1"/>
  <c r="R86" i="8" s="1"/>
  <c r="T85" i="8"/>
  <c r="V85" i="8" s="1"/>
  <c r="S85" i="8" a="1"/>
  <c r="S85" i="8" s="1"/>
  <c r="D50" i="6" s="1" a="1"/>
  <c r="D50" i="6" s="1"/>
  <c r="R85" i="8" a="1"/>
  <c r="R85" i="8" s="1"/>
  <c r="T84" i="8"/>
  <c r="V84" i="8" s="1"/>
  <c r="S84" i="8" a="1"/>
  <c r="S84" i="8" s="1"/>
  <c r="R84" i="8" a="1"/>
  <c r="R84" i="8" s="1"/>
  <c r="T83" i="8"/>
  <c r="V83" i="8" s="1"/>
  <c r="S83" i="8" a="1"/>
  <c r="S83" i="8" s="1"/>
  <c r="R83" i="8" a="1"/>
  <c r="R83" i="8" s="1"/>
  <c r="T82" i="8"/>
  <c r="V82" i="8" s="1"/>
  <c r="S82" i="8" a="1"/>
  <c r="S82" i="8" s="1"/>
  <c r="R82" i="8" a="1"/>
  <c r="R82" i="8" s="1"/>
  <c r="T81" i="8"/>
  <c r="V81" i="8" s="1"/>
  <c r="S81" i="8" a="1"/>
  <c r="S81" i="8" s="1"/>
  <c r="R81" i="8" a="1"/>
  <c r="R81" i="8" s="1"/>
  <c r="T80" i="8"/>
  <c r="V80" i="8" s="1"/>
  <c r="S80" i="8" a="1"/>
  <c r="S80" i="8" s="1"/>
  <c r="R80" i="8" a="1"/>
  <c r="R80" i="8" s="1"/>
  <c r="T79" i="8"/>
  <c r="V79" i="8" s="1"/>
  <c r="S79" i="8" a="1"/>
  <c r="S79" i="8" s="1"/>
  <c r="D49" i="6" s="1" a="1"/>
  <c r="D49" i="6" s="1"/>
  <c r="R79" i="8" a="1"/>
  <c r="R79" i="8" s="1"/>
  <c r="T78" i="8"/>
  <c r="V78" i="8" s="1"/>
  <c r="S78" i="8" a="1"/>
  <c r="S78" i="8" s="1"/>
  <c r="R78" i="8" a="1"/>
  <c r="R78" i="8" s="1"/>
  <c r="T77" i="8"/>
  <c r="V77" i="8" s="1"/>
  <c r="S77" i="8" a="1"/>
  <c r="S77" i="8" s="1"/>
  <c r="D48" i="6" s="1" a="1"/>
  <c r="D48" i="6" s="1"/>
  <c r="R77" i="8" a="1"/>
  <c r="R77" i="8" s="1"/>
  <c r="T76" i="8"/>
  <c r="V76" i="8" s="1"/>
  <c r="S76" i="8" a="1"/>
  <c r="S76" i="8" s="1"/>
  <c r="R76" i="8" a="1"/>
  <c r="R76" i="8" s="1"/>
  <c r="T75" i="8"/>
  <c r="V75" i="8" s="1"/>
  <c r="S75" i="8" a="1"/>
  <c r="S75" i="8" s="1"/>
  <c r="R75" i="8" a="1"/>
  <c r="R75" i="8" s="1"/>
  <c r="T74" i="8"/>
  <c r="V74" i="8" s="1"/>
  <c r="S74" i="8" a="1"/>
  <c r="S74" i="8" s="1"/>
  <c r="D47" i="6" s="1" a="1"/>
  <c r="D47" i="6" s="1"/>
  <c r="R74" i="8" a="1"/>
  <c r="R74" i="8" s="1"/>
  <c r="T73" i="8"/>
  <c r="V73" i="8" s="1"/>
  <c r="S73" i="8" a="1"/>
  <c r="S73" i="8" s="1"/>
  <c r="R73" i="8" a="1"/>
  <c r="R73" i="8" s="1"/>
  <c r="T72" i="8"/>
  <c r="V72" i="8" s="1"/>
  <c r="S72" i="8" a="1"/>
  <c r="S72" i="8" s="1"/>
  <c r="R72" i="8" a="1"/>
  <c r="R72" i="8" s="1"/>
  <c r="T71" i="8"/>
  <c r="V71" i="8" s="1"/>
  <c r="S71" i="8" a="1"/>
  <c r="S71" i="8" s="1"/>
  <c r="R71" i="8" a="1"/>
  <c r="R71" i="8" s="1"/>
  <c r="T70" i="8"/>
  <c r="V70" i="8" s="1"/>
  <c r="S70" i="8" a="1"/>
  <c r="S70" i="8" s="1"/>
  <c r="R70" i="8" a="1"/>
  <c r="R70" i="8" s="1"/>
  <c r="T69" i="8"/>
  <c r="V69" i="8" s="1"/>
  <c r="S69" i="8" a="1"/>
  <c r="S69" i="8" s="1"/>
  <c r="D46" i="6" s="1" a="1"/>
  <c r="D46" i="6" s="1"/>
  <c r="R69" i="8" a="1"/>
  <c r="R69" i="8" s="1"/>
  <c r="T68" i="8"/>
  <c r="V68" i="8" s="1"/>
  <c r="S68" i="8" a="1"/>
  <c r="S68" i="8" s="1"/>
  <c r="R68" i="8" a="1"/>
  <c r="R68" i="8" s="1"/>
  <c r="T67" i="8"/>
  <c r="V67" i="8" s="1"/>
  <c r="S67" i="8" a="1"/>
  <c r="S67" i="8" s="1"/>
  <c r="R67" i="8" a="1"/>
  <c r="R67" i="8" s="1"/>
  <c r="T66" i="8"/>
  <c r="V66" i="8" s="1"/>
  <c r="S66" i="8" a="1"/>
  <c r="S66" i="8" s="1"/>
  <c r="R66" i="8" a="1"/>
  <c r="R66" i="8" s="1"/>
  <c r="T65" i="8"/>
  <c r="V65" i="8" s="1"/>
  <c r="S65" i="8" a="1"/>
  <c r="S65" i="8" s="1"/>
  <c r="R65" i="8" a="1"/>
  <c r="R65" i="8" s="1"/>
  <c r="T64" i="8"/>
  <c r="V64" i="8" s="1"/>
  <c r="S64" i="8" a="1"/>
  <c r="S64" i="8" s="1"/>
  <c r="R64" i="8" a="1"/>
  <c r="R64" i="8" s="1"/>
  <c r="T63" i="8"/>
  <c r="V63" i="8" s="1"/>
  <c r="S63" i="8" a="1"/>
  <c r="S63" i="8" s="1"/>
  <c r="R63" i="8" a="1"/>
  <c r="R63" i="8" s="1"/>
  <c r="T62" i="8"/>
  <c r="V62" i="8" s="1"/>
  <c r="S62" i="8" a="1"/>
  <c r="S62" i="8" s="1"/>
  <c r="R62" i="8" a="1"/>
  <c r="R62" i="8" s="1"/>
  <c r="T61" i="8"/>
  <c r="V61" i="8" s="1"/>
  <c r="S61" i="8" a="1"/>
  <c r="S61" i="8" s="1"/>
  <c r="R61" i="8" a="1"/>
  <c r="R61" i="8" s="1"/>
  <c r="T60" i="8"/>
  <c r="V60" i="8" s="1"/>
  <c r="S60" i="8" a="1"/>
  <c r="S60" i="8" s="1"/>
  <c r="R60" i="8" a="1"/>
  <c r="R60" i="8" s="1"/>
  <c r="T59" i="8"/>
  <c r="V59" i="8" s="1"/>
  <c r="S59" i="8" a="1"/>
  <c r="S59" i="8" s="1"/>
  <c r="R59" i="8" a="1"/>
  <c r="R59" i="8" s="1"/>
  <c r="T58" i="8"/>
  <c r="V58" i="8" s="1"/>
  <c r="S58" i="8" a="1"/>
  <c r="S58" i="8" s="1"/>
  <c r="R58" i="8" a="1"/>
  <c r="R58" i="8" s="1"/>
  <c r="T57" i="8"/>
  <c r="V57" i="8" s="1"/>
  <c r="S57" i="8" a="1"/>
  <c r="S57" i="8" s="1"/>
  <c r="R57" i="8" a="1"/>
  <c r="R57" i="8" s="1"/>
  <c r="T56" i="8"/>
  <c r="V56" i="8" s="1"/>
  <c r="S56" i="8" a="1"/>
  <c r="S56" i="8" s="1"/>
  <c r="R56" i="8" a="1"/>
  <c r="R56" i="8" s="1"/>
  <c r="T55" i="8"/>
  <c r="V55" i="8" s="1"/>
  <c r="S55" i="8" a="1"/>
  <c r="S55" i="8" s="1"/>
  <c r="R55" i="8" a="1"/>
  <c r="R55" i="8" s="1"/>
  <c r="T54" i="8"/>
  <c r="V54" i="8" s="1"/>
  <c r="S54" i="8" a="1"/>
  <c r="S54" i="8" s="1"/>
  <c r="R54" i="8" a="1"/>
  <c r="R54" i="8" s="1"/>
  <c r="T53" i="8"/>
  <c r="V53" i="8" s="1"/>
  <c r="S53" i="8" a="1"/>
  <c r="S53" i="8" s="1"/>
  <c r="R53" i="8" a="1"/>
  <c r="R53" i="8" s="1"/>
  <c r="T52" i="8"/>
  <c r="V52" i="8" s="1"/>
  <c r="S52" i="8" a="1"/>
  <c r="S52" i="8" s="1"/>
  <c r="R52" i="8" a="1"/>
  <c r="R52" i="8" s="1"/>
  <c r="T51" i="8"/>
  <c r="V51" i="8" s="1"/>
  <c r="S51" i="8" a="1"/>
  <c r="S51" i="8" s="1"/>
  <c r="R51" i="8" a="1"/>
  <c r="R51" i="8" s="1"/>
  <c r="T50" i="8"/>
  <c r="V50" i="8" s="1"/>
  <c r="S50" i="8" a="1"/>
  <c r="S50" i="8" s="1"/>
  <c r="R50" i="8" a="1"/>
  <c r="R50" i="8" s="1"/>
  <c r="T49" i="8"/>
  <c r="V49" i="8" s="1"/>
  <c r="S49" i="8" a="1"/>
  <c r="S49" i="8" s="1"/>
  <c r="R49" i="8" a="1"/>
  <c r="R49" i="8" s="1"/>
  <c r="T48" i="8"/>
  <c r="V48" i="8" s="1"/>
  <c r="S48" i="8" a="1"/>
  <c r="S48" i="8" s="1"/>
  <c r="R48" i="8" a="1"/>
  <c r="R48" i="8" s="1"/>
  <c r="T47" i="8"/>
  <c r="V47" i="8" s="1"/>
  <c r="S47" i="8" a="1"/>
  <c r="S47" i="8" s="1"/>
  <c r="R47" i="8" a="1"/>
  <c r="R47" i="8" s="1"/>
  <c r="T46" i="8"/>
  <c r="V46" i="8" s="1"/>
  <c r="S46" i="8" a="1"/>
  <c r="S46" i="8" s="1"/>
  <c r="R46" i="8" a="1"/>
  <c r="R46" i="8" s="1"/>
  <c r="T45" i="8"/>
  <c r="V45" i="8" s="1"/>
  <c r="S45" i="8" a="1"/>
  <c r="S45" i="8" s="1"/>
  <c r="R45" i="8" a="1"/>
  <c r="R45" i="8" s="1"/>
  <c r="T44" i="8"/>
  <c r="V44" i="8" s="1"/>
  <c r="S44" i="8" a="1"/>
  <c r="S44" i="8" s="1"/>
  <c r="D45" i="6" s="1" a="1"/>
  <c r="D45" i="6" s="1"/>
  <c r="R44" i="8" a="1"/>
  <c r="R44" i="8" s="1"/>
  <c r="T43" i="8"/>
  <c r="V43" i="8" s="1"/>
  <c r="S43" i="8" a="1"/>
  <c r="S43" i="8" s="1"/>
  <c r="R43" i="8" a="1"/>
  <c r="R43" i="8" s="1"/>
  <c r="T42" i="8"/>
  <c r="V42" i="8" s="1"/>
  <c r="S42" i="8" a="1"/>
  <c r="S42" i="8" s="1"/>
  <c r="R42" i="8" a="1"/>
  <c r="R42" i="8" s="1"/>
  <c r="T41" i="8"/>
  <c r="V41" i="8" s="1"/>
  <c r="S41" i="8" a="1"/>
  <c r="S41" i="8" s="1"/>
  <c r="R41" i="8" a="1"/>
  <c r="R41" i="8" s="1"/>
  <c r="T40" i="8"/>
  <c r="V40" i="8" s="1"/>
  <c r="S40" i="8" a="1"/>
  <c r="S40" i="8" s="1"/>
  <c r="D44" i="6" s="1" a="1"/>
  <c r="D44" i="6" s="1"/>
  <c r="R40" i="8" a="1"/>
  <c r="R40" i="8" s="1"/>
  <c r="T39" i="8"/>
  <c r="V39" i="8" s="1"/>
  <c r="S39" i="8" a="1"/>
  <c r="S39" i="8" s="1"/>
  <c r="R39" i="8" a="1"/>
  <c r="R39" i="8" s="1"/>
  <c r="T38" i="8"/>
  <c r="V38" i="8" s="1"/>
  <c r="S38" i="8" a="1"/>
  <c r="S38" i="8" s="1"/>
  <c r="R38" i="8" a="1"/>
  <c r="R38" i="8" s="1"/>
  <c r="T37" i="8"/>
  <c r="V37" i="8" s="1"/>
  <c r="S37" i="8" a="1"/>
  <c r="S37" i="8" s="1"/>
  <c r="R37" i="8" a="1"/>
  <c r="R37" i="8" s="1"/>
  <c r="T36" i="8"/>
  <c r="V36" i="8" s="1"/>
  <c r="S36" i="8" a="1"/>
  <c r="S36" i="8" s="1"/>
  <c r="R36" i="8" a="1"/>
  <c r="R36" i="8" s="1"/>
  <c r="T35" i="8"/>
  <c r="V35" i="8" s="1"/>
  <c r="S35" i="8" a="1"/>
  <c r="S35" i="8" s="1"/>
  <c r="D43" i="6" s="1" a="1"/>
  <c r="D43" i="6" s="1"/>
  <c r="R35" i="8" a="1"/>
  <c r="R35" i="8" s="1"/>
  <c r="T34" i="8"/>
  <c r="V34" i="8" s="1"/>
  <c r="S34" i="8" a="1"/>
  <c r="S34" i="8" s="1"/>
  <c r="R34" i="8" a="1"/>
  <c r="R34" i="8" s="1"/>
  <c r="T33" i="8"/>
  <c r="V33" i="8" s="1"/>
  <c r="S33" i="8" a="1"/>
  <c r="S33" i="8" s="1"/>
  <c r="R33" i="8" a="1"/>
  <c r="R33" i="8" s="1"/>
  <c r="T32" i="8"/>
  <c r="V32" i="8" s="1"/>
  <c r="S32" i="8" a="1"/>
  <c r="S32" i="8" s="1"/>
  <c r="R32" i="8" a="1"/>
  <c r="R32" i="8" s="1"/>
  <c r="T31" i="8"/>
  <c r="V31" i="8" s="1"/>
  <c r="S31" i="8" a="1"/>
  <c r="S31" i="8" s="1"/>
  <c r="R31" i="8" a="1"/>
  <c r="R31" i="8" s="1"/>
  <c r="T30" i="8"/>
  <c r="V30" i="8" s="1"/>
  <c r="S30" i="8" a="1"/>
  <c r="S30" i="8" s="1"/>
  <c r="R30" i="8" a="1"/>
  <c r="R30" i="8" s="1"/>
  <c r="T29" i="8"/>
  <c r="V29" i="8" s="1"/>
  <c r="S29" i="8" a="1"/>
  <c r="S29" i="8" s="1"/>
  <c r="R29" i="8" a="1"/>
  <c r="R29" i="8" s="1"/>
  <c r="T28" i="8"/>
  <c r="V28" i="8" s="1"/>
  <c r="S28" i="8" a="1"/>
  <c r="S28" i="8" s="1"/>
  <c r="R28" i="8" a="1"/>
  <c r="R28" i="8" s="1"/>
  <c r="T27" i="8"/>
  <c r="V27" i="8" s="1"/>
  <c r="S27" i="8" a="1"/>
  <c r="S27" i="8" s="1"/>
  <c r="R27" i="8" a="1"/>
  <c r="R27" i="8" s="1"/>
  <c r="T26" i="8"/>
  <c r="V26" i="8" s="1"/>
  <c r="S26" i="8" a="1"/>
  <c r="S26" i="8" s="1"/>
  <c r="R26" i="8" a="1"/>
  <c r="R26" i="8" s="1"/>
  <c r="T25" i="8"/>
  <c r="V25" i="8" s="1"/>
  <c r="S25" i="8" a="1"/>
  <c r="S25" i="8" s="1"/>
  <c r="R25" i="8" a="1"/>
  <c r="R25" i="8" s="1"/>
  <c r="T24" i="8"/>
  <c r="V24" i="8" s="1"/>
  <c r="S24" i="8" a="1"/>
  <c r="S24" i="8" s="1"/>
  <c r="D42" i="6" s="1" a="1"/>
  <c r="D42" i="6" s="1"/>
  <c r="R24" i="8" a="1"/>
  <c r="R24" i="8" s="1"/>
  <c r="T23" i="8"/>
  <c r="V23" i="8" s="1"/>
  <c r="S23" i="8" a="1"/>
  <c r="S23" i="8" s="1"/>
  <c r="R23" i="8" a="1"/>
  <c r="R23" i="8" s="1"/>
  <c r="T22" i="8"/>
  <c r="V22" i="8" s="1"/>
  <c r="S22" i="8" a="1"/>
  <c r="S22" i="8" s="1"/>
  <c r="R22" i="8" a="1"/>
  <c r="R22" i="8" s="1"/>
  <c r="T21" i="8"/>
  <c r="V21" i="8" s="1"/>
  <c r="S21" i="8" a="1"/>
  <c r="S21" i="8" s="1"/>
  <c r="R21" i="8" a="1"/>
  <c r="R21" i="8" s="1"/>
  <c r="T20" i="8"/>
  <c r="V20" i="8" s="1"/>
  <c r="S20" i="8" a="1"/>
  <c r="S20" i="8" s="1"/>
  <c r="R20" i="8" a="1"/>
  <c r="R20" i="8" s="1"/>
  <c r="T19" i="8"/>
  <c r="V19" i="8" s="1"/>
  <c r="S19" i="8" a="1"/>
  <c r="S19" i="8" s="1"/>
  <c r="R19" i="8" a="1"/>
  <c r="R19" i="8" s="1"/>
  <c r="T18" i="8"/>
  <c r="V18" i="8" s="1"/>
  <c r="S18" i="8" a="1"/>
  <c r="S18" i="8" s="1"/>
  <c r="R18" i="8" a="1"/>
  <c r="R18" i="8" s="1"/>
  <c r="T17" i="8"/>
  <c r="V17" i="8" s="1"/>
  <c r="S17" i="8" a="1"/>
  <c r="S17" i="8" s="1"/>
  <c r="R17" i="8" a="1"/>
  <c r="R17" i="8" s="1"/>
  <c r="T16" i="8"/>
  <c r="V16" i="8" s="1"/>
  <c r="S16" i="8" a="1"/>
  <c r="S16" i="8" s="1"/>
  <c r="R16" i="8" a="1"/>
  <c r="R16" i="8" s="1"/>
  <c r="T15" i="8"/>
  <c r="V15" i="8" s="1"/>
  <c r="S15" i="8" a="1"/>
  <c r="S15" i="8" s="1"/>
  <c r="R15" i="8" a="1"/>
  <c r="R15" i="8" s="1"/>
  <c r="T14" i="8"/>
  <c r="V14" i="8" s="1"/>
  <c r="S14" i="8" a="1"/>
  <c r="S14" i="8" s="1"/>
  <c r="R14" i="8" a="1"/>
  <c r="R14" i="8" s="1"/>
  <c r="T13" i="8"/>
  <c r="V13" i="8" s="1"/>
  <c r="S13" i="8" a="1"/>
  <c r="S13" i="8" s="1"/>
  <c r="R13" i="8" a="1"/>
  <c r="R13" i="8" s="1"/>
  <c r="T12" i="8"/>
  <c r="V12" i="8" s="1"/>
  <c r="S12" i="8" a="1"/>
  <c r="S12" i="8" s="1"/>
  <c r="R12" i="8" a="1"/>
  <c r="R12" i="8" s="1"/>
  <c r="T11" i="8"/>
  <c r="V11" i="8" s="1"/>
  <c r="S11" i="8" a="1"/>
  <c r="S11" i="8" s="1"/>
  <c r="R11" i="8" a="1"/>
  <c r="R11" i="8" s="1"/>
  <c r="T10" i="8"/>
  <c r="V10" i="8" s="1"/>
  <c r="S10" i="8" a="1"/>
  <c r="S10" i="8" s="1"/>
  <c r="R10" i="8" a="1"/>
  <c r="R10" i="8" s="1"/>
  <c r="T9" i="8"/>
  <c r="V9" i="8" s="1"/>
  <c r="S9" i="8" a="1"/>
  <c r="S9" i="8" s="1"/>
  <c r="R9" i="8" a="1"/>
  <c r="R9" i="8" s="1"/>
  <c r="T8" i="8"/>
  <c r="V8" i="8" s="1"/>
  <c r="S8" i="8" a="1"/>
  <c r="S8" i="8" s="1"/>
  <c r="R8" i="8" a="1"/>
  <c r="R8" i="8" s="1"/>
  <c r="T7" i="8"/>
  <c r="V7" i="8" s="1"/>
  <c r="S7" i="8" a="1"/>
  <c r="S7" i="8" s="1"/>
  <c r="R7" i="8" a="1"/>
  <c r="R7" i="8" s="1"/>
  <c r="T6" i="8"/>
  <c r="V6" i="8" s="1"/>
  <c r="S6" i="8" a="1"/>
  <c r="S6" i="8" s="1"/>
  <c r="R6" i="8" a="1"/>
  <c r="R6" i="8" s="1"/>
  <c r="T5" i="8"/>
  <c r="V5" i="8" s="1"/>
  <c r="S5" i="8" a="1"/>
  <c r="S5" i="8" s="1"/>
  <c r="R5" i="8" a="1"/>
  <c r="R5" i="8" s="1"/>
  <c r="T4" i="8"/>
  <c r="V4" i="8" s="1"/>
  <c r="S4" i="8" a="1"/>
  <c r="S4" i="8" s="1"/>
  <c r="R4" i="8" a="1"/>
  <c r="R4" i="8" s="1"/>
  <c r="T3" i="8"/>
  <c r="V3" i="8" s="1"/>
  <c r="S3" i="8" a="1"/>
  <c r="S3" i="8" s="1"/>
  <c r="R3" i="8" a="1"/>
  <c r="R3" i="8" s="1"/>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X24" i="5"/>
  <c r="W24" i="5"/>
  <c r="V24" i="5"/>
  <c r="U24" i="5"/>
  <c r="T24" i="5"/>
  <c r="S24" i="5"/>
  <c r="Q24" i="5"/>
  <c r="H24" i="5"/>
  <c r="G24" i="5"/>
  <c r="D24" i="5"/>
  <c r="C24" i="5"/>
  <c r="B24" i="5"/>
  <c r="B3" i="4"/>
  <c r="B20" i="15" l="1"/>
  <c r="C5" i="15"/>
  <c r="C18" i="15"/>
  <c r="C19" i="15"/>
  <c r="C10" i="15"/>
  <c r="C13" i="15" s="1"/>
  <c r="C14" i="15" s="1"/>
  <c r="B13" i="15"/>
  <c r="B14" i="15" s="1"/>
  <c r="C6" i="15"/>
  <c r="B5" i="15"/>
  <c r="B6" i="15"/>
  <c r="B35" i="13"/>
  <c r="AB10" i="5"/>
  <c r="AB15" i="5"/>
  <c r="C55" i="13"/>
  <c r="B34" i="13"/>
  <c r="B21" i="13"/>
  <c r="B85" i="13" s="1"/>
  <c r="C17" i="11"/>
  <c r="B71" i="13"/>
  <c r="C18" i="11"/>
  <c r="D4" i="13"/>
  <c r="F4" i="13" s="1" a="1"/>
  <c r="F4" i="13" s="1"/>
  <c r="B73" i="13"/>
  <c r="D7" i="13"/>
  <c r="F7" i="13" s="1" a="1"/>
  <c r="F7" i="13" s="1"/>
  <c r="B8" i="13"/>
  <c r="C21" i="11" s="1"/>
  <c r="E5" i="10"/>
  <c r="D5" i="10"/>
  <c r="B84" i="13"/>
  <c r="B37" i="13"/>
  <c r="C37" i="13" s="1"/>
  <c r="B83" i="13"/>
  <c r="E11" i="10" s="1"/>
  <c r="B36" i="13"/>
  <c r="B57" i="13" s="1"/>
  <c r="C57" i="13"/>
  <c r="D2" i="14"/>
  <c r="C11" i="14"/>
  <c r="C12" i="14" s="1"/>
  <c r="C13" i="14" s="1"/>
  <c r="B11" i="14"/>
  <c r="B12" i="14"/>
  <c r="B13" i="14" s="1"/>
  <c r="B32" i="12"/>
  <c r="D7" i="10"/>
  <c r="E20" i="11"/>
  <c r="E19" i="11"/>
  <c r="E12" i="11"/>
  <c r="E6" i="11"/>
  <c r="B32" i="4"/>
  <c r="E11" i="4"/>
  <c r="C12" i="4"/>
  <c r="E12" i="4"/>
  <c r="F12" i="4"/>
  <c r="D13" i="4"/>
  <c r="C14" i="4"/>
  <c r="E14" i="4"/>
  <c r="F14" i="4"/>
  <c r="D15" i="4"/>
  <c r="C16" i="4"/>
  <c r="E16" i="4"/>
  <c r="F16" i="4"/>
  <c r="D17" i="4"/>
  <c r="C18" i="4"/>
  <c r="E18" i="4"/>
  <c r="F18" i="4"/>
  <c r="D19" i="4"/>
  <c r="C20" i="4"/>
  <c r="E20" i="4"/>
  <c r="C21" i="4"/>
  <c r="E21" i="4"/>
  <c r="F21" i="4"/>
  <c r="D22" i="4"/>
  <c r="F22" i="4"/>
  <c r="D23" i="4"/>
  <c r="C24" i="4"/>
  <c r="E24" i="4"/>
  <c r="F24" i="4"/>
  <c r="D25" i="4"/>
  <c r="C26" i="4"/>
  <c r="E26" i="4"/>
  <c r="F26" i="4"/>
  <c r="D27" i="4"/>
  <c r="F27" i="4"/>
  <c r="E28" i="4"/>
  <c r="C29" i="4"/>
  <c r="E29" i="4"/>
  <c r="C3" i="4"/>
  <c r="D3" i="4"/>
  <c r="E3" i="4"/>
  <c r="F3" i="4"/>
  <c r="C4" i="4"/>
  <c r="D4" i="4"/>
  <c r="E4" i="4"/>
  <c r="F4" i="4"/>
  <c r="C5" i="4"/>
  <c r="D5" i="4"/>
  <c r="E5" i="4"/>
  <c r="F5" i="4"/>
  <c r="C6" i="4"/>
  <c r="D6" i="4"/>
  <c r="E6" i="4"/>
  <c r="F6" i="4"/>
  <c r="C7" i="4"/>
  <c r="D7" i="4"/>
  <c r="E7" i="4"/>
  <c r="F7" i="4"/>
  <c r="C8" i="4"/>
  <c r="D8" i="4"/>
  <c r="E8" i="4"/>
  <c r="F8" i="4"/>
  <c r="C9" i="4"/>
  <c r="D9" i="4"/>
  <c r="E9" i="4"/>
  <c r="F9" i="4"/>
  <c r="C10" i="4"/>
  <c r="D10" i="4"/>
  <c r="E10" i="4"/>
  <c r="F10" i="4"/>
  <c r="C11" i="4"/>
  <c r="D11" i="4"/>
  <c r="F11" i="4"/>
  <c r="D12" i="4"/>
  <c r="C13" i="4"/>
  <c r="E13" i="4"/>
  <c r="F13" i="4"/>
  <c r="D14" i="4"/>
  <c r="C15" i="4"/>
  <c r="E15" i="4"/>
  <c r="F15" i="4"/>
  <c r="D16" i="4"/>
  <c r="C17" i="4"/>
  <c r="E17" i="4"/>
  <c r="F17" i="4"/>
  <c r="D18" i="4"/>
  <c r="C19" i="4"/>
  <c r="E19" i="4"/>
  <c r="F19" i="4"/>
  <c r="D20" i="4"/>
  <c r="F20" i="4"/>
  <c r="D21" i="4"/>
  <c r="H9" i="1" s="1"/>
  <c r="C22" i="4"/>
  <c r="E22" i="4"/>
  <c r="C23" i="4"/>
  <c r="E23" i="4"/>
  <c r="F23" i="4"/>
  <c r="D24" i="4"/>
  <c r="C25" i="4"/>
  <c r="E25" i="4"/>
  <c r="F25" i="4"/>
  <c r="D26" i="4"/>
  <c r="C27" i="4"/>
  <c r="E27" i="4"/>
  <c r="D28" i="4"/>
  <c r="F28" i="4"/>
  <c r="C28" i="4"/>
  <c r="D29" i="4"/>
  <c r="F29" i="4"/>
  <c r="B12" i="5"/>
  <c r="B7" i="5"/>
  <c r="B11" i="5"/>
  <c r="B6" i="5"/>
  <c r="B5" i="5"/>
  <c r="B7" i="1"/>
  <c r="D20" i="13"/>
  <c r="F20" i="13" s="1" a="1"/>
  <c r="F20" i="13" s="1"/>
  <c r="E20" i="13"/>
  <c r="D19" i="13"/>
  <c r="F19" i="13" s="1" a="1"/>
  <c r="F19" i="13" s="1"/>
  <c r="E19" i="13"/>
  <c r="E18" i="13"/>
  <c r="D18" i="13"/>
  <c r="F18" i="13" s="1" a="1"/>
  <c r="F18" i="13" s="1"/>
  <c r="E7" i="13"/>
  <c r="C8" i="13"/>
  <c r="D21" i="11" s="1"/>
  <c r="E5" i="13"/>
  <c r="D5" i="13"/>
  <c r="E10" i="11"/>
  <c r="B57" i="12"/>
  <c r="C36" i="12"/>
  <c r="C10" i="10"/>
  <c r="C7" i="10"/>
  <c r="C33" i="12"/>
  <c r="C9" i="11"/>
  <c r="E9" i="11" s="1"/>
  <c r="E11" i="11"/>
  <c r="B21" i="12"/>
  <c r="B37" i="12"/>
  <c r="D3" i="12"/>
  <c r="F3" i="12" s="1" a="1"/>
  <c r="F3" i="12" s="1"/>
  <c r="E20" i="12"/>
  <c r="D20" i="12"/>
  <c r="F20" i="12" s="1" a="1"/>
  <c r="F20" i="12" s="1"/>
  <c r="D19" i="12"/>
  <c r="F19" i="12" s="1" a="1"/>
  <c r="F19" i="12" s="1"/>
  <c r="E19" i="12"/>
  <c r="E18" i="12"/>
  <c r="D18" i="12"/>
  <c r="F18" i="12" s="1" a="1"/>
  <c r="F18" i="12" s="1"/>
  <c r="E7" i="12"/>
  <c r="D5" i="12"/>
  <c r="F5" i="12" s="1" a="1"/>
  <c r="F5" i="12" s="1"/>
  <c r="C8" i="12"/>
  <c r="D14" i="11" s="1"/>
  <c r="E14" i="11" s="1"/>
  <c r="E5" i="12"/>
  <c r="E3" i="12"/>
  <c r="C9" i="12"/>
  <c r="B10" i="12"/>
  <c r="B14" i="12"/>
  <c r="B15" i="12" s="1"/>
  <c r="E9" i="12"/>
  <c r="D9" i="12"/>
  <c r="F9" i="12" s="1" a="1"/>
  <c r="F9" i="12" s="1"/>
  <c r="E8" i="12"/>
  <c r="D8" i="12"/>
  <c r="F8" i="12" s="1" a="1"/>
  <c r="F8" i="12" s="1"/>
  <c r="B6" i="10"/>
  <c r="B62" i="9"/>
  <c r="B47" i="9"/>
  <c r="B11" i="10"/>
  <c r="B14" i="9"/>
  <c r="C8" i="11"/>
  <c r="B4" i="10"/>
  <c r="E19" i="9"/>
  <c r="D19" i="9"/>
  <c r="F19" i="9" s="1" a="1"/>
  <c r="F19" i="9" s="1"/>
  <c r="E20" i="9"/>
  <c r="D20" i="9"/>
  <c r="F20" i="9" s="1" a="1"/>
  <c r="F20" i="9" s="1"/>
  <c r="D18" i="9"/>
  <c r="F18" i="9" s="1" a="1"/>
  <c r="F18" i="9" s="1"/>
  <c r="E18" i="9"/>
  <c r="B21" i="9"/>
  <c r="B15" i="9"/>
  <c r="B10" i="9"/>
  <c r="F7" i="9" a="1"/>
  <c r="F7" i="9" s="1"/>
  <c r="D5" i="9"/>
  <c r="D4" i="9"/>
  <c r="D3" i="9"/>
  <c r="C8" i="9"/>
  <c r="D7" i="11" s="1"/>
  <c r="B38" i="1"/>
  <c r="B37" i="1"/>
  <c r="F33" i="6"/>
  <c r="F32" i="6"/>
  <c r="F31" i="6"/>
  <c r="F30" i="6"/>
  <c r="F29" i="6"/>
  <c r="F28" i="6"/>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C20" i="15" l="1"/>
  <c r="T17" i="5"/>
  <c r="U19" i="5"/>
  <c r="T20" i="5"/>
  <c r="D20" i="5"/>
  <c r="E19" i="5"/>
  <c r="D17" i="5"/>
  <c r="U17" i="5"/>
  <c r="U20" i="5"/>
  <c r="V19" i="5"/>
  <c r="V20" i="5"/>
  <c r="W19" i="5"/>
  <c r="V17" i="5"/>
  <c r="E20" i="5"/>
  <c r="E17" i="5"/>
  <c r="F19" i="5"/>
  <c r="F17" i="5"/>
  <c r="G19" i="5"/>
  <c r="F20" i="5"/>
  <c r="O20" i="5"/>
  <c r="O17" i="5"/>
  <c r="P19" i="5"/>
  <c r="M20" i="5"/>
  <c r="M17" i="5"/>
  <c r="N19" i="5"/>
  <c r="H19" i="5"/>
  <c r="G20" i="5"/>
  <c r="G17" i="5"/>
  <c r="H17" i="5"/>
  <c r="I19" i="5"/>
  <c r="H20" i="5"/>
  <c r="H21" i="5" s="1"/>
  <c r="Y19" i="5"/>
  <c r="X20" i="5"/>
  <c r="X17" i="5"/>
  <c r="AB20" i="5"/>
  <c r="AB17" i="5"/>
  <c r="L17" i="5"/>
  <c r="L20" i="5"/>
  <c r="M19" i="5"/>
  <c r="O19" i="5"/>
  <c r="N20" i="5"/>
  <c r="N17" i="5"/>
  <c r="W20" i="5"/>
  <c r="X19" i="5"/>
  <c r="W17" i="5"/>
  <c r="P17" i="5"/>
  <c r="Q19" i="5"/>
  <c r="P20" i="5"/>
  <c r="I17" i="5"/>
  <c r="J19" i="5"/>
  <c r="I20" i="5"/>
  <c r="Q17" i="5"/>
  <c r="R19" i="5"/>
  <c r="R21" i="5" s="1"/>
  <c r="Q20" i="5"/>
  <c r="Y17" i="5"/>
  <c r="Z19" i="5"/>
  <c r="Y20" i="5"/>
  <c r="B20" i="5"/>
  <c r="B17" i="5"/>
  <c r="C19" i="5"/>
  <c r="C16" i="5"/>
  <c r="D16" i="5" s="1"/>
  <c r="E16" i="5" s="1"/>
  <c r="F16" i="5" s="1"/>
  <c r="G16" i="5" s="1"/>
  <c r="H16" i="5" s="1"/>
  <c r="I16" i="5" s="1"/>
  <c r="J16" i="5" s="1"/>
  <c r="K16" i="5" s="1"/>
  <c r="L16" i="5" s="1"/>
  <c r="M16" i="5" s="1"/>
  <c r="N16" i="5" s="1"/>
  <c r="O16" i="5" s="1"/>
  <c r="P16" i="5" s="1"/>
  <c r="Q16" i="5" s="1"/>
  <c r="R16" i="5" s="1"/>
  <c r="S16" i="5" s="1"/>
  <c r="T16" i="5" s="1"/>
  <c r="U16" i="5" s="1"/>
  <c r="V16" i="5" s="1"/>
  <c r="W16" i="5" s="1"/>
  <c r="X16" i="5" s="1"/>
  <c r="Y16" i="5" s="1"/>
  <c r="Z16" i="5" s="1"/>
  <c r="AA16" i="5" s="1"/>
  <c r="AB16" i="5" s="1"/>
  <c r="K19" i="5"/>
  <c r="J20" i="5"/>
  <c r="J17" i="5"/>
  <c r="R17" i="5"/>
  <c r="S19" i="5"/>
  <c r="R20" i="5"/>
  <c r="AA19" i="5"/>
  <c r="AA21" i="5" s="1"/>
  <c r="Z20" i="5"/>
  <c r="Z17" i="5"/>
  <c r="C20" i="5"/>
  <c r="C17" i="5"/>
  <c r="D19" i="5"/>
  <c r="K20" i="5"/>
  <c r="K17" i="5"/>
  <c r="L19" i="5"/>
  <c r="S20" i="5"/>
  <c r="T19" i="5"/>
  <c r="S17" i="5"/>
  <c r="AA17" i="5"/>
  <c r="AA20" i="5"/>
  <c r="AB19" i="5"/>
  <c r="D6" i="14"/>
  <c r="B3" i="13"/>
  <c r="D21" i="13"/>
  <c r="F21" i="13" s="1" a="1"/>
  <c r="F21" i="13" s="1"/>
  <c r="B38" i="13"/>
  <c r="C38" i="13" s="1"/>
  <c r="C58" i="13"/>
  <c r="E17" i="11"/>
  <c r="E21" i="13"/>
  <c r="B74" i="13"/>
  <c r="B92" i="13"/>
  <c r="E13" i="10" s="1"/>
  <c r="D12" i="10"/>
  <c r="B40" i="13"/>
  <c r="D11" i="10"/>
  <c r="D10" i="10"/>
  <c r="C36" i="13"/>
  <c r="D11" i="14"/>
  <c r="D12" i="14" s="1"/>
  <c r="D13" i="14" s="1"/>
  <c r="F5" i="13" a="1"/>
  <c r="F5" i="13" s="1"/>
  <c r="E18" i="11"/>
  <c r="D15" i="11"/>
  <c r="C9" i="13"/>
  <c r="G28" i="4"/>
  <c r="C10" i="1"/>
  <c r="G27" i="4"/>
  <c r="G23" i="4"/>
  <c r="G22" i="4"/>
  <c r="I10" i="1"/>
  <c r="G5" i="4"/>
  <c r="D10" i="1"/>
  <c r="D11" i="1"/>
  <c r="G10" i="4"/>
  <c r="F11" i="1"/>
  <c r="G20" i="4"/>
  <c r="B9" i="1"/>
  <c r="D9" i="1"/>
  <c r="G17" i="4"/>
  <c r="I9" i="1"/>
  <c r="B10" i="1"/>
  <c r="C11" i="1"/>
  <c r="G8" i="4"/>
  <c r="G14" i="4"/>
  <c r="B11" i="1"/>
  <c r="C9" i="1"/>
  <c r="G16" i="4"/>
  <c r="H11" i="1"/>
  <c r="G29" i="4"/>
  <c r="E9" i="1"/>
  <c r="F10" i="1"/>
  <c r="G9" i="1"/>
  <c r="H10" i="1"/>
  <c r="G26" i="4"/>
  <c r="G4" i="4"/>
  <c r="G7" i="4"/>
  <c r="G19" i="4"/>
  <c r="G25" i="4"/>
  <c r="G11" i="1"/>
  <c r="G11" i="4"/>
  <c r="E10" i="1"/>
  <c r="E11" i="1"/>
  <c r="G10" i="1"/>
  <c r="I11" i="1"/>
  <c r="G13" i="4"/>
  <c r="F9" i="1"/>
  <c r="E8" i="1"/>
  <c r="G12" i="4"/>
  <c r="G18" i="4"/>
  <c r="G8" i="1"/>
  <c r="H8" i="1"/>
  <c r="G21" i="4"/>
  <c r="G24" i="4"/>
  <c r="I8" i="1"/>
  <c r="G3" i="4"/>
  <c r="H3" i="4" s="1"/>
  <c r="B4" i="4" s="1"/>
  <c r="B8" i="1"/>
  <c r="G6" i="4"/>
  <c r="C8" i="1"/>
  <c r="D8" i="1"/>
  <c r="G9" i="4"/>
  <c r="F8" i="1"/>
  <c r="G15" i="4"/>
  <c r="B26" i="5"/>
  <c r="B30" i="5"/>
  <c r="B29" i="5"/>
  <c r="B25" i="5"/>
  <c r="L21" i="5"/>
  <c r="E8" i="13"/>
  <c r="D8" i="13"/>
  <c r="C4" i="10"/>
  <c r="C54" i="12"/>
  <c r="C15" i="11"/>
  <c r="E15" i="11" s="1"/>
  <c r="E21" i="12"/>
  <c r="D21" i="12"/>
  <c r="F21" i="12" s="1" a="1"/>
  <c r="F21" i="12" s="1"/>
  <c r="C37" i="12"/>
  <c r="B40" i="12"/>
  <c r="C11" i="10"/>
  <c r="C58" i="12"/>
  <c r="C14" i="12"/>
  <c r="C10" i="12"/>
  <c r="B16" i="12"/>
  <c r="B66" i="9"/>
  <c r="B12" i="10"/>
  <c r="F5" i="9" a="1"/>
  <c r="F5" i="9" s="1"/>
  <c r="E4" i="11"/>
  <c r="F4" i="9" a="1"/>
  <c r="F4" i="9" s="1"/>
  <c r="E3" i="11"/>
  <c r="F3" i="9" a="1"/>
  <c r="F3" i="9" s="1"/>
  <c r="E2" i="11"/>
  <c r="D21" i="9"/>
  <c r="F21" i="9" s="1" a="1"/>
  <c r="F21" i="9" s="1"/>
  <c r="E21" i="9"/>
  <c r="B16" i="9"/>
  <c r="C9" i="9"/>
  <c r="E8" i="9"/>
  <c r="D8" i="9"/>
  <c r="B24" i="6"/>
  <c r="B23" i="6"/>
  <c r="B59" i="6"/>
  <c r="B96" i="6"/>
  <c r="B95" i="6"/>
  <c r="AB21" i="5" l="1"/>
  <c r="AB18" i="5"/>
  <c r="C16" i="11"/>
  <c r="B9" i="13"/>
  <c r="E12" i="10"/>
  <c r="B58" i="13"/>
  <c r="F8" i="13" a="1"/>
  <c r="F8" i="13" s="1"/>
  <c r="E21" i="11"/>
  <c r="D3" i="13"/>
  <c r="E3" i="13"/>
  <c r="D16" i="11"/>
  <c r="E9" i="13"/>
  <c r="D9" i="13"/>
  <c r="D22" i="11"/>
  <c r="C14" i="13"/>
  <c r="C10" i="13"/>
  <c r="C7" i="5"/>
  <c r="C11" i="5"/>
  <c r="C6" i="5"/>
  <c r="C29" i="5" s="1"/>
  <c r="C5" i="5"/>
  <c r="H4" i="4"/>
  <c r="B5" i="4" s="1"/>
  <c r="C12" i="5"/>
  <c r="C30" i="5"/>
  <c r="C26" i="5"/>
  <c r="C25" i="5"/>
  <c r="H5" i="4"/>
  <c r="D11" i="5"/>
  <c r="C32" i="12"/>
  <c r="C6" i="10"/>
  <c r="B54" i="12"/>
  <c r="B58" i="12"/>
  <c r="C38" i="12"/>
  <c r="C12" i="10"/>
  <c r="D14" i="12"/>
  <c r="F14" i="12" s="1" a="1"/>
  <c r="F14" i="12" s="1"/>
  <c r="E14" i="12"/>
  <c r="C15" i="12"/>
  <c r="C16" i="12" s="1"/>
  <c r="D10" i="12"/>
  <c r="F10" i="12" s="1" a="1"/>
  <c r="F10" i="12" s="1"/>
  <c r="E10" i="12"/>
  <c r="B22" i="12"/>
  <c r="C14" i="9"/>
  <c r="C15" i="9" s="1"/>
  <c r="C16" i="9" s="1"/>
  <c r="D8" i="11"/>
  <c r="F8" i="9" a="1"/>
  <c r="F8" i="9" s="1"/>
  <c r="E7" i="11"/>
  <c r="D14" i="9"/>
  <c r="F14" i="9" s="1" a="1"/>
  <c r="F14" i="9" s="1"/>
  <c r="E14" i="9"/>
  <c r="B22" i="9"/>
  <c r="D9" i="9"/>
  <c r="E9" i="9"/>
  <c r="C10" i="9"/>
  <c r="Y21" i="5"/>
  <c r="X21" i="5"/>
  <c r="H18" i="1"/>
  <c r="U21" i="5"/>
  <c r="G18" i="1"/>
  <c r="H17" i="1"/>
  <c r="O21" i="5"/>
  <c r="N21" i="5"/>
  <c r="K21" i="5"/>
  <c r="C18" i="1"/>
  <c r="E21" i="5"/>
  <c r="B18" i="1"/>
  <c r="I18" i="1"/>
  <c r="E18" i="1"/>
  <c r="F18" i="1"/>
  <c r="D18" i="1"/>
  <c r="I21" i="5"/>
  <c r="F21" i="5"/>
  <c r="Z21" i="5"/>
  <c r="AB27" i="5" s="1"/>
  <c r="I20" i="1"/>
  <c r="B8" i="2" s="1"/>
  <c r="W21" i="5"/>
  <c r="H20" i="1"/>
  <c r="V21" i="5"/>
  <c r="T21" i="5"/>
  <c r="G20" i="1"/>
  <c r="G17" i="1"/>
  <c r="Q21" i="5"/>
  <c r="F20" i="1"/>
  <c r="F17" i="1"/>
  <c r="M21" i="5"/>
  <c r="E20" i="1"/>
  <c r="E17" i="1"/>
  <c r="J21" i="5"/>
  <c r="D20" i="1"/>
  <c r="D17" i="1"/>
  <c r="G21" i="5"/>
  <c r="C20" i="1"/>
  <c r="C17" i="1"/>
  <c r="D21" i="5"/>
  <c r="B20" i="1"/>
  <c r="B17" i="1"/>
  <c r="B19" i="1"/>
  <c r="C18" i="5"/>
  <c r="S21" i="5"/>
  <c r="P21" i="5"/>
  <c r="C21" i="5"/>
  <c r="B32" i="13" l="1"/>
  <c r="C22" i="11"/>
  <c r="D4" i="10"/>
  <c r="B10" i="13"/>
  <c r="C54" i="13"/>
  <c r="B75" i="13"/>
  <c r="B14" i="13"/>
  <c r="E10" i="13"/>
  <c r="D10" i="13"/>
  <c r="F10" i="13" s="1" a="1"/>
  <c r="F10" i="13" s="1"/>
  <c r="E14" i="13"/>
  <c r="D14" i="13"/>
  <c r="F14" i="13" s="1" a="1"/>
  <c r="F14" i="13" s="1"/>
  <c r="F3" i="13" a="1"/>
  <c r="F3" i="13" s="1"/>
  <c r="E16" i="11"/>
  <c r="E22" i="11"/>
  <c r="F9" i="13" a="1"/>
  <c r="F9" i="13" s="1"/>
  <c r="C15" i="13"/>
  <c r="C16" i="13" s="1"/>
  <c r="AB31" i="5"/>
  <c r="L27" i="5"/>
  <c r="E27" i="5"/>
  <c r="D6" i="5"/>
  <c r="D5" i="5"/>
  <c r="D7" i="5"/>
  <c r="D12" i="5"/>
  <c r="B13" i="1"/>
  <c r="B6" i="4"/>
  <c r="W27" i="5"/>
  <c r="C22" i="12"/>
  <c r="C17" i="12"/>
  <c r="E15" i="12"/>
  <c r="D15" i="12"/>
  <c r="F15" i="12" s="1" a="1"/>
  <c r="F15" i="12" s="1"/>
  <c r="D16" i="12"/>
  <c r="F16" i="12" s="1" a="1"/>
  <c r="F16" i="12" s="1"/>
  <c r="E16" i="12"/>
  <c r="E22" i="12"/>
  <c r="B23" i="12"/>
  <c r="F9" i="9" a="1"/>
  <c r="F9" i="9" s="1"/>
  <c r="E8" i="11"/>
  <c r="C22" i="9"/>
  <c r="E22" i="9" s="1"/>
  <c r="C17" i="9"/>
  <c r="E17" i="9" s="1"/>
  <c r="E15" i="9"/>
  <c r="D15" i="9"/>
  <c r="F15" i="9" s="1" a="1"/>
  <c r="F15" i="9" s="1"/>
  <c r="D16" i="9"/>
  <c r="F16" i="9" s="1" a="1"/>
  <c r="F16" i="9" s="1"/>
  <c r="E16" i="9"/>
  <c r="B23" i="9"/>
  <c r="E10" i="9"/>
  <c r="D10" i="9"/>
  <c r="F10" i="9" s="1" a="1"/>
  <c r="F10" i="9" s="1"/>
  <c r="X27" i="5"/>
  <c r="Y27" i="5"/>
  <c r="V27" i="5"/>
  <c r="O27" i="5"/>
  <c r="N27" i="5"/>
  <c r="M27" i="5"/>
  <c r="F27" i="5"/>
  <c r="K27" i="5"/>
  <c r="J27" i="5"/>
  <c r="I27" i="5"/>
  <c r="H27" i="5"/>
  <c r="G27" i="5"/>
  <c r="O31" i="5"/>
  <c r="AA27" i="5"/>
  <c r="Z27" i="5"/>
  <c r="H39" i="1"/>
  <c r="H40" i="1"/>
  <c r="G39" i="1"/>
  <c r="G40" i="1"/>
  <c r="F40" i="1"/>
  <c r="F39" i="1"/>
  <c r="E39" i="1"/>
  <c r="E40" i="1"/>
  <c r="D39" i="1"/>
  <c r="D40" i="1"/>
  <c r="C39" i="1"/>
  <c r="C40" i="1"/>
  <c r="B39" i="1"/>
  <c r="B40" i="1"/>
  <c r="D18" i="5"/>
  <c r="S27" i="5"/>
  <c r="T27" i="5"/>
  <c r="U27" i="5"/>
  <c r="R27" i="5"/>
  <c r="AA31" i="5"/>
  <c r="N31" i="5"/>
  <c r="J31" i="5"/>
  <c r="E31" i="5"/>
  <c r="G31" i="5"/>
  <c r="K31" i="5"/>
  <c r="M31" i="5"/>
  <c r="D31" i="5"/>
  <c r="H31" i="5"/>
  <c r="C31" i="5"/>
  <c r="F31" i="5"/>
  <c r="I31" i="5"/>
  <c r="L31" i="5"/>
  <c r="D27" i="5"/>
  <c r="C27" i="5"/>
  <c r="U31" i="5"/>
  <c r="T31" i="5"/>
  <c r="R31" i="5"/>
  <c r="Q31" i="5"/>
  <c r="P31" i="5"/>
  <c r="Z31" i="5"/>
  <c r="Q27" i="5"/>
  <c r="Y31" i="5"/>
  <c r="P27" i="5"/>
  <c r="X31" i="5"/>
  <c r="W31" i="5"/>
  <c r="V31" i="5"/>
  <c r="S31" i="5"/>
  <c r="B79" i="13" l="1"/>
  <c r="B15" i="13"/>
  <c r="E6" i="10"/>
  <c r="E4" i="10"/>
  <c r="C32" i="13"/>
  <c r="D6" i="10"/>
  <c r="B54" i="13"/>
  <c r="D15" i="13"/>
  <c r="F15" i="13" s="1" a="1"/>
  <c r="F15" i="13" s="1"/>
  <c r="E15" i="13"/>
  <c r="C23" i="12"/>
  <c r="D22" i="12"/>
  <c r="F22" i="12" s="1" a="1"/>
  <c r="F22" i="12" s="1"/>
  <c r="C17" i="13"/>
  <c r="C22" i="13"/>
  <c r="D25" i="5"/>
  <c r="D29" i="5"/>
  <c r="D26" i="5"/>
  <c r="D30" i="5"/>
  <c r="H6" i="4"/>
  <c r="B7" i="4" s="1"/>
  <c r="E7" i="5"/>
  <c r="E5" i="5"/>
  <c r="E6" i="5"/>
  <c r="E12" i="5"/>
  <c r="E11" i="5"/>
  <c r="B24" i="1"/>
  <c r="B25" i="1" s="1"/>
  <c r="B26" i="1" s="1"/>
  <c r="B12" i="1"/>
  <c r="C7" i="1"/>
  <c r="D17" i="12"/>
  <c r="F17" i="12" s="1" a="1"/>
  <c r="F17" i="12" s="1"/>
  <c r="E17" i="12"/>
  <c r="D23" i="12"/>
  <c r="F23" i="12" s="1" a="1"/>
  <c r="F23" i="12" s="1"/>
  <c r="E23" i="12"/>
  <c r="C23" i="9"/>
  <c r="D22" i="9"/>
  <c r="F22" i="9" s="1" a="1"/>
  <c r="F22" i="9" s="1"/>
  <c r="E18" i="5"/>
  <c r="B80" i="13" l="1"/>
  <c r="B16" i="13"/>
  <c r="B81" i="13"/>
  <c r="C23" i="13"/>
  <c r="E17" i="13"/>
  <c r="D17" i="13"/>
  <c r="F17" i="13" s="1" a="1"/>
  <c r="F17" i="13" s="1"/>
  <c r="E25" i="5"/>
  <c r="E29" i="5"/>
  <c r="F7" i="5"/>
  <c r="F5" i="5"/>
  <c r="F11" i="5"/>
  <c r="F12" i="5"/>
  <c r="F6" i="5"/>
  <c r="H7" i="4"/>
  <c r="B8" i="4" s="1"/>
  <c r="E26" i="5"/>
  <c r="E30" i="5"/>
  <c r="C38" i="1"/>
  <c r="C37" i="1"/>
  <c r="B32" i="1"/>
  <c r="B33" i="1" s="1"/>
  <c r="B27" i="1"/>
  <c r="D23" i="9"/>
  <c r="F23" i="9" s="1" a="1"/>
  <c r="F23" i="9" s="1"/>
  <c r="E23" i="9"/>
  <c r="C19" i="1"/>
  <c r="F18" i="5"/>
  <c r="B86" i="13" l="1"/>
  <c r="B87" i="13" s="1"/>
  <c r="B82" i="13"/>
  <c r="B22" i="13"/>
  <c r="D16" i="13"/>
  <c r="F16" i="13" s="1" a="1"/>
  <c r="F16" i="13" s="1"/>
  <c r="E16" i="13"/>
  <c r="H8" i="4"/>
  <c r="G11" i="5"/>
  <c r="G12" i="5"/>
  <c r="G7" i="5"/>
  <c r="F30" i="5"/>
  <c r="F26" i="5"/>
  <c r="F25" i="5"/>
  <c r="F29" i="5"/>
  <c r="G5" i="5"/>
  <c r="G6" i="5"/>
  <c r="G18" i="5"/>
  <c r="B23" i="13" l="1"/>
  <c r="E22" i="13"/>
  <c r="D22" i="13"/>
  <c r="F22" i="13" s="1" a="1"/>
  <c r="F22" i="13" s="1"/>
  <c r="E7" i="10"/>
  <c r="B93" i="13"/>
  <c r="B95" i="13"/>
  <c r="E16" i="10" s="1"/>
  <c r="B9" i="4"/>
  <c r="C13" i="1"/>
  <c r="G26" i="5"/>
  <c r="G30" i="5"/>
  <c r="G25" i="5"/>
  <c r="G29" i="5"/>
  <c r="H18" i="5"/>
  <c r="E14" i="10" l="1"/>
  <c r="B94" i="13"/>
  <c r="E15" i="10" s="1"/>
  <c r="A61" i="13"/>
  <c r="D23" i="13"/>
  <c r="F23" i="13" s="1" a="1"/>
  <c r="F23" i="13" s="1"/>
  <c r="E23" i="13"/>
  <c r="H6" i="5"/>
  <c r="H9" i="4"/>
  <c r="B10" i="4" s="1"/>
  <c r="H12" i="5"/>
  <c r="H5" i="5"/>
  <c r="D7" i="1"/>
  <c r="C12" i="1"/>
  <c r="C24" i="1"/>
  <c r="C25" i="1" s="1"/>
  <c r="C26" i="1" s="1"/>
  <c r="H11" i="5"/>
  <c r="H7" i="5"/>
  <c r="D19" i="1"/>
  <c r="I18" i="5"/>
  <c r="C27" i="1" l="1"/>
  <c r="C32" i="1"/>
  <c r="C33" i="1" s="1"/>
  <c r="H30" i="5"/>
  <c r="H26" i="5"/>
  <c r="H29" i="5"/>
  <c r="H25" i="5"/>
  <c r="H10" i="4"/>
  <c r="B11" i="4" s="1"/>
  <c r="I7" i="5"/>
  <c r="I12" i="5"/>
  <c r="I11" i="5"/>
  <c r="I6" i="5"/>
  <c r="I5" i="5"/>
  <c r="D38" i="1"/>
  <c r="D37" i="1"/>
  <c r="I24" i="1"/>
  <c r="B44" i="1"/>
  <c r="J18" i="5"/>
  <c r="I30" i="5" l="1"/>
  <c r="I26" i="5"/>
  <c r="I29" i="5"/>
  <c r="I25" i="5"/>
  <c r="H11" i="4"/>
  <c r="J7" i="5"/>
  <c r="J11" i="5"/>
  <c r="J6" i="5"/>
  <c r="J12" i="5"/>
  <c r="J5" i="5"/>
  <c r="B46" i="1"/>
  <c r="B6" i="2"/>
  <c r="B7" i="3" s="1"/>
  <c r="I25" i="1"/>
  <c r="I26" i="1" s="1"/>
  <c r="K18" i="5"/>
  <c r="J25" i="5" l="1"/>
  <c r="J29" i="5"/>
  <c r="B12" i="4"/>
  <c r="D13" i="1"/>
  <c r="J30" i="5"/>
  <c r="J26" i="5"/>
  <c r="G7" i="3"/>
  <c r="B10" i="3"/>
  <c r="B9" i="3"/>
  <c r="I32" i="1"/>
  <c r="I33" i="1" s="1"/>
  <c r="I27" i="1"/>
  <c r="E19" i="1"/>
  <c r="L18" i="5"/>
  <c r="K5" i="5" l="1"/>
  <c r="K6" i="5"/>
  <c r="K7" i="5"/>
  <c r="D12" i="1"/>
  <c r="E7" i="1"/>
  <c r="D24" i="1"/>
  <c r="D25" i="1" s="1"/>
  <c r="D26" i="1" s="1"/>
  <c r="K11" i="5"/>
  <c r="K12" i="5"/>
  <c r="H12" i="4"/>
  <c r="B13" i="4" s="1"/>
  <c r="B11" i="3"/>
  <c r="B12" i="3" s="1"/>
  <c r="M18" i="5"/>
  <c r="K25" i="5" l="1"/>
  <c r="K29" i="5"/>
  <c r="K26" i="5"/>
  <c r="K30" i="5"/>
  <c r="E38" i="1"/>
  <c r="E37" i="1"/>
  <c r="D27" i="1"/>
  <c r="D32" i="1"/>
  <c r="D33" i="1" s="1"/>
  <c r="H13" i="4"/>
  <c r="B14" i="4" s="1"/>
  <c r="L6" i="5"/>
  <c r="L11" i="5"/>
  <c r="L5" i="5"/>
  <c r="L7" i="5"/>
  <c r="L12" i="5"/>
  <c r="C45" i="3"/>
  <c r="D45" i="3" s="1"/>
  <c r="C7" i="3"/>
  <c r="B13" i="3"/>
  <c r="N18" i="5"/>
  <c r="L25" i="5" l="1"/>
  <c r="L29" i="5"/>
  <c r="L26" i="5"/>
  <c r="L30" i="5"/>
  <c r="M12" i="5"/>
  <c r="M6" i="5"/>
  <c r="M11" i="5"/>
  <c r="M7" i="5"/>
  <c r="H14" i="4"/>
  <c r="M5" i="5"/>
  <c r="C10" i="3"/>
  <c r="C9" i="3"/>
  <c r="B21" i="3"/>
  <c r="B22" i="3" s="1"/>
  <c r="O18" i="5"/>
  <c r="M26" i="5" l="1"/>
  <c r="M30" i="5"/>
  <c r="M25" i="5"/>
  <c r="M29" i="5"/>
  <c r="B15" i="4"/>
  <c r="E13" i="1"/>
  <c r="C11" i="3"/>
  <c r="C12" i="3" s="1"/>
  <c r="B30" i="3"/>
  <c r="B23" i="3"/>
  <c r="F19" i="1"/>
  <c r="P18" i="5"/>
  <c r="N5" i="5" l="1"/>
  <c r="N6" i="5"/>
  <c r="N7" i="5"/>
  <c r="N26" i="5" s="1"/>
  <c r="N11" i="5"/>
  <c r="H15" i="4"/>
  <c r="B16" i="4" s="1"/>
  <c r="N12" i="5"/>
  <c r="E12" i="1"/>
  <c r="F7" i="1"/>
  <c r="E24" i="1"/>
  <c r="E25" i="1" s="1"/>
  <c r="E26" i="1" s="1"/>
  <c r="N30" i="5"/>
  <c r="C46" i="3"/>
  <c r="D46" i="3" s="1"/>
  <c r="C20" i="3"/>
  <c r="C13" i="3"/>
  <c r="D7" i="3"/>
  <c r="B31" i="3"/>
  <c r="Q18" i="5"/>
  <c r="N29" i="5" l="1"/>
  <c r="N25" i="5"/>
  <c r="O7" i="5"/>
  <c r="H16" i="4"/>
  <c r="B17" i="4" s="1"/>
  <c r="O6" i="5"/>
  <c r="O12" i="5"/>
  <c r="O11" i="5"/>
  <c r="O5" i="5"/>
  <c r="F38" i="1"/>
  <c r="F37" i="1"/>
  <c r="E27" i="1"/>
  <c r="E32" i="1"/>
  <c r="E33" i="1" s="1"/>
  <c r="C21" i="3"/>
  <c r="D9" i="3"/>
  <c r="D10" i="3"/>
  <c r="R18" i="5"/>
  <c r="O26" i="5" l="1"/>
  <c r="O30" i="5"/>
  <c r="P6" i="5"/>
  <c r="P25" i="5" s="1"/>
  <c r="P11" i="5"/>
  <c r="P7" i="5"/>
  <c r="P12" i="5"/>
  <c r="H17" i="4"/>
  <c r="P5" i="5"/>
  <c r="O29" i="5"/>
  <c r="O25" i="5"/>
  <c r="B18" i="4"/>
  <c r="F13" i="1"/>
  <c r="P29" i="5"/>
  <c r="C22" i="3"/>
  <c r="D11" i="3"/>
  <c r="D12" i="3" s="1"/>
  <c r="G19" i="1"/>
  <c r="S18" i="5"/>
  <c r="P26" i="5" l="1"/>
  <c r="P30" i="5"/>
  <c r="Q5" i="5"/>
  <c r="Q6" i="5"/>
  <c r="Q11" i="5"/>
  <c r="Q12" i="5"/>
  <c r="Q7" i="5"/>
  <c r="H18" i="4"/>
  <c r="B19" i="4" s="1"/>
  <c r="G7" i="1"/>
  <c r="F24" i="1"/>
  <c r="F25" i="1" s="1"/>
  <c r="F26" i="1" s="1"/>
  <c r="F12" i="1"/>
  <c r="C30" i="3"/>
  <c r="C23" i="3"/>
  <c r="D20" i="3"/>
  <c r="C47" i="3"/>
  <c r="D47" i="3" s="1"/>
  <c r="E7" i="3"/>
  <c r="D13" i="3"/>
  <c r="T18" i="5"/>
  <c r="Q25" i="5" l="1"/>
  <c r="Q29" i="5"/>
  <c r="Q26" i="5"/>
  <c r="Q30" i="5"/>
  <c r="R7" i="5"/>
  <c r="R12" i="5"/>
  <c r="R5" i="5"/>
  <c r="R11" i="5"/>
  <c r="H19" i="4"/>
  <c r="B20" i="4" s="1"/>
  <c r="R6" i="5"/>
  <c r="G37" i="1"/>
  <c r="G38" i="1"/>
  <c r="F27" i="1"/>
  <c r="F32" i="1"/>
  <c r="F33" i="1" s="1"/>
  <c r="C31" i="3"/>
  <c r="D21" i="3"/>
  <c r="E9" i="3"/>
  <c r="E10" i="3"/>
  <c r="G10" i="3" s="1"/>
  <c r="U18" i="5"/>
  <c r="R30" i="5" l="1"/>
  <c r="S12" i="5"/>
  <c r="S7" i="5"/>
  <c r="S26" i="5" s="1"/>
  <c r="H20" i="4"/>
  <c r="S6" i="5"/>
  <c r="S25" i="5" s="1"/>
  <c r="S5" i="5"/>
  <c r="S11" i="5"/>
  <c r="R29" i="5"/>
  <c r="R26" i="5"/>
  <c r="R25" i="5"/>
  <c r="D22" i="3"/>
  <c r="G9" i="3"/>
  <c r="G11" i="3" s="1"/>
  <c r="E11" i="3"/>
  <c r="E12" i="3" s="1"/>
  <c r="H19" i="1"/>
  <c r="V18" i="5"/>
  <c r="S30" i="5" l="1"/>
  <c r="G13" i="1"/>
  <c r="B21" i="4"/>
  <c r="S29" i="5"/>
  <c r="D30" i="3"/>
  <c r="D23" i="3"/>
  <c r="B40" i="3"/>
  <c r="C54" i="3" s="1"/>
  <c r="D54" i="3" s="1"/>
  <c r="B34" i="3"/>
  <c r="B35" i="3" s="1"/>
  <c r="C48" i="3"/>
  <c r="D48" i="3" s="1"/>
  <c r="E13" i="3"/>
  <c r="G12" i="3"/>
  <c r="G13" i="3" s="1"/>
  <c r="B37" i="3"/>
  <c r="E20" i="3"/>
  <c r="W18" i="5"/>
  <c r="G12" i="1" l="1"/>
  <c r="G24" i="1"/>
  <c r="G25" i="1" s="1"/>
  <c r="G26" i="1" s="1"/>
  <c r="H7" i="1"/>
  <c r="T5" i="5"/>
  <c r="T6" i="5"/>
  <c r="T11" i="5"/>
  <c r="T12" i="5"/>
  <c r="H21" i="4"/>
  <c r="B22" i="4" s="1"/>
  <c r="T7" i="5"/>
  <c r="D31" i="3"/>
  <c r="G20" i="3"/>
  <c r="E21" i="3"/>
  <c r="X18" i="5"/>
  <c r="G27" i="1" l="1"/>
  <c r="G32" i="1"/>
  <c r="G33" i="1" s="1"/>
  <c r="H37" i="1"/>
  <c r="H38" i="1"/>
  <c r="T25" i="5"/>
  <c r="T29" i="5"/>
  <c r="H22" i="4"/>
  <c r="B23" i="4" s="1"/>
  <c r="U12" i="5"/>
  <c r="U5" i="5"/>
  <c r="U6" i="5"/>
  <c r="U11" i="5"/>
  <c r="U7" i="5"/>
  <c r="U26" i="5" s="1"/>
  <c r="T26" i="5"/>
  <c r="T30" i="5"/>
  <c r="B36" i="3"/>
  <c r="C49" i="3"/>
  <c r="D49" i="3" s="1"/>
  <c r="G21" i="3"/>
  <c r="E22" i="3"/>
  <c r="I19" i="1"/>
  <c r="B7" i="2" s="1"/>
  <c r="Y18" i="5"/>
  <c r="V11" i="5" l="1"/>
  <c r="V7" i="5"/>
  <c r="V5" i="5"/>
  <c r="V6" i="5"/>
  <c r="V25" i="5" s="1"/>
  <c r="H23" i="4"/>
  <c r="V12" i="5"/>
  <c r="U29" i="5"/>
  <c r="U30" i="5"/>
  <c r="U25" i="5"/>
  <c r="E23" i="3"/>
  <c r="E30" i="3"/>
  <c r="G22" i="3"/>
  <c r="G23" i="3" s="1"/>
  <c r="AA18" i="5"/>
  <c r="Z18" i="5"/>
  <c r="V26" i="5" l="1"/>
  <c r="V30" i="5"/>
  <c r="V29" i="5"/>
  <c r="B24" i="4"/>
  <c r="H13" i="1"/>
  <c r="G30" i="3"/>
  <c r="E31" i="3"/>
  <c r="W5" i="5" l="1"/>
  <c r="W7" i="5"/>
  <c r="W11" i="5"/>
  <c r="W6" i="5"/>
  <c r="W12" i="5"/>
  <c r="H24" i="4"/>
  <c r="B25" i="4" s="1"/>
  <c r="H12" i="1"/>
  <c r="I7" i="1"/>
  <c r="H24" i="1"/>
  <c r="H25" i="1" s="1"/>
  <c r="H26" i="1" s="1"/>
  <c r="G31" i="3"/>
  <c r="C51" i="3" s="1"/>
  <c r="D51" i="3" s="1"/>
  <c r="C50" i="3"/>
  <c r="D50" i="3" s="1"/>
  <c r="W26" i="5" l="1"/>
  <c r="W30" i="5"/>
  <c r="W25" i="5"/>
  <c r="W29" i="5"/>
  <c r="X5" i="5"/>
  <c r="H25" i="4"/>
  <c r="B26" i="4" s="1"/>
  <c r="X12" i="5"/>
  <c r="X6" i="5"/>
  <c r="X11" i="5"/>
  <c r="X7" i="5"/>
  <c r="I37" i="1"/>
  <c r="I12" i="1"/>
  <c r="I38" i="1"/>
  <c r="H27" i="1"/>
  <c r="H32" i="1"/>
  <c r="H33" i="1" s="1"/>
  <c r="H26" i="4" l="1"/>
  <c r="B27" i="4" s="1"/>
  <c r="Y5" i="5"/>
  <c r="Y12" i="5"/>
  <c r="Y11" i="5"/>
  <c r="Y7" i="5"/>
  <c r="Y6" i="5"/>
  <c r="Y25" i="5" s="1"/>
  <c r="X29" i="5"/>
  <c r="X25" i="5"/>
  <c r="X30" i="5"/>
  <c r="X26" i="5"/>
  <c r="Y30" i="5" l="1"/>
  <c r="Y26" i="5"/>
  <c r="H27" i="4"/>
  <c r="B28" i="4" s="1"/>
  <c r="Z12" i="5"/>
  <c r="Z11" i="5"/>
  <c r="Z6" i="5"/>
  <c r="Z5" i="5"/>
  <c r="Z7" i="5"/>
  <c r="Y29" i="5"/>
  <c r="AA5" i="5" l="1"/>
  <c r="AA12" i="5"/>
  <c r="AA7" i="5"/>
  <c r="AA11" i="5"/>
  <c r="AA6" i="5"/>
  <c r="H28" i="4"/>
  <c r="Z25" i="5"/>
  <c r="Z29" i="5"/>
  <c r="B43" i="9"/>
  <c r="Z30" i="5"/>
  <c r="B44" i="9"/>
  <c r="Z26" i="5"/>
  <c r="C35" i="13" l="1"/>
  <c r="AB30" i="5"/>
  <c r="B34" i="12"/>
  <c r="C34" i="13"/>
  <c r="AB29" i="5"/>
  <c r="AB25" i="5"/>
  <c r="AB26" i="5"/>
  <c r="AA30" i="5"/>
  <c r="C56" i="12"/>
  <c r="B35" i="12"/>
  <c r="AA26" i="5"/>
  <c r="AA25" i="5"/>
  <c r="AA29" i="5"/>
  <c r="B37" i="6" s="1"/>
  <c r="C55" i="12"/>
  <c r="B29" i="4"/>
  <c r="H29" i="4" s="1"/>
  <c r="B31" i="4"/>
  <c r="B33" i="4" s="1"/>
  <c r="B63" i="9"/>
  <c r="B8" i="10"/>
  <c r="B9" i="10"/>
  <c r="B64" i="9"/>
  <c r="D8" i="10" l="1"/>
  <c r="E8" i="10"/>
  <c r="D9" i="10"/>
  <c r="E9" i="10"/>
  <c r="B56" i="13"/>
  <c r="C9" i="10"/>
  <c r="B56" i="12"/>
  <c r="C35" i="12"/>
  <c r="B57" i="6"/>
  <c r="B58" i="6"/>
  <c r="B38" i="6"/>
  <c r="B55" i="13"/>
  <c r="C8" i="10"/>
  <c r="C34" i="12"/>
  <c r="B55" i="12"/>
  <c r="B93" i="6" l="1"/>
  <c r="B9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<sst xmlns="http://schemas.openxmlformats.org/spreadsheetml/2006/main" count="2906" uniqueCount="1091">
  <si>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</si>
  <si>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</si>
  <si>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</si>
  <si>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</si>
  <si>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</si>
  <si>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</si>
  <si>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</si>
  <si>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</si>
  <si>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</si>
  <si>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</si>
  <si>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</si>
  <si>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</si>
  <si>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</si>
  <si>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</si>
  <si>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</si>
  <si>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</si>
  <si>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</si>
  <si>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</si>
  <si>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</si>
  <si>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</si>
  <si>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</si>
  <si>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</si>
  <si>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</si>
  <si>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</si>
  <si>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</si>
  <si>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</si>
  <si>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</si>
  <si>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</si>
  <si>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</si>
  <si>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</si>
  <si>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</si>
  <si>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</si>
  <si>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</si>
  <si>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</si>
  <si>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</si>
  <si>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</si>
  <si>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</si>
  <si>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</si>
  <si>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</si>
  <si>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</si>
  <si>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</si>
  <si>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</si>
  <si>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</si>
  <si>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</si>
  <si>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</si>
  <si>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</si>
  <si>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</si>
  <si>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</si>
  <si>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</si>
  <si>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</si>
  <si>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</si>
  <si>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</si>
  <si>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</si>
  <si>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</si>
  <si>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</si>
  <si>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</si>
  <si>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</si>
  <si>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</si>
  <si>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</si>
  <si>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</si>
  <si>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</si>
  <si>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</si>
  <si>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</si>
  <si>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</si>
  <si>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</si>
  <si>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</si>
  <si>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</si>
  <si>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</si>
  <si>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</si>
  <si>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</si>
  <si>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</si>
  <si>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</si>
  <si>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</si>
  <si>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</si>
  <si>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</si>
  <si>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</si>
  <si>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</si>
  <si>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</si>
  <si>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</si>
  <si>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</si>
  <si>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</si>
  <si>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</si>
  <si>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</si>
  <si>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</si>
  <si>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</si>
  <si>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</si>
  <si>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</si>
  <si>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</si>
  <si>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</si>
  <si>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</si>
  <si>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</si>
  <si>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</si>
  <si>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</si>
  <si>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</si>
  <si>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</si>
  <si>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</si>
  <si>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</si>
  <si>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</si>
  <si>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</si>
  <si>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</si>
  <si>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</si>
  <si>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</si>
  <si>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</si>
  <si>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</si>
  <si>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</si>
  <si>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</si>
  <si>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</si>
  <si>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</si>
  <si>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</si>
  <si>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</si>
  <si>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</si>
  <si>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</si>
  <si>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</si>
  <si>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</si>
  <si>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</si>
  <si>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</si>
  <si>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</si>
  <si>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</si>
  <si>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</si>
  <si>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</si>
  <si>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</si>
  <si>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</si>
  <si>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</si>
  <si>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</si>
  <si>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</si>
  <si>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</si>
  <si>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</si>
  <si>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</si>
  <si>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</si>
  <si>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</si>
  <si>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</si>
  <si>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</si>
  <si>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</si>
  <si>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</si>
  <si>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</si>
  <si>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</si>
  <si>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</si>
  <si>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</si>
  <si>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</si>
  <si>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</si>
  <si>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</si>
  <si>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</si>
  <si>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</si>
  <si>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</si>
  <si>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</si>
  <si>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</si>
  <si>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</si>
  <si>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</si>
  <si>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</si>
  <si>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</si>
  <si>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</si>
  <si>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</si>
  <si>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</si>
  <si>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</si>
  <si>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</si>
  <si>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</si>
  <si>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</si>
  <si>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</si>
  <si>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</si>
  <si>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</si>
  <si>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</si>
  <si>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</si>
  <si>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</si>
  <si>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</si>
  <si>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</si>
  <si>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</si>
  <si>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</si>
  <si>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</si>
  <si>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</si>
  <si>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</si>
  <si>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</si>
  <si>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</si>
  <si>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</si>
  <si>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</si>
  <si>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</si>
  <si>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</si>
  <si>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</si>
  <si>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</si>
  <si>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</si>
  <si>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</si>
  <si>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</si>
  <si>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</si>
  <si>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</si>
  <si>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</si>
  <si>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</si>
  <si>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</si>
  <si>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</si>
  <si>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</si>
  <si>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</si>
  <si>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</si>
  <si>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</si>
  <si>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</si>
  <si>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</si>
  <si>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</si>
  <si>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</si>
  <si>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</si>
  <si>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</si>
  <si>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</si>
  <si>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</si>
  <si>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</si>
  <si>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</si>
  <si>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</si>
  <si>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</si>
  <si>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</si>
  <si>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</si>
  <si>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</si>
  <si>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</si>
  <si>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</si>
  <si>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</si>
  <si>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</si>
  <si>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</si>
  <si>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</si>
  <si>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</si>
  <si>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</si>
  <si>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</si>
  <si>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</si>
  <si>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</si>
  <si>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</si>
  <si>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</si>
  <si>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</si>
  <si>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</si>
  <si>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</si>
  <si>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</si>
  <si>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</si>
  <si>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</si>
  <si>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</si>
  <si>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</si>
  <si>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</si>
  <si>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</si>
  <si>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</si>
  <si>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</si>
  <si>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</si>
  <si>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</si>
  <si>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</si>
  <si>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</si>
  <si>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</si>
  <si>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</si>
  <si>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</si>
  <si>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</si>
  <si>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</si>
  <si>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</si>
  <si>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</si>
  <si>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</si>
  <si>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</si>
  <si>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</si>
  <si>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</si>
  <si>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</si>
  <si>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</si>
  <si>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</si>
  <si>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</si>
  <si>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</si>
  <si>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</si>
  <si>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</si>
  <si>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</si>
  <si>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</si>
  <si>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</si>
  <si>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</si>
  <si>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</si>
  <si>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</si>
  <si>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</si>
  <si>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</si>
  <si>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</si>
  <si>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</si>
  <si>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</si>
  <si>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</si>
  <si>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</si>
  <si>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</si>
  <si>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</si>
  <si>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</si>
  <si>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</si>
  <si>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</si>
  <si>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</si>
  <si>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</si>
  <si>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</si>
  <si>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</si>
  <si>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</si>
  <si>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</si>
  <si>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</si>
  <si>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</si>
  <si>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</si>
  <si>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</si>
  <si>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</si>
  <si>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</si>
  <si>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</si>
  <si>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</si>
  <si>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</si>
  <si>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</si>
  <si>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</si>
  <si>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</si>
  <si>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</si>
  <si>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</si>
  <si>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</si>
  <si>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</si>
  <si>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</si>
  <si>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</si>
  <si>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</si>
  <si>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</si>
  <si>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</si>
  <si>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</si>
  <si>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</si>
  <si>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</si>
  <si>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</si>
  <si>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</si>
  <si>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</si>
  <si>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</si>
  <si>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</si>
  <si>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</si>
  <si>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</si>
  <si>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</si>
  <si>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</si>
  <si>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</si>
  <si>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</si>
  <si>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</si>
  <si>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</si>
  <si>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</si>
  <si>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</si>
  <si>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</si>
  <si>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</si>
  <si>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</si>
  <si>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</si>
  <si>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</si>
  <si>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</si>
  <si>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</si>
  <si>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</si>
  <si>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</si>
  <si>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</si>
  <si>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</si>
  <si>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</si>
  <si>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</si>
  <si>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</si>
  <si>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</si>
  <si>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</si>
  <si>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</si>
  <si>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</si>
  <si>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</si>
  <si>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</si>
  <si>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</si>
  <si>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</si>
  <si>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</si>
  <si>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</si>
  <si>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</si>
  <si>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</si>
  <si>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</si>
  <si>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</si>
  <si>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</si>
  <si>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</si>
  <si>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</si>
  <si>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</si>
  <si>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</si>
  <si>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</si>
  <si>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</si>
  <si>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</si>
  <si>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</si>
  <si>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</si>
  <si>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</si>
  <si>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</si>
  <si>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</si>
  <si>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</si>
  <si>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</si>
  <si>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</si>
  <si>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</si>
  <si>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</si>
  <si>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</si>
  <si>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</si>
  <si>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</si>
  <si>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</si>
  <si>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</si>
  <si>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</si>
  <si>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</si>
  <si>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</si>
  <si>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</si>
  <si>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</si>
  <si>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</si>
  <si>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</si>
  <si>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</si>
  <si>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</si>
  <si>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</si>
  <si>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</si>
  <si>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</si>
  <si>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</si>
  <si>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</si>
  <si>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</si>
  <si>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</si>
  <si>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</si>
  <si>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</si>
  <si>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</si>
  <si>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</si>
  <si>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</si>
  <si>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</si>
  <si>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</si>
  <si>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</si>
  <si>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</si>
  <si>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</si>
  <si>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</si>
  <si>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</si>
  <si>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</si>
  <si>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</si>
  <si>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</si>
  <si>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</si>
  <si>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</si>
  <si>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</si>
  <si>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</si>
  <si>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</si>
  <si>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</si>
  <si>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</si>
  <si>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</si>
  <si>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</si>
  <si>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</si>
  <si>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</si>
  <si>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</si>
  <si>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</si>
  <si>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</si>
  <si>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</si>
  <si>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</si>
  <si>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</si>
  <si>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</si>
  <si>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</si>
  <si>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</si>
  <si>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</si>
  <si>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</si>
  <si>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</si>
  <si>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</si>
  <si>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</si>
  <si>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</si>
  <si>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</si>
  <si>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</si>
  <si>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</si>
  <si>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</si>
  <si>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</si>
  <si>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</si>
  <si>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</si>
  <si>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</si>
  <si>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</si>
  <si>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</si>
  <si>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</si>
  <si>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</si>
  <si>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</si>
  <si>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</si>
  <si>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</si>
  <si>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</si>
  <si>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</si>
  <si>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</si>
  <si>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</si>
  <si>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</si>
  <si>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</si>
  <si>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</si>
  <si>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</si>
  <si>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</si>
  <si>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</si>
  <si>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</si>
  <si>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</si>
  <si>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</si>
  <si>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</si>
  <si>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</si>
  <si>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</si>
  <si>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</si>
  <si>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</si>
  <si>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</si>
  <si>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</si>
  <si>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</si>
  <si>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</si>
  <si>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</si>
  <si>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</si>
  <si>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</si>
  <si>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</si>
  <si>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</si>
  <si>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</si>
  <si>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</si>
  <si>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</si>
  <si>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</si>
  <si>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</si>
  <si>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</si>
  <si>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</si>
  <si>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</si>
  <si>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</si>
  <si>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</si>
  <si>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</si>
  <si>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</si>
  <si>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</si>
  <si>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</si>
  <si>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</si>
  <si>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</si>
  <si>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</si>
  <si>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</si>
  <si>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</si>
  <si>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</si>
  <si>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</si>
  <si>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</si>
  <si>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</si>
  <si>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</si>
  <si>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</si>
  <si>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</si>
  <si>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</si>
  <si>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</si>
  <si>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</si>
  <si>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</si>
  <si>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</si>
  <si>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</si>
  <si>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</si>
  <si>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</si>
  <si>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</si>
  <si>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</si>
  <si>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</si>
  <si>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</si>
  <si>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</si>
  <si>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</si>
  <si>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</si>
  <si>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</si>
  <si>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</si>
  <si>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</si>
  <si>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</si>
  <si>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</si>
  <si>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</si>
  <si>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</si>
  <si>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</si>
  <si>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</si>
  <si>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</si>
  <si>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</si>
  <si>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</si>
  <si>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</si>
  <si>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</si>
  <si>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</si>
  <si>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</si>
  <si>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</si>
  <si>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</si>
  <si>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</si>
  <si>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</si>
  <si>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</si>
  <si>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</si>
  <si>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</si>
  <si>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</si>
  <si>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</si>
  <si>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</si>
  <si>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</si>
  <si>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</si>
  <si>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</si>
  <si>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</si>
  <si>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</si>
  <si>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</si>
  <si>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</si>
  <si>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</si>
  <si>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</si>
  <si>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</si>
  <si>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</si>
  <si>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</si>
  <si>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</si>
  <si>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</si>
  <si>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</si>
  <si>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</si>
  <si>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</si>
  <si>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</si>
  <si>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</si>
  <si>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</si>
  <si>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</si>
  <si>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</si>
  <si>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</si>
  <si>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</si>
  <si>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</si>
  <si>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</si>
  <si>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</si>
  <si>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</si>
  <si>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</si>
  <si>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</si>
  <si>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</si>
  <si>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</si>
  <si>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</si>
  <si>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</si>
  <si>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</si>
  <si>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</si>
  <si>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</si>
  <si>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</si>
  <si>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</si>
  <si>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</si>
  <si>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</si>
  <si>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</si>
  <si>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</si>
  <si>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</si>
  <si>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</si>
  <si>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</si>
  <si>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</si>
  <si>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</si>
  <si>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</si>
  <si>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</si>
  <si>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</si>
  <si>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</si>
  <si>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</si>
  <si>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</si>
  <si>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</si>
  <si>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</si>
  <si>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</si>
  <si>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</si>
  <si>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</si>
  <si>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</si>
  <si>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</si>
  <si>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</si>
  <si>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</si>
  <si>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</si>
  <si>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</si>
  <si>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</si>
  <si>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</si>
  <si>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</si>
  <si>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P&amp;L</t>
  </si>
  <si>
    <t>F/U</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</si>
  <si>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</si>
  <si>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</si>
  <si>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</si>
  <si>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Offsetting this was the lack of churned MRR this month which resulted in a favorable variance of $954.</t>
  </si>
  <si>
    <t>There was no expansion recorded this month versus the expected $715.35.</t>
  </si>
  <si>
    <t>Operating Expenses were in line with expectation.</t>
  </si>
  <si>
    <t>EBITDA of $27,345.65 was 5% lower than the expected $28,781.74. This was driven by the shortfall in Gross Profit due to the Closing MRR being less than anticipated.</t>
  </si>
  <si>
    <t>Currently, Q1 is approximately $6000 less than planned, which could be fixed with a strong performance in February.</t>
  </si>
  <si>
    <t>Summary:</t>
  </si>
  <si>
    <t>The customers revenue was $1,710 which is 43% less than the planned rate of $3000 per customer.</t>
  </si>
  <si>
    <t>January 2026 — SaaS KPIs</t>
  </si>
  <si>
    <t>Notes</t>
  </si>
  <si>
    <t>From your Jan 31 SQL snapshot</t>
  </si>
  <si>
    <t>ARPA</t>
  </si>
  <si>
    <t>Excel 04</t>
  </si>
  <si>
    <t>Gross Margin</t>
  </si>
  <si>
    <t>Already in your P&amp;L</t>
  </si>
  <si>
    <t>GRR</t>
  </si>
  <si>
    <t>Excel 03</t>
  </si>
  <si>
    <t>NRR</t>
  </si>
  <si>
    <t>Quick Ratio</t>
  </si>
  <si>
    <t>N/A — no losses</t>
  </si>
  <si>
    <t>S&amp;M (actual)</t>
  </si>
  <si>
    <t>From Lisa's monthly close message</t>
  </si>
  <si>
    <t>CAC — this month</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</si>
  <si>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</si>
  <si>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</si>
  <si>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</si>
  <si>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</si>
  <si>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</si>
  <si>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</si>
  <si>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</si>
  <si>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</si>
  <si>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</si>
  <si>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Excel 04 — S&amp;M ÷ new customers acquired this month (= 1 new logo Jan)</t>
  </si>
  <si>
    <t>Self-Check — KPIs</t>
  </si>
  <si>
    <t>Your value</t>
  </si>
  <si>
    <t>CAC (monthly)</t>
  </si>
  <si>
    <t>KPI Tracker</t>
  </si>
  <si>
    <t>CAC — monthly</t>
  </si>
  <si>
    <t>CAC — trailing Q</t>
  </si>
  <si>
    <t>LTV, LTV:CAC, and CAC Payback appear in the Q1 column only. Monthly figures are too sensitive to single-month churn swings to be meaningful.</t>
  </si>
  <si>
    <t>Movement</t>
  </si>
  <si>
    <t>Actual</t>
  </si>
  <si>
    <t>Forecast</t>
  </si>
  <si>
    <t>Variance</t>
  </si>
  <si>
    <t>New MRR</t>
  </si>
  <si>
    <t>Expansion MRR</t>
  </si>
  <si>
    <t>Contraction MRR</t>
  </si>
  <si>
    <t>Churned MRR</t>
  </si>
  <si>
    <t xml:space="preserve">Excel 02 </t>
  </si>
  <si>
    <t xml:space="preserve"> - Contraction MRR</t>
  </si>
  <si>
    <t>Actual - Feb 26</t>
  </si>
  <si>
    <t>Forecast - Feb 26</t>
  </si>
  <si>
    <t>February 2026 — SaaS KPIs</t>
  </si>
  <si>
    <t>vs Jan 2026</t>
  </si>
  <si>
    <t>CAC — Q1 to date</t>
  </si>
  <si>
    <t>From your Feb 28 SQL snapshot</t>
  </si>
  <si>
    <t>Excel 02</t>
  </si>
  <si>
    <t>Excel 04 — S&amp;M ÷ new customers acquired this month</t>
  </si>
  <si>
    <t>Cumulative S&amp;M ÷ cumulative new customers in Q1 so far</t>
  </si>
  <si>
    <t xml:space="preserve">  New customers acquired</t>
  </si>
  <si>
    <t>Enter count of new logos signed in Feb</t>
  </si>
  <si>
    <t>Monthly CAC is noisy with small customer counts. Q1 CAC will be the definitive figure after March closes using total Q1 S&amp;M ÷ total Q1 new customers.</t>
  </si>
  <si>
    <t>Formula check</t>
  </si>
  <si>
    <t xml:space="preserve">  </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</si>
  <si>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</si>
  <si>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</si>
  <si>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</si>
  <si>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Jan 2026</t>
  </si>
  <si>
    <t>Feb 2026</t>
  </si>
  <si>
    <t>Mar 2026</t>
  </si>
  <si>
    <t>Forecast - Mar 26</t>
  </si>
  <si>
    <t>From your Mar 31SQL snapshot</t>
  </si>
  <si>
    <t>From your Mar 31 SQL snapshot</t>
  </si>
  <si>
    <t>Enter count of new logos signed in Mar</t>
  </si>
  <si>
    <t>EVT098</t>
  </si>
  <si>
    <t>SUB063</t>
  </si>
  <si>
    <t>CUST041</t>
  </si>
  <si>
    <t>EVT099</t>
  </si>
  <si>
    <t>SUB064</t>
  </si>
  <si>
    <t>CUST042</t>
  </si>
  <si>
    <t>EVT100</t>
  </si>
  <si>
    <t>SUB065</t>
  </si>
  <si>
    <t>CUST043</t>
  </si>
  <si>
    <t>EVT101</t>
  </si>
  <si>
    <t>Dynamic Retail Solutions</t>
  </si>
  <si>
    <t>Pacific Coast Analytics</t>
  </si>
  <si>
    <t>Atlantic Financial Group</t>
  </si>
  <si>
    <t>Team expansion</t>
  </si>
  <si>
    <t>February finished with a Closing MRR of $150,306. This is $1,764 above what we expected to have currently and has driven EBITDA to $30,214 which is $235 more than our current forecast and provides a margin of 20.1% compared to the planned 20.2%.</t>
  </si>
  <si>
    <t>March 2026 — SaaS KPIs</t>
  </si>
  <si>
    <t>Q1 2026 Roll-Up</t>
  </si>
  <si>
    <t>Q1 MRR Summary</t>
  </si>
  <si>
    <t>Q1 Total</t>
  </si>
  <si>
    <t>Q1 Total New MRR</t>
  </si>
  <si>
    <t>Q1 Total Expansion MRR</t>
  </si>
  <si>
    <t>Q1 Total Churned MRR</t>
  </si>
  <si>
    <t>Q1 Net New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</si>
  <si>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</si>
  <si>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</si>
  <si>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</si>
  <si>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</si>
  <si>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</si>
  <si>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</si>
  <si>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</si>
  <si>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</si>
  <si>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</si>
  <si>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</si>
  <si>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</si>
  <si>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</si>
  <si>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</si>
  <si>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</si>
  <si>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</si>
  <si>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The key watch item for Q2 is new logo conversion. New MRR missed forecast in every month of Q1 ($10,830 actual vs. $12,000 planned) and the March expansion signal came from a single account. If this trend doesn't change, Q2 could face the same issue.</t>
  </si>
  <si>
    <t>Q1 Commentary:</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</si>
  <si>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</si>
  <si>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</si>
  <si>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Legend:</t>
  </si>
  <si>
    <t>INPUT = type here</t>
  </si>
  <si>
    <t>FORMULA = never type here</t>
  </si>
  <si>
    <t>ANCHOR =  one-time historical</t>
  </si>
  <si>
    <t>MONTHLY CONFIG</t>
  </si>
  <si>
    <t>Current month:</t>
  </si>
  <si>
    <t>← change this when creating a new month</t>
  </si>
  <si>
    <t>Prior month tab:</t>
  </si>
  <si>
    <t>Feb 2026 A vs F</t>
  </si>
  <si>
    <t>Month-end date:</t>
  </si>
  <si>
    <t>← formula: last day of current month</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</si>
  <si>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</si>
  <si>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</si>
  <si>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</si>
  <si>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</si>
  <si>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March closed at $153,686 MRR, bringing Q1 total net new MRR to $10,616, which is a 7.4% gain on the opening value of $143,070.</t>
  </si>
  <si>
    <t>INDEX(Retention!$B$6:$AZ$6,MATCH($I$2,Retention!$B$4:$AZ$4,0))</t>
  </si>
  <si>
    <t>paid</t>
  </si>
  <si>
    <t>INV-2026-01-0047</t>
  </si>
  <si>
    <t>in_20260100047</t>
  </si>
  <si>
    <t>INV-2026-01-0046</t>
  </si>
  <si>
    <t>in_20260100046</t>
  </si>
  <si>
    <t>INV-2026-01-0045</t>
  </si>
  <si>
    <t>in_20260100045</t>
  </si>
  <si>
    <t>INV-2026-01-0044</t>
  </si>
  <si>
    <t>in_20260100044</t>
  </si>
  <si>
    <t>INV-2026-01-0043</t>
  </si>
  <si>
    <t>in_20260100043</t>
  </si>
  <si>
    <t>INV-2026-01-0042</t>
  </si>
  <si>
    <t>in_20260100042</t>
  </si>
  <si>
    <t>INV-2026-01-0041</t>
  </si>
  <si>
    <t>in_20260100041</t>
  </si>
  <si>
    <t>INV-2026-01-0040</t>
  </si>
  <si>
    <t>in_20260100040</t>
  </si>
  <si>
    <t>INV-2026-01-0039</t>
  </si>
  <si>
    <t>in_20260100039</t>
  </si>
  <si>
    <t>INV-2026-01-0038</t>
  </si>
  <si>
    <t>in_20260100038</t>
  </si>
  <si>
    <t>INV-2026-01-0037</t>
  </si>
  <si>
    <t>in_20260100037</t>
  </si>
  <si>
    <t>INV-2026-01-0036</t>
  </si>
  <si>
    <t>in_20260100036</t>
  </si>
  <si>
    <t>INV-2026-01-0035</t>
  </si>
  <si>
    <t>in_20260100035</t>
  </si>
  <si>
    <t>INV-2026-01-0034</t>
  </si>
  <si>
    <t>in_20260100034</t>
  </si>
  <si>
    <t>INV-2026-01-0033</t>
  </si>
  <si>
    <t>in_20260100033</t>
  </si>
  <si>
    <t>INV-2026-01-0032</t>
  </si>
  <si>
    <t>in_20260100032</t>
  </si>
  <si>
    <t>INV-2026-01-0031</t>
  </si>
  <si>
    <t>in_20260100031</t>
  </si>
  <si>
    <t>Insufficient funds</t>
  </si>
  <si>
    <t>failed</t>
  </si>
  <si>
    <t>INV-2026-01-0030</t>
  </si>
  <si>
    <t>in_20260100030</t>
  </si>
  <si>
    <t>INV-2026-01-0029</t>
  </si>
  <si>
    <t>in_20260100029</t>
  </si>
  <si>
    <t>INV-2026-01-0028</t>
  </si>
  <si>
    <t>in_20260100028</t>
  </si>
  <si>
    <t>INV-2026-01-0027</t>
  </si>
  <si>
    <t>in_20260100027</t>
  </si>
  <si>
    <t>INV-2026-01-0026</t>
  </si>
  <si>
    <t>in_20260100026</t>
  </si>
  <si>
    <t>INV-2026-01-0025</t>
  </si>
  <si>
    <t>in_20260100025</t>
  </si>
  <si>
    <t>INV-2026-01-0024</t>
  </si>
  <si>
    <t>in_20260100024</t>
  </si>
  <si>
    <t>INV-2026-01-0023</t>
  </si>
  <si>
    <t>in_20260100023</t>
  </si>
  <si>
    <t>INV-2026-01-0022</t>
  </si>
  <si>
    <t>in_20260100022</t>
  </si>
  <si>
    <t>INV-2026-01-0021</t>
  </si>
  <si>
    <t>in_20260100021</t>
  </si>
  <si>
    <t>INV-2026-01-0020</t>
  </si>
  <si>
    <t>in_20260100020</t>
  </si>
  <si>
    <t>INV-2026-01-0019</t>
  </si>
  <si>
    <t>in_20260100019</t>
  </si>
  <si>
    <t>INV-2026-01-0018</t>
  </si>
  <si>
    <t>in_20260100018</t>
  </si>
  <si>
    <t>INV-2026-01-0017</t>
  </si>
  <si>
    <t>in_20260100017</t>
  </si>
  <si>
    <t>INV-2026-01-0016</t>
  </si>
  <si>
    <t>in_20260100016</t>
  </si>
  <si>
    <t>INV-2026-01-0015</t>
  </si>
  <si>
    <t>in_20260100015</t>
  </si>
  <si>
    <t>INV-2026-01-0014</t>
  </si>
  <si>
    <t>in_20260100014</t>
  </si>
  <si>
    <t>INV-2026-01-0013</t>
  </si>
  <si>
    <t>in_20260100013</t>
  </si>
  <si>
    <t>INV-2026-01-0012</t>
  </si>
  <si>
    <t>in_20260100012</t>
  </si>
  <si>
    <t>INV-2026-01-0011</t>
  </si>
  <si>
    <t>in_20260100011</t>
  </si>
  <si>
    <t>INV-2026-01-0010</t>
  </si>
  <si>
    <t>in_20260100010</t>
  </si>
  <si>
    <t>INV-2026-01-0009</t>
  </si>
  <si>
    <t>in_20260100009</t>
  </si>
  <si>
    <t>INV-2026-01-0008</t>
  </si>
  <si>
    <t>in_20260100008</t>
  </si>
  <si>
    <t>INV-2026-01-0007</t>
  </si>
  <si>
    <t>in_20260100007</t>
  </si>
  <si>
    <t>INV-2026-01-0006</t>
  </si>
  <si>
    <t>in_20260100006</t>
  </si>
  <si>
    <t>INV-2026-01-0005</t>
  </si>
  <si>
    <t>in_20260100005</t>
  </si>
  <si>
    <t>INV-2026-01-0004</t>
  </si>
  <si>
    <t>in_20260100004</t>
  </si>
  <si>
    <t>INV-2026-01-0003</t>
  </si>
  <si>
    <t>in_20260100003</t>
  </si>
  <si>
    <t>INV-2026-01-0002</t>
  </si>
  <si>
    <t>in_20260100002</t>
  </si>
  <si>
    <t>INV-2026-01-0001</t>
  </si>
  <si>
    <t>in_20260100001</t>
  </si>
  <si>
    <t>failure_reason</t>
  </si>
  <si>
    <t>payment_date</t>
  </si>
  <si>
    <t>amount_due_usd</t>
  </si>
  <si>
    <t>discount_amount</t>
  </si>
  <si>
    <t>discount_pct</t>
  </si>
  <si>
    <t>subtotal</t>
  </si>
  <si>
    <t>unit_price_usd</t>
  </si>
  <si>
    <t>period_end</t>
  </si>
  <si>
    <t>period_start</t>
  </si>
  <si>
    <t>customer_name</t>
  </si>
  <si>
    <t>invoice_date</t>
  </si>
  <si>
    <t>invoice_number</t>
  </si>
  <si>
    <t>invoice_id</t>
  </si>
  <si>
    <t>INV-2026-02-0047</t>
  </si>
  <si>
    <t>in_20260200047</t>
  </si>
  <si>
    <t>INV-2026-02-0046</t>
  </si>
  <si>
    <t>in_20260200046</t>
  </si>
  <si>
    <t>INV-2026-02-0045</t>
  </si>
  <si>
    <t>in_20260200045</t>
  </si>
  <si>
    <t>INV-2026-02-0044</t>
  </si>
  <si>
    <t>in_20260200044</t>
  </si>
  <si>
    <t>INV-2026-02-0043</t>
  </si>
  <si>
    <t>in_20260200043</t>
  </si>
  <si>
    <t>INV-2026-02-0042</t>
  </si>
  <si>
    <t>in_20260200042</t>
  </si>
  <si>
    <t>INV-2026-02-0041</t>
  </si>
  <si>
    <t>in_20260200041</t>
  </si>
  <si>
    <t>INV-2026-02-0040</t>
  </si>
  <si>
    <t>in_20260200040</t>
  </si>
  <si>
    <t>INV-2026-02-0039</t>
  </si>
  <si>
    <t>in_20260200039</t>
  </si>
  <si>
    <t>INV-2026-02-0038</t>
  </si>
  <si>
    <t>in_20260200038</t>
  </si>
  <si>
    <t>INV-2026-02-0037</t>
  </si>
  <si>
    <t>in_20260200037</t>
  </si>
  <si>
    <t>INV-2026-02-0036</t>
  </si>
  <si>
    <t>in_20260200036</t>
  </si>
  <si>
    <t>INV-2026-02-0035</t>
  </si>
  <si>
    <t>in_20260200035</t>
  </si>
  <si>
    <t>Prorated refund â€” subscription cancelled 2026-02-20</t>
  </si>
  <si>
    <t>refunded</t>
  </si>
  <si>
    <t>CN-2026-02-0001</t>
  </si>
  <si>
    <t>in_20260299001</t>
  </si>
  <si>
    <t>INV-2026-02-0034</t>
  </si>
  <si>
    <t>in_20260200034</t>
  </si>
  <si>
    <t>INV-2026-02-0033</t>
  </si>
  <si>
    <t>in_20260200033</t>
  </si>
  <si>
    <t>INV-2026-02-0032</t>
  </si>
  <si>
    <t>in_20260200032</t>
  </si>
  <si>
    <t>INV-2026-02-0031</t>
  </si>
  <si>
    <t>in_20260200031</t>
  </si>
  <si>
    <t>INV-2026-02-0030</t>
  </si>
  <si>
    <t>in_20260200030</t>
  </si>
  <si>
    <t>INV-2026-02-0029</t>
  </si>
  <si>
    <t>in_20260200029</t>
  </si>
  <si>
    <t>INV-2026-02-0028</t>
  </si>
  <si>
    <t>in_20260200028</t>
  </si>
  <si>
    <t>INV-2026-02-0027</t>
  </si>
  <si>
    <t>in_20260200027</t>
  </si>
  <si>
    <t>INV-2026-02-0026</t>
  </si>
  <si>
    <t>in_20260200026</t>
  </si>
  <si>
    <t>INV-2026-02-0025</t>
  </si>
  <si>
    <t>in_20260200025</t>
  </si>
  <si>
    <t>INV-2026-02-0024</t>
  </si>
  <si>
    <t>in_20260200024</t>
  </si>
  <si>
    <t>INV-2026-02-0023</t>
  </si>
  <si>
    <t>in_20260200023</t>
  </si>
  <si>
    <t>INV-2026-02-0022</t>
  </si>
  <si>
    <t>in_20260200022</t>
  </si>
  <si>
    <t>INV-2026-02-0021</t>
  </si>
  <si>
    <t>in_20260200021</t>
  </si>
  <si>
    <t>INV-2026-02-0020</t>
  </si>
  <si>
    <t>in_20260200020</t>
  </si>
  <si>
    <t>INV-2026-02-0019</t>
  </si>
  <si>
    <t>in_20260200019</t>
  </si>
  <si>
    <t>INV-2026-02-0018</t>
  </si>
  <si>
    <t>in_20260200018</t>
  </si>
  <si>
    <t>INV-2026-02-0017</t>
  </si>
  <si>
    <t>in_20260200017</t>
  </si>
  <si>
    <t>INV-2026-02-0016</t>
  </si>
  <si>
    <t>in_20260200016</t>
  </si>
  <si>
    <t>INV-2026-02-0015</t>
  </si>
  <si>
    <t>in_20260200015</t>
  </si>
  <si>
    <t>INV-2026-02-0014</t>
  </si>
  <si>
    <t>in_20260200014</t>
  </si>
  <si>
    <t>INV-2026-02-0013</t>
  </si>
  <si>
    <t>in_20260200013</t>
  </si>
  <si>
    <t>INV-2026-02-0012</t>
  </si>
  <si>
    <t>in_20260200012</t>
  </si>
  <si>
    <t>INV-2026-02-0011</t>
  </si>
  <si>
    <t>in_20260200011</t>
  </si>
  <si>
    <t>INV-2026-02-0010</t>
  </si>
  <si>
    <t>in_20260200010</t>
  </si>
  <si>
    <t>INV-2026-02-0009</t>
  </si>
  <si>
    <t>in_20260200009</t>
  </si>
  <si>
    <t>INV-2026-02-0008</t>
  </si>
  <si>
    <t>in_20260200008</t>
  </si>
  <si>
    <t>INV-2026-02-0007</t>
  </si>
  <si>
    <t>in_20260200007</t>
  </si>
  <si>
    <t>INV-2026-02-0006</t>
  </si>
  <si>
    <t>in_20260200006</t>
  </si>
  <si>
    <t>INV-2026-02-0005</t>
  </si>
  <si>
    <t>in_20260200005</t>
  </si>
  <si>
    <t>INV-2026-02-0004</t>
  </si>
  <si>
    <t>in_20260200004</t>
  </si>
  <si>
    <t>INV-2026-02-0003</t>
  </si>
  <si>
    <t>in_20260200003</t>
  </si>
  <si>
    <t>INV-2026-02-0002</t>
  </si>
  <si>
    <t>in_20260200002</t>
  </si>
  <si>
    <t>INV-2026-02-0001</t>
  </si>
  <si>
    <t>in_20260200001</t>
  </si>
  <si>
    <t>TXN-2026-02-0046</t>
  </si>
  <si>
    <t>Credit</t>
  </si>
  <si>
    <t>ACH CREDIT â€” OTTAWA RETAIL SOLUTIONS â€” REF:SUB033</t>
  </si>
  <si>
    <t>TXN-2026-02-0045</t>
  </si>
  <si>
    <t>ACH CREDIT â€” ATLANTIC SAAS SYSTEMS â€” REF:SUB020</t>
  </si>
  <si>
    <t>TXN-2026-02-0044</t>
  </si>
  <si>
    <t>ACH CREDIT â€” CALGARY COMMERCE SOLUTIONS â€” REF:SUB057</t>
  </si>
  <si>
    <t>TXN-2026-02-0043</t>
  </si>
  <si>
    <t>ACH CREDIT â€” VANCOUVER HEALTH SYSTEMS â€” REF:SUB035</t>
  </si>
  <si>
    <t>TXN-2026-02-0042</t>
  </si>
  <si>
    <t>ACH CREDIT â€” TORONTO TECH VENTURES â€” REF:SUB022</t>
  </si>
  <si>
    <t>TXN-2026-02-0041</t>
  </si>
  <si>
    <t>ACH CREDIT â€” PRAIRIE HEALTH CONNECT â€” REF:SUB011</t>
  </si>
  <si>
    <t>TXN-2026-02-0040</t>
  </si>
  <si>
    <t>ACH CREDIT â€” BC EDUCATION INNOVATIONS â€” REF:SUB040</t>
  </si>
  <si>
    <t>TXN-2026-02-0039</t>
  </si>
  <si>
    <t>ACH CREDIT â€” MARITIME SAAS VENTURES â€” REF:SUB037</t>
  </si>
  <si>
    <t>TXN-2026-02-0038</t>
  </si>
  <si>
    <t>ACH CREDIT â€” WESTERN RETAIL GROUP â€” REF:SUB024</t>
  </si>
  <si>
    <t>TXN-2026-02-0037</t>
  </si>
  <si>
    <t>ACH CREDIT â€” TORONTO COMMERCE CLOUD â€” REF:SUB039</t>
  </si>
  <si>
    <t>TXN-2026-02-0036</t>
  </si>
  <si>
    <t>ACH CREDIT â€” ONTARIO EDUCATION CONNECT â€” REF:SUB026</t>
  </si>
  <si>
    <t>TXN-2026-02-0035</t>
  </si>
  <si>
    <t>ACH CREDIT â€” PACIFIC ANALYTICS INC â€” ANNUAL RENEWAL REF:SUB054</t>
  </si>
  <si>
    <t>TXN-2026-02-0034</t>
  </si>
  <si>
    <t>ACH CREDIT â€” MONTREAL MANUFACTURING PRO â€” REF:SUB048</t>
  </si>
  <si>
    <t>TXN-2026-02-0033</t>
  </si>
  <si>
    <t>ACH CREDIT â€” BC RETAIL NETWORKS â€” REF:SUB046</t>
  </si>
  <si>
    <t>TXN-2026-02-0032</t>
  </si>
  <si>
    <t>ACH CREDIT â€” PACIFIC ANALYTICS INC â€” ANNUAL RENEWAL REF:SUB002</t>
  </si>
  <si>
    <t>TXN-2026-02-0031</t>
  </si>
  <si>
    <t>ACH CREDIT â€” ALBERTA TECH INNOVATORS â€” REF:SUB061</t>
  </si>
  <si>
    <t>TXN-2026-02-0030</t>
  </si>
  <si>
    <t>ACH CREDIT â€” WEST COAST LOGISTICS â€” REF:SUB044</t>
  </si>
  <si>
    <t>TXN-2026-02-0029</t>
  </si>
  <si>
    <t>ACH CREDIT â€” CAPITAL EDUCATION TECH â€” REF:SUB017</t>
  </si>
  <si>
    <t>TXN-2026-02-0028</t>
  </si>
  <si>
    <t>ACH CREDIT â€” PRAIRIE COMMERCE GROUP â€” REF:SUB004</t>
  </si>
  <si>
    <t>TXN-2026-02-0027</t>
  </si>
  <si>
    <t>ACH CREDIT â€” TORONTO TECH VENTURES â€” REF:SUB047</t>
  </si>
  <si>
    <t>TXN-2026-02-0026</t>
  </si>
  <si>
    <t>ACH CREDIT â€” BC MANUFACTURING SYSTEMS â€” REF:SUB032</t>
  </si>
  <si>
    <t>TXN-2026-02-0025</t>
  </si>
  <si>
    <t>ACH CREDIT â€” ALBERTA E-COMMERCE HUB â€” REF:SUB030</t>
  </si>
  <si>
    <t>TXN-2026-02-0024</t>
  </si>
  <si>
    <t>ACH CREDIT â€” CENTRAL HEALTHCARE PARTNERS â€” REF:SUB019</t>
  </si>
  <si>
    <t>TXN-2026-02-0023</t>
  </si>
  <si>
    <t>ACH CREDIT â€” ISLAND MEDIA PRODUCTIONS â€” REF:SUB062</t>
  </si>
  <si>
    <t>TXN-2026-02-0022</t>
  </si>
  <si>
    <t>ACH CREDIT â€” VANCOUVER FINTECH LABS â€” REF:SUB052</t>
  </si>
  <si>
    <t>TXN-2026-02-0021</t>
  </si>
  <si>
    <t>ACH CREDIT â€” TECHVISION SOLUTIONS â€” REF:SUB041</t>
  </si>
  <si>
    <t>TXN-2026-02-0020</t>
  </si>
  <si>
    <t>ACH CREDIT â€” QUEBEC EDUCATION PLATFORM â€” REF:SUB034</t>
  </si>
  <si>
    <t>TXN-2026-02-0019</t>
  </si>
  <si>
    <t>ACH CREDIT â€” MONTREAL FINANCE HUB â€” REF:SUB010</t>
  </si>
  <si>
    <t>TXN-2026-02-0018</t>
  </si>
  <si>
    <t>ACH CREDIT â€” QUEBEC MANUFACTURING â€” REF:SUB056</t>
  </si>
  <si>
    <t>TXN-2026-02-0017</t>
  </si>
  <si>
    <t>ACH CREDIT â€” MANITOBA FINANCE GROUP â€” REF:SUB036</t>
  </si>
  <si>
    <t>TXN-2026-02-0016</t>
  </si>
  <si>
    <t>ACH CREDIT â€” TORONTO MEDIA GROUP â€” REF:SUB051</t>
  </si>
  <si>
    <t>TXN-2026-02-0015</t>
  </si>
  <si>
    <t>ACH CREDIT â€” MAPLE HEALTHCARE SYSTEMS â€” REF:SUB042</t>
  </si>
  <si>
    <t>TXN-2026-02-0014</t>
  </si>
  <si>
    <t>ACH CREDIT â€” MARITIME E-COMMERCE â€” REF:SUB012</t>
  </si>
  <si>
    <t>TXN-2026-02-0013</t>
  </si>
  <si>
    <t>ACH CREDIT â€” CALGARY TECH PARTNERS â€” REF:SUB038</t>
  </si>
  <si>
    <t>TXN-2026-02-0012</t>
  </si>
  <si>
    <t>ACH CREDIT â€” WESTERN RETAIL GROUP â€” REF:SUB058</t>
  </si>
  <si>
    <t>TXN-2026-02-0011</t>
  </si>
  <si>
    <t>ACH CREDIT â€” MONTREAL FINANCE HUB â€” REF:SUB045</t>
  </si>
  <si>
    <t>TXN-2026-02-0010</t>
  </si>
  <si>
    <t>ACH CREDIT â€” TORONTO MEDIA GROUP â€” REF:SUB014</t>
  </si>
  <si>
    <t>TXN-2026-02-0009</t>
  </si>
  <si>
    <t>ACH CREDIT â€” PACIFIC FINANCE CORP â€” REF:SUB027</t>
  </si>
  <si>
    <t>TXN-2026-02-0008</t>
  </si>
  <si>
    <t>ACH CREDIT â€” QUANTUM EDUCATION PLATFORM â€” REF:SUB059</t>
  </si>
  <si>
    <t>TXN-2026-02-0007</t>
  </si>
  <si>
    <t>ACH CREDIT â€” PACIFIC FINANCE CORP â€” REF:SUB053</t>
  </si>
  <si>
    <t>TXN-2026-02-0006</t>
  </si>
  <si>
    <t>ACH CREDIT â€” NORTHERN RETAIL SOLUTIONS â€” REF:SUB043</t>
  </si>
  <si>
    <t>TXN-2026-02-0005</t>
  </si>
  <si>
    <t>ACH CREDIT â€” MAPLE HEALTHCARE SYSTEMS â€” REF:SUB003</t>
  </si>
  <si>
    <t>TXN-2026-02-0004</t>
  </si>
  <si>
    <t>ACH CREDIT â€” HALIFAX HEALTHCARE TECH â€” REF:SUB029</t>
  </si>
  <si>
    <t>TXN-2026-02-0003</t>
  </si>
  <si>
    <t>ACH CREDIT â€” VANCOUVER FINTECH LABS â€” REF:SUB018</t>
  </si>
  <si>
    <t>TXN-2026-02-0002</t>
  </si>
  <si>
    <t>ACH CREDIT â€” ONTARIO MANUFACTURING TECH â€” REF:SUB050</t>
  </si>
  <si>
    <t>TXN-2026-02-0001</t>
  </si>
  <si>
    <t>ACH CREDIT â€” ONTARIO MANUFACTURING TECH â€” REF:SUB007</t>
  </si>
  <si>
    <t>running_balance</t>
  </si>
  <si>
    <t>reference_number</t>
  </si>
  <si>
    <t>amount</t>
  </si>
  <si>
    <t>type</t>
  </si>
  <si>
    <t>description</t>
  </si>
  <si>
    <t>post_date</t>
  </si>
  <si>
    <t>transaction_date</t>
  </si>
  <si>
    <t>Opening Balance:</t>
  </si>
  <si>
    <t>Period: January 2026</t>
  </si>
  <si>
    <t>Account: iDynamics SaaS Inc - Operating</t>
  </si>
  <si>
    <t>TXN-2026-02-0049</t>
  </si>
  <si>
    <t>TXN-2026-02-0048</t>
  </si>
  <si>
    <t>TXN-2026-02-0047</t>
  </si>
  <si>
    <t>Debit</t>
  </si>
  <si>
    <t>ACH DEBIT â€” REFUND TO ONTARIO MANUFACTURING TECH â€” REF:SUB050 CN-2026-02-0001</t>
  </si>
  <si>
    <t>ACH CREDIT â€” PACIFIC COAST ANALYTICS â€” REF:SUB064</t>
  </si>
  <si>
    <t>ACH CREDIT â€” PRAIRIE SAAS INNOVATIONS â€” REF:SUB028</t>
  </si>
  <si>
    <t>ACH CREDIT â€” DYNAMIC RETAIL SOLUTIONS â€” REF:SUB063</t>
  </si>
  <si>
    <t>ACH CREDIT â€” PRAIRIE SAAS INNOVATIONS â€” RETRY REF:SUB028 INV:INV-2026-01-0030</t>
  </si>
  <si>
    <t xml:space="preserve">Opening Balance: </t>
  </si>
  <si>
    <t>Period: February 2026</t>
  </si>
  <si>
    <t>MRR</t>
  </si>
  <si>
    <t>Total Invoiced</t>
  </si>
  <si>
    <t>Total Collected</t>
  </si>
  <si>
    <t>Invoiced vs Collected</t>
  </si>
  <si>
    <t>MRR vs Invoiced</t>
  </si>
  <si>
    <t>Item</t>
  </si>
  <si>
    <t>_+ Annual billing excess</t>
  </si>
  <si>
    <t>_- Annual MRR with no billing this month</t>
  </si>
  <si>
    <t>_= Total Invoiced</t>
  </si>
  <si>
    <t>Difference</t>
  </si>
  <si>
    <t>Bridge 1: MRR to Invoiced</t>
  </si>
  <si>
    <t>Bridge 2: Invoiced to Collected</t>
  </si>
  <si>
    <t>Jan-26</t>
  </si>
  <si>
    <t>Feb-26</t>
  </si>
  <si>
    <t>Part 5:</t>
  </si>
  <si>
    <t xml:space="preserve">The billing file represents a point in time record while the database represents a historical period. </t>
  </si>
  <si>
    <t xml:space="preserve">They share the same number therefore $2185 is the correct number. </t>
  </si>
  <si>
    <t>The billing file for January shows $2185 for SUB012.</t>
  </si>
  <si>
    <t>The database for January shows $2185 for SUB012.</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</si>
  <si>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</si>
  <si>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</si>
  <si>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</si>
  <si>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</si>
  <si>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</si>
  <si>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</si>
  <si>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</si>
  <si>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</si>
  <si>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high due to the previously mentioned annual subscriptions.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</si>
  <si>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</si>
  <si>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</si>
  <si>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The difference between MRR and cash collected is driven by payment timing. Specifically, the prepayments from Pacific Analytics for SUB002 ($46,800) and SUB054 ($23,826) inflated the total invoiced amount above MRR.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</si>
</sst>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 numFmtId="177" formatCode="mmm_yyyyy"/>
    <numFmt numFmtId="178" formatCode="&quot;$&quot;#,##0.00;\(&quot;$&quot;#,##0.00\);\-"/>
    <numFmt numFmtId="179" formatCode="0.0%;\(0.0%\);\-"/>
    <numFmt numFmtId="180" formatCode="0.00&quot;x&quot;"/>
    <numFmt numFmtId="181" formatCode="#,##0.0"/>
  </numFmts>
  <fonts count="56"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b/>
      <sz val="10"/>
      <name val="Arial"/>
      <family val="2"/>
    </font>
    <font>
      <b/>
      <sz val="11"/>
      <name val="Calibri"/>
      <family val="2"/>
      <scheme val="minor"/>
    </font>
    <font>
      <b/>
      <sz val="13"/>
      <color theme="1"/>
      <name val="Calibri"/>
      <family val="2"/>
      <scheme val="minor"/>
    </font>
    <font>
      <sz val="11"/>
      <color rgb="FF0000FF"/>
      <name val="Calibri"/>
      <family val="2"/>
      <scheme val="minor"/>
    </font>
    <font>
      <i/>
      <sz val="11"/>
      <color theme="1"/>
      <name val="Calibri"/>
      <family val="2"/>
      <scheme val="minor"/>
    </font>
    <font>
      <b/>
      <i/>
      <sz val="13"/>
      <color theme="1"/>
      <name val="Calibri"/>
      <family val="2"/>
      <scheme val="minor"/>
    </font>
    <font>
      <b/>
      <sz val="14"/>
      <color theme="1"/>
      <name val="Calibri"/>
      <family val="2"/>
      <scheme val="minor"/>
    </font>
    <font>
      <sz val="10"/>
      <color theme="1"/>
      <name val="Arial"/>
    </font>
    <font>
      <b/>
      <sz val="10"/>
      <color theme="1"/>
      <name val="Arial"/>
    </font>
    <font>
      <b/>
      <sz val="10"/>
      <color theme="1"/>
      <name val="Calibri"/>
      <scheme val="minor"/>
    </font>
    <font>
      <b/>
      <i/>
      <sz val="9"/>
      <color rgb="FF666666"/>
      <name val="Arial"/>
    </font>
    <font>
      <b/>
      <sz val="13"/>
      <color theme="1"/>
      <name val="Calibri"/>
      <scheme val="minor"/>
    </font>
    <font>
      <sz val="11"/>
      <color rgb="FF0000FF"/>
      <name val="Calibri"/>
      <scheme val="minor"/>
    </font>
    <font>
      <i/>
      <sz val="11"/>
      <color rgb="FF666666"/>
      <name val="Calibri"/>
      <scheme val="minor"/>
    </font>
    <font>
      <i/>
      <sz val="11"/>
      <color theme="1"/>
      <name val="Calibri"/>
      <scheme val="minor"/>
    </font>
    <font>
      <b/>
      <i/>
      <sz val="13"/>
      <color theme="1"/>
      <name val="Calibri"/>
      <scheme val="minor"/>
    </font>
    <font>
      <b/>
      <sz val="10"/>
      <color rgb="FF000000"/>
      <name val="Arial"/>
    </font>
    <font>
      <b/>
      <i/>
      <sz val="10"/>
      <color rgb="FFFFFFFF"/>
      <name val="Arial"/>
      <family val="2"/>
    </font>
    <font>
      <b/>
      <sz val="10"/>
      <color rgb="FF0000FF"/>
      <name val="Arial"/>
      <family val="2"/>
    </font>
    <font>
      <i/>
      <sz val="9"/>
      <color rgb="FF666666"/>
      <name val="Arial"/>
      <family val="2"/>
    </font>
    <font>
      <sz val="10"/>
      <color theme="1"/>
      <name val="Arial"/>
      <family val="2"/>
    </font>
    <font>
      <i/>
      <sz val="10"/>
      <color theme="1"/>
      <name val="Arial"/>
      <family val="2"/>
    </font>
    <font>
      <sz val="10"/>
      <color rgb="FF000000"/>
      <name val="Arial"/>
      <family val="2"/>
    </font>
    <font>
      <b/>
      <sz val="11"/>
      <color rgb="FF1F3864"/>
      <name val="Calibri"/>
      <family val="2"/>
      <scheme val="minor"/>
    </font>
  </fonts>
  <fills count="19">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
      <patternFill patternType="solid">
        <fgColor rgb="FFD9E1F2"/>
        <bgColor indexed="64"/>
      </patternFill>
    </fill>
    <fill>
      <patternFill patternType="solid">
        <fgColor rgb="FFBDD7EE"/>
        <bgColor indexed="64"/>
      </patternFill>
    </fill>
    <fill>
      <patternFill patternType="solid">
        <fgColor rgb="FFEBF3FB"/>
        <bgColor indexed="64"/>
      </patternFill>
    </fill>
    <fill>
      <patternFill patternType="solid">
        <fgColor rgb="FF1F3864"/>
        <bgColor indexed="64"/>
      </patternFill>
    </fill>
    <fill>
      <patternFill patternType="solid">
        <fgColor rgb="FFB8CCE4"/>
        <bgColor indexed="64"/>
      </patternFill>
    </fill>
    <fill>
      <patternFill patternType="solid">
        <fgColor rgb="FFDCE6F1"/>
        <bgColor indexed="64"/>
      </patternFill>
    </fill>
    <fill>
      <patternFill patternType="solid">
        <fgColor rgb="FFFFFFFF"/>
        <bgColor indexed="64"/>
      </patternFill>
    </fill>
    <fill>
      <patternFill patternType="solid">
        <fgColor theme="0"/>
        <bgColor indexed="64"/>
      </patternFill>
    </fill>
  </fills>
  <borders count="14">
    <border>
      <left/>
      <right/>
      <top/>
      <bottom/>
      <diagonal/>
    </border>
    <border>
      <left/>
      <right/>
      <top style="thin">
        <color rgb="FF000000"/>
      </top>
      <bottom style="double">
        <color rgb="FF000000"/>
      </bottom>
      <diagonal/>
    </border>
    <border>
      <left/>
      <right/>
      <top style="thin">
        <color rgb="FF000000"/>
      </top>
      <bottom/>
      <diagonal/>
    </border>
    <border>
      <left/>
      <right/>
      <top style="double">
        <color rgb="FF000000"/>
      </top>
      <bottom/>
      <diagonal/>
    </border>
    <border>
      <left/>
      <right/>
      <top style="double">
        <color rgb="FF000000"/>
      </top>
      <bottom style="double">
        <color rgb="FF000000"/>
      </bottom>
      <diagonal/>
    </border>
    <border>
      <left style="thin">
        <color rgb="FFFFFFFF"/>
      </left>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top style="medium">
        <color rgb="FFFFFFFF"/>
      </top>
      <bottom style="thin">
        <color rgb="FFFFFFFF"/>
      </bottom>
      <diagonal/>
    </border>
    <border>
      <left style="thin">
        <color rgb="FFFFFFFF"/>
      </left>
      <right style="thin">
        <color rgb="FFFFFFFF"/>
      </right>
      <top style="medium">
        <color rgb="FFFFFFFF"/>
      </top>
      <bottom style="thin">
        <color rgb="FFFFFFFF"/>
      </bottom>
      <diagonal/>
    </border>
    <border>
      <left/>
      <right/>
      <top/>
      <bottom style="thin">
        <color rgb="FF1F3864"/>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244">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0" fontId="32" fillId="0" borderId="0" xfId="0" applyFont="1"/>
    <xf numFmtId="9" fontId="0" fillId="0" borderId="0" xfId="2" applyFont="1"/>
    <xf numFmtId="175" fontId="13" fillId="0" borderId="0" xfId="0" applyNumberFormat="1" applyFont="1"/>
    <xf numFmtId="175" fontId="13" fillId="0" borderId="0" xfId="2" applyNumberFormat="1" applyFont="1"/>
    <xf numFmtId="9" fontId="0" fillId="0" borderId="0" xfId="0" applyNumberFormat="1"/>
    <xf numFmtId="0" fontId="0" fillId="0" borderId="0" xfId="0" applyAlignment="1">
      <alignment horizontal="center"/>
    </xf>
    <xf numFmtId="9" fontId="5" fillId="0" borderId="1" xfId="2" applyFont="1" applyBorder="1" applyAlignment="1">
      <alignment horizontal="center"/>
    </xf>
    <xf numFmtId="0" fontId="33" fillId="0" borderId="0" xfId="0" applyFont="1"/>
    <xf numFmtId="0" fontId="34" fillId="0" borderId="0" xfId="0" applyFont="1"/>
    <xf numFmtId="0" fontId="13" fillId="11" borderId="0" xfId="0" applyFont="1" applyFill="1"/>
    <xf numFmtId="0" fontId="35" fillId="0" borderId="0" xfId="0" applyFont="1"/>
    <xf numFmtId="0" fontId="36" fillId="0" borderId="0" xfId="0" applyFont="1"/>
    <xf numFmtId="0" fontId="37" fillId="0" borderId="0" xfId="0" applyFont="1"/>
    <xf numFmtId="0" fontId="38" fillId="0" borderId="0" xfId="0" applyFont="1"/>
    <xf numFmtId="0" fontId="13" fillId="12" borderId="0" xfId="0" applyFont="1" applyFill="1" applyAlignment="1">
      <alignment horizontal="center"/>
    </xf>
    <xf numFmtId="0" fontId="0" fillId="13" borderId="0" xfId="0" applyFill="1"/>
    <xf numFmtId="1" fontId="0" fillId="0" borderId="0" xfId="0" applyNumberFormat="1"/>
    <xf numFmtId="0" fontId="0" fillId="13" borderId="0" xfId="0" applyFill="1" applyAlignment="1">
      <alignment horizontal="center"/>
    </xf>
    <xf numFmtId="0" fontId="0" fillId="0" borderId="0" xfId="0" applyAlignment="1">
      <alignment wrapText="1"/>
    </xf>
    <xf numFmtId="0" fontId="24" fillId="0" borderId="0" xfId="0" applyFont="1"/>
    <xf numFmtId="0" fontId="25" fillId="0" borderId="0" xfId="0" applyFont="1"/>
    <xf numFmtId="0" fontId="4" fillId="14" borderId="0" xfId="0" applyFont="1" applyFill="1" applyAlignment="1">
      <alignment horizontal="center"/>
    </xf>
    <xf numFmtId="0" fontId="39" fillId="0" borderId="0" xfId="0" applyFont="1"/>
    <xf numFmtId="0" fontId="40" fillId="0" borderId="0" xfId="0" applyFont="1"/>
    <xf numFmtId="164" fontId="39" fillId="0" borderId="0" xfId="0" applyNumberFormat="1" applyFont="1"/>
    <xf numFmtId="9" fontId="39" fillId="0" borderId="0" xfId="0" applyNumberFormat="1" applyFont="1"/>
    <xf numFmtId="0" fontId="24" fillId="0" borderId="0" xfId="0" applyFont="1" applyAlignment="1">
      <alignment horizontal="center"/>
    </xf>
    <xf numFmtId="175" fontId="24" fillId="0" borderId="0" xfId="0" applyNumberFormat="1" applyFont="1"/>
    <xf numFmtId="9" fontId="24" fillId="0" borderId="0" xfId="0" applyNumberFormat="1" applyFont="1"/>
    <xf numFmtId="0" fontId="41" fillId="0" borderId="0" xfId="0" applyFont="1" applyAlignment="1">
      <alignment horizontal="center"/>
    </xf>
    <xf numFmtId="0" fontId="40" fillId="0" borderId="2" xfId="0" applyFont="1" applyBorder="1"/>
    <xf numFmtId="164" fontId="40" fillId="0" borderId="2" xfId="0" applyNumberFormat="1" applyFont="1" applyBorder="1"/>
    <xf numFmtId="9" fontId="40" fillId="0" borderId="2" xfId="0" applyNumberFormat="1" applyFont="1" applyBorder="1"/>
    <xf numFmtId="0" fontId="40" fillId="0" borderId="2" xfId="0" applyFont="1" applyBorder="1" applyAlignment="1">
      <alignment horizontal="center"/>
    </xf>
    <xf numFmtId="0" fontId="40" fillId="0" borderId="3" xfId="0" applyFont="1" applyBorder="1"/>
    <xf numFmtId="164" fontId="40" fillId="0" borderId="3" xfId="0" applyNumberFormat="1" applyFont="1" applyBorder="1"/>
    <xf numFmtId="9" fontId="40" fillId="0" borderId="3" xfId="0" applyNumberFormat="1" applyFont="1" applyBorder="1"/>
    <xf numFmtId="0" fontId="40" fillId="0" borderId="3" xfId="0" applyFont="1" applyBorder="1" applyAlignment="1">
      <alignment horizontal="center"/>
    </xf>
    <xf numFmtId="165" fontId="40" fillId="0" borderId="0" xfId="0" applyNumberFormat="1" applyFont="1"/>
    <xf numFmtId="9" fontId="40" fillId="0" borderId="0" xfId="0" applyNumberFormat="1" applyFont="1"/>
    <xf numFmtId="0" fontId="40" fillId="0" borderId="0" xfId="0" applyFont="1" applyAlignment="1">
      <alignment horizontal="center"/>
    </xf>
    <xf numFmtId="0" fontId="0" fillId="0" borderId="3" xfId="0" applyBorder="1"/>
    <xf numFmtId="175" fontId="25" fillId="0" borderId="2" xfId="0" applyNumberFormat="1" applyFont="1" applyBorder="1"/>
    <xf numFmtId="9" fontId="24" fillId="0" borderId="2" xfId="0" applyNumberFormat="1" applyFont="1" applyBorder="1"/>
    <xf numFmtId="0" fontId="24" fillId="0" borderId="2" xfId="0" applyFont="1" applyBorder="1" applyAlignment="1">
      <alignment horizontal="center"/>
    </xf>
    <xf numFmtId="9" fontId="25" fillId="0" borderId="2" xfId="0" applyNumberFormat="1" applyFont="1" applyBorder="1"/>
    <xf numFmtId="0" fontId="24" fillId="0" borderId="3" xfId="0" applyFont="1" applyBorder="1" applyAlignment="1">
      <alignment horizontal="center"/>
    </xf>
    <xf numFmtId="0" fontId="40" fillId="0" borderId="4" xfId="0" applyFont="1" applyBorder="1"/>
    <xf numFmtId="175" fontId="25" fillId="0" borderId="4" xfId="0" applyNumberFormat="1" applyFont="1" applyBorder="1"/>
    <xf numFmtId="9" fontId="25" fillId="0" borderId="4" xfId="0" applyNumberFormat="1" applyFont="1" applyBorder="1"/>
    <xf numFmtId="0" fontId="24" fillId="0" borderId="4" xfId="0" applyFont="1" applyBorder="1" applyAlignment="1">
      <alignment horizontal="center"/>
    </xf>
    <xf numFmtId="9" fontId="24" fillId="0" borderId="3" xfId="0" applyNumberFormat="1" applyFont="1" applyBorder="1"/>
    <xf numFmtId="9" fontId="24" fillId="9" borderId="3" xfId="0" applyNumberFormat="1" applyFont="1" applyFill="1" applyBorder="1"/>
    <xf numFmtId="0" fontId="42" fillId="0" borderId="0" xfId="0" applyFont="1"/>
    <xf numFmtId="49" fontId="39" fillId="0" borderId="0" xfId="0" applyNumberFormat="1" applyFont="1"/>
    <xf numFmtId="0" fontId="43" fillId="0" borderId="0" xfId="0" applyFont="1"/>
    <xf numFmtId="0" fontId="25" fillId="11" borderId="0" xfId="0" applyFont="1" applyFill="1"/>
    <xf numFmtId="0" fontId="44" fillId="0" borderId="0" xfId="0" applyFont="1"/>
    <xf numFmtId="166" fontId="24" fillId="0" borderId="0" xfId="0" applyNumberFormat="1" applyFont="1"/>
    <xf numFmtId="170" fontId="24" fillId="0" borderId="0" xfId="0" applyNumberFormat="1" applyFont="1"/>
    <xf numFmtId="0" fontId="45" fillId="0" borderId="0" xfId="0" applyFont="1"/>
    <xf numFmtId="0" fontId="46" fillId="0" borderId="0" xfId="0" applyFont="1"/>
    <xf numFmtId="0" fontId="47" fillId="0" borderId="0" xfId="0" applyFont="1"/>
    <xf numFmtId="1" fontId="24" fillId="0" borderId="0" xfId="0" applyNumberFormat="1" applyFont="1"/>
    <xf numFmtId="175" fontId="24" fillId="15" borderId="0" xfId="0" applyNumberFormat="1" applyFont="1" applyFill="1"/>
    <xf numFmtId="0" fontId="24" fillId="16" borderId="0" xfId="0" applyFont="1" applyFill="1"/>
    <xf numFmtId="0" fontId="24" fillId="15" borderId="0" xfId="0" applyFont="1" applyFill="1"/>
    <xf numFmtId="175" fontId="24" fillId="16" borderId="0" xfId="0" applyNumberFormat="1" applyFont="1" applyFill="1"/>
    <xf numFmtId="2" fontId="44" fillId="0" borderId="0" xfId="0" applyNumberFormat="1" applyFont="1"/>
    <xf numFmtId="0" fontId="0" fillId="15" borderId="0" xfId="0" applyFill="1"/>
    <xf numFmtId="175" fontId="0" fillId="15" borderId="0" xfId="0" applyNumberFormat="1" applyFill="1"/>
    <xf numFmtId="177" fontId="0" fillId="0" borderId="0" xfId="0" applyNumberFormat="1" applyAlignment="1">
      <alignment horizontal="center"/>
    </xf>
    <xf numFmtId="3" fontId="0" fillId="7" borderId="0" xfId="0" applyNumberFormat="1" applyFill="1"/>
    <xf numFmtId="0" fontId="16" fillId="15" borderId="5" xfId="0" applyFont="1" applyFill="1" applyBorder="1"/>
    <xf numFmtId="0" fontId="16" fillId="15" borderId="6" xfId="0" applyFont="1" applyFill="1" applyBorder="1"/>
    <xf numFmtId="175" fontId="16" fillId="15" borderId="5" xfId="0" applyNumberFormat="1" applyFont="1" applyFill="1" applyBorder="1"/>
    <xf numFmtId="175" fontId="16" fillId="15" borderId="6" xfId="0" applyNumberFormat="1" applyFont="1" applyFill="1" applyBorder="1"/>
    <xf numFmtId="175" fontId="16" fillId="15" borderId="7" xfId="0" applyNumberFormat="1" applyFont="1" applyFill="1" applyBorder="1"/>
    <xf numFmtId="0" fontId="16" fillId="16" borderId="5" xfId="0" applyFont="1" applyFill="1" applyBorder="1"/>
    <xf numFmtId="175" fontId="16" fillId="16" borderId="5" xfId="0" applyNumberFormat="1" applyFont="1" applyFill="1" applyBorder="1"/>
    <xf numFmtId="175" fontId="16" fillId="15" borderId="8" xfId="0" applyNumberFormat="1" applyFont="1" applyFill="1" applyBorder="1"/>
    <xf numFmtId="175" fontId="16" fillId="16" borderId="8" xfId="0" applyNumberFormat="1" applyFont="1" applyFill="1" applyBorder="1"/>
    <xf numFmtId="0" fontId="16" fillId="16" borderId="9" xfId="0" applyFont="1" applyFill="1" applyBorder="1"/>
    <xf numFmtId="175" fontId="16" fillId="16" borderId="10" xfId="0" applyNumberFormat="1" applyFont="1" applyFill="1" applyBorder="1"/>
    <xf numFmtId="175" fontId="16" fillId="16" borderId="9" xfId="0" applyNumberFormat="1" applyFont="1" applyFill="1" applyBorder="1"/>
    <xf numFmtId="0" fontId="16" fillId="15" borderId="11" xfId="0" applyFont="1" applyFill="1" applyBorder="1"/>
    <xf numFmtId="175" fontId="16" fillId="15" borderId="12" xfId="0" applyNumberFormat="1" applyFont="1" applyFill="1" applyBorder="1"/>
    <xf numFmtId="175" fontId="16" fillId="15" borderId="11" xfId="0" applyNumberFormat="1" applyFont="1" applyFill="1" applyBorder="1"/>
    <xf numFmtId="17" fontId="0" fillId="0" borderId="0" xfId="0" applyNumberFormat="1" applyAlignment="1">
      <alignment horizontal="left"/>
    </xf>
    <xf numFmtId="0" fontId="22" fillId="17" borderId="0" xfId="0" applyFont="1" applyFill="1"/>
    <xf numFmtId="0" fontId="48" fillId="17" borderId="0" xfId="0" applyFont="1" applyFill="1"/>
    <xf numFmtId="178" fontId="39" fillId="0" borderId="0" xfId="0" applyNumberFormat="1" applyFont="1"/>
    <xf numFmtId="178" fontId="40" fillId="0" borderId="0" xfId="0" applyNumberFormat="1" applyFont="1"/>
    <xf numFmtId="179" fontId="39" fillId="0" borderId="0" xfId="0" applyNumberFormat="1" applyFont="1"/>
    <xf numFmtId="0" fontId="31" fillId="14" borderId="0" xfId="0" applyFont="1" applyFill="1" applyAlignment="1">
      <alignment horizontal="center"/>
    </xf>
    <xf numFmtId="2" fontId="0" fillId="0" borderId="0" xfId="0" applyNumberFormat="1"/>
    <xf numFmtId="1" fontId="0" fillId="16" borderId="0" xfId="0" applyNumberFormat="1" applyFill="1"/>
    <xf numFmtId="166" fontId="0" fillId="16" borderId="0" xfId="0" applyNumberFormat="1" applyFill="1"/>
    <xf numFmtId="166" fontId="0" fillId="15" borderId="0" xfId="0" applyNumberFormat="1" applyFill="1"/>
    <xf numFmtId="0" fontId="0" fillId="15" borderId="0" xfId="0" applyFill="1" applyAlignment="1">
      <alignment horizontal="center"/>
    </xf>
    <xf numFmtId="170" fontId="0" fillId="16" borderId="0" xfId="0" applyNumberFormat="1" applyFill="1"/>
    <xf numFmtId="170" fontId="0" fillId="15" borderId="0" xfId="0" applyNumberFormat="1" applyFill="1"/>
    <xf numFmtId="170" fontId="36" fillId="13" borderId="0" xfId="0" applyNumberFormat="1" applyFont="1" applyFill="1" applyAlignment="1">
      <alignment horizontal="center"/>
    </xf>
    <xf numFmtId="175" fontId="36" fillId="13" borderId="0" xfId="0" applyNumberFormat="1" applyFont="1" applyFill="1" applyAlignment="1">
      <alignment horizontal="center"/>
    </xf>
    <xf numFmtId="180" fontId="36" fillId="13" borderId="0" xfId="0" applyNumberFormat="1" applyFont="1" applyFill="1" applyAlignment="1">
      <alignment horizontal="center"/>
    </xf>
    <xf numFmtId="172" fontId="36" fillId="13" borderId="0" xfId="0" applyNumberFormat="1" applyFont="1" applyFill="1" applyAlignment="1">
      <alignment horizontal="center"/>
    </xf>
    <xf numFmtId="0" fontId="27" fillId="17" borderId="0" xfId="0" applyFont="1" applyFill="1"/>
    <xf numFmtId="10" fontId="0" fillId="0" borderId="0" xfId="2" applyNumberFormat="1" applyFont="1"/>
    <xf numFmtId="0" fontId="16" fillId="17" borderId="0" xfId="0" applyFont="1" applyFill="1"/>
    <xf numFmtId="0" fontId="21" fillId="14" borderId="0" xfId="0" applyFont="1" applyFill="1"/>
    <xf numFmtId="175" fontId="23" fillId="11" borderId="0" xfId="0" applyNumberFormat="1" applyFont="1" applyFill="1"/>
    <xf numFmtId="175" fontId="44" fillId="9" borderId="0" xfId="0" applyNumberFormat="1" applyFont="1" applyFill="1"/>
    <xf numFmtId="1" fontId="44" fillId="9" borderId="0" xfId="0" applyNumberFormat="1" applyFont="1" applyFill="1"/>
    <xf numFmtId="175" fontId="44" fillId="10" borderId="0" xfId="0" applyNumberFormat="1" applyFont="1" applyFill="1"/>
    <xf numFmtId="175" fontId="22" fillId="11" borderId="0" xfId="0" applyNumberFormat="1" applyFont="1" applyFill="1"/>
    <xf numFmtId="0" fontId="25" fillId="0" borderId="13" xfId="0" applyFont="1" applyBorder="1"/>
    <xf numFmtId="175" fontId="22" fillId="11" borderId="13" xfId="0" applyNumberFormat="1" applyFont="1" applyFill="1" applyBorder="1"/>
    <xf numFmtId="0" fontId="24" fillId="0" borderId="13" xfId="0" applyFont="1" applyBorder="1"/>
    <xf numFmtId="1" fontId="44" fillId="9" borderId="13" xfId="0" applyNumberFormat="1" applyFont="1" applyFill="1" applyBorder="1"/>
    <xf numFmtId="0" fontId="35" fillId="9" borderId="0" xfId="0" applyFont="1" applyFill="1"/>
    <xf numFmtId="0" fontId="16" fillId="11" borderId="0" xfId="0" applyFont="1" applyFill="1"/>
    <xf numFmtId="0" fontId="35" fillId="10" borderId="0" xfId="0" applyFont="1" applyFill="1"/>
    <xf numFmtId="0" fontId="31" fillId="14" borderId="0" xfId="0" applyFont="1" applyFill="1"/>
    <xf numFmtId="0" fontId="0" fillId="14" borderId="0" xfId="0" applyFill="1"/>
    <xf numFmtId="0" fontId="49" fillId="14" borderId="0" xfId="0" applyFont="1" applyFill="1" applyAlignment="1">
      <alignment horizontal="center"/>
    </xf>
    <xf numFmtId="15" fontId="50" fillId="9" borderId="0" xfId="0" applyNumberFormat="1" applyFont="1" applyFill="1"/>
    <xf numFmtId="0" fontId="51" fillId="0" borderId="0" xfId="0" applyFont="1"/>
    <xf numFmtId="0" fontId="53" fillId="0" borderId="0" xfId="0" applyFont="1"/>
    <xf numFmtId="49" fontId="50" fillId="9" borderId="0" xfId="0" applyNumberFormat="1" applyFont="1" applyFill="1"/>
    <xf numFmtId="15" fontId="54" fillId="11" borderId="0" xfId="0" applyNumberFormat="1" applyFont="1" applyFill="1"/>
    <xf numFmtId="164" fontId="52" fillId="0" borderId="0" xfId="0" applyNumberFormat="1" applyFont="1"/>
    <xf numFmtId="1" fontId="35" fillId="0" borderId="0" xfId="0" applyNumberFormat="1" applyFont="1"/>
    <xf numFmtId="169" fontId="21" fillId="14" borderId="0" xfId="0" applyNumberFormat="1" applyFont="1" applyFill="1" applyAlignment="1">
      <alignment horizontal="center"/>
    </xf>
    <xf numFmtId="0" fontId="55" fillId="18" borderId="0" xfId="0" applyFont="1" applyFill="1"/>
    <xf numFmtId="181" fontId="0" fillId="0" borderId="0" xfId="0" applyNumberFormat="1"/>
    <xf numFmtId="0" fontId="29" fillId="10" borderId="0" xfId="0" applyFont="1" applyFill="1"/>
    <xf numFmtId="0" fontId="36" fillId="13" borderId="0" xfId="0" applyFont="1" applyFill="1" applyAlignment="1">
      <alignment horizontal="center" wrapText="1"/>
    </xf>
    <xf numFmtId="0" fontId="17" fillId="0" borderId="0" xfId="0" applyFont="1" applyAlignment="1">
      <alignment vertical="top" wrapText="1"/>
    </xf>
    <xf numFmtId="0" fontId="0" fillId="0" borderId="0" xfId="0"/>
    <xf numFmtId="0" fontId="26" fillId="8" borderId="0" xfId="0" applyFont="1" applyFill="1"/>
  </cellXfs>
  <cellStyles count="3">
    <cellStyle name="Currency" xfId="1" builtinId="4"/>
    <cellStyle name="Normal" xfId="0" builtinId="0"/>
    <cellStyle name="Percent" xfId="2" builtinId="5"/>
  </cellStyles>
  <dxfs count="50">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
      <numFmt numFmtId="172" formatCode="0.0"/>
      <alignment horizontal="right" vertical="bottom" textRotation="0" wrapText="0" indent="0" justifyLastLine="0" shrinkToFit="0" readingOrder="0"/>
    </dxf>
    <dxf>
      <numFmt numFmtId="19" formatCode="yyyy/mm/dd"/>
    </dxf>
    <dxf>
      <numFmt numFmtId="22" formatCode="mmm/yy"/>
    </dxf>
    <dxf>
      <numFmt numFmtId="175" formatCode="&quot;$&quot;#,##0.00"/>
    </dxf>
    <dxf>
      <numFmt numFmtId="175" formatCode="&quot;$&quot;#,##0.00"/>
    </dxf>
    <dxf>
      <numFmt numFmtId="175" formatCode="&quot;$&quot;#,##0.00"/>
    </dxf>
    <dxf>
      <numFmt numFmtId="22" formatCode="mmm/yy"/>
      <alignment horizontal="left"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solid">
          <fgColor indexed="64"/>
          <bgColor rgb="FFEBF3FB"/>
        </patternFill>
      </fill>
      <alignment horizontal="center" vertical="bottom" textRotation="0" wrapText="0" indent="0" justifyLastLine="0" shrinkToFit="0" readingOrder="0"/>
    </dxf>
    <dxf>
      <numFmt numFmtId="0" formatCode="General"/>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alignment horizontal="center" vertical="bottom" textRotation="0" wrapText="0" indent="0" justifyLastLine="0" shrinkToFit="0" readingOrder="0"/>
    </dxf>
    <dxf>
      <fill>
        <patternFill patternType="solid">
          <fgColor indexed="64"/>
          <bgColor rgb="FFEBF3FB"/>
        </patternFill>
      </fill>
    </dxf>
    <dxf>
      <fill>
        <patternFill patternType="solid">
          <fgColor indexed="64"/>
          <bgColor rgb="FFEBF3FB"/>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numFmt numFmtId="22" formatCode="mmm/yy"/>
      <fill>
        <patternFill patternType="solid">
          <fgColor indexed="64"/>
          <bgColor rgb="FFD9E1F2"/>
        </patternFill>
      </fill>
      <alignment horizontal="center" vertical="bottom" textRotation="0" wrapText="0" indent="0" justifyLastLine="0" shrinkToFit="0" readingOrder="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yyyy/mm/dd"/>
    </dxf>
    <dxf>
      <numFmt numFmtId="19" formatCode="yyyy/mm/dd"/>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5F6476-FB60-4480-A570-F231A40BD01F}" name="Table6" displayName="Table6" ref="A1:S48" totalsRowShown="0">
  <autoFilter ref="A1:S48" xr:uid="{6B5F6476-FB60-4480-A570-F231A40BD01F}"/>
  <tableColumns count="19">
    <tableColumn id="1" xr3:uid="{08D930B4-9890-411B-810C-899FE4673D42}" name="invoice_id"/>
    <tableColumn id="2" xr3:uid="{78C5F7D2-C96A-41A2-90A4-0E4C08695DF6}" name="invoice_number"/>
    <tableColumn id="3" xr3:uid="{80B802A6-F76B-4BE6-A795-8C34D532C099}" name="invoice_date" dataDxfId="45"/>
    <tableColumn id="4" xr3:uid="{203A3EE7-952D-4AFE-8BAC-C41BD7CA8655}" name="customer_id"/>
    <tableColumn id="5" xr3:uid="{EC0856AA-B208-44D8-97CD-3DD96CABD659}" name="customer_name"/>
    <tableColumn id="6" xr3:uid="{E391B6F2-AE8C-492A-AED4-AB5909088DDF}" name="subscription_id"/>
    <tableColumn id="7" xr3:uid="{074C8C73-3126-45BE-9B27-A5BC005C1EFF}" name="plan_name"/>
    <tableColumn id="8" xr3:uid="{F0D5F54C-B34A-4267-B3FD-4C83D8A50209}" name="billing_cycle"/>
    <tableColumn id="9" xr3:uid="{6E760CB8-3FA8-436E-A4CD-72E1C0B10013}" name="period_start" dataDxfId="44"/>
    <tableColumn id="10" xr3:uid="{B787FCB1-15F0-460E-A722-14899CAC199A}" name="period_end" dataDxfId="43"/>
    <tableColumn id="11" xr3:uid="{81564DDC-B43B-4569-99BA-B0601A2EEE03}" name="seats"/>
    <tableColumn id="12" xr3:uid="{B615AF31-2E34-4DE2-BE04-C72D72BE94AF}" name="unit_price_usd"/>
    <tableColumn id="13" xr3:uid="{A983E25A-17DC-42D0-9713-BE9B5E00A732}" name="subtotal"/>
    <tableColumn id="14" xr3:uid="{C0A5CA9D-83BE-46B4-BC70-15CC15684690}" name="discount_pct"/>
    <tableColumn id="15" xr3:uid="{A079E266-8647-4132-BF2B-629C26246AAD}" name="discount_amount"/>
    <tableColumn id="16" xr3:uid="{FD389F69-CE39-4BF7-B6A4-43A116F762AD}" name="amount_due_usd"/>
    <tableColumn id="17" xr3:uid="{D735EA05-5C6F-4FDC-90B2-EA5C2DF9FD52}" name="status"/>
    <tableColumn id="18" xr3:uid="{A31C9E02-6CED-4D0F-BCBF-92D564CE7AAA}" name="payment_date" dataDxfId="42"/>
    <tableColumn id="19" xr3:uid="{57ECA177-DABC-4800-BB5B-13C0DC93FCD7}" name="failure_reas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74256F-44DF-48C7-B8C3-99F0FB424C4F}" name="Table7" displayName="Table7" ref="A1:S49" totalsRowShown="0">
  <autoFilter ref="A1:S49" xr:uid="{6074256F-44DF-48C7-B8C3-99F0FB424C4F}"/>
  <tableColumns count="19">
    <tableColumn id="1" xr3:uid="{21B141D2-BD24-4523-B0A8-8B99DCD9FECF}" name="invoice_id"/>
    <tableColumn id="2" xr3:uid="{AB269321-8EAB-4325-AE18-6279930F9A0E}" name="invoice_number"/>
    <tableColumn id="3" xr3:uid="{23106853-3100-4D36-9C47-4269F0C551BD}" name="invoice_date" dataDxfId="49"/>
    <tableColumn id="4" xr3:uid="{EE76C4DA-5FA6-436E-9A78-AFEC5CFC83C1}" name="customer_id"/>
    <tableColumn id="5" xr3:uid="{2760AFFA-3B13-4B9F-99D3-C9E01F37B22F}" name="customer_name"/>
    <tableColumn id="6" xr3:uid="{4CE635A9-DE25-4E9B-BB83-9C94555717D5}" name="subscription_id"/>
    <tableColumn id="7" xr3:uid="{E4C2A96F-D0B4-4656-BEE4-47DBECF891E0}" name="plan_name"/>
    <tableColumn id="8" xr3:uid="{3A66C07F-0245-4D4D-8D5A-953CAEAD58D3}" name="billing_cycle"/>
    <tableColumn id="9" xr3:uid="{942367B1-6210-4321-9324-F81D1DD3398A}" name="period_start" dataDxfId="48"/>
    <tableColumn id="10" xr3:uid="{D0AF7F7C-63C8-4F36-954F-161F43408DA8}" name="period_end" dataDxfId="47"/>
    <tableColumn id="11" xr3:uid="{4EA378D3-B2C9-4C09-BE53-469ED430F32B}" name="seats"/>
    <tableColumn id="12" xr3:uid="{146801D2-0FD0-4981-87DE-8E2A43F60772}" name="unit_price_usd"/>
    <tableColumn id="13" xr3:uid="{FF4311AE-A6A1-4E7B-9FC9-11B3B4A8414C}" name="subtotal"/>
    <tableColumn id="14" xr3:uid="{F2C059F5-425F-4500-B80B-50A84C10B77D}" name="discount_pct"/>
    <tableColumn id="15" xr3:uid="{C6C9646C-0AEB-4ED2-9FBD-F0441AC39D6A}" name="discount_amount"/>
    <tableColumn id="16" xr3:uid="{732082CD-B258-40E8-A9EA-7C2D2512099B}" name="amount_due_usd"/>
    <tableColumn id="17" xr3:uid="{FE7CEB2C-A5AF-4EFF-BF96-1D794C072BDF}" name="status"/>
    <tableColumn id="18" xr3:uid="{0FFB9F63-EAE9-445D-B021-79D4C9AA1AE4}" name="payment_date" dataDxfId="46"/>
    <tableColumn id="19" xr3:uid="{168E90D3-C284-41BD-91C7-13D5D2A06E50}" name="failure_reas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B4CBBC-3B91-4F77-832A-360696F58DDA}" name="Table8" displayName="Table8" ref="A5:G51" totalsRowShown="0">
  <autoFilter ref="A5:G51" xr:uid="{77B4CBBC-3B91-4F77-832A-360696F58DDA}"/>
  <tableColumns count="7">
    <tableColumn id="1" xr3:uid="{6D854B12-0D02-49F8-A839-BC3EC59A51C8}" name="transaction_date" dataDxfId="41"/>
    <tableColumn id="2" xr3:uid="{26B51931-C320-4C09-BAE3-DB23FE00802A}" name="post_date" dataDxfId="40"/>
    <tableColumn id="3" xr3:uid="{28B78116-4AC0-4D06-A5B8-EC593DDCDA0A}" name="description"/>
    <tableColumn id="4" xr3:uid="{9B35B6BB-60A0-43F8-AF13-5F5533C469AF}" name="type"/>
    <tableColumn id="5" xr3:uid="{13102D05-6A87-4E3A-87E4-4B2ED885C316}" name="amount" dataDxfId="39" dataCellStyle="Currency"/>
    <tableColumn id="6" xr3:uid="{F78163CC-E0F5-4793-840D-6BE5D7B69995}" name="reference_number"/>
    <tableColumn id="7" xr3:uid="{C0F020B1-F1A8-44DE-B2DD-CC8BC9859A33}" name="running_balance" dataDxfId="38" dataCellStyle="Currenc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6F6FD3-8166-4C9D-868A-DCA1BDDC71ED}" name="Table9" displayName="Table9" ref="A5:G54" totalsRowShown="0">
  <autoFilter ref="A5:G54" xr:uid="{996F6FD3-8166-4C9D-868A-DCA1BDDC71ED}"/>
  <tableColumns count="7">
    <tableColumn id="1" xr3:uid="{9D45E691-BD42-4DDE-8170-A19F3EB822D9}" name="transaction_date" dataDxfId="37"/>
    <tableColumn id="2" xr3:uid="{EE01DCDB-A1DC-47FA-930F-7B8C4DDE45BE}" name="post_date" dataDxfId="36"/>
    <tableColumn id="3" xr3:uid="{E524376A-0CE3-4A5B-AD61-DF9ECF465A47}" name="description"/>
    <tableColumn id="4" xr3:uid="{818AAD8E-991B-430D-B740-8956E60587D6}" name="type"/>
    <tableColumn id="5" xr3:uid="{BED9FE2E-6D3F-44BB-964E-B04E7428A7E1}" name="amount" dataDxfId="35" dataCellStyle="Currency"/>
    <tableColumn id="6" xr3:uid="{DCC1B946-4880-41A9-B7B0-DAC27E51E4A9}" name="reference_number"/>
    <tableColumn id="7" xr3:uid="{3381FA1C-207B-402F-90C9-51AA6B8ECF02}" name="running_balance" dataDxfId="34" dataCellStyle="Currenc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34377B-632C-4D93-93C6-A4166D213A4F}" name="Table10" displayName="Table10" ref="A1:C6" totalsRowShown="0">
  <autoFilter ref="A1:C6" xr:uid="{9534377B-632C-4D93-93C6-A4166D213A4F}"/>
  <tableColumns count="3">
    <tableColumn id="1" xr3:uid="{71EA2AFF-48ED-4A6D-AF45-62B20DAE65F2}" name="Metric"/>
    <tableColumn id="2" xr3:uid="{F597A9C7-D774-4FA8-8ADE-1B56C0322542}" name="Jan-26" dataDxfId="33" dataCellStyle="Currency"/>
    <tableColumn id="3" xr3:uid="{A6B9495D-88AD-4589-BF55-33BCF9462EDF}" name="Feb-26" dataDxfId="32" dataCellStyle="Currenc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4B0B22A-E5A8-466B-9B11-EA054D4912F5}" name="Table12" displayName="Table12" ref="A9:C14" totalsRowShown="0">
  <autoFilter ref="A9:C14" xr:uid="{34B0B22A-E5A8-466B-9B11-EA054D4912F5}"/>
  <tableColumns count="3">
    <tableColumn id="1" xr3:uid="{16B9F025-8A2C-4F04-8AFD-F2ED46843CB0}" name="Item"/>
    <tableColumn id="2" xr3:uid="{D7FCAE38-41A2-4A5B-92A3-AFFCD9A06438}" name="Jan-26" dataDxfId="31"/>
    <tableColumn id="3" xr3:uid="{835A3DF2-EEDA-44C2-BD07-E82A2D5568A5}" name="Feb-26" dataDxfId="3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18881AB-F941-440B-84B6-3694135FB9B3}" name="Table13" displayName="Table13" ref="A17:C20" totalsRowShown="0">
  <autoFilter ref="A17:C20" xr:uid="{118881AB-F941-440B-84B6-3694135FB9B3}"/>
  <tableColumns count="3">
    <tableColumn id="1" xr3:uid="{736FAE13-AEF8-4957-98B5-9EA96B231F97}" name="Item"/>
    <tableColumn id="2" xr3:uid="{9488147C-4BC7-49A2-B78B-AB43AAE241A5}" name="Jan-26" dataDxfId="29"/>
    <tableColumn id="3" xr3:uid="{CE43E3F8-3FEA-46B8-AEF7-ADDCDFB72AE7}" name="Feb-26" dataDxfId="2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C032D8-7D31-427B-B687-D6ED9274A891}" name="KPI_Tracker" displayName="KPI_Tracker" ref="A3:E16" totalsRowShown="0" headerRowDxfId="27" dataDxfId="26">
  <autoFilter ref="A3:E16" xr:uid="{33C032D8-7D31-427B-B687-D6ED9274A891}"/>
  <tableColumns count="5">
    <tableColumn id="1" xr3:uid="{C557A6FD-F6C3-489A-869B-8E7220ED2F0F}" name="Metric" dataDxfId="25"/>
    <tableColumn id="2" xr3:uid="{C8637273-2623-450B-8EC2-77599710AE46}" name="Jan 2026" dataDxfId="24"/>
    <tableColumn id="3" xr3:uid="{36B839F2-DBCF-48CC-AD60-ACF3D6D67A87}" name="Feb 2026" dataDxfId="23"/>
    <tableColumn id="4" xr3:uid="{CF28127B-1023-4FAA-8F51-4A1CC9FF9128}" name="Mar 2026" dataDxfId="22">
      <calculatedColumnFormula>'Mar 2026 A vs F'!B30</calculatedColumnFormula>
    </tableColumn>
    <tableColumn id="5" xr3:uid="{7BB998DD-A48B-4270-BB7C-2C1D3FA186B2}" name="Q1 2026" dataDxfId="2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2567E-A03E-4943-98E4-EB876B9B20D6}" name="WaterfallData" displayName="WaterfallData" ref="A1:E22" totalsRowShown="0">
  <autoFilter ref="A1:E22" xr:uid="{0792567E-A03E-4943-98E4-EB876B9B20D6}"/>
  <tableColumns count="5">
    <tableColumn id="1" xr3:uid="{E535E1E4-A65E-480E-B37A-792FC0723850}" name="Month" dataDxfId="20"/>
    <tableColumn id="2" xr3:uid="{AF51F227-B625-4255-94A7-6199B7D7DAD1}" name="Movement"/>
    <tableColumn id="3" xr3:uid="{72A4FA60-7150-4102-88DE-5B089CAE1D25}" name="Actual" dataDxfId="19"/>
    <tableColumn id="4" xr3:uid="{69CC0EB6-9154-4E79-8DD0-FAB442AC9657}" name="Forecast" dataDxfId="18"/>
    <tableColumn id="5" xr3:uid="{4D5B15AB-1D25-4871-B2A0-95F16E574BA9}" name="Variance" dataDxfId="1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102" totalsRowShown="0">
  <autoFilter ref="A1:S102"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16"/>
    <tableColumn id="7" xr3:uid="{6DBCDEDE-28AB-45B0-93DD-BA33B3BFB675}" name="event_date" dataDxfId="15"/>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14">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3" dataDxfId="12">
  <autoFilter ref="A66:J80" xr:uid="{B4D1F123-2972-489C-8FEC-9C6D26BDA440}"/>
  <tableColumns count="10">
    <tableColumn id="1" xr3:uid="{428B9524-495F-4624-8292-AC7281BC37CF}" name="Month" dataDxfId="11"/>
    <tableColumn id="2" xr3:uid="{A39BE488-44BB-4D32-8BC9-2CAD0287B7FB}" name="Sales Comp" dataDxfId="10"/>
    <tableColumn id="3" xr3:uid="{5A5033F7-6D0F-4017-B24D-2EF30AF0C04A}" name="Marketing Comp" dataDxfId="9"/>
    <tableColumn id="4" xr3:uid="{221D6297-6EAF-44F9-9192-FCE924DEAE38}" name="Paid Ads" dataDxfId="8"/>
    <tableColumn id="5" xr3:uid="{DDDAF5EF-D699-4B54-AE9C-1DE1AE53E1FA}" name="Content &amp; SEO" dataDxfId="7"/>
    <tableColumn id="6" xr3:uid="{C06DAFB6-3F41-4AB7-AC72-F2CD13738214}" name="Partner Commissions" dataDxfId="6"/>
    <tableColumn id="7" xr3:uid="{B2373C96-3DA9-4205-B260-ECD2E8248D4F}" name="Tools &amp; Software" dataDxfId="5"/>
    <tableColumn id="8" xr3:uid="{4C8B3A2D-C15B-426C-8B89-E7B5EA3AC7A8}" name="Events" dataDxfId="4"/>
    <tableColumn id="9" xr3:uid="{591DAA16-7C9D-4A8A-8098-00ABCE2C68AB}" name="Total S&amp;M" dataDxfId="3"/>
    <tableColumn id="10" xr3:uid="{27267743-1105-471C-A056-7EE8466EDA53}" name="New Customers" dataDxfId="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1"/>
    <tableColumn id="4" xr3:uid="{9C412AFC-8F05-4E39-B8E1-9E65F1E3A073}" name="gross_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4C586-8C42-4ED6-A51B-749BBBB51663}">
  <dimension ref="A1:S48"/>
  <sheetViews>
    <sheetView workbookViewId="0">
      <selection activeCell="F57" sqref="F57"/>
    </sheetView>
  </sheetViews>
  <sheetFormatPr defaultRowHeight="14.5" x14ac:dyDescent="0.35"/>
  <cols>
    <col min="1" max="1" width="14.1796875" bestFit="1" customWidth="1"/>
    <col min="2" max="2" width="16.26953125" customWidth="1"/>
    <col min="3" max="3" width="13.453125" customWidth="1"/>
    <col min="4" max="4" width="13.26953125" customWidth="1"/>
    <col min="5" max="5" width="24.36328125" bestFit="1" customWidth="1"/>
    <col min="6" max="6" width="15.6328125" customWidth="1"/>
    <col min="7" max="7" width="17" bestFit="1" customWidth="1"/>
    <col min="8" max="8" width="12.7265625" customWidth="1"/>
    <col min="9" max="9" width="13.26953125" customWidth="1"/>
    <col min="10" max="10" width="12.453125" customWidth="1"/>
    <col min="11" max="11" width="7.1796875" customWidth="1"/>
    <col min="12" max="12" width="15.26953125" customWidth="1"/>
    <col min="13" max="13" width="9.81640625" customWidth="1"/>
    <col min="14" max="14" width="13.6328125" customWidth="1"/>
    <col min="15" max="16" width="17.6328125" customWidth="1"/>
    <col min="17" max="17" width="8" customWidth="1"/>
    <col min="18" max="18" width="15.08984375" customWidth="1"/>
    <col min="19" max="19" width="14.90625" customWidth="1"/>
  </cols>
  <sheetData>
    <row r="1" spans="1:19" x14ac:dyDescent="0.35">
      <c r="A1" t="s">
        <v>847</v>
      </c>
      <c r="B1" t="s">
        <v>846</v>
      </c>
      <c r="C1" t="s">
        <v>845</v>
      </c>
      <c r="D1" t="s">
        <v>315</v>
      </c>
      <c r="E1" t="s">
        <v>844</v>
      </c>
      <c r="F1" t="s">
        <v>314</v>
      </c>
      <c r="G1" t="s">
        <v>304</v>
      </c>
      <c r="H1" t="s">
        <v>325</v>
      </c>
      <c r="I1" t="s">
        <v>843</v>
      </c>
      <c r="J1" t="s">
        <v>842</v>
      </c>
      <c r="K1" t="s">
        <v>326</v>
      </c>
      <c r="L1" t="s">
        <v>841</v>
      </c>
      <c r="M1" t="s">
        <v>840</v>
      </c>
      <c r="N1" t="s">
        <v>839</v>
      </c>
      <c r="O1" t="s">
        <v>838</v>
      </c>
      <c r="P1" t="s">
        <v>837</v>
      </c>
      <c r="Q1" t="s">
        <v>406</v>
      </c>
      <c r="R1" t="s">
        <v>836</v>
      </c>
      <c r="S1" t="s">
        <v>835</v>
      </c>
    </row>
    <row r="2" spans="1:19" x14ac:dyDescent="0.35">
      <c r="A2" t="s">
        <v>834</v>
      </c>
      <c r="B2" t="s">
        <v>833</v>
      </c>
      <c r="C2" s="97">
        <v>46023</v>
      </c>
      <c r="D2" t="s">
        <v>361</v>
      </c>
      <c r="E2" t="s">
        <v>247</v>
      </c>
      <c r="F2" t="s">
        <v>360</v>
      </c>
      <c r="G2" t="s">
        <v>205</v>
      </c>
      <c r="H2" t="s">
        <v>338</v>
      </c>
      <c r="I2" s="97">
        <v>46023</v>
      </c>
      <c r="J2" s="97">
        <v>46053</v>
      </c>
      <c r="K2">
        <v>16</v>
      </c>
      <c r="L2">
        <v>85</v>
      </c>
      <c r="M2">
        <v>1360</v>
      </c>
      <c r="N2">
        <v>0</v>
      </c>
      <c r="O2">
        <v>0</v>
      </c>
      <c r="P2">
        <v>1360</v>
      </c>
      <c r="Q2" t="s">
        <v>738</v>
      </c>
      <c r="R2" s="97">
        <v>46023</v>
      </c>
    </row>
    <row r="3" spans="1:19" x14ac:dyDescent="0.35">
      <c r="A3" t="s">
        <v>832</v>
      </c>
      <c r="B3" t="s">
        <v>831</v>
      </c>
      <c r="C3" s="97">
        <v>46023</v>
      </c>
      <c r="D3" t="s">
        <v>361</v>
      </c>
      <c r="E3" t="s">
        <v>247</v>
      </c>
      <c r="F3" t="s">
        <v>246</v>
      </c>
      <c r="G3" t="s">
        <v>202</v>
      </c>
      <c r="H3" t="s">
        <v>338</v>
      </c>
      <c r="I3" s="97">
        <v>46023</v>
      </c>
      <c r="J3" s="97">
        <v>46053</v>
      </c>
      <c r="K3">
        <v>15</v>
      </c>
      <c r="L3">
        <v>45</v>
      </c>
      <c r="M3">
        <v>675</v>
      </c>
      <c r="N3">
        <v>12</v>
      </c>
      <c r="O3">
        <v>81</v>
      </c>
      <c r="P3">
        <v>594</v>
      </c>
      <c r="Q3" t="s">
        <v>738</v>
      </c>
      <c r="R3" s="97">
        <v>46023</v>
      </c>
    </row>
    <row r="4" spans="1:19" x14ac:dyDescent="0.35">
      <c r="A4" t="s">
        <v>830</v>
      </c>
      <c r="B4" t="s">
        <v>829</v>
      </c>
      <c r="C4" s="97">
        <v>46024</v>
      </c>
      <c r="D4" t="s">
        <v>410</v>
      </c>
      <c r="E4" t="s">
        <v>411</v>
      </c>
      <c r="F4" t="s">
        <v>409</v>
      </c>
      <c r="G4" t="s">
        <v>204</v>
      </c>
      <c r="H4" t="s">
        <v>338</v>
      </c>
      <c r="I4" s="97">
        <v>46024</v>
      </c>
      <c r="J4" s="97">
        <v>46053</v>
      </c>
      <c r="K4">
        <v>35</v>
      </c>
      <c r="L4">
        <v>180</v>
      </c>
      <c r="M4">
        <v>6300</v>
      </c>
      <c r="N4">
        <v>0</v>
      </c>
      <c r="O4">
        <v>0</v>
      </c>
      <c r="P4">
        <v>6300</v>
      </c>
      <c r="Q4" t="s">
        <v>738</v>
      </c>
      <c r="R4" s="97">
        <v>46024</v>
      </c>
    </row>
    <row r="5" spans="1:19" x14ac:dyDescent="0.35">
      <c r="A5" t="s">
        <v>828</v>
      </c>
      <c r="B5" t="s">
        <v>827</v>
      </c>
      <c r="C5" s="97">
        <v>46025</v>
      </c>
      <c r="D5" t="s">
        <v>472</v>
      </c>
      <c r="E5" t="s">
        <v>473</v>
      </c>
      <c r="F5" t="s">
        <v>471</v>
      </c>
      <c r="G5" t="s">
        <v>205</v>
      </c>
      <c r="H5" t="s">
        <v>338</v>
      </c>
      <c r="I5" s="97">
        <v>46025</v>
      </c>
      <c r="J5" s="97">
        <v>46053</v>
      </c>
      <c r="K5">
        <v>22</v>
      </c>
      <c r="L5">
        <v>85</v>
      </c>
      <c r="M5">
        <v>1870</v>
      </c>
      <c r="N5">
        <v>0</v>
      </c>
      <c r="O5">
        <v>0</v>
      </c>
      <c r="P5">
        <v>1870</v>
      </c>
      <c r="Q5" t="s">
        <v>738</v>
      </c>
      <c r="R5" s="97">
        <v>46025</v>
      </c>
    </row>
    <row r="6" spans="1:19" x14ac:dyDescent="0.35">
      <c r="A6" t="s">
        <v>826</v>
      </c>
      <c r="B6" t="s">
        <v>825</v>
      </c>
      <c r="C6" s="97">
        <v>46027</v>
      </c>
      <c r="D6" t="s">
        <v>347</v>
      </c>
      <c r="E6" t="s">
        <v>348</v>
      </c>
      <c r="F6" t="s">
        <v>346</v>
      </c>
      <c r="G6" t="s">
        <v>205</v>
      </c>
      <c r="H6" t="s">
        <v>338</v>
      </c>
      <c r="I6" s="97">
        <v>46027</v>
      </c>
      <c r="J6" s="97">
        <v>46053</v>
      </c>
      <c r="K6">
        <v>23</v>
      </c>
      <c r="L6">
        <v>85</v>
      </c>
      <c r="M6">
        <v>1955</v>
      </c>
      <c r="N6">
        <v>0</v>
      </c>
      <c r="O6">
        <v>0</v>
      </c>
      <c r="P6">
        <v>1955</v>
      </c>
      <c r="Q6" t="s">
        <v>738</v>
      </c>
      <c r="R6" s="97">
        <v>46027</v>
      </c>
    </row>
    <row r="7" spans="1:19" x14ac:dyDescent="0.35">
      <c r="A7" t="s">
        <v>824</v>
      </c>
      <c r="B7" t="s">
        <v>823</v>
      </c>
      <c r="C7" s="97">
        <v>46027</v>
      </c>
      <c r="D7" t="s">
        <v>357</v>
      </c>
      <c r="E7" t="s">
        <v>358</v>
      </c>
      <c r="F7" t="s">
        <v>423</v>
      </c>
      <c r="G7" t="s">
        <v>205</v>
      </c>
      <c r="H7" t="s">
        <v>338</v>
      </c>
      <c r="I7" s="97">
        <v>46027</v>
      </c>
      <c r="J7" s="97">
        <v>46053</v>
      </c>
      <c r="K7">
        <v>33</v>
      </c>
      <c r="L7">
        <v>85</v>
      </c>
      <c r="M7">
        <v>2805</v>
      </c>
      <c r="N7">
        <v>0</v>
      </c>
      <c r="O7">
        <v>0</v>
      </c>
      <c r="P7">
        <v>2805</v>
      </c>
      <c r="Q7" t="s">
        <v>738</v>
      </c>
      <c r="R7" s="97">
        <v>46027</v>
      </c>
    </row>
    <row r="8" spans="1:19" x14ac:dyDescent="0.35">
      <c r="A8" t="s">
        <v>822</v>
      </c>
      <c r="B8" t="s">
        <v>821</v>
      </c>
      <c r="C8" s="97">
        <v>46027</v>
      </c>
      <c r="D8" t="s">
        <v>455</v>
      </c>
      <c r="E8" t="s">
        <v>456</v>
      </c>
      <c r="F8" t="s">
        <v>540</v>
      </c>
      <c r="G8" t="s">
        <v>204</v>
      </c>
      <c r="H8" t="s">
        <v>338</v>
      </c>
      <c r="I8" s="97">
        <v>46027</v>
      </c>
      <c r="J8" s="97">
        <v>46053</v>
      </c>
      <c r="K8">
        <v>31</v>
      </c>
      <c r="L8">
        <v>180</v>
      </c>
      <c r="M8">
        <v>5580</v>
      </c>
      <c r="N8">
        <v>0</v>
      </c>
      <c r="O8">
        <v>0</v>
      </c>
      <c r="P8">
        <v>5580</v>
      </c>
      <c r="Q8" t="s">
        <v>738</v>
      </c>
      <c r="R8" s="97">
        <v>46027</v>
      </c>
    </row>
    <row r="9" spans="1:19" x14ac:dyDescent="0.35">
      <c r="A9" t="s">
        <v>820</v>
      </c>
      <c r="B9" t="s">
        <v>819</v>
      </c>
      <c r="C9" s="97">
        <v>46027</v>
      </c>
      <c r="D9" t="s">
        <v>364</v>
      </c>
      <c r="E9" t="s">
        <v>231</v>
      </c>
      <c r="F9" t="s">
        <v>431</v>
      </c>
      <c r="G9" t="s">
        <v>205</v>
      </c>
      <c r="H9" t="s">
        <v>338</v>
      </c>
      <c r="I9" s="97">
        <v>46027</v>
      </c>
      <c r="J9" s="97">
        <v>46053</v>
      </c>
      <c r="K9">
        <v>22</v>
      </c>
      <c r="L9">
        <v>85</v>
      </c>
      <c r="M9">
        <v>1870</v>
      </c>
      <c r="N9">
        <v>0</v>
      </c>
      <c r="O9">
        <v>0</v>
      </c>
      <c r="P9">
        <v>1870</v>
      </c>
      <c r="Q9" t="s">
        <v>738</v>
      </c>
      <c r="R9" s="97">
        <v>46027</v>
      </c>
    </row>
    <row r="10" spans="1:19" x14ac:dyDescent="0.35">
      <c r="A10" t="s">
        <v>818</v>
      </c>
      <c r="B10" t="s">
        <v>817</v>
      </c>
      <c r="C10" s="97">
        <v>46028</v>
      </c>
      <c r="D10" t="s">
        <v>455</v>
      </c>
      <c r="E10" t="s">
        <v>456</v>
      </c>
      <c r="F10" t="s">
        <v>454</v>
      </c>
      <c r="G10" t="s">
        <v>206</v>
      </c>
      <c r="H10" t="s">
        <v>338</v>
      </c>
      <c r="I10" s="97">
        <v>46028</v>
      </c>
      <c r="J10" s="97">
        <v>46053</v>
      </c>
      <c r="K10">
        <v>28</v>
      </c>
      <c r="L10">
        <v>110</v>
      </c>
      <c r="M10">
        <v>3080</v>
      </c>
      <c r="N10">
        <v>0</v>
      </c>
      <c r="O10">
        <v>0</v>
      </c>
      <c r="P10">
        <v>3080</v>
      </c>
      <c r="Q10" t="s">
        <v>738</v>
      </c>
      <c r="R10" s="97">
        <v>46028</v>
      </c>
    </row>
    <row r="11" spans="1:19" x14ac:dyDescent="0.35">
      <c r="A11" t="s">
        <v>816</v>
      </c>
      <c r="B11" t="s">
        <v>815</v>
      </c>
      <c r="C11" s="97">
        <v>46030</v>
      </c>
      <c r="D11" t="s">
        <v>386</v>
      </c>
      <c r="E11" t="s">
        <v>387</v>
      </c>
      <c r="F11" t="s">
        <v>385</v>
      </c>
      <c r="G11" t="s">
        <v>205</v>
      </c>
      <c r="H11" t="s">
        <v>338</v>
      </c>
      <c r="I11" s="97">
        <v>46030</v>
      </c>
      <c r="J11" s="97">
        <v>46053</v>
      </c>
      <c r="K11">
        <v>28</v>
      </c>
      <c r="L11">
        <v>85</v>
      </c>
      <c r="M11">
        <v>2380</v>
      </c>
      <c r="N11">
        <v>0</v>
      </c>
      <c r="O11">
        <v>0</v>
      </c>
      <c r="P11">
        <v>2380</v>
      </c>
      <c r="Q11" t="s">
        <v>738</v>
      </c>
      <c r="R11" s="97">
        <v>46030</v>
      </c>
    </row>
    <row r="12" spans="1:19" x14ac:dyDescent="0.35">
      <c r="A12" t="s">
        <v>814</v>
      </c>
      <c r="B12" t="s">
        <v>813</v>
      </c>
      <c r="C12" s="97">
        <v>46030</v>
      </c>
      <c r="D12" t="s">
        <v>371</v>
      </c>
      <c r="E12" t="s">
        <v>372</v>
      </c>
      <c r="F12" t="s">
        <v>475</v>
      </c>
      <c r="G12" t="s">
        <v>205</v>
      </c>
      <c r="H12" t="s">
        <v>338</v>
      </c>
      <c r="I12" s="97">
        <v>46030</v>
      </c>
      <c r="J12" s="97">
        <v>46053</v>
      </c>
      <c r="K12">
        <v>13</v>
      </c>
      <c r="L12">
        <v>85</v>
      </c>
      <c r="M12">
        <v>1105</v>
      </c>
      <c r="N12">
        <v>0</v>
      </c>
      <c r="O12">
        <v>0</v>
      </c>
      <c r="P12">
        <v>1105</v>
      </c>
      <c r="Q12" t="s">
        <v>738</v>
      </c>
      <c r="R12" s="97">
        <v>46030</v>
      </c>
    </row>
    <row r="13" spans="1:19" x14ac:dyDescent="0.35">
      <c r="A13" t="s">
        <v>812</v>
      </c>
      <c r="B13" t="s">
        <v>811</v>
      </c>
      <c r="C13" s="97">
        <v>46030</v>
      </c>
      <c r="D13" t="s">
        <v>438</v>
      </c>
      <c r="E13" t="s">
        <v>439</v>
      </c>
      <c r="F13" t="s">
        <v>487</v>
      </c>
      <c r="G13" t="s">
        <v>206</v>
      </c>
      <c r="H13" t="s">
        <v>338</v>
      </c>
      <c r="I13" s="97">
        <v>46030</v>
      </c>
      <c r="J13" s="97">
        <v>46053</v>
      </c>
      <c r="K13">
        <v>26</v>
      </c>
      <c r="L13">
        <v>110</v>
      </c>
      <c r="M13">
        <v>2860</v>
      </c>
      <c r="N13">
        <v>0</v>
      </c>
      <c r="O13">
        <v>0</v>
      </c>
      <c r="P13">
        <v>2860</v>
      </c>
      <c r="Q13" t="s">
        <v>738</v>
      </c>
      <c r="R13" s="97">
        <v>46030</v>
      </c>
    </row>
    <row r="14" spans="1:19" x14ac:dyDescent="0.35">
      <c r="A14" t="s">
        <v>810</v>
      </c>
      <c r="B14" t="s">
        <v>809</v>
      </c>
      <c r="C14" s="97">
        <v>46031</v>
      </c>
      <c r="D14" t="s">
        <v>543</v>
      </c>
      <c r="E14" t="s">
        <v>544</v>
      </c>
      <c r="F14" t="s">
        <v>542</v>
      </c>
      <c r="G14" t="s">
        <v>202</v>
      </c>
      <c r="H14" t="s">
        <v>338</v>
      </c>
      <c r="I14" s="97">
        <v>46031</v>
      </c>
      <c r="J14" s="97">
        <v>46053</v>
      </c>
      <c r="K14">
        <v>13</v>
      </c>
      <c r="L14">
        <v>45</v>
      </c>
      <c r="M14">
        <v>585</v>
      </c>
      <c r="N14">
        <v>0</v>
      </c>
      <c r="O14">
        <v>0</v>
      </c>
      <c r="P14">
        <v>585</v>
      </c>
      <c r="Q14" t="s">
        <v>738</v>
      </c>
      <c r="R14" s="97">
        <v>46031</v>
      </c>
    </row>
    <row r="15" spans="1:19" x14ac:dyDescent="0.35">
      <c r="A15" t="s">
        <v>808</v>
      </c>
      <c r="B15" t="s">
        <v>807</v>
      </c>
      <c r="C15" s="97">
        <v>46032</v>
      </c>
      <c r="D15" t="s">
        <v>380</v>
      </c>
      <c r="E15" t="s">
        <v>237</v>
      </c>
      <c r="F15" t="s">
        <v>379</v>
      </c>
      <c r="G15" t="s">
        <v>203</v>
      </c>
      <c r="H15" t="s">
        <v>338</v>
      </c>
      <c r="I15" s="97">
        <v>46032</v>
      </c>
      <c r="J15" s="97">
        <v>46053</v>
      </c>
      <c r="K15">
        <v>23</v>
      </c>
      <c r="L15">
        <v>95</v>
      </c>
      <c r="M15">
        <v>2185</v>
      </c>
      <c r="N15">
        <v>0</v>
      </c>
      <c r="O15">
        <v>0</v>
      </c>
      <c r="P15">
        <v>2185</v>
      </c>
      <c r="Q15" t="s">
        <v>738</v>
      </c>
      <c r="R15" s="97">
        <v>46032</v>
      </c>
    </row>
    <row r="16" spans="1:19" x14ac:dyDescent="0.35">
      <c r="A16" t="s">
        <v>806</v>
      </c>
      <c r="B16" t="s">
        <v>805</v>
      </c>
      <c r="C16" s="97">
        <v>46032</v>
      </c>
      <c r="D16" t="s">
        <v>347</v>
      </c>
      <c r="E16" t="s">
        <v>348</v>
      </c>
      <c r="F16" t="s">
        <v>413</v>
      </c>
      <c r="G16" t="s">
        <v>206</v>
      </c>
      <c r="H16" t="s">
        <v>338</v>
      </c>
      <c r="I16" s="97">
        <v>46032</v>
      </c>
      <c r="J16" s="97">
        <v>46053</v>
      </c>
      <c r="K16">
        <v>19</v>
      </c>
      <c r="L16">
        <v>110</v>
      </c>
      <c r="M16">
        <v>2090</v>
      </c>
      <c r="N16">
        <v>0</v>
      </c>
      <c r="O16">
        <v>0</v>
      </c>
      <c r="P16">
        <v>2090</v>
      </c>
      <c r="Q16" t="s">
        <v>738</v>
      </c>
      <c r="R16" s="97">
        <v>46032</v>
      </c>
    </row>
    <row r="17" spans="1:19" x14ac:dyDescent="0.35">
      <c r="A17" t="s">
        <v>804</v>
      </c>
      <c r="B17" t="s">
        <v>803</v>
      </c>
      <c r="C17" s="97">
        <v>46032</v>
      </c>
      <c r="D17" t="s">
        <v>386</v>
      </c>
      <c r="E17" t="s">
        <v>387</v>
      </c>
      <c r="F17" t="s">
        <v>477</v>
      </c>
      <c r="G17" t="s">
        <v>206</v>
      </c>
      <c r="H17" t="s">
        <v>338</v>
      </c>
      <c r="I17" s="97">
        <v>46032</v>
      </c>
      <c r="J17" s="97">
        <v>46053</v>
      </c>
      <c r="K17">
        <v>23</v>
      </c>
      <c r="L17">
        <v>110</v>
      </c>
      <c r="M17">
        <v>2530</v>
      </c>
      <c r="N17">
        <v>0</v>
      </c>
      <c r="O17">
        <v>0</v>
      </c>
      <c r="P17">
        <v>2530</v>
      </c>
      <c r="Q17" t="s">
        <v>738</v>
      </c>
      <c r="R17" s="97">
        <v>46032</v>
      </c>
    </row>
    <row r="18" spans="1:19" x14ac:dyDescent="0.35">
      <c r="A18" t="s">
        <v>802</v>
      </c>
      <c r="B18" t="s">
        <v>801</v>
      </c>
      <c r="C18" s="97">
        <v>46034</v>
      </c>
      <c r="D18" t="s">
        <v>524</v>
      </c>
      <c r="E18" t="s">
        <v>525</v>
      </c>
      <c r="F18" t="s">
        <v>523</v>
      </c>
      <c r="G18" t="s">
        <v>203</v>
      </c>
      <c r="H18" t="s">
        <v>338</v>
      </c>
      <c r="I18" s="97">
        <v>46034</v>
      </c>
      <c r="J18" s="97">
        <v>46053</v>
      </c>
      <c r="K18">
        <v>18</v>
      </c>
      <c r="L18">
        <v>95</v>
      </c>
      <c r="M18">
        <v>1710</v>
      </c>
      <c r="N18">
        <v>0</v>
      </c>
      <c r="O18">
        <v>0</v>
      </c>
      <c r="P18">
        <v>1710</v>
      </c>
      <c r="Q18" t="s">
        <v>738</v>
      </c>
      <c r="R18" s="97">
        <v>46034</v>
      </c>
    </row>
    <row r="19" spans="1:19" x14ac:dyDescent="0.35">
      <c r="A19" t="s">
        <v>800</v>
      </c>
      <c r="B19" t="s">
        <v>799</v>
      </c>
      <c r="C19" s="97">
        <v>46034</v>
      </c>
      <c r="D19" t="s">
        <v>396</v>
      </c>
      <c r="E19" t="s">
        <v>397</v>
      </c>
      <c r="F19" t="s">
        <v>445</v>
      </c>
      <c r="G19" t="s">
        <v>205</v>
      </c>
      <c r="H19" t="s">
        <v>338</v>
      </c>
      <c r="I19" s="97">
        <v>46034</v>
      </c>
      <c r="J19" s="97">
        <v>46053</v>
      </c>
      <c r="K19">
        <v>38</v>
      </c>
      <c r="L19">
        <v>85</v>
      </c>
      <c r="M19">
        <v>3230</v>
      </c>
      <c r="N19">
        <v>0</v>
      </c>
      <c r="O19">
        <v>0</v>
      </c>
      <c r="P19">
        <v>3230</v>
      </c>
      <c r="Q19" t="s">
        <v>738</v>
      </c>
      <c r="R19" s="97">
        <v>46034</v>
      </c>
    </row>
    <row r="20" spans="1:19" x14ac:dyDescent="0.35">
      <c r="A20" t="s">
        <v>798</v>
      </c>
      <c r="B20" t="s">
        <v>797</v>
      </c>
      <c r="C20" s="97">
        <v>46035</v>
      </c>
      <c r="D20" t="s">
        <v>371</v>
      </c>
      <c r="E20" t="s">
        <v>372</v>
      </c>
      <c r="F20" t="s">
        <v>370</v>
      </c>
      <c r="G20" t="s">
        <v>202</v>
      </c>
      <c r="H20" t="s">
        <v>338</v>
      </c>
      <c r="I20" s="97">
        <v>46035</v>
      </c>
      <c r="J20" s="97">
        <v>46053</v>
      </c>
      <c r="K20">
        <v>13</v>
      </c>
      <c r="L20">
        <v>45</v>
      </c>
      <c r="M20">
        <v>585</v>
      </c>
      <c r="N20">
        <v>0</v>
      </c>
      <c r="O20">
        <v>0</v>
      </c>
      <c r="P20">
        <v>585</v>
      </c>
      <c r="Q20" t="s">
        <v>738</v>
      </c>
      <c r="R20" s="97">
        <v>46035</v>
      </c>
    </row>
    <row r="21" spans="1:19" x14ac:dyDescent="0.35">
      <c r="A21" t="s">
        <v>796</v>
      </c>
      <c r="B21" t="s">
        <v>795</v>
      </c>
      <c r="C21" s="97">
        <v>46036</v>
      </c>
      <c r="D21" t="s">
        <v>510</v>
      </c>
      <c r="E21" t="s">
        <v>511</v>
      </c>
      <c r="F21" t="s">
        <v>509</v>
      </c>
      <c r="G21" t="s">
        <v>202</v>
      </c>
      <c r="H21" t="s">
        <v>338</v>
      </c>
      <c r="I21" s="97">
        <v>46036</v>
      </c>
      <c r="J21" s="97">
        <v>46053</v>
      </c>
      <c r="K21">
        <v>16</v>
      </c>
      <c r="L21">
        <v>45</v>
      </c>
      <c r="M21">
        <v>720</v>
      </c>
      <c r="N21">
        <v>0</v>
      </c>
      <c r="O21">
        <v>0</v>
      </c>
      <c r="P21">
        <v>720</v>
      </c>
      <c r="Q21" t="s">
        <v>738</v>
      </c>
      <c r="R21" s="97">
        <v>46036</v>
      </c>
    </row>
    <row r="22" spans="1:19" x14ac:dyDescent="0.35">
      <c r="A22" t="s">
        <v>794</v>
      </c>
      <c r="B22" t="s">
        <v>793</v>
      </c>
      <c r="C22" s="97">
        <v>46037</v>
      </c>
      <c r="D22" t="s">
        <v>335</v>
      </c>
      <c r="E22" t="s">
        <v>227</v>
      </c>
      <c r="F22" t="s">
        <v>389</v>
      </c>
      <c r="G22" t="s">
        <v>206</v>
      </c>
      <c r="H22" t="s">
        <v>338</v>
      </c>
      <c r="I22" s="97">
        <v>46037</v>
      </c>
      <c r="J22" s="97">
        <v>46053</v>
      </c>
      <c r="K22">
        <v>16</v>
      </c>
      <c r="L22">
        <v>110</v>
      </c>
      <c r="M22">
        <v>1760</v>
      </c>
      <c r="N22">
        <v>0</v>
      </c>
      <c r="O22">
        <v>0</v>
      </c>
      <c r="P22">
        <v>1760</v>
      </c>
      <c r="Q22" t="s">
        <v>738</v>
      </c>
      <c r="R22" s="97">
        <v>46037</v>
      </c>
    </row>
    <row r="23" spans="1:19" x14ac:dyDescent="0.35">
      <c r="A23" t="s">
        <v>792</v>
      </c>
      <c r="B23" t="s">
        <v>791</v>
      </c>
      <c r="C23" s="97">
        <v>46037</v>
      </c>
      <c r="D23" t="s">
        <v>410</v>
      </c>
      <c r="E23" t="s">
        <v>411</v>
      </c>
      <c r="F23" t="s">
        <v>492</v>
      </c>
      <c r="G23" t="s">
        <v>205</v>
      </c>
      <c r="H23" t="s">
        <v>338</v>
      </c>
      <c r="I23" s="97">
        <v>46037</v>
      </c>
      <c r="J23" s="97">
        <v>46053</v>
      </c>
      <c r="K23">
        <v>35</v>
      </c>
      <c r="L23">
        <v>85</v>
      </c>
      <c r="M23">
        <v>2975</v>
      </c>
      <c r="N23">
        <v>0</v>
      </c>
      <c r="O23">
        <v>0</v>
      </c>
      <c r="P23">
        <v>2975</v>
      </c>
      <c r="Q23" t="s">
        <v>738</v>
      </c>
      <c r="R23" s="97">
        <v>46037</v>
      </c>
    </row>
    <row r="24" spans="1:19" x14ac:dyDescent="0.35">
      <c r="A24" t="s">
        <v>790</v>
      </c>
      <c r="B24" t="s">
        <v>789</v>
      </c>
      <c r="C24" s="97">
        <v>46037</v>
      </c>
      <c r="D24" t="s">
        <v>433</v>
      </c>
      <c r="E24" t="s">
        <v>239</v>
      </c>
      <c r="F24" t="s">
        <v>578</v>
      </c>
      <c r="G24" t="s">
        <v>205</v>
      </c>
      <c r="H24" t="s">
        <v>338</v>
      </c>
      <c r="I24" s="97">
        <v>46037</v>
      </c>
      <c r="J24" s="97">
        <v>46053</v>
      </c>
      <c r="K24">
        <v>11</v>
      </c>
      <c r="L24">
        <v>85</v>
      </c>
      <c r="M24">
        <v>935</v>
      </c>
      <c r="N24">
        <v>0</v>
      </c>
      <c r="O24">
        <v>0</v>
      </c>
      <c r="P24">
        <v>935</v>
      </c>
      <c r="Q24" t="s">
        <v>738</v>
      </c>
      <c r="R24" s="97">
        <v>46037</v>
      </c>
    </row>
    <row r="25" spans="1:19" x14ac:dyDescent="0.35">
      <c r="A25" t="s">
        <v>788</v>
      </c>
      <c r="B25" t="s">
        <v>787</v>
      </c>
      <c r="C25" s="97">
        <v>46038</v>
      </c>
      <c r="D25" t="s">
        <v>416</v>
      </c>
      <c r="E25" t="s">
        <v>241</v>
      </c>
      <c r="F25" t="s">
        <v>415</v>
      </c>
      <c r="G25" t="s">
        <v>205</v>
      </c>
      <c r="H25" t="s">
        <v>338</v>
      </c>
      <c r="I25" s="97">
        <v>46038</v>
      </c>
      <c r="J25" s="97">
        <v>46053</v>
      </c>
      <c r="K25">
        <v>19</v>
      </c>
      <c r="L25">
        <v>85</v>
      </c>
      <c r="M25">
        <v>1615</v>
      </c>
      <c r="N25">
        <v>0</v>
      </c>
      <c r="O25">
        <v>0</v>
      </c>
      <c r="P25">
        <v>1615</v>
      </c>
      <c r="Q25" t="s">
        <v>738</v>
      </c>
      <c r="R25" s="97">
        <v>46038</v>
      </c>
    </row>
    <row r="26" spans="1:19" x14ac:dyDescent="0.35">
      <c r="A26" t="s">
        <v>786</v>
      </c>
      <c r="B26" t="s">
        <v>785</v>
      </c>
      <c r="C26" s="97">
        <v>46039</v>
      </c>
      <c r="D26" t="s">
        <v>480</v>
      </c>
      <c r="E26" t="s">
        <v>481</v>
      </c>
      <c r="F26" t="s">
        <v>479</v>
      </c>
      <c r="G26" t="s">
        <v>203</v>
      </c>
      <c r="H26" t="s">
        <v>338</v>
      </c>
      <c r="I26" s="97">
        <v>46039</v>
      </c>
      <c r="J26" s="97">
        <v>46053</v>
      </c>
      <c r="K26">
        <v>20</v>
      </c>
      <c r="L26">
        <v>95</v>
      </c>
      <c r="M26">
        <v>1900</v>
      </c>
      <c r="N26">
        <v>0</v>
      </c>
      <c r="O26">
        <v>0</v>
      </c>
      <c r="P26">
        <v>1900</v>
      </c>
      <c r="Q26" t="s">
        <v>738</v>
      </c>
      <c r="R26" s="97">
        <v>46039</v>
      </c>
    </row>
    <row r="27" spans="1:19" x14ac:dyDescent="0.35">
      <c r="A27" t="s">
        <v>784</v>
      </c>
      <c r="B27" t="s">
        <v>783</v>
      </c>
      <c r="C27" s="97">
        <v>46039</v>
      </c>
      <c r="D27" t="s">
        <v>498</v>
      </c>
      <c r="E27" t="s">
        <v>499</v>
      </c>
      <c r="F27" t="s">
        <v>497</v>
      </c>
      <c r="G27" t="s">
        <v>204</v>
      </c>
      <c r="H27" t="s">
        <v>338</v>
      </c>
      <c r="I27" s="97">
        <v>46039</v>
      </c>
      <c r="J27" s="97">
        <v>46053</v>
      </c>
      <c r="K27">
        <v>26</v>
      </c>
      <c r="L27">
        <v>180</v>
      </c>
      <c r="M27">
        <v>4680</v>
      </c>
      <c r="N27">
        <v>0</v>
      </c>
      <c r="O27">
        <v>0</v>
      </c>
      <c r="P27">
        <v>4680</v>
      </c>
      <c r="Q27" t="s">
        <v>738</v>
      </c>
      <c r="R27" s="97">
        <v>46039</v>
      </c>
    </row>
    <row r="28" spans="1:19" x14ac:dyDescent="0.35">
      <c r="A28" t="s">
        <v>782</v>
      </c>
      <c r="B28" t="s">
        <v>781</v>
      </c>
      <c r="C28" s="97">
        <v>46040</v>
      </c>
      <c r="D28" t="s">
        <v>428</v>
      </c>
      <c r="E28" t="s">
        <v>429</v>
      </c>
      <c r="F28" t="s">
        <v>515</v>
      </c>
      <c r="G28" t="s">
        <v>206</v>
      </c>
      <c r="H28" t="s">
        <v>338</v>
      </c>
      <c r="I28" s="97">
        <v>46040</v>
      </c>
      <c r="J28" s="97">
        <v>46053</v>
      </c>
      <c r="K28">
        <v>26</v>
      </c>
      <c r="L28">
        <v>110</v>
      </c>
      <c r="M28">
        <v>2860</v>
      </c>
      <c r="N28">
        <v>0</v>
      </c>
      <c r="O28">
        <v>0</v>
      </c>
      <c r="P28">
        <v>2860</v>
      </c>
      <c r="Q28" t="s">
        <v>738</v>
      </c>
      <c r="R28" s="97">
        <v>46040</v>
      </c>
    </row>
    <row r="29" spans="1:19" x14ac:dyDescent="0.35">
      <c r="A29" t="s">
        <v>780</v>
      </c>
      <c r="B29" t="s">
        <v>779</v>
      </c>
      <c r="C29" s="97">
        <v>46041</v>
      </c>
      <c r="D29" t="s">
        <v>351</v>
      </c>
      <c r="E29" t="s">
        <v>243</v>
      </c>
      <c r="F29" t="s">
        <v>350</v>
      </c>
      <c r="G29" t="s">
        <v>206</v>
      </c>
      <c r="H29" t="s">
        <v>338</v>
      </c>
      <c r="I29" s="97">
        <v>46041</v>
      </c>
      <c r="J29" s="97">
        <v>46053</v>
      </c>
      <c r="K29">
        <v>18</v>
      </c>
      <c r="L29">
        <v>110</v>
      </c>
      <c r="M29">
        <v>1980</v>
      </c>
      <c r="N29">
        <v>0</v>
      </c>
      <c r="O29">
        <v>0</v>
      </c>
      <c r="P29">
        <v>1980</v>
      </c>
      <c r="Q29" t="s">
        <v>738</v>
      </c>
      <c r="R29" s="97">
        <v>46041</v>
      </c>
    </row>
    <row r="30" spans="1:19" x14ac:dyDescent="0.35">
      <c r="A30" t="s">
        <v>778</v>
      </c>
      <c r="B30" t="s">
        <v>777</v>
      </c>
      <c r="C30" s="97">
        <v>46041</v>
      </c>
      <c r="D30" t="s">
        <v>400</v>
      </c>
      <c r="E30" t="s">
        <v>401</v>
      </c>
      <c r="F30" t="s">
        <v>399</v>
      </c>
      <c r="G30" t="s">
        <v>202</v>
      </c>
      <c r="H30" t="s">
        <v>338</v>
      </c>
      <c r="I30" s="97">
        <v>46041</v>
      </c>
      <c r="J30" s="97">
        <v>46053</v>
      </c>
      <c r="K30">
        <v>12</v>
      </c>
      <c r="L30">
        <v>45</v>
      </c>
      <c r="M30">
        <v>540</v>
      </c>
      <c r="N30">
        <v>0</v>
      </c>
      <c r="O30">
        <v>0</v>
      </c>
      <c r="P30">
        <v>540</v>
      </c>
      <c r="Q30" t="s">
        <v>738</v>
      </c>
      <c r="R30" s="97">
        <v>46041</v>
      </c>
    </row>
    <row r="31" spans="1:19" x14ac:dyDescent="0.35">
      <c r="A31" t="s">
        <v>776</v>
      </c>
      <c r="B31" t="s">
        <v>775</v>
      </c>
      <c r="C31" s="97">
        <v>46042</v>
      </c>
      <c r="D31" t="s">
        <v>464</v>
      </c>
      <c r="E31" t="s">
        <v>465</v>
      </c>
      <c r="F31" t="s">
        <v>463</v>
      </c>
      <c r="G31" t="s">
        <v>202</v>
      </c>
      <c r="H31" t="s">
        <v>338</v>
      </c>
      <c r="I31" s="97">
        <v>46042</v>
      </c>
      <c r="J31" s="97">
        <v>46053</v>
      </c>
      <c r="K31">
        <v>15</v>
      </c>
      <c r="L31">
        <v>45</v>
      </c>
      <c r="M31">
        <v>675</v>
      </c>
      <c r="N31">
        <v>0</v>
      </c>
      <c r="O31">
        <v>0</v>
      </c>
      <c r="P31">
        <v>675</v>
      </c>
      <c r="Q31" t="s">
        <v>774</v>
      </c>
      <c r="S31" t="s">
        <v>773</v>
      </c>
    </row>
    <row r="32" spans="1:19" x14ac:dyDescent="0.35">
      <c r="A32" t="s">
        <v>772</v>
      </c>
      <c r="B32" t="s">
        <v>771</v>
      </c>
      <c r="C32" s="97">
        <v>46042</v>
      </c>
      <c r="D32" t="s">
        <v>367</v>
      </c>
      <c r="E32" t="s">
        <v>368</v>
      </c>
      <c r="F32" t="s">
        <v>447</v>
      </c>
      <c r="G32" t="s">
        <v>203</v>
      </c>
      <c r="H32" t="s">
        <v>338</v>
      </c>
      <c r="I32" s="97">
        <v>46042</v>
      </c>
      <c r="J32" s="97">
        <v>46053</v>
      </c>
      <c r="K32">
        <v>35</v>
      </c>
      <c r="L32">
        <v>95</v>
      </c>
      <c r="M32">
        <v>3325</v>
      </c>
      <c r="N32">
        <v>0</v>
      </c>
      <c r="O32">
        <v>0</v>
      </c>
      <c r="P32">
        <v>3325</v>
      </c>
      <c r="Q32" t="s">
        <v>738</v>
      </c>
      <c r="R32" s="97">
        <v>46042</v>
      </c>
    </row>
    <row r="33" spans="1:18" x14ac:dyDescent="0.35">
      <c r="A33" t="s">
        <v>770</v>
      </c>
      <c r="B33" t="s">
        <v>769</v>
      </c>
      <c r="C33" s="97">
        <v>46042</v>
      </c>
      <c r="D33" t="s">
        <v>383</v>
      </c>
      <c r="E33" t="s">
        <v>233</v>
      </c>
      <c r="F33" t="s">
        <v>527</v>
      </c>
      <c r="G33" t="s">
        <v>203</v>
      </c>
      <c r="H33" t="s">
        <v>338</v>
      </c>
      <c r="I33" s="97">
        <v>46042</v>
      </c>
      <c r="J33" s="97">
        <v>46053</v>
      </c>
      <c r="K33">
        <v>12</v>
      </c>
      <c r="L33">
        <v>95</v>
      </c>
      <c r="M33">
        <v>1140</v>
      </c>
      <c r="N33">
        <v>0</v>
      </c>
      <c r="O33">
        <v>0</v>
      </c>
      <c r="P33">
        <v>1140</v>
      </c>
      <c r="Q33" t="s">
        <v>738</v>
      </c>
      <c r="R33" s="97">
        <v>46042</v>
      </c>
    </row>
    <row r="34" spans="1:18" x14ac:dyDescent="0.35">
      <c r="A34" t="s">
        <v>768</v>
      </c>
      <c r="B34" t="s">
        <v>767</v>
      </c>
      <c r="C34" s="97">
        <v>46044</v>
      </c>
      <c r="D34" t="s">
        <v>341</v>
      </c>
      <c r="E34" t="s">
        <v>342</v>
      </c>
      <c r="F34" t="s">
        <v>340</v>
      </c>
      <c r="G34" t="s">
        <v>207</v>
      </c>
      <c r="H34" t="s">
        <v>344</v>
      </c>
      <c r="I34" s="97">
        <v>46044</v>
      </c>
      <c r="J34" s="97">
        <v>46408</v>
      </c>
      <c r="K34">
        <v>26</v>
      </c>
      <c r="L34">
        <v>1800</v>
      </c>
      <c r="M34">
        <v>46800</v>
      </c>
      <c r="N34">
        <v>0</v>
      </c>
      <c r="O34">
        <v>0</v>
      </c>
      <c r="P34">
        <v>46800</v>
      </c>
      <c r="Q34" t="s">
        <v>738</v>
      </c>
      <c r="R34" s="97">
        <v>46044</v>
      </c>
    </row>
    <row r="35" spans="1:18" x14ac:dyDescent="0.35">
      <c r="A35" t="s">
        <v>766</v>
      </c>
      <c r="B35" t="s">
        <v>765</v>
      </c>
      <c r="C35" s="97">
        <v>46044</v>
      </c>
      <c r="D35" t="s">
        <v>391</v>
      </c>
      <c r="E35" t="s">
        <v>245</v>
      </c>
      <c r="F35" t="s">
        <v>393</v>
      </c>
      <c r="G35" t="s">
        <v>204</v>
      </c>
      <c r="H35" t="s">
        <v>338</v>
      </c>
      <c r="I35" s="97">
        <v>46044</v>
      </c>
      <c r="J35" s="97">
        <v>46053</v>
      </c>
      <c r="K35">
        <v>20</v>
      </c>
      <c r="L35">
        <v>180</v>
      </c>
      <c r="M35">
        <v>3600</v>
      </c>
      <c r="N35">
        <v>0</v>
      </c>
      <c r="O35">
        <v>0</v>
      </c>
      <c r="P35">
        <v>3600</v>
      </c>
      <c r="Q35" t="s">
        <v>738</v>
      </c>
      <c r="R35" s="97">
        <v>46044</v>
      </c>
    </row>
    <row r="36" spans="1:18" x14ac:dyDescent="0.35">
      <c r="A36" t="s">
        <v>764</v>
      </c>
      <c r="B36" t="s">
        <v>763</v>
      </c>
      <c r="C36" s="97">
        <v>46044</v>
      </c>
      <c r="D36" t="s">
        <v>442</v>
      </c>
      <c r="E36" t="s">
        <v>443</v>
      </c>
      <c r="F36" t="s">
        <v>530</v>
      </c>
      <c r="G36" t="s">
        <v>206</v>
      </c>
      <c r="H36" t="s">
        <v>338</v>
      </c>
      <c r="I36" s="97">
        <v>46044</v>
      </c>
      <c r="J36" s="97">
        <v>46053</v>
      </c>
      <c r="K36">
        <v>36</v>
      </c>
      <c r="L36">
        <v>110</v>
      </c>
      <c r="M36">
        <v>3960</v>
      </c>
      <c r="N36">
        <v>0</v>
      </c>
      <c r="O36">
        <v>0</v>
      </c>
      <c r="P36">
        <v>3960</v>
      </c>
      <c r="Q36" t="s">
        <v>738</v>
      </c>
      <c r="R36" s="97">
        <v>46044</v>
      </c>
    </row>
    <row r="37" spans="1:18" x14ac:dyDescent="0.35">
      <c r="A37" t="s">
        <v>762</v>
      </c>
      <c r="B37" t="s">
        <v>761</v>
      </c>
      <c r="C37" s="97">
        <v>46044</v>
      </c>
      <c r="D37" t="s">
        <v>341</v>
      </c>
      <c r="E37" t="s">
        <v>342</v>
      </c>
      <c r="F37" t="s">
        <v>467</v>
      </c>
      <c r="G37" t="s">
        <v>203</v>
      </c>
      <c r="H37" t="s">
        <v>344</v>
      </c>
      <c r="I37" s="97">
        <v>46044</v>
      </c>
      <c r="J37" s="97">
        <v>46408</v>
      </c>
      <c r="K37">
        <v>22</v>
      </c>
      <c r="L37">
        <v>1140</v>
      </c>
      <c r="M37">
        <v>25080</v>
      </c>
      <c r="N37">
        <v>5</v>
      </c>
      <c r="O37">
        <v>1254</v>
      </c>
      <c r="P37">
        <v>23826</v>
      </c>
      <c r="Q37" t="s">
        <v>738</v>
      </c>
      <c r="R37" s="97">
        <v>46044</v>
      </c>
    </row>
    <row r="38" spans="1:18" x14ac:dyDescent="0.35">
      <c r="A38" t="s">
        <v>760</v>
      </c>
      <c r="B38" t="s">
        <v>759</v>
      </c>
      <c r="C38" s="97">
        <v>46045</v>
      </c>
      <c r="D38" t="s">
        <v>451</v>
      </c>
      <c r="E38" t="s">
        <v>452</v>
      </c>
      <c r="F38" t="s">
        <v>450</v>
      </c>
      <c r="G38" t="s">
        <v>203</v>
      </c>
      <c r="H38" t="s">
        <v>338</v>
      </c>
      <c r="I38" s="97">
        <v>46045</v>
      </c>
      <c r="J38" s="97">
        <v>46053</v>
      </c>
      <c r="K38">
        <v>16</v>
      </c>
      <c r="L38">
        <v>95</v>
      </c>
      <c r="M38">
        <v>1520</v>
      </c>
      <c r="N38">
        <v>0</v>
      </c>
      <c r="O38">
        <v>0</v>
      </c>
      <c r="P38">
        <v>1520</v>
      </c>
      <c r="Q38" t="s">
        <v>738</v>
      </c>
      <c r="R38" s="97">
        <v>46045</v>
      </c>
    </row>
    <row r="39" spans="1:18" x14ac:dyDescent="0.35">
      <c r="A39" t="s">
        <v>758</v>
      </c>
      <c r="B39" t="s">
        <v>757</v>
      </c>
      <c r="C39" s="97">
        <v>46045</v>
      </c>
      <c r="D39" t="s">
        <v>552</v>
      </c>
      <c r="E39" t="s">
        <v>553</v>
      </c>
      <c r="F39" t="s">
        <v>551</v>
      </c>
      <c r="G39" t="s">
        <v>205</v>
      </c>
      <c r="H39" t="s">
        <v>338</v>
      </c>
      <c r="I39" s="97">
        <v>46045</v>
      </c>
      <c r="J39" s="97">
        <v>46053</v>
      </c>
      <c r="K39">
        <v>29</v>
      </c>
      <c r="L39">
        <v>85</v>
      </c>
      <c r="M39">
        <v>2465</v>
      </c>
      <c r="N39">
        <v>0</v>
      </c>
      <c r="O39">
        <v>0</v>
      </c>
      <c r="P39">
        <v>2465</v>
      </c>
      <c r="Q39" t="s">
        <v>738</v>
      </c>
      <c r="R39" s="97">
        <v>46045</v>
      </c>
    </row>
    <row r="40" spans="1:18" x14ac:dyDescent="0.35">
      <c r="A40" t="s">
        <v>756</v>
      </c>
      <c r="B40" t="s">
        <v>755</v>
      </c>
      <c r="C40" s="97">
        <v>46047</v>
      </c>
      <c r="D40" t="s">
        <v>438</v>
      </c>
      <c r="E40" t="s">
        <v>439</v>
      </c>
      <c r="F40" t="s">
        <v>437</v>
      </c>
      <c r="G40" t="s">
        <v>205</v>
      </c>
      <c r="H40" t="s">
        <v>338</v>
      </c>
      <c r="I40" s="97">
        <v>46047</v>
      </c>
      <c r="J40" s="97">
        <v>46053</v>
      </c>
      <c r="K40">
        <v>31</v>
      </c>
      <c r="L40">
        <v>85</v>
      </c>
      <c r="M40">
        <v>2635</v>
      </c>
      <c r="N40">
        <v>0</v>
      </c>
      <c r="O40">
        <v>0</v>
      </c>
      <c r="P40">
        <v>2635</v>
      </c>
      <c r="Q40" t="s">
        <v>738</v>
      </c>
      <c r="R40" s="97">
        <v>46047</v>
      </c>
    </row>
    <row r="41" spans="1:18" x14ac:dyDescent="0.35">
      <c r="A41" t="s">
        <v>754</v>
      </c>
      <c r="B41" t="s">
        <v>753</v>
      </c>
      <c r="C41" s="97">
        <v>46048</v>
      </c>
      <c r="D41" t="s">
        <v>535</v>
      </c>
      <c r="E41" t="s">
        <v>536</v>
      </c>
      <c r="F41" t="s">
        <v>534</v>
      </c>
      <c r="G41" t="s">
        <v>207</v>
      </c>
      <c r="H41" t="s">
        <v>338</v>
      </c>
      <c r="I41" s="97">
        <v>46048</v>
      </c>
      <c r="J41" s="97">
        <v>46053</v>
      </c>
      <c r="K41">
        <v>35</v>
      </c>
      <c r="L41">
        <v>150</v>
      </c>
      <c r="M41">
        <v>5250</v>
      </c>
      <c r="N41">
        <v>0</v>
      </c>
      <c r="O41">
        <v>0</v>
      </c>
      <c r="P41">
        <v>5250</v>
      </c>
      <c r="Q41" t="s">
        <v>738</v>
      </c>
      <c r="R41" s="97">
        <v>46048</v>
      </c>
    </row>
    <row r="42" spans="1:18" x14ac:dyDescent="0.35">
      <c r="A42" t="s">
        <v>752</v>
      </c>
      <c r="B42" t="s">
        <v>751</v>
      </c>
      <c r="C42" s="97">
        <v>46048</v>
      </c>
      <c r="D42" t="s">
        <v>592</v>
      </c>
      <c r="E42" t="s">
        <v>593</v>
      </c>
      <c r="F42" t="s">
        <v>591</v>
      </c>
      <c r="G42" t="s">
        <v>203</v>
      </c>
      <c r="H42" t="s">
        <v>338</v>
      </c>
      <c r="I42" s="97">
        <v>46048</v>
      </c>
      <c r="J42" s="97">
        <v>46053</v>
      </c>
      <c r="K42">
        <v>18</v>
      </c>
      <c r="L42">
        <v>95</v>
      </c>
      <c r="M42">
        <v>1710</v>
      </c>
      <c r="N42">
        <v>0</v>
      </c>
      <c r="O42">
        <v>0</v>
      </c>
      <c r="P42">
        <v>1710</v>
      </c>
      <c r="Q42" t="s">
        <v>738</v>
      </c>
      <c r="R42" s="97">
        <v>46048</v>
      </c>
    </row>
    <row r="43" spans="1:18" x14ac:dyDescent="0.35">
      <c r="A43" t="s">
        <v>750</v>
      </c>
      <c r="B43" t="s">
        <v>749</v>
      </c>
      <c r="C43" s="97">
        <v>46049</v>
      </c>
      <c r="D43" t="s">
        <v>375</v>
      </c>
      <c r="E43" t="s">
        <v>376</v>
      </c>
      <c r="F43" t="s">
        <v>374</v>
      </c>
      <c r="G43" t="s">
        <v>206</v>
      </c>
      <c r="H43" t="s">
        <v>338</v>
      </c>
      <c r="I43" s="97">
        <v>46049</v>
      </c>
      <c r="J43" s="97">
        <v>46053</v>
      </c>
      <c r="K43">
        <v>18</v>
      </c>
      <c r="L43">
        <v>110</v>
      </c>
      <c r="M43">
        <v>1980</v>
      </c>
      <c r="N43">
        <v>0</v>
      </c>
      <c r="O43">
        <v>0</v>
      </c>
      <c r="P43">
        <v>1980</v>
      </c>
      <c r="Q43" t="s">
        <v>738</v>
      </c>
      <c r="R43" s="97">
        <v>46049</v>
      </c>
    </row>
    <row r="44" spans="1:18" x14ac:dyDescent="0.35">
      <c r="A44" t="s">
        <v>748</v>
      </c>
      <c r="B44" t="s">
        <v>747</v>
      </c>
      <c r="C44" s="97">
        <v>46050</v>
      </c>
      <c r="D44" t="s">
        <v>428</v>
      </c>
      <c r="E44" t="s">
        <v>429</v>
      </c>
      <c r="F44" t="s">
        <v>427</v>
      </c>
      <c r="G44" t="s">
        <v>207</v>
      </c>
      <c r="H44" t="s">
        <v>338</v>
      </c>
      <c r="I44" s="97">
        <v>46050</v>
      </c>
      <c r="J44" s="97">
        <v>46053</v>
      </c>
      <c r="K44">
        <v>33</v>
      </c>
      <c r="L44">
        <v>150</v>
      </c>
      <c r="M44">
        <v>4950</v>
      </c>
      <c r="N44">
        <v>0</v>
      </c>
      <c r="O44">
        <v>0</v>
      </c>
      <c r="P44">
        <v>4950</v>
      </c>
      <c r="Q44" t="s">
        <v>738</v>
      </c>
      <c r="R44" s="97">
        <v>46050</v>
      </c>
    </row>
    <row r="45" spans="1:18" x14ac:dyDescent="0.35">
      <c r="A45" t="s">
        <v>746</v>
      </c>
      <c r="B45" t="s">
        <v>745</v>
      </c>
      <c r="C45" s="97">
        <v>46050</v>
      </c>
      <c r="D45" t="s">
        <v>518</v>
      </c>
      <c r="E45" t="s">
        <v>519</v>
      </c>
      <c r="F45" t="s">
        <v>517</v>
      </c>
      <c r="G45" t="s">
        <v>206</v>
      </c>
      <c r="H45" t="s">
        <v>338</v>
      </c>
      <c r="I45" s="97">
        <v>46050</v>
      </c>
      <c r="J45" s="97">
        <v>46053</v>
      </c>
      <c r="K45">
        <v>20</v>
      </c>
      <c r="L45">
        <v>110</v>
      </c>
      <c r="M45">
        <v>2200</v>
      </c>
      <c r="N45">
        <v>0</v>
      </c>
      <c r="O45">
        <v>0</v>
      </c>
      <c r="P45">
        <v>2200</v>
      </c>
      <c r="Q45" t="s">
        <v>738</v>
      </c>
      <c r="R45" s="97">
        <v>46050</v>
      </c>
    </row>
    <row r="46" spans="1:18" x14ac:dyDescent="0.35">
      <c r="A46" t="s">
        <v>744</v>
      </c>
      <c r="B46" t="s">
        <v>743</v>
      </c>
      <c r="C46" s="97">
        <v>46050</v>
      </c>
      <c r="D46" t="s">
        <v>425</v>
      </c>
      <c r="E46" t="s">
        <v>235</v>
      </c>
      <c r="F46" t="s">
        <v>469</v>
      </c>
      <c r="G46" t="s">
        <v>207</v>
      </c>
      <c r="H46" t="s">
        <v>338</v>
      </c>
      <c r="I46" s="97">
        <v>46050</v>
      </c>
      <c r="J46" s="97">
        <v>46053</v>
      </c>
      <c r="K46">
        <v>28</v>
      </c>
      <c r="L46">
        <v>150</v>
      </c>
      <c r="M46">
        <v>4200</v>
      </c>
      <c r="N46">
        <v>0</v>
      </c>
      <c r="O46">
        <v>0</v>
      </c>
      <c r="P46">
        <v>4200</v>
      </c>
      <c r="Q46" t="s">
        <v>738</v>
      </c>
      <c r="R46" s="97">
        <v>46050</v>
      </c>
    </row>
    <row r="47" spans="1:18" x14ac:dyDescent="0.35">
      <c r="A47" t="s">
        <v>742</v>
      </c>
      <c r="B47" t="s">
        <v>741</v>
      </c>
      <c r="C47" s="97">
        <v>46052</v>
      </c>
      <c r="D47" t="s">
        <v>420</v>
      </c>
      <c r="E47" t="s">
        <v>421</v>
      </c>
      <c r="F47" t="s">
        <v>419</v>
      </c>
      <c r="G47" t="s">
        <v>206</v>
      </c>
      <c r="H47" t="s">
        <v>338</v>
      </c>
      <c r="I47" s="97">
        <v>46052</v>
      </c>
      <c r="J47" s="97">
        <v>46053</v>
      </c>
      <c r="K47">
        <v>15</v>
      </c>
      <c r="L47">
        <v>110</v>
      </c>
      <c r="M47">
        <v>1650</v>
      </c>
      <c r="N47">
        <v>0</v>
      </c>
      <c r="O47">
        <v>0</v>
      </c>
      <c r="P47">
        <v>1650</v>
      </c>
      <c r="Q47" t="s">
        <v>738</v>
      </c>
      <c r="R47" s="97">
        <v>46052</v>
      </c>
    </row>
    <row r="48" spans="1:18" x14ac:dyDescent="0.35">
      <c r="A48" t="s">
        <v>740</v>
      </c>
      <c r="B48" t="s">
        <v>739</v>
      </c>
      <c r="C48" s="97">
        <v>46053</v>
      </c>
      <c r="D48" t="s">
        <v>505</v>
      </c>
      <c r="E48" t="s">
        <v>506</v>
      </c>
      <c r="F48" t="s">
        <v>504</v>
      </c>
      <c r="G48" t="s">
        <v>205</v>
      </c>
      <c r="H48" t="s">
        <v>338</v>
      </c>
      <c r="I48" s="97">
        <v>46053</v>
      </c>
      <c r="J48" s="97">
        <v>46053</v>
      </c>
      <c r="K48">
        <v>25</v>
      </c>
      <c r="L48">
        <v>85</v>
      </c>
      <c r="M48">
        <v>2125</v>
      </c>
      <c r="N48">
        <v>0</v>
      </c>
      <c r="O48">
        <v>0</v>
      </c>
      <c r="P48">
        <v>2125</v>
      </c>
      <c r="Q48" t="s">
        <v>738</v>
      </c>
      <c r="R48" s="97">
        <v>46053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6ECE-3BEE-4127-B6D8-B9469F5C6CB7}">
  <dimension ref="A1:S49"/>
  <sheetViews>
    <sheetView workbookViewId="0">
      <selection activeCell="G53" sqref="G53"/>
    </sheetView>
  </sheetViews>
  <sheetFormatPr defaultRowHeight="14.5" x14ac:dyDescent="0.35"/>
  <cols>
    <col min="1" max="1" width="14.453125" bestFit="1" customWidth="1"/>
    <col min="2" max="2" width="16.26953125" customWidth="1"/>
    <col min="3" max="3" width="13.453125" customWidth="1"/>
    <col min="4" max="4" width="13.26953125" customWidth="1"/>
    <col min="5" max="5" width="24.36328125" bestFit="1" customWidth="1"/>
    <col min="6" max="6" width="15.6328125" customWidth="1"/>
    <col min="7" max="7" width="17" bestFit="1" customWidth="1"/>
    <col min="8" max="8" width="12.7265625" customWidth="1"/>
    <col min="9" max="9" width="13.26953125" customWidth="1"/>
    <col min="10" max="10" width="12.453125" customWidth="1"/>
    <col min="11" max="11" width="7.1796875" customWidth="1"/>
    <col min="12" max="12" width="15.26953125" customWidth="1"/>
    <col min="13" max="13" width="9.81640625" customWidth="1"/>
    <col min="14" max="14" width="13.6328125" customWidth="1"/>
    <col min="15" max="16" width="17.6328125" customWidth="1"/>
    <col min="17" max="17" width="8" bestFit="1" customWidth="1"/>
    <col min="18" max="18" width="15.08984375" customWidth="1"/>
    <col min="19" max="19" width="14.90625" customWidth="1"/>
  </cols>
  <sheetData>
    <row r="1" spans="1:19" x14ac:dyDescent="0.35">
      <c r="A1" t="s">
        <v>847</v>
      </c>
      <c r="B1" t="s">
        <v>846</v>
      </c>
      <c r="C1" t="s">
        <v>845</v>
      </c>
      <c r="D1" t="s">
        <v>315</v>
      </c>
      <c r="E1" t="s">
        <v>844</v>
      </c>
      <c r="F1" t="s">
        <v>314</v>
      </c>
      <c r="G1" t="s">
        <v>304</v>
      </c>
      <c r="H1" t="s">
        <v>325</v>
      </c>
      <c r="I1" t="s">
        <v>843</v>
      </c>
      <c r="J1" t="s">
        <v>842</v>
      </c>
      <c r="K1" t="s">
        <v>326</v>
      </c>
      <c r="L1" t="s">
        <v>841</v>
      </c>
      <c r="M1" t="s">
        <v>840</v>
      </c>
      <c r="N1" t="s">
        <v>839</v>
      </c>
      <c r="O1" t="s">
        <v>838</v>
      </c>
      <c r="P1" t="s">
        <v>837</v>
      </c>
      <c r="Q1" t="s">
        <v>406</v>
      </c>
      <c r="R1" t="s">
        <v>836</v>
      </c>
      <c r="S1" t="s">
        <v>835</v>
      </c>
    </row>
    <row r="2" spans="1:19" x14ac:dyDescent="0.35">
      <c r="A2" t="s">
        <v>945</v>
      </c>
      <c r="B2" t="s">
        <v>944</v>
      </c>
      <c r="C2" s="97">
        <v>46054</v>
      </c>
      <c r="D2" t="s">
        <v>361</v>
      </c>
      <c r="E2" t="s">
        <v>247</v>
      </c>
      <c r="F2" t="s">
        <v>360</v>
      </c>
      <c r="G2" t="s">
        <v>205</v>
      </c>
      <c r="H2" t="s">
        <v>338</v>
      </c>
      <c r="I2" s="97">
        <v>46054</v>
      </c>
      <c r="J2" s="97">
        <v>46081</v>
      </c>
      <c r="K2">
        <v>16</v>
      </c>
      <c r="L2">
        <v>85</v>
      </c>
      <c r="M2">
        <v>1360</v>
      </c>
      <c r="N2">
        <v>0</v>
      </c>
      <c r="O2">
        <v>0</v>
      </c>
      <c r="P2">
        <v>1360</v>
      </c>
      <c r="Q2" t="s">
        <v>738</v>
      </c>
      <c r="R2" s="97">
        <v>46054</v>
      </c>
    </row>
    <row r="3" spans="1:19" x14ac:dyDescent="0.35">
      <c r="A3" t="s">
        <v>943</v>
      </c>
      <c r="B3" t="s">
        <v>942</v>
      </c>
      <c r="C3" s="97">
        <v>46054</v>
      </c>
      <c r="D3" t="s">
        <v>361</v>
      </c>
      <c r="E3" t="s">
        <v>247</v>
      </c>
      <c r="F3" t="s">
        <v>246</v>
      </c>
      <c r="G3" t="s">
        <v>202</v>
      </c>
      <c r="H3" t="s">
        <v>338</v>
      </c>
      <c r="I3" s="97">
        <v>46054</v>
      </c>
      <c r="J3" s="97">
        <v>46081</v>
      </c>
      <c r="K3">
        <v>15</v>
      </c>
      <c r="L3">
        <v>45</v>
      </c>
      <c r="M3">
        <v>675</v>
      </c>
      <c r="N3">
        <v>12</v>
      </c>
      <c r="O3">
        <v>81</v>
      </c>
      <c r="P3">
        <v>594</v>
      </c>
      <c r="Q3" t="s">
        <v>738</v>
      </c>
      <c r="R3" s="97">
        <v>46054</v>
      </c>
    </row>
    <row r="4" spans="1:19" x14ac:dyDescent="0.35">
      <c r="A4" t="s">
        <v>941</v>
      </c>
      <c r="B4" t="s">
        <v>940</v>
      </c>
      <c r="C4" s="97">
        <v>46055</v>
      </c>
      <c r="D4" t="s">
        <v>410</v>
      </c>
      <c r="E4" t="s">
        <v>411</v>
      </c>
      <c r="F4" t="s">
        <v>409</v>
      </c>
      <c r="G4" t="s">
        <v>204</v>
      </c>
      <c r="H4" t="s">
        <v>338</v>
      </c>
      <c r="I4" s="97">
        <v>46055</v>
      </c>
      <c r="J4" s="97">
        <v>46081</v>
      </c>
      <c r="K4">
        <v>35</v>
      </c>
      <c r="L4">
        <v>180</v>
      </c>
      <c r="M4">
        <v>6300</v>
      </c>
      <c r="N4">
        <v>0</v>
      </c>
      <c r="O4">
        <v>0</v>
      </c>
      <c r="P4">
        <v>6300</v>
      </c>
      <c r="Q4" t="s">
        <v>738</v>
      </c>
      <c r="R4" s="97">
        <v>46055</v>
      </c>
    </row>
    <row r="5" spans="1:19" x14ac:dyDescent="0.35">
      <c r="A5" t="s">
        <v>939</v>
      </c>
      <c r="B5" t="s">
        <v>938</v>
      </c>
      <c r="C5" s="97">
        <v>46056</v>
      </c>
      <c r="D5" t="s">
        <v>472</v>
      </c>
      <c r="E5" t="s">
        <v>473</v>
      </c>
      <c r="F5" t="s">
        <v>471</v>
      </c>
      <c r="G5" t="s">
        <v>205</v>
      </c>
      <c r="H5" t="s">
        <v>338</v>
      </c>
      <c r="I5" s="97">
        <v>46056</v>
      </c>
      <c r="J5" s="97">
        <v>46081</v>
      </c>
      <c r="K5">
        <v>22</v>
      </c>
      <c r="L5">
        <v>85</v>
      </c>
      <c r="M5">
        <v>1870</v>
      </c>
      <c r="N5">
        <v>0</v>
      </c>
      <c r="O5">
        <v>0</v>
      </c>
      <c r="P5">
        <v>1870</v>
      </c>
      <c r="Q5" t="s">
        <v>738</v>
      </c>
      <c r="R5" s="97">
        <v>46056</v>
      </c>
    </row>
    <row r="6" spans="1:19" x14ac:dyDescent="0.35">
      <c r="A6" t="s">
        <v>937</v>
      </c>
      <c r="B6" t="s">
        <v>936</v>
      </c>
      <c r="C6" s="97">
        <v>46058</v>
      </c>
      <c r="D6" t="s">
        <v>347</v>
      </c>
      <c r="E6" t="s">
        <v>348</v>
      </c>
      <c r="F6" t="s">
        <v>346</v>
      </c>
      <c r="G6" t="s">
        <v>205</v>
      </c>
      <c r="H6" t="s">
        <v>338</v>
      </c>
      <c r="I6" s="97">
        <v>46058</v>
      </c>
      <c r="J6" s="97">
        <v>46081</v>
      </c>
      <c r="K6">
        <v>23</v>
      </c>
      <c r="L6">
        <v>85</v>
      </c>
      <c r="M6">
        <v>1955</v>
      </c>
      <c r="N6">
        <v>0</v>
      </c>
      <c r="O6">
        <v>0</v>
      </c>
      <c r="P6">
        <v>1955</v>
      </c>
      <c r="Q6" t="s">
        <v>738</v>
      </c>
      <c r="R6" s="97">
        <v>46058</v>
      </c>
    </row>
    <row r="7" spans="1:19" x14ac:dyDescent="0.35">
      <c r="A7" t="s">
        <v>935</v>
      </c>
      <c r="B7" t="s">
        <v>934</v>
      </c>
      <c r="C7" s="97">
        <v>46058</v>
      </c>
      <c r="D7" t="s">
        <v>357</v>
      </c>
      <c r="E7" t="s">
        <v>358</v>
      </c>
      <c r="F7" t="s">
        <v>423</v>
      </c>
      <c r="G7" t="s">
        <v>205</v>
      </c>
      <c r="H7" t="s">
        <v>338</v>
      </c>
      <c r="I7" s="97">
        <v>46058</v>
      </c>
      <c r="J7" s="97">
        <v>46081</v>
      </c>
      <c r="K7">
        <v>33</v>
      </c>
      <c r="L7">
        <v>85</v>
      </c>
      <c r="M7">
        <v>2805</v>
      </c>
      <c r="N7">
        <v>0</v>
      </c>
      <c r="O7">
        <v>0</v>
      </c>
      <c r="P7">
        <v>2805</v>
      </c>
      <c r="Q7" t="s">
        <v>738</v>
      </c>
      <c r="R7" s="97">
        <v>46058</v>
      </c>
    </row>
    <row r="8" spans="1:19" x14ac:dyDescent="0.35">
      <c r="A8" t="s">
        <v>933</v>
      </c>
      <c r="B8" t="s">
        <v>932</v>
      </c>
      <c r="C8" s="97">
        <v>46058</v>
      </c>
      <c r="D8" t="s">
        <v>455</v>
      </c>
      <c r="E8" t="s">
        <v>456</v>
      </c>
      <c r="F8" t="s">
        <v>540</v>
      </c>
      <c r="G8" t="s">
        <v>204</v>
      </c>
      <c r="H8" t="s">
        <v>338</v>
      </c>
      <c r="I8" s="97">
        <v>46058</v>
      </c>
      <c r="J8" s="97">
        <v>46081</v>
      </c>
      <c r="K8">
        <v>31</v>
      </c>
      <c r="L8">
        <v>180</v>
      </c>
      <c r="M8">
        <v>5580</v>
      </c>
      <c r="N8">
        <v>0</v>
      </c>
      <c r="O8">
        <v>0</v>
      </c>
      <c r="P8">
        <v>5580</v>
      </c>
      <c r="Q8" t="s">
        <v>738</v>
      </c>
      <c r="R8" s="97">
        <v>46058</v>
      </c>
    </row>
    <row r="9" spans="1:19" x14ac:dyDescent="0.35">
      <c r="A9" t="s">
        <v>931</v>
      </c>
      <c r="B9" t="s">
        <v>930</v>
      </c>
      <c r="C9" s="97">
        <v>46058</v>
      </c>
      <c r="D9" t="s">
        <v>364</v>
      </c>
      <c r="E9" t="s">
        <v>231</v>
      </c>
      <c r="F9" t="s">
        <v>431</v>
      </c>
      <c r="G9" t="s">
        <v>205</v>
      </c>
      <c r="H9" t="s">
        <v>338</v>
      </c>
      <c r="I9" s="97">
        <v>46058</v>
      </c>
      <c r="J9" s="97">
        <v>46081</v>
      </c>
      <c r="K9">
        <v>22</v>
      </c>
      <c r="L9">
        <v>85</v>
      </c>
      <c r="M9">
        <v>1870</v>
      </c>
      <c r="N9">
        <v>0</v>
      </c>
      <c r="O9">
        <v>0</v>
      </c>
      <c r="P9">
        <v>1870</v>
      </c>
      <c r="Q9" t="s">
        <v>738</v>
      </c>
      <c r="R9" s="97">
        <v>46058</v>
      </c>
    </row>
    <row r="10" spans="1:19" x14ac:dyDescent="0.35">
      <c r="A10" t="s">
        <v>929</v>
      </c>
      <c r="B10" t="s">
        <v>928</v>
      </c>
      <c r="C10" s="97">
        <v>46059</v>
      </c>
      <c r="D10" t="s">
        <v>455</v>
      </c>
      <c r="E10" t="s">
        <v>456</v>
      </c>
      <c r="F10" t="s">
        <v>454</v>
      </c>
      <c r="G10" t="s">
        <v>206</v>
      </c>
      <c r="H10" t="s">
        <v>338</v>
      </c>
      <c r="I10" s="97">
        <v>46059</v>
      </c>
      <c r="J10" s="97">
        <v>46081</v>
      </c>
      <c r="K10">
        <v>28</v>
      </c>
      <c r="L10">
        <v>110</v>
      </c>
      <c r="M10">
        <v>3080</v>
      </c>
      <c r="N10">
        <v>0</v>
      </c>
      <c r="O10">
        <v>0</v>
      </c>
      <c r="P10">
        <v>3080</v>
      </c>
      <c r="Q10" t="s">
        <v>738</v>
      </c>
      <c r="R10" s="97">
        <v>46059</v>
      </c>
    </row>
    <row r="11" spans="1:19" x14ac:dyDescent="0.35">
      <c r="A11" t="s">
        <v>927</v>
      </c>
      <c r="B11" t="s">
        <v>926</v>
      </c>
      <c r="C11" s="97">
        <v>46061</v>
      </c>
      <c r="D11" t="s">
        <v>386</v>
      </c>
      <c r="E11" t="s">
        <v>387</v>
      </c>
      <c r="F11" t="s">
        <v>385</v>
      </c>
      <c r="G11" t="s">
        <v>205</v>
      </c>
      <c r="H11" t="s">
        <v>338</v>
      </c>
      <c r="I11" s="97">
        <v>46061</v>
      </c>
      <c r="J11" s="97">
        <v>46081</v>
      </c>
      <c r="K11">
        <v>28</v>
      </c>
      <c r="L11">
        <v>85</v>
      </c>
      <c r="M11">
        <v>2380</v>
      </c>
      <c r="N11">
        <v>0</v>
      </c>
      <c r="O11">
        <v>0</v>
      </c>
      <c r="P11">
        <v>2380</v>
      </c>
      <c r="Q11" t="s">
        <v>738</v>
      </c>
      <c r="R11" s="97">
        <v>46061</v>
      </c>
    </row>
    <row r="12" spans="1:19" x14ac:dyDescent="0.35">
      <c r="A12" t="s">
        <v>925</v>
      </c>
      <c r="B12" t="s">
        <v>924</v>
      </c>
      <c r="C12" s="97">
        <v>46061</v>
      </c>
      <c r="D12" t="s">
        <v>371</v>
      </c>
      <c r="E12" t="s">
        <v>372</v>
      </c>
      <c r="F12" t="s">
        <v>475</v>
      </c>
      <c r="G12" t="s">
        <v>205</v>
      </c>
      <c r="H12" t="s">
        <v>338</v>
      </c>
      <c r="I12" s="97">
        <v>46061</v>
      </c>
      <c r="J12" s="97">
        <v>46081</v>
      </c>
      <c r="K12">
        <v>13</v>
      </c>
      <c r="L12">
        <v>85</v>
      </c>
      <c r="M12">
        <v>1105</v>
      </c>
      <c r="N12">
        <v>0</v>
      </c>
      <c r="O12">
        <v>0</v>
      </c>
      <c r="P12">
        <v>1105</v>
      </c>
      <c r="Q12" t="s">
        <v>738</v>
      </c>
      <c r="R12" s="97">
        <v>46061</v>
      </c>
    </row>
    <row r="13" spans="1:19" x14ac:dyDescent="0.35">
      <c r="A13" t="s">
        <v>923</v>
      </c>
      <c r="B13" t="s">
        <v>922</v>
      </c>
      <c r="C13" s="97">
        <v>46061</v>
      </c>
      <c r="D13" t="s">
        <v>438</v>
      </c>
      <c r="E13" t="s">
        <v>439</v>
      </c>
      <c r="F13" t="s">
        <v>487</v>
      </c>
      <c r="G13" t="s">
        <v>206</v>
      </c>
      <c r="H13" t="s">
        <v>338</v>
      </c>
      <c r="I13" s="97">
        <v>46061</v>
      </c>
      <c r="J13" s="97">
        <v>46081</v>
      </c>
      <c r="K13">
        <v>26</v>
      </c>
      <c r="L13">
        <v>110</v>
      </c>
      <c r="M13">
        <v>2860</v>
      </c>
      <c r="N13">
        <v>0</v>
      </c>
      <c r="O13">
        <v>0</v>
      </c>
      <c r="P13">
        <v>2860</v>
      </c>
      <c r="Q13" t="s">
        <v>738</v>
      </c>
      <c r="R13" s="97">
        <v>46061</v>
      </c>
    </row>
    <row r="14" spans="1:19" x14ac:dyDescent="0.35">
      <c r="A14" t="s">
        <v>921</v>
      </c>
      <c r="B14" t="s">
        <v>920</v>
      </c>
      <c r="C14" s="97">
        <v>46062</v>
      </c>
      <c r="D14" t="s">
        <v>543</v>
      </c>
      <c r="E14" t="s">
        <v>544</v>
      </c>
      <c r="F14" t="s">
        <v>542</v>
      </c>
      <c r="G14" t="s">
        <v>202</v>
      </c>
      <c r="H14" t="s">
        <v>338</v>
      </c>
      <c r="I14" s="97">
        <v>46062</v>
      </c>
      <c r="J14" s="97">
        <v>46081</v>
      </c>
      <c r="K14">
        <v>13</v>
      </c>
      <c r="L14">
        <v>45</v>
      </c>
      <c r="M14">
        <v>585</v>
      </c>
      <c r="N14">
        <v>0</v>
      </c>
      <c r="O14">
        <v>0</v>
      </c>
      <c r="P14">
        <v>585</v>
      </c>
      <c r="Q14" t="s">
        <v>738</v>
      </c>
      <c r="R14" s="97">
        <v>46062</v>
      </c>
    </row>
    <row r="15" spans="1:19" x14ac:dyDescent="0.35">
      <c r="A15" t="s">
        <v>919</v>
      </c>
      <c r="B15" t="s">
        <v>918</v>
      </c>
      <c r="C15" s="97">
        <v>46063</v>
      </c>
      <c r="D15" t="s">
        <v>380</v>
      </c>
      <c r="E15" t="s">
        <v>237</v>
      </c>
      <c r="F15" t="s">
        <v>379</v>
      </c>
      <c r="G15" t="s">
        <v>203</v>
      </c>
      <c r="H15" t="s">
        <v>338</v>
      </c>
      <c r="I15" s="97">
        <v>46063</v>
      </c>
      <c r="J15" s="97">
        <v>46081</v>
      </c>
      <c r="K15">
        <v>23</v>
      </c>
      <c r="L15">
        <v>95</v>
      </c>
      <c r="M15">
        <v>2185</v>
      </c>
      <c r="N15">
        <v>0</v>
      </c>
      <c r="O15">
        <v>0</v>
      </c>
      <c r="P15">
        <v>2185</v>
      </c>
      <c r="Q15" t="s">
        <v>738</v>
      </c>
      <c r="R15" s="97">
        <v>46063</v>
      </c>
    </row>
    <row r="16" spans="1:19" x14ac:dyDescent="0.35">
      <c r="A16" t="s">
        <v>917</v>
      </c>
      <c r="B16" t="s">
        <v>916</v>
      </c>
      <c r="C16" s="97">
        <v>46063</v>
      </c>
      <c r="D16" t="s">
        <v>347</v>
      </c>
      <c r="E16" t="s">
        <v>348</v>
      </c>
      <c r="F16" t="s">
        <v>413</v>
      </c>
      <c r="G16" t="s">
        <v>206</v>
      </c>
      <c r="H16" t="s">
        <v>338</v>
      </c>
      <c r="I16" s="97">
        <v>46063</v>
      </c>
      <c r="J16" s="97">
        <v>46081</v>
      </c>
      <c r="K16">
        <v>19</v>
      </c>
      <c r="L16">
        <v>110</v>
      </c>
      <c r="M16">
        <v>2090</v>
      </c>
      <c r="N16">
        <v>0</v>
      </c>
      <c r="O16">
        <v>0</v>
      </c>
      <c r="P16">
        <v>2090</v>
      </c>
      <c r="Q16" t="s">
        <v>738</v>
      </c>
      <c r="R16" s="97">
        <v>46063</v>
      </c>
    </row>
    <row r="17" spans="1:18" x14ac:dyDescent="0.35">
      <c r="A17" t="s">
        <v>915</v>
      </c>
      <c r="B17" t="s">
        <v>914</v>
      </c>
      <c r="C17" s="97">
        <v>46063</v>
      </c>
      <c r="D17" t="s">
        <v>386</v>
      </c>
      <c r="E17" t="s">
        <v>387</v>
      </c>
      <c r="F17" t="s">
        <v>477</v>
      </c>
      <c r="G17" t="s">
        <v>206</v>
      </c>
      <c r="H17" t="s">
        <v>338</v>
      </c>
      <c r="I17" s="97">
        <v>46063</v>
      </c>
      <c r="J17" s="97">
        <v>46081</v>
      </c>
      <c r="K17">
        <v>23</v>
      </c>
      <c r="L17">
        <v>110</v>
      </c>
      <c r="M17">
        <v>2530</v>
      </c>
      <c r="N17">
        <v>0</v>
      </c>
      <c r="O17">
        <v>0</v>
      </c>
      <c r="P17">
        <v>2530</v>
      </c>
      <c r="Q17" t="s">
        <v>738</v>
      </c>
      <c r="R17" s="97">
        <v>46063</v>
      </c>
    </row>
    <row r="18" spans="1:18" x14ac:dyDescent="0.35">
      <c r="A18" t="s">
        <v>913</v>
      </c>
      <c r="B18" t="s">
        <v>912</v>
      </c>
      <c r="C18" s="97">
        <v>46063</v>
      </c>
      <c r="D18" t="s">
        <v>681</v>
      </c>
      <c r="E18" t="s">
        <v>689</v>
      </c>
      <c r="F18" t="s">
        <v>680</v>
      </c>
      <c r="G18" t="s">
        <v>206</v>
      </c>
      <c r="H18" t="s">
        <v>338</v>
      </c>
      <c r="I18" s="97">
        <v>46063</v>
      </c>
      <c r="J18" s="97">
        <v>46081</v>
      </c>
      <c r="K18">
        <v>28</v>
      </c>
      <c r="L18">
        <v>110</v>
      </c>
      <c r="M18">
        <v>3080</v>
      </c>
      <c r="N18">
        <v>0</v>
      </c>
      <c r="O18">
        <v>0</v>
      </c>
      <c r="P18">
        <v>3080</v>
      </c>
      <c r="Q18" t="s">
        <v>738</v>
      </c>
      <c r="R18" s="97">
        <v>46063</v>
      </c>
    </row>
    <row r="19" spans="1:18" x14ac:dyDescent="0.35">
      <c r="A19" t="s">
        <v>911</v>
      </c>
      <c r="B19" t="s">
        <v>910</v>
      </c>
      <c r="C19" s="97">
        <v>46065</v>
      </c>
      <c r="D19" t="s">
        <v>524</v>
      </c>
      <c r="E19" t="s">
        <v>525</v>
      </c>
      <c r="F19" t="s">
        <v>523</v>
      </c>
      <c r="G19" t="s">
        <v>203</v>
      </c>
      <c r="H19" t="s">
        <v>338</v>
      </c>
      <c r="I19" s="97">
        <v>46065</v>
      </c>
      <c r="J19" s="97">
        <v>46081</v>
      </c>
      <c r="K19">
        <v>18</v>
      </c>
      <c r="L19">
        <v>95</v>
      </c>
      <c r="M19">
        <v>1710</v>
      </c>
      <c r="N19">
        <v>0</v>
      </c>
      <c r="O19">
        <v>0</v>
      </c>
      <c r="P19">
        <v>1710</v>
      </c>
      <c r="Q19" t="s">
        <v>738</v>
      </c>
      <c r="R19" s="97">
        <v>46065</v>
      </c>
    </row>
    <row r="20" spans="1:18" x14ac:dyDescent="0.35">
      <c r="A20" t="s">
        <v>909</v>
      </c>
      <c r="B20" t="s">
        <v>908</v>
      </c>
      <c r="C20" s="97">
        <v>46065</v>
      </c>
      <c r="D20" t="s">
        <v>396</v>
      </c>
      <c r="E20" t="s">
        <v>397</v>
      </c>
      <c r="F20" t="s">
        <v>445</v>
      </c>
      <c r="G20" t="s">
        <v>205</v>
      </c>
      <c r="H20" t="s">
        <v>338</v>
      </c>
      <c r="I20" s="97">
        <v>46065</v>
      </c>
      <c r="J20" s="97">
        <v>46081</v>
      </c>
      <c r="K20">
        <v>38</v>
      </c>
      <c r="L20">
        <v>85</v>
      </c>
      <c r="M20">
        <v>3230</v>
      </c>
      <c r="N20">
        <v>0</v>
      </c>
      <c r="O20">
        <v>0</v>
      </c>
      <c r="P20">
        <v>3230</v>
      </c>
      <c r="Q20" t="s">
        <v>738</v>
      </c>
      <c r="R20" s="97">
        <v>46065</v>
      </c>
    </row>
    <row r="21" spans="1:18" x14ac:dyDescent="0.35">
      <c r="A21" t="s">
        <v>907</v>
      </c>
      <c r="B21" t="s">
        <v>906</v>
      </c>
      <c r="C21" s="97">
        <v>46066</v>
      </c>
      <c r="D21" t="s">
        <v>371</v>
      </c>
      <c r="E21" t="s">
        <v>372</v>
      </c>
      <c r="F21" t="s">
        <v>370</v>
      </c>
      <c r="G21" t="s">
        <v>202</v>
      </c>
      <c r="H21" t="s">
        <v>338</v>
      </c>
      <c r="I21" s="97">
        <v>46066</v>
      </c>
      <c r="J21" s="97">
        <v>46081</v>
      </c>
      <c r="K21">
        <v>13</v>
      </c>
      <c r="L21">
        <v>45</v>
      </c>
      <c r="M21">
        <v>585</v>
      </c>
      <c r="N21">
        <v>0</v>
      </c>
      <c r="O21">
        <v>0</v>
      </c>
      <c r="P21">
        <v>585</v>
      </c>
      <c r="Q21" t="s">
        <v>738</v>
      </c>
      <c r="R21" s="97">
        <v>46066</v>
      </c>
    </row>
    <row r="22" spans="1:18" x14ac:dyDescent="0.35">
      <c r="A22" t="s">
        <v>905</v>
      </c>
      <c r="B22" t="s">
        <v>904</v>
      </c>
      <c r="C22" s="97">
        <v>46067</v>
      </c>
      <c r="D22" t="s">
        <v>510</v>
      </c>
      <c r="E22" t="s">
        <v>511</v>
      </c>
      <c r="F22" t="s">
        <v>509</v>
      </c>
      <c r="G22" t="s">
        <v>202</v>
      </c>
      <c r="H22" t="s">
        <v>338</v>
      </c>
      <c r="I22" s="97">
        <v>46067</v>
      </c>
      <c r="J22" s="97">
        <v>46081</v>
      </c>
      <c r="K22">
        <v>16</v>
      </c>
      <c r="L22">
        <v>45</v>
      </c>
      <c r="M22">
        <v>720</v>
      </c>
      <c r="N22">
        <v>0</v>
      </c>
      <c r="O22">
        <v>0</v>
      </c>
      <c r="P22">
        <v>720</v>
      </c>
      <c r="Q22" t="s">
        <v>738</v>
      </c>
      <c r="R22" s="97">
        <v>46067</v>
      </c>
    </row>
    <row r="23" spans="1:18" x14ac:dyDescent="0.35">
      <c r="A23" t="s">
        <v>903</v>
      </c>
      <c r="B23" t="s">
        <v>902</v>
      </c>
      <c r="C23" s="97">
        <v>46068</v>
      </c>
      <c r="D23" t="s">
        <v>335</v>
      </c>
      <c r="E23" t="s">
        <v>227</v>
      </c>
      <c r="F23" t="s">
        <v>389</v>
      </c>
      <c r="G23" t="s">
        <v>206</v>
      </c>
      <c r="H23" t="s">
        <v>338</v>
      </c>
      <c r="I23" s="97">
        <v>46068</v>
      </c>
      <c r="J23" s="97">
        <v>46081</v>
      </c>
      <c r="K23">
        <v>16</v>
      </c>
      <c r="L23">
        <v>110</v>
      </c>
      <c r="M23">
        <v>1760</v>
      </c>
      <c r="N23">
        <v>0</v>
      </c>
      <c r="O23">
        <v>0</v>
      </c>
      <c r="P23">
        <v>1760</v>
      </c>
      <c r="Q23" t="s">
        <v>738</v>
      </c>
      <c r="R23" s="97">
        <v>46068</v>
      </c>
    </row>
    <row r="24" spans="1:18" x14ac:dyDescent="0.35">
      <c r="A24" t="s">
        <v>901</v>
      </c>
      <c r="B24" t="s">
        <v>900</v>
      </c>
      <c r="C24" s="97">
        <v>46068</v>
      </c>
      <c r="D24" t="s">
        <v>410</v>
      </c>
      <c r="E24" t="s">
        <v>411</v>
      </c>
      <c r="F24" t="s">
        <v>492</v>
      </c>
      <c r="G24" t="s">
        <v>205</v>
      </c>
      <c r="H24" t="s">
        <v>338</v>
      </c>
      <c r="I24" s="97">
        <v>46068</v>
      </c>
      <c r="J24" s="97">
        <v>46081</v>
      </c>
      <c r="K24">
        <v>35</v>
      </c>
      <c r="L24">
        <v>85</v>
      </c>
      <c r="M24">
        <v>2975</v>
      </c>
      <c r="N24">
        <v>0</v>
      </c>
      <c r="O24">
        <v>0</v>
      </c>
      <c r="P24">
        <v>2975</v>
      </c>
      <c r="Q24" t="s">
        <v>738</v>
      </c>
      <c r="R24" s="97">
        <v>46068</v>
      </c>
    </row>
    <row r="25" spans="1:18" x14ac:dyDescent="0.35">
      <c r="A25" t="s">
        <v>899</v>
      </c>
      <c r="B25" t="s">
        <v>898</v>
      </c>
      <c r="C25" s="97">
        <v>46068</v>
      </c>
      <c r="D25" t="s">
        <v>433</v>
      </c>
      <c r="E25" t="s">
        <v>239</v>
      </c>
      <c r="F25" t="s">
        <v>578</v>
      </c>
      <c r="G25" t="s">
        <v>205</v>
      </c>
      <c r="H25" t="s">
        <v>338</v>
      </c>
      <c r="I25" s="97">
        <v>46068</v>
      </c>
      <c r="J25" s="97">
        <v>46081</v>
      </c>
      <c r="K25">
        <v>11</v>
      </c>
      <c r="L25">
        <v>85</v>
      </c>
      <c r="M25">
        <v>935</v>
      </c>
      <c r="N25">
        <v>0</v>
      </c>
      <c r="O25">
        <v>0</v>
      </c>
      <c r="P25">
        <v>935</v>
      </c>
      <c r="Q25" t="s">
        <v>738</v>
      </c>
      <c r="R25" s="97">
        <v>46068</v>
      </c>
    </row>
    <row r="26" spans="1:18" x14ac:dyDescent="0.35">
      <c r="A26" t="s">
        <v>897</v>
      </c>
      <c r="B26" t="s">
        <v>896</v>
      </c>
      <c r="C26" s="97">
        <v>46069</v>
      </c>
      <c r="D26" t="s">
        <v>416</v>
      </c>
      <c r="E26" t="s">
        <v>241</v>
      </c>
      <c r="F26" t="s">
        <v>415</v>
      </c>
      <c r="G26" t="s">
        <v>205</v>
      </c>
      <c r="H26" t="s">
        <v>338</v>
      </c>
      <c r="I26" s="97">
        <v>46069</v>
      </c>
      <c r="J26" s="97">
        <v>46081</v>
      </c>
      <c r="K26">
        <v>19</v>
      </c>
      <c r="L26">
        <v>85</v>
      </c>
      <c r="M26">
        <v>1615</v>
      </c>
      <c r="N26">
        <v>0</v>
      </c>
      <c r="O26">
        <v>0</v>
      </c>
      <c r="P26">
        <v>1615</v>
      </c>
      <c r="Q26" t="s">
        <v>738</v>
      </c>
      <c r="R26" s="97">
        <v>46069</v>
      </c>
    </row>
    <row r="27" spans="1:18" x14ac:dyDescent="0.35">
      <c r="A27" t="s">
        <v>895</v>
      </c>
      <c r="B27" t="s">
        <v>894</v>
      </c>
      <c r="C27" s="97">
        <v>46070</v>
      </c>
      <c r="D27" t="s">
        <v>480</v>
      </c>
      <c r="E27" t="s">
        <v>481</v>
      </c>
      <c r="F27" t="s">
        <v>479</v>
      </c>
      <c r="G27" t="s">
        <v>203</v>
      </c>
      <c r="H27" t="s">
        <v>338</v>
      </c>
      <c r="I27" s="97">
        <v>46070</v>
      </c>
      <c r="J27" s="97">
        <v>46081</v>
      </c>
      <c r="K27">
        <v>20</v>
      </c>
      <c r="L27">
        <v>95</v>
      </c>
      <c r="M27">
        <v>1900</v>
      </c>
      <c r="N27">
        <v>0</v>
      </c>
      <c r="O27">
        <v>0</v>
      </c>
      <c r="P27">
        <v>1900</v>
      </c>
      <c r="Q27" t="s">
        <v>738</v>
      </c>
      <c r="R27" s="97">
        <v>46070</v>
      </c>
    </row>
    <row r="28" spans="1:18" x14ac:dyDescent="0.35">
      <c r="A28" t="s">
        <v>893</v>
      </c>
      <c r="B28" t="s">
        <v>892</v>
      </c>
      <c r="C28" s="97">
        <v>46070</v>
      </c>
      <c r="D28" t="s">
        <v>498</v>
      </c>
      <c r="E28" t="s">
        <v>499</v>
      </c>
      <c r="F28" t="s">
        <v>497</v>
      </c>
      <c r="G28" t="s">
        <v>204</v>
      </c>
      <c r="H28" t="s">
        <v>338</v>
      </c>
      <c r="I28" s="97">
        <v>46070</v>
      </c>
      <c r="J28" s="97">
        <v>46081</v>
      </c>
      <c r="K28">
        <v>26</v>
      </c>
      <c r="L28">
        <v>180</v>
      </c>
      <c r="M28">
        <v>4680</v>
      </c>
      <c r="N28">
        <v>0</v>
      </c>
      <c r="O28">
        <v>0</v>
      </c>
      <c r="P28">
        <v>4680</v>
      </c>
      <c r="Q28" t="s">
        <v>738</v>
      </c>
      <c r="R28" s="97">
        <v>46070</v>
      </c>
    </row>
    <row r="29" spans="1:18" x14ac:dyDescent="0.35">
      <c r="A29" t="s">
        <v>891</v>
      </c>
      <c r="B29" t="s">
        <v>890</v>
      </c>
      <c r="C29" s="97">
        <v>46071</v>
      </c>
      <c r="D29" t="s">
        <v>428</v>
      </c>
      <c r="E29" t="s">
        <v>429</v>
      </c>
      <c r="F29" t="s">
        <v>515</v>
      </c>
      <c r="G29" t="s">
        <v>206</v>
      </c>
      <c r="H29" t="s">
        <v>338</v>
      </c>
      <c r="I29" s="97">
        <v>46071</v>
      </c>
      <c r="J29" s="97">
        <v>46081</v>
      </c>
      <c r="K29">
        <v>26</v>
      </c>
      <c r="L29">
        <v>110</v>
      </c>
      <c r="M29">
        <v>2860</v>
      </c>
      <c r="N29">
        <v>0</v>
      </c>
      <c r="O29">
        <v>0</v>
      </c>
      <c r="P29">
        <v>2860</v>
      </c>
      <c r="Q29" t="s">
        <v>738</v>
      </c>
      <c r="R29" s="97">
        <v>46071</v>
      </c>
    </row>
    <row r="30" spans="1:18" x14ac:dyDescent="0.35">
      <c r="A30" t="s">
        <v>889</v>
      </c>
      <c r="B30" t="s">
        <v>888</v>
      </c>
      <c r="C30" s="97">
        <v>46072</v>
      </c>
      <c r="D30" t="s">
        <v>351</v>
      </c>
      <c r="E30" t="s">
        <v>243</v>
      </c>
      <c r="F30" t="s">
        <v>350</v>
      </c>
      <c r="G30" t="s">
        <v>206</v>
      </c>
      <c r="H30" t="s">
        <v>338</v>
      </c>
      <c r="I30" s="97">
        <v>46072</v>
      </c>
      <c r="J30" s="97">
        <v>46081</v>
      </c>
      <c r="K30">
        <v>18</v>
      </c>
      <c r="L30">
        <v>110</v>
      </c>
      <c r="M30">
        <v>1980</v>
      </c>
      <c r="N30">
        <v>0</v>
      </c>
      <c r="O30">
        <v>0</v>
      </c>
      <c r="P30">
        <v>1980</v>
      </c>
      <c r="Q30" t="s">
        <v>738</v>
      </c>
      <c r="R30" s="97">
        <v>46072</v>
      </c>
    </row>
    <row r="31" spans="1:18" x14ac:dyDescent="0.35">
      <c r="A31" t="s">
        <v>887</v>
      </c>
      <c r="B31" t="s">
        <v>886</v>
      </c>
      <c r="C31" s="97">
        <v>46072</v>
      </c>
      <c r="D31" t="s">
        <v>400</v>
      </c>
      <c r="E31" t="s">
        <v>401</v>
      </c>
      <c r="F31" t="s">
        <v>399</v>
      </c>
      <c r="G31" t="s">
        <v>202</v>
      </c>
      <c r="H31" t="s">
        <v>338</v>
      </c>
      <c r="I31" s="97">
        <v>46072</v>
      </c>
      <c r="J31" s="97">
        <v>46081</v>
      </c>
      <c r="K31">
        <v>12</v>
      </c>
      <c r="L31">
        <v>45</v>
      </c>
      <c r="M31">
        <v>540</v>
      </c>
      <c r="N31">
        <v>0</v>
      </c>
      <c r="O31">
        <v>0</v>
      </c>
      <c r="P31">
        <v>540</v>
      </c>
      <c r="Q31" t="s">
        <v>738</v>
      </c>
      <c r="R31" s="97">
        <v>46072</v>
      </c>
    </row>
    <row r="32" spans="1:18" x14ac:dyDescent="0.35">
      <c r="A32" t="s">
        <v>885</v>
      </c>
      <c r="B32" t="s">
        <v>884</v>
      </c>
      <c r="C32" s="97">
        <v>46073</v>
      </c>
      <c r="D32" t="s">
        <v>464</v>
      </c>
      <c r="E32" t="s">
        <v>465</v>
      </c>
      <c r="F32" t="s">
        <v>463</v>
      </c>
      <c r="G32" t="s">
        <v>202</v>
      </c>
      <c r="H32" t="s">
        <v>338</v>
      </c>
      <c r="I32" s="97">
        <v>46073</v>
      </c>
      <c r="J32" s="97">
        <v>46081</v>
      </c>
      <c r="K32">
        <v>15</v>
      </c>
      <c r="L32">
        <v>45</v>
      </c>
      <c r="M32">
        <v>675</v>
      </c>
      <c r="N32">
        <v>0</v>
      </c>
      <c r="O32">
        <v>0</v>
      </c>
      <c r="P32">
        <v>675</v>
      </c>
      <c r="Q32" t="s">
        <v>738</v>
      </c>
      <c r="R32" s="97">
        <v>46073</v>
      </c>
    </row>
    <row r="33" spans="1:19" x14ac:dyDescent="0.35">
      <c r="A33" t="s">
        <v>883</v>
      </c>
      <c r="B33" t="s">
        <v>882</v>
      </c>
      <c r="C33" s="97">
        <v>46073</v>
      </c>
      <c r="D33" t="s">
        <v>367</v>
      </c>
      <c r="E33" t="s">
        <v>368</v>
      </c>
      <c r="F33" t="s">
        <v>447</v>
      </c>
      <c r="G33" t="s">
        <v>203</v>
      </c>
      <c r="H33" t="s">
        <v>338</v>
      </c>
      <c r="I33" s="97">
        <v>46073</v>
      </c>
      <c r="J33" s="97">
        <v>46081</v>
      </c>
      <c r="K33">
        <v>35</v>
      </c>
      <c r="L33">
        <v>95</v>
      </c>
      <c r="M33">
        <v>3325</v>
      </c>
      <c r="N33">
        <v>0</v>
      </c>
      <c r="O33">
        <v>0</v>
      </c>
      <c r="P33">
        <v>3325</v>
      </c>
      <c r="Q33" t="s">
        <v>738</v>
      </c>
      <c r="R33" s="97">
        <v>46073</v>
      </c>
    </row>
    <row r="34" spans="1:19" x14ac:dyDescent="0.35">
      <c r="A34" t="s">
        <v>881</v>
      </c>
      <c r="B34" t="s">
        <v>880</v>
      </c>
      <c r="C34" s="97">
        <v>46073</v>
      </c>
      <c r="D34" t="s">
        <v>383</v>
      </c>
      <c r="E34" t="s">
        <v>233</v>
      </c>
      <c r="F34" t="s">
        <v>527</v>
      </c>
      <c r="G34" t="s">
        <v>203</v>
      </c>
      <c r="H34" t="s">
        <v>338</v>
      </c>
      <c r="I34" s="97">
        <v>46073</v>
      </c>
      <c r="J34" s="97">
        <v>46081</v>
      </c>
      <c r="K34">
        <v>12</v>
      </c>
      <c r="L34">
        <v>95</v>
      </c>
      <c r="M34">
        <v>1140</v>
      </c>
      <c r="N34">
        <v>0</v>
      </c>
      <c r="O34">
        <v>0</v>
      </c>
      <c r="P34">
        <v>1140</v>
      </c>
      <c r="Q34" t="s">
        <v>738</v>
      </c>
      <c r="R34" s="97">
        <v>46073</v>
      </c>
    </row>
    <row r="35" spans="1:19" x14ac:dyDescent="0.35">
      <c r="A35" t="s">
        <v>879</v>
      </c>
      <c r="B35" t="s">
        <v>878</v>
      </c>
      <c r="C35" s="97">
        <v>46073</v>
      </c>
      <c r="D35" t="s">
        <v>684</v>
      </c>
      <c r="E35" t="s">
        <v>690</v>
      </c>
      <c r="F35" t="s">
        <v>683</v>
      </c>
      <c r="G35" t="s">
        <v>203</v>
      </c>
      <c r="H35" t="s">
        <v>338</v>
      </c>
      <c r="I35" s="97">
        <v>46073</v>
      </c>
      <c r="J35" s="97">
        <v>46081</v>
      </c>
      <c r="K35">
        <v>32</v>
      </c>
      <c r="L35">
        <v>95</v>
      </c>
      <c r="M35">
        <v>3040</v>
      </c>
      <c r="N35">
        <v>0</v>
      </c>
      <c r="O35">
        <v>0</v>
      </c>
      <c r="P35">
        <v>3040</v>
      </c>
      <c r="Q35" t="s">
        <v>738</v>
      </c>
      <c r="R35" s="97">
        <v>46073</v>
      </c>
    </row>
    <row r="36" spans="1:19" x14ac:dyDescent="0.35">
      <c r="A36" t="s">
        <v>877</v>
      </c>
      <c r="B36" t="s">
        <v>876</v>
      </c>
      <c r="C36" s="97">
        <v>46074</v>
      </c>
      <c r="D36" t="s">
        <v>361</v>
      </c>
      <c r="E36" t="s">
        <v>247</v>
      </c>
      <c r="F36" t="s">
        <v>246</v>
      </c>
      <c r="G36" t="s">
        <v>202</v>
      </c>
      <c r="H36" t="s">
        <v>338</v>
      </c>
      <c r="I36" s="97">
        <v>46074</v>
      </c>
      <c r="J36" s="97">
        <v>46081</v>
      </c>
      <c r="K36">
        <v>15</v>
      </c>
      <c r="L36">
        <v>45</v>
      </c>
      <c r="M36">
        <v>675</v>
      </c>
      <c r="N36">
        <v>12</v>
      </c>
      <c r="O36">
        <v>81</v>
      </c>
      <c r="P36">
        <v>-169.71</v>
      </c>
      <c r="Q36" t="s">
        <v>875</v>
      </c>
      <c r="R36" s="97">
        <v>46074</v>
      </c>
      <c r="S36" t="s">
        <v>874</v>
      </c>
    </row>
    <row r="37" spans="1:19" x14ac:dyDescent="0.35">
      <c r="A37" t="s">
        <v>873</v>
      </c>
      <c r="B37" t="s">
        <v>872</v>
      </c>
      <c r="C37" s="97">
        <v>46075</v>
      </c>
      <c r="D37" t="s">
        <v>391</v>
      </c>
      <c r="E37" t="s">
        <v>245</v>
      </c>
      <c r="F37" t="s">
        <v>393</v>
      </c>
      <c r="G37" t="s">
        <v>204</v>
      </c>
      <c r="H37" t="s">
        <v>338</v>
      </c>
      <c r="I37" s="97">
        <v>46075</v>
      </c>
      <c r="J37" s="97">
        <v>46081</v>
      </c>
      <c r="K37">
        <v>20</v>
      </c>
      <c r="L37">
        <v>180</v>
      </c>
      <c r="M37">
        <v>3600</v>
      </c>
      <c r="N37">
        <v>0</v>
      </c>
      <c r="O37">
        <v>0</v>
      </c>
      <c r="P37">
        <v>3600</v>
      </c>
      <c r="Q37" t="s">
        <v>738</v>
      </c>
      <c r="R37" s="97">
        <v>46075</v>
      </c>
    </row>
    <row r="38" spans="1:19" x14ac:dyDescent="0.35">
      <c r="A38" t="s">
        <v>871</v>
      </c>
      <c r="B38" t="s">
        <v>870</v>
      </c>
      <c r="C38" s="97">
        <v>46075</v>
      </c>
      <c r="D38" t="s">
        <v>442</v>
      </c>
      <c r="E38" t="s">
        <v>443</v>
      </c>
      <c r="F38" t="s">
        <v>530</v>
      </c>
      <c r="G38" t="s">
        <v>206</v>
      </c>
      <c r="H38" t="s">
        <v>338</v>
      </c>
      <c r="I38" s="97">
        <v>46075</v>
      </c>
      <c r="J38" s="97">
        <v>46081</v>
      </c>
      <c r="K38">
        <v>36</v>
      </c>
      <c r="L38">
        <v>110</v>
      </c>
      <c r="M38">
        <v>3960</v>
      </c>
      <c r="N38">
        <v>0</v>
      </c>
      <c r="O38">
        <v>0</v>
      </c>
      <c r="P38">
        <v>3960</v>
      </c>
      <c r="Q38" t="s">
        <v>738</v>
      </c>
      <c r="R38" s="97">
        <v>46075</v>
      </c>
    </row>
    <row r="39" spans="1:19" x14ac:dyDescent="0.35">
      <c r="A39" t="s">
        <v>869</v>
      </c>
      <c r="B39" t="s">
        <v>868</v>
      </c>
      <c r="C39" s="97">
        <v>46076</v>
      </c>
      <c r="D39" t="s">
        <v>451</v>
      </c>
      <c r="E39" t="s">
        <v>452</v>
      </c>
      <c r="F39" t="s">
        <v>450</v>
      </c>
      <c r="G39" t="s">
        <v>203</v>
      </c>
      <c r="H39" t="s">
        <v>338</v>
      </c>
      <c r="I39" s="97">
        <v>46076</v>
      </c>
      <c r="J39" s="97">
        <v>46081</v>
      </c>
      <c r="K39">
        <v>16</v>
      </c>
      <c r="L39">
        <v>95</v>
      </c>
      <c r="M39">
        <v>1520</v>
      </c>
      <c r="N39">
        <v>0</v>
      </c>
      <c r="O39">
        <v>0</v>
      </c>
      <c r="P39">
        <v>1520</v>
      </c>
      <c r="Q39" t="s">
        <v>738</v>
      </c>
      <c r="R39" s="97">
        <v>46076</v>
      </c>
    </row>
    <row r="40" spans="1:19" x14ac:dyDescent="0.35">
      <c r="A40" t="s">
        <v>867</v>
      </c>
      <c r="B40" t="s">
        <v>866</v>
      </c>
      <c r="C40" s="97">
        <v>46076</v>
      </c>
      <c r="D40" t="s">
        <v>552</v>
      </c>
      <c r="E40" t="s">
        <v>553</v>
      </c>
      <c r="F40" t="s">
        <v>551</v>
      </c>
      <c r="G40" t="s">
        <v>205</v>
      </c>
      <c r="H40" t="s">
        <v>338</v>
      </c>
      <c r="I40" s="97">
        <v>46076</v>
      </c>
      <c r="J40" s="97">
        <v>46081</v>
      </c>
      <c r="K40">
        <v>29</v>
      </c>
      <c r="L40">
        <v>85</v>
      </c>
      <c r="M40">
        <v>2465</v>
      </c>
      <c r="N40">
        <v>0</v>
      </c>
      <c r="O40">
        <v>0</v>
      </c>
      <c r="P40">
        <v>2465</v>
      </c>
      <c r="Q40" t="s">
        <v>738</v>
      </c>
      <c r="R40" s="97">
        <v>46076</v>
      </c>
    </row>
    <row r="41" spans="1:19" x14ac:dyDescent="0.35">
      <c r="A41" t="s">
        <v>865</v>
      </c>
      <c r="B41" t="s">
        <v>864</v>
      </c>
      <c r="C41" s="97">
        <v>46078</v>
      </c>
      <c r="D41" t="s">
        <v>438</v>
      </c>
      <c r="E41" t="s">
        <v>439</v>
      </c>
      <c r="F41" t="s">
        <v>437</v>
      </c>
      <c r="G41" t="s">
        <v>205</v>
      </c>
      <c r="H41" t="s">
        <v>338</v>
      </c>
      <c r="I41" s="97">
        <v>46078</v>
      </c>
      <c r="J41" s="97">
        <v>46081</v>
      </c>
      <c r="K41">
        <v>31</v>
      </c>
      <c r="L41">
        <v>85</v>
      </c>
      <c r="M41">
        <v>2635</v>
      </c>
      <c r="N41">
        <v>0</v>
      </c>
      <c r="O41">
        <v>0</v>
      </c>
      <c r="P41">
        <v>2635</v>
      </c>
      <c r="Q41" t="s">
        <v>738</v>
      </c>
      <c r="R41" s="97">
        <v>46078</v>
      </c>
    </row>
    <row r="42" spans="1:19" x14ac:dyDescent="0.35">
      <c r="A42" t="s">
        <v>863</v>
      </c>
      <c r="B42" t="s">
        <v>862</v>
      </c>
      <c r="C42" s="97">
        <v>46079</v>
      </c>
      <c r="D42" t="s">
        <v>535</v>
      </c>
      <c r="E42" t="s">
        <v>536</v>
      </c>
      <c r="F42" t="s">
        <v>534</v>
      </c>
      <c r="G42" t="s">
        <v>207</v>
      </c>
      <c r="H42" t="s">
        <v>338</v>
      </c>
      <c r="I42" s="97">
        <v>46079</v>
      </c>
      <c r="J42" s="97">
        <v>46081</v>
      </c>
      <c r="K42">
        <v>35</v>
      </c>
      <c r="L42">
        <v>150</v>
      </c>
      <c r="M42">
        <v>5250</v>
      </c>
      <c r="N42">
        <v>0</v>
      </c>
      <c r="O42">
        <v>0</v>
      </c>
      <c r="P42">
        <v>5250</v>
      </c>
      <c r="Q42" t="s">
        <v>738</v>
      </c>
      <c r="R42" s="97">
        <v>46079</v>
      </c>
    </row>
    <row r="43" spans="1:19" x14ac:dyDescent="0.35">
      <c r="A43" t="s">
        <v>861</v>
      </c>
      <c r="B43" t="s">
        <v>860</v>
      </c>
      <c r="C43" s="97">
        <v>46079</v>
      </c>
      <c r="D43" t="s">
        <v>592</v>
      </c>
      <c r="E43" t="s">
        <v>593</v>
      </c>
      <c r="F43" t="s">
        <v>591</v>
      </c>
      <c r="G43" t="s">
        <v>203</v>
      </c>
      <c r="H43" t="s">
        <v>338</v>
      </c>
      <c r="I43" s="97">
        <v>46079</v>
      </c>
      <c r="J43" s="97">
        <v>46081</v>
      </c>
      <c r="K43">
        <v>18</v>
      </c>
      <c r="L43">
        <v>95</v>
      </c>
      <c r="M43">
        <v>1710</v>
      </c>
      <c r="N43">
        <v>0</v>
      </c>
      <c r="O43">
        <v>0</v>
      </c>
      <c r="P43">
        <v>1710</v>
      </c>
      <c r="Q43" t="s">
        <v>738</v>
      </c>
      <c r="R43" s="97">
        <v>46079</v>
      </c>
    </row>
    <row r="44" spans="1:19" x14ac:dyDescent="0.35">
      <c r="A44" t="s">
        <v>859</v>
      </c>
      <c r="B44" t="s">
        <v>858</v>
      </c>
      <c r="C44" s="97">
        <v>46080</v>
      </c>
      <c r="D44" t="s">
        <v>375</v>
      </c>
      <c r="E44" t="s">
        <v>376</v>
      </c>
      <c r="F44" t="s">
        <v>374</v>
      </c>
      <c r="G44" t="s">
        <v>206</v>
      </c>
      <c r="H44" t="s">
        <v>338</v>
      </c>
      <c r="I44" s="97">
        <v>46080</v>
      </c>
      <c r="J44" s="97">
        <v>46081</v>
      </c>
      <c r="K44">
        <v>18</v>
      </c>
      <c r="L44">
        <v>110</v>
      </c>
      <c r="M44">
        <v>1980</v>
      </c>
      <c r="N44">
        <v>0</v>
      </c>
      <c r="O44">
        <v>0</v>
      </c>
      <c r="P44">
        <v>1980</v>
      </c>
      <c r="Q44" t="s">
        <v>738</v>
      </c>
      <c r="R44" s="97">
        <v>46080</v>
      </c>
    </row>
    <row r="45" spans="1:19" x14ac:dyDescent="0.35">
      <c r="A45" t="s">
        <v>857</v>
      </c>
      <c r="B45" t="s">
        <v>856</v>
      </c>
      <c r="C45" s="97">
        <v>46081</v>
      </c>
      <c r="D45" t="s">
        <v>420</v>
      </c>
      <c r="E45" t="s">
        <v>421</v>
      </c>
      <c r="F45" t="s">
        <v>419</v>
      </c>
      <c r="G45" t="s">
        <v>206</v>
      </c>
      <c r="H45" t="s">
        <v>338</v>
      </c>
      <c r="I45" s="97">
        <v>46081</v>
      </c>
      <c r="J45" s="97">
        <v>46081</v>
      </c>
      <c r="K45">
        <v>15</v>
      </c>
      <c r="L45">
        <v>110</v>
      </c>
      <c r="M45">
        <v>1650</v>
      </c>
      <c r="N45">
        <v>0</v>
      </c>
      <c r="O45">
        <v>0</v>
      </c>
      <c r="P45">
        <v>1650</v>
      </c>
      <c r="Q45" t="s">
        <v>738</v>
      </c>
      <c r="R45" s="97">
        <v>46081</v>
      </c>
    </row>
    <row r="46" spans="1:19" x14ac:dyDescent="0.35">
      <c r="A46" t="s">
        <v>855</v>
      </c>
      <c r="B46" t="s">
        <v>854</v>
      </c>
      <c r="C46" s="97">
        <v>46081</v>
      </c>
      <c r="D46" t="s">
        <v>428</v>
      </c>
      <c r="E46" t="s">
        <v>429</v>
      </c>
      <c r="F46" t="s">
        <v>427</v>
      </c>
      <c r="G46" t="s">
        <v>207</v>
      </c>
      <c r="H46" t="s">
        <v>338</v>
      </c>
      <c r="I46" s="97">
        <v>46081</v>
      </c>
      <c r="J46" s="97">
        <v>46081</v>
      </c>
      <c r="K46">
        <v>33</v>
      </c>
      <c r="L46">
        <v>150</v>
      </c>
      <c r="M46">
        <v>4950</v>
      </c>
      <c r="N46">
        <v>0</v>
      </c>
      <c r="O46">
        <v>0</v>
      </c>
      <c r="P46">
        <v>4950</v>
      </c>
      <c r="Q46" t="s">
        <v>738</v>
      </c>
      <c r="R46" s="97">
        <v>46081</v>
      </c>
    </row>
    <row r="47" spans="1:19" x14ac:dyDescent="0.35">
      <c r="A47" t="s">
        <v>853</v>
      </c>
      <c r="B47" t="s">
        <v>852</v>
      </c>
      <c r="C47" s="97">
        <v>46081</v>
      </c>
      <c r="D47" t="s">
        <v>505</v>
      </c>
      <c r="E47" t="s">
        <v>506</v>
      </c>
      <c r="F47" t="s">
        <v>504</v>
      </c>
      <c r="G47" t="s">
        <v>205</v>
      </c>
      <c r="H47" t="s">
        <v>338</v>
      </c>
      <c r="I47" s="97">
        <v>46081</v>
      </c>
      <c r="J47" s="97">
        <v>46081</v>
      </c>
      <c r="K47">
        <v>25</v>
      </c>
      <c r="L47">
        <v>85</v>
      </c>
      <c r="M47">
        <v>2125</v>
      </c>
      <c r="N47">
        <v>0</v>
      </c>
      <c r="O47">
        <v>0</v>
      </c>
      <c r="P47">
        <v>2125</v>
      </c>
      <c r="Q47" t="s">
        <v>738</v>
      </c>
      <c r="R47" s="97">
        <v>46081</v>
      </c>
    </row>
    <row r="48" spans="1:19" x14ac:dyDescent="0.35">
      <c r="A48" t="s">
        <v>851</v>
      </c>
      <c r="B48" t="s">
        <v>850</v>
      </c>
      <c r="C48" s="97">
        <v>46081</v>
      </c>
      <c r="D48" t="s">
        <v>518</v>
      </c>
      <c r="E48" t="s">
        <v>519</v>
      </c>
      <c r="F48" t="s">
        <v>517</v>
      </c>
      <c r="G48" t="s">
        <v>206</v>
      </c>
      <c r="H48" t="s">
        <v>338</v>
      </c>
      <c r="I48" s="97">
        <v>46081</v>
      </c>
      <c r="J48" s="97">
        <v>46081</v>
      </c>
      <c r="K48">
        <v>20</v>
      </c>
      <c r="L48">
        <v>110</v>
      </c>
      <c r="M48">
        <v>2200</v>
      </c>
      <c r="N48">
        <v>0</v>
      </c>
      <c r="O48">
        <v>0</v>
      </c>
      <c r="P48">
        <v>2200</v>
      </c>
      <c r="Q48" t="s">
        <v>738</v>
      </c>
      <c r="R48" s="97">
        <v>46081</v>
      </c>
    </row>
    <row r="49" spans="1:18" x14ac:dyDescent="0.35">
      <c r="A49" t="s">
        <v>849</v>
      </c>
      <c r="B49" t="s">
        <v>848</v>
      </c>
      <c r="C49" s="97">
        <v>46081</v>
      </c>
      <c r="D49" t="s">
        <v>425</v>
      </c>
      <c r="E49" t="s">
        <v>235</v>
      </c>
      <c r="F49" t="s">
        <v>469</v>
      </c>
      <c r="G49" t="s">
        <v>207</v>
      </c>
      <c r="H49" t="s">
        <v>338</v>
      </c>
      <c r="I49" s="97">
        <v>46081</v>
      </c>
      <c r="J49" s="97">
        <v>46081</v>
      </c>
      <c r="K49">
        <v>28</v>
      </c>
      <c r="L49">
        <v>150</v>
      </c>
      <c r="M49">
        <v>4200</v>
      </c>
      <c r="N49">
        <v>0</v>
      </c>
      <c r="O49">
        <v>0</v>
      </c>
      <c r="P49">
        <v>4200</v>
      </c>
      <c r="Q49" t="s">
        <v>738</v>
      </c>
      <c r="R49" s="97">
        <v>46081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55CB-47E3-4F93-8FC4-A82D58F372FD}">
  <dimension ref="A1:G51"/>
  <sheetViews>
    <sheetView workbookViewId="0">
      <selection activeCell="N28" sqref="N28"/>
    </sheetView>
  </sheetViews>
  <sheetFormatPr defaultRowHeight="14.5" x14ac:dyDescent="0.35"/>
  <cols>
    <col min="1" max="1" width="36.1796875" bestFit="1" customWidth="1"/>
    <col min="2" max="2" width="11.453125" bestFit="1" customWidth="1"/>
    <col min="3" max="3" width="64.08984375" bestFit="1" customWidth="1"/>
    <col min="5" max="5" width="12.08984375" customWidth="1"/>
    <col min="6" max="6" width="18.453125" customWidth="1"/>
    <col min="7" max="7" width="16.7265625" customWidth="1"/>
  </cols>
  <sheetData>
    <row r="1" spans="1:7" x14ac:dyDescent="0.35">
      <c r="A1" t="s">
        <v>1048</v>
      </c>
    </row>
    <row r="2" spans="1:7" x14ac:dyDescent="0.35">
      <c r="A2" t="s">
        <v>1047</v>
      </c>
    </row>
    <row r="3" spans="1:7" x14ac:dyDescent="0.35">
      <c r="A3" t="s">
        <v>1046</v>
      </c>
      <c r="B3" s="88">
        <v>1250000</v>
      </c>
    </row>
    <row r="5" spans="1:7" x14ac:dyDescent="0.35">
      <c r="A5" t="s">
        <v>1045</v>
      </c>
      <c r="B5" t="s">
        <v>1044</v>
      </c>
      <c r="C5" t="s">
        <v>1043</v>
      </c>
      <c r="D5" t="s">
        <v>1042</v>
      </c>
      <c r="E5" t="s">
        <v>1041</v>
      </c>
      <c r="F5" t="s">
        <v>1040</v>
      </c>
      <c r="G5" t="s">
        <v>1039</v>
      </c>
    </row>
    <row r="6" spans="1:7" x14ac:dyDescent="0.35">
      <c r="A6" s="97">
        <v>46023</v>
      </c>
      <c r="B6" s="97">
        <v>46023</v>
      </c>
      <c r="C6" t="s">
        <v>1038</v>
      </c>
      <c r="D6" t="s">
        <v>947</v>
      </c>
      <c r="E6" s="39">
        <v>1360</v>
      </c>
      <c r="F6" t="s">
        <v>1037</v>
      </c>
      <c r="G6" s="39">
        <v>1251360</v>
      </c>
    </row>
    <row r="7" spans="1:7" x14ac:dyDescent="0.35">
      <c r="A7" s="97">
        <v>46023</v>
      </c>
      <c r="B7" s="97">
        <v>46023</v>
      </c>
      <c r="C7" t="s">
        <v>1036</v>
      </c>
      <c r="D7" t="s">
        <v>947</v>
      </c>
      <c r="E7" s="39">
        <v>594</v>
      </c>
      <c r="F7" t="s">
        <v>1035</v>
      </c>
      <c r="G7" s="39">
        <v>1251954</v>
      </c>
    </row>
    <row r="8" spans="1:7" x14ac:dyDescent="0.35">
      <c r="A8" s="97">
        <v>46024</v>
      </c>
      <c r="B8" s="97">
        <v>46024</v>
      </c>
      <c r="C8" t="s">
        <v>1034</v>
      </c>
      <c r="D8" t="s">
        <v>947</v>
      </c>
      <c r="E8" s="39">
        <v>6300</v>
      </c>
      <c r="F8" t="s">
        <v>1033</v>
      </c>
      <c r="G8" s="39">
        <v>1258254</v>
      </c>
    </row>
    <row r="9" spans="1:7" x14ac:dyDescent="0.35">
      <c r="A9" s="97">
        <v>46025</v>
      </c>
      <c r="B9" s="97">
        <v>46025</v>
      </c>
      <c r="C9" t="s">
        <v>1032</v>
      </c>
      <c r="D9" t="s">
        <v>947</v>
      </c>
      <c r="E9" s="39">
        <v>1870</v>
      </c>
      <c r="F9" t="s">
        <v>1031</v>
      </c>
      <c r="G9" s="39">
        <v>1260124</v>
      </c>
    </row>
    <row r="10" spans="1:7" x14ac:dyDescent="0.35">
      <c r="A10" s="97">
        <v>46027</v>
      </c>
      <c r="B10" s="97">
        <v>46027</v>
      </c>
      <c r="C10" t="s">
        <v>1030</v>
      </c>
      <c r="D10" t="s">
        <v>947</v>
      </c>
      <c r="E10" s="39">
        <v>1955</v>
      </c>
      <c r="F10" t="s">
        <v>1029</v>
      </c>
      <c r="G10" s="39">
        <v>1262079</v>
      </c>
    </row>
    <row r="11" spans="1:7" x14ac:dyDescent="0.35">
      <c r="A11" s="97">
        <v>46027</v>
      </c>
      <c r="B11" s="97">
        <v>46027</v>
      </c>
      <c r="C11" t="s">
        <v>1028</v>
      </c>
      <c r="D11" t="s">
        <v>947</v>
      </c>
      <c r="E11" s="39">
        <v>2805</v>
      </c>
      <c r="F11" t="s">
        <v>1027</v>
      </c>
      <c r="G11" s="39">
        <v>1264884</v>
      </c>
    </row>
    <row r="12" spans="1:7" x14ac:dyDescent="0.35">
      <c r="A12" s="97">
        <v>46027</v>
      </c>
      <c r="B12" s="97">
        <v>46027</v>
      </c>
      <c r="C12" t="s">
        <v>1026</v>
      </c>
      <c r="D12" t="s">
        <v>947</v>
      </c>
      <c r="E12" s="39">
        <v>5580</v>
      </c>
      <c r="F12" t="s">
        <v>1025</v>
      </c>
      <c r="G12" s="39">
        <v>1270464</v>
      </c>
    </row>
    <row r="13" spans="1:7" x14ac:dyDescent="0.35">
      <c r="A13" s="97">
        <v>46027</v>
      </c>
      <c r="B13" s="97">
        <v>46027</v>
      </c>
      <c r="C13" t="s">
        <v>1024</v>
      </c>
      <c r="D13" t="s">
        <v>947</v>
      </c>
      <c r="E13" s="39">
        <v>1870</v>
      </c>
      <c r="F13" t="s">
        <v>1023</v>
      </c>
      <c r="G13" s="39">
        <v>1272334</v>
      </c>
    </row>
    <row r="14" spans="1:7" x14ac:dyDescent="0.35">
      <c r="A14" s="97">
        <v>46028</v>
      </c>
      <c r="B14" s="97">
        <v>46028</v>
      </c>
      <c r="C14" t="s">
        <v>1022</v>
      </c>
      <c r="D14" t="s">
        <v>947</v>
      </c>
      <c r="E14" s="39">
        <v>3080</v>
      </c>
      <c r="F14" t="s">
        <v>1021</v>
      </c>
      <c r="G14" s="39">
        <v>1275414</v>
      </c>
    </row>
    <row r="15" spans="1:7" x14ac:dyDescent="0.35">
      <c r="A15" s="97">
        <v>46030</v>
      </c>
      <c r="B15" s="97">
        <v>46030</v>
      </c>
      <c r="C15" t="s">
        <v>1020</v>
      </c>
      <c r="D15" t="s">
        <v>947</v>
      </c>
      <c r="E15" s="39">
        <v>2380</v>
      </c>
      <c r="F15" t="s">
        <v>1019</v>
      </c>
      <c r="G15" s="39">
        <v>1277794</v>
      </c>
    </row>
    <row r="16" spans="1:7" x14ac:dyDescent="0.35">
      <c r="A16" s="97">
        <v>46030</v>
      </c>
      <c r="B16" s="97">
        <v>46030</v>
      </c>
      <c r="C16" t="s">
        <v>1018</v>
      </c>
      <c r="D16" t="s">
        <v>947</v>
      </c>
      <c r="E16" s="39">
        <v>1105</v>
      </c>
      <c r="F16" t="s">
        <v>1017</v>
      </c>
      <c r="G16" s="39">
        <v>1278899</v>
      </c>
    </row>
    <row r="17" spans="1:7" x14ac:dyDescent="0.35">
      <c r="A17" s="97">
        <v>46030</v>
      </c>
      <c r="B17" s="97">
        <v>46030</v>
      </c>
      <c r="C17" t="s">
        <v>1016</v>
      </c>
      <c r="D17" t="s">
        <v>947</v>
      </c>
      <c r="E17" s="39">
        <v>2860</v>
      </c>
      <c r="F17" t="s">
        <v>1015</v>
      </c>
      <c r="G17" s="39">
        <v>1281759</v>
      </c>
    </row>
    <row r="18" spans="1:7" x14ac:dyDescent="0.35">
      <c r="A18" s="97">
        <v>46031</v>
      </c>
      <c r="B18" s="97">
        <v>46031</v>
      </c>
      <c r="C18" t="s">
        <v>1014</v>
      </c>
      <c r="D18" t="s">
        <v>947</v>
      </c>
      <c r="E18" s="39">
        <v>585</v>
      </c>
      <c r="F18" t="s">
        <v>1013</v>
      </c>
      <c r="G18" s="39">
        <v>1282344</v>
      </c>
    </row>
    <row r="19" spans="1:7" x14ac:dyDescent="0.35">
      <c r="A19" s="97">
        <v>46032</v>
      </c>
      <c r="B19" s="97">
        <v>46032</v>
      </c>
      <c r="C19" t="s">
        <v>1012</v>
      </c>
      <c r="D19" t="s">
        <v>947</v>
      </c>
      <c r="E19" s="39">
        <v>2185</v>
      </c>
      <c r="F19" t="s">
        <v>1011</v>
      </c>
      <c r="G19" s="39">
        <v>1284529</v>
      </c>
    </row>
    <row r="20" spans="1:7" x14ac:dyDescent="0.35">
      <c r="A20" s="97">
        <v>46032</v>
      </c>
      <c r="B20" s="97">
        <v>46032</v>
      </c>
      <c r="C20" t="s">
        <v>1010</v>
      </c>
      <c r="D20" t="s">
        <v>947</v>
      </c>
      <c r="E20" s="39">
        <v>2090</v>
      </c>
      <c r="F20" t="s">
        <v>1009</v>
      </c>
      <c r="G20" s="39">
        <v>1286619</v>
      </c>
    </row>
    <row r="21" spans="1:7" x14ac:dyDescent="0.35">
      <c r="A21" s="97">
        <v>46032</v>
      </c>
      <c r="B21" s="97">
        <v>46032</v>
      </c>
      <c r="C21" t="s">
        <v>1008</v>
      </c>
      <c r="D21" t="s">
        <v>947</v>
      </c>
      <c r="E21" s="39">
        <v>2530</v>
      </c>
      <c r="F21" t="s">
        <v>1007</v>
      </c>
      <c r="G21" s="39">
        <v>1289149</v>
      </c>
    </row>
    <row r="22" spans="1:7" x14ac:dyDescent="0.35">
      <c r="A22" s="97">
        <v>46034</v>
      </c>
      <c r="B22" s="97">
        <v>46034</v>
      </c>
      <c r="C22" t="s">
        <v>1006</v>
      </c>
      <c r="D22" t="s">
        <v>947</v>
      </c>
      <c r="E22" s="39">
        <v>1710</v>
      </c>
      <c r="F22" t="s">
        <v>1005</v>
      </c>
      <c r="G22" s="39">
        <v>1290859</v>
      </c>
    </row>
    <row r="23" spans="1:7" x14ac:dyDescent="0.35">
      <c r="A23" s="97">
        <v>46034</v>
      </c>
      <c r="B23" s="97">
        <v>46034</v>
      </c>
      <c r="C23" t="s">
        <v>1004</v>
      </c>
      <c r="D23" t="s">
        <v>947</v>
      </c>
      <c r="E23" s="39">
        <v>3230</v>
      </c>
      <c r="F23" t="s">
        <v>1003</v>
      </c>
      <c r="G23" s="39">
        <v>1294089</v>
      </c>
    </row>
    <row r="24" spans="1:7" x14ac:dyDescent="0.35">
      <c r="A24" s="97">
        <v>46035</v>
      </c>
      <c r="B24" s="97">
        <v>46035</v>
      </c>
      <c r="C24" t="s">
        <v>1002</v>
      </c>
      <c r="D24" t="s">
        <v>947</v>
      </c>
      <c r="E24" s="39">
        <v>585</v>
      </c>
      <c r="F24" t="s">
        <v>1001</v>
      </c>
      <c r="G24" s="39">
        <v>1294674</v>
      </c>
    </row>
    <row r="25" spans="1:7" x14ac:dyDescent="0.35">
      <c r="A25" s="97">
        <v>46036</v>
      </c>
      <c r="B25" s="97">
        <v>46036</v>
      </c>
      <c r="C25" t="s">
        <v>1000</v>
      </c>
      <c r="D25" t="s">
        <v>947</v>
      </c>
      <c r="E25" s="39">
        <v>720</v>
      </c>
      <c r="F25" t="s">
        <v>999</v>
      </c>
      <c r="G25" s="39">
        <v>1295394</v>
      </c>
    </row>
    <row r="26" spans="1:7" x14ac:dyDescent="0.35">
      <c r="A26" s="97">
        <v>46037</v>
      </c>
      <c r="B26" s="97">
        <v>46037</v>
      </c>
      <c r="C26" t="s">
        <v>998</v>
      </c>
      <c r="D26" t="s">
        <v>947</v>
      </c>
      <c r="E26" s="39">
        <v>1760</v>
      </c>
      <c r="F26" t="s">
        <v>997</v>
      </c>
      <c r="G26" s="39">
        <v>1297154</v>
      </c>
    </row>
    <row r="27" spans="1:7" x14ac:dyDescent="0.35">
      <c r="A27" s="97">
        <v>46037</v>
      </c>
      <c r="B27" s="97">
        <v>46037</v>
      </c>
      <c r="C27" t="s">
        <v>996</v>
      </c>
      <c r="D27" t="s">
        <v>947</v>
      </c>
      <c r="E27" s="39">
        <v>2975</v>
      </c>
      <c r="F27" t="s">
        <v>995</v>
      </c>
      <c r="G27" s="39">
        <v>1300129</v>
      </c>
    </row>
    <row r="28" spans="1:7" x14ac:dyDescent="0.35">
      <c r="A28" s="97">
        <v>46037</v>
      </c>
      <c r="B28" s="97">
        <v>46037</v>
      </c>
      <c r="C28" t="s">
        <v>994</v>
      </c>
      <c r="D28" t="s">
        <v>947</v>
      </c>
      <c r="E28" s="39">
        <v>935</v>
      </c>
      <c r="F28" t="s">
        <v>993</v>
      </c>
      <c r="G28" s="39">
        <v>1301064</v>
      </c>
    </row>
    <row r="29" spans="1:7" x14ac:dyDescent="0.35">
      <c r="A29" s="97">
        <v>46038</v>
      </c>
      <c r="B29" s="97">
        <v>46038</v>
      </c>
      <c r="C29" t="s">
        <v>992</v>
      </c>
      <c r="D29" t="s">
        <v>947</v>
      </c>
      <c r="E29" s="39">
        <v>1615</v>
      </c>
      <c r="F29" t="s">
        <v>991</v>
      </c>
      <c r="G29" s="39">
        <v>1302679</v>
      </c>
    </row>
    <row r="30" spans="1:7" x14ac:dyDescent="0.35">
      <c r="A30" s="97">
        <v>46039</v>
      </c>
      <c r="B30" s="97">
        <v>46039</v>
      </c>
      <c r="C30" t="s">
        <v>990</v>
      </c>
      <c r="D30" t="s">
        <v>947</v>
      </c>
      <c r="E30" s="39">
        <v>1900</v>
      </c>
      <c r="F30" t="s">
        <v>989</v>
      </c>
      <c r="G30" s="39">
        <v>1304579</v>
      </c>
    </row>
    <row r="31" spans="1:7" x14ac:dyDescent="0.35">
      <c r="A31" s="97">
        <v>46039</v>
      </c>
      <c r="B31" s="97">
        <v>46039</v>
      </c>
      <c r="C31" t="s">
        <v>988</v>
      </c>
      <c r="D31" t="s">
        <v>947</v>
      </c>
      <c r="E31" s="39">
        <v>4680</v>
      </c>
      <c r="F31" t="s">
        <v>987</v>
      </c>
      <c r="G31" s="39">
        <v>1309259</v>
      </c>
    </row>
    <row r="32" spans="1:7" x14ac:dyDescent="0.35">
      <c r="A32" s="97">
        <v>46040</v>
      </c>
      <c r="B32" s="97">
        <v>46040</v>
      </c>
      <c r="C32" t="s">
        <v>986</v>
      </c>
      <c r="D32" t="s">
        <v>947</v>
      </c>
      <c r="E32" s="39">
        <v>2860</v>
      </c>
      <c r="F32" t="s">
        <v>985</v>
      </c>
      <c r="G32" s="39">
        <v>1312119</v>
      </c>
    </row>
    <row r="33" spans="1:7" x14ac:dyDescent="0.35">
      <c r="A33" s="97">
        <v>46041</v>
      </c>
      <c r="B33" s="97">
        <v>46041</v>
      </c>
      <c r="C33" t="s">
        <v>984</v>
      </c>
      <c r="D33" t="s">
        <v>947</v>
      </c>
      <c r="E33" s="39">
        <v>1980</v>
      </c>
      <c r="F33" t="s">
        <v>983</v>
      </c>
      <c r="G33" s="39">
        <v>1314099</v>
      </c>
    </row>
    <row r="34" spans="1:7" x14ac:dyDescent="0.35">
      <c r="A34" s="97">
        <v>46041</v>
      </c>
      <c r="B34" s="97">
        <v>46041</v>
      </c>
      <c r="C34" t="s">
        <v>982</v>
      </c>
      <c r="D34" t="s">
        <v>947</v>
      </c>
      <c r="E34" s="39">
        <v>540</v>
      </c>
      <c r="F34" t="s">
        <v>981</v>
      </c>
      <c r="G34" s="39">
        <v>1314639</v>
      </c>
    </row>
    <row r="35" spans="1:7" x14ac:dyDescent="0.35">
      <c r="A35" s="97">
        <v>46042</v>
      </c>
      <c r="B35" s="97">
        <v>46042</v>
      </c>
      <c r="C35" t="s">
        <v>980</v>
      </c>
      <c r="D35" t="s">
        <v>947</v>
      </c>
      <c r="E35" s="39">
        <v>3325</v>
      </c>
      <c r="F35" t="s">
        <v>979</v>
      </c>
      <c r="G35" s="39">
        <v>1317964</v>
      </c>
    </row>
    <row r="36" spans="1:7" x14ac:dyDescent="0.35">
      <c r="A36" s="97">
        <v>46042</v>
      </c>
      <c r="B36" s="97">
        <v>46042</v>
      </c>
      <c r="C36" t="s">
        <v>978</v>
      </c>
      <c r="D36" t="s">
        <v>947</v>
      </c>
      <c r="E36" s="39">
        <v>1140</v>
      </c>
      <c r="F36" t="s">
        <v>977</v>
      </c>
      <c r="G36" s="39">
        <v>1319104</v>
      </c>
    </row>
    <row r="37" spans="1:7" x14ac:dyDescent="0.35">
      <c r="A37" s="97">
        <v>46044</v>
      </c>
      <c r="B37" s="97">
        <v>46044</v>
      </c>
      <c r="C37" t="s">
        <v>976</v>
      </c>
      <c r="D37" t="s">
        <v>947</v>
      </c>
      <c r="E37" s="39">
        <v>46800</v>
      </c>
      <c r="F37" t="s">
        <v>975</v>
      </c>
      <c r="G37" s="39">
        <v>1365904</v>
      </c>
    </row>
    <row r="38" spans="1:7" x14ac:dyDescent="0.35">
      <c r="A38" s="97">
        <v>46044</v>
      </c>
      <c r="B38" s="97">
        <v>46044</v>
      </c>
      <c r="C38" t="s">
        <v>974</v>
      </c>
      <c r="D38" t="s">
        <v>947</v>
      </c>
      <c r="E38" s="39">
        <v>3600</v>
      </c>
      <c r="F38" t="s">
        <v>973</v>
      </c>
      <c r="G38" s="39">
        <v>1369504</v>
      </c>
    </row>
    <row r="39" spans="1:7" x14ac:dyDescent="0.35">
      <c r="A39" s="97">
        <v>46044</v>
      </c>
      <c r="B39" s="97">
        <v>46044</v>
      </c>
      <c r="C39" t="s">
        <v>972</v>
      </c>
      <c r="D39" t="s">
        <v>947</v>
      </c>
      <c r="E39" s="39">
        <v>3960</v>
      </c>
      <c r="F39" t="s">
        <v>971</v>
      </c>
      <c r="G39" s="39">
        <v>1373464</v>
      </c>
    </row>
    <row r="40" spans="1:7" x14ac:dyDescent="0.35">
      <c r="A40" s="97">
        <v>46044</v>
      </c>
      <c r="B40" s="97">
        <v>46044</v>
      </c>
      <c r="C40" t="s">
        <v>970</v>
      </c>
      <c r="D40" t="s">
        <v>947</v>
      </c>
      <c r="E40" s="39">
        <v>23826</v>
      </c>
      <c r="F40" t="s">
        <v>969</v>
      </c>
      <c r="G40" s="39">
        <v>1397290</v>
      </c>
    </row>
    <row r="41" spans="1:7" x14ac:dyDescent="0.35">
      <c r="A41" s="97">
        <v>46045</v>
      </c>
      <c r="B41" s="97">
        <v>46045</v>
      </c>
      <c r="C41" t="s">
        <v>968</v>
      </c>
      <c r="D41" t="s">
        <v>947</v>
      </c>
      <c r="E41" s="39">
        <v>1520</v>
      </c>
      <c r="F41" t="s">
        <v>967</v>
      </c>
      <c r="G41" s="39">
        <v>1398810</v>
      </c>
    </row>
    <row r="42" spans="1:7" x14ac:dyDescent="0.35">
      <c r="A42" s="97">
        <v>46045</v>
      </c>
      <c r="B42" s="97">
        <v>46045</v>
      </c>
      <c r="C42" t="s">
        <v>966</v>
      </c>
      <c r="D42" t="s">
        <v>947</v>
      </c>
      <c r="E42" s="39">
        <v>2465</v>
      </c>
      <c r="F42" t="s">
        <v>965</v>
      </c>
      <c r="G42" s="39">
        <v>1401275</v>
      </c>
    </row>
    <row r="43" spans="1:7" x14ac:dyDescent="0.35">
      <c r="A43" s="97">
        <v>46047</v>
      </c>
      <c r="B43" s="97">
        <v>46047</v>
      </c>
      <c r="C43" t="s">
        <v>964</v>
      </c>
      <c r="D43" t="s">
        <v>947</v>
      </c>
      <c r="E43" s="39">
        <v>2635</v>
      </c>
      <c r="F43" t="s">
        <v>963</v>
      </c>
      <c r="G43" s="39">
        <v>1403910</v>
      </c>
    </row>
    <row r="44" spans="1:7" x14ac:dyDescent="0.35">
      <c r="A44" s="97">
        <v>46048</v>
      </c>
      <c r="B44" s="97">
        <v>46048</v>
      </c>
      <c r="C44" t="s">
        <v>962</v>
      </c>
      <c r="D44" t="s">
        <v>947</v>
      </c>
      <c r="E44" s="39">
        <v>5250</v>
      </c>
      <c r="F44" t="s">
        <v>961</v>
      </c>
      <c r="G44" s="39">
        <v>1409160</v>
      </c>
    </row>
    <row r="45" spans="1:7" x14ac:dyDescent="0.35">
      <c r="A45" s="97">
        <v>46048</v>
      </c>
      <c r="B45" s="97">
        <v>46048</v>
      </c>
      <c r="C45" t="s">
        <v>960</v>
      </c>
      <c r="D45" t="s">
        <v>947</v>
      </c>
      <c r="E45" s="39">
        <v>1710</v>
      </c>
      <c r="F45" t="s">
        <v>959</v>
      </c>
      <c r="G45" s="39">
        <v>1410870</v>
      </c>
    </row>
    <row r="46" spans="1:7" x14ac:dyDescent="0.35">
      <c r="A46" s="97">
        <v>46049</v>
      </c>
      <c r="B46" s="97">
        <v>46049</v>
      </c>
      <c r="C46" t="s">
        <v>958</v>
      </c>
      <c r="D46" t="s">
        <v>947</v>
      </c>
      <c r="E46" s="39">
        <v>1980</v>
      </c>
      <c r="F46" t="s">
        <v>957</v>
      </c>
      <c r="G46" s="39">
        <v>1412850</v>
      </c>
    </row>
    <row r="47" spans="1:7" x14ac:dyDescent="0.35">
      <c r="A47" s="97">
        <v>46050</v>
      </c>
      <c r="B47" s="97">
        <v>46050</v>
      </c>
      <c r="C47" t="s">
        <v>956</v>
      </c>
      <c r="D47" t="s">
        <v>947</v>
      </c>
      <c r="E47" s="39">
        <v>4950</v>
      </c>
      <c r="F47" t="s">
        <v>955</v>
      </c>
      <c r="G47" s="39">
        <v>1417800</v>
      </c>
    </row>
    <row r="48" spans="1:7" x14ac:dyDescent="0.35">
      <c r="A48" s="97">
        <v>46050</v>
      </c>
      <c r="B48" s="97">
        <v>46050</v>
      </c>
      <c r="C48" t="s">
        <v>954</v>
      </c>
      <c r="D48" t="s">
        <v>947</v>
      </c>
      <c r="E48" s="39">
        <v>2200</v>
      </c>
      <c r="F48" t="s">
        <v>953</v>
      </c>
      <c r="G48" s="39">
        <v>1420000</v>
      </c>
    </row>
    <row r="49" spans="1:7" x14ac:dyDescent="0.35">
      <c r="A49" s="97">
        <v>46050</v>
      </c>
      <c r="B49" s="97">
        <v>46050</v>
      </c>
      <c r="C49" t="s">
        <v>952</v>
      </c>
      <c r="D49" t="s">
        <v>947</v>
      </c>
      <c r="E49" s="39">
        <v>4200</v>
      </c>
      <c r="F49" t="s">
        <v>951</v>
      </c>
      <c r="G49" s="39">
        <v>1424200</v>
      </c>
    </row>
    <row r="50" spans="1:7" x14ac:dyDescent="0.35">
      <c r="A50" s="97">
        <v>46052</v>
      </c>
      <c r="B50" s="97">
        <v>46052</v>
      </c>
      <c r="C50" t="s">
        <v>950</v>
      </c>
      <c r="D50" t="s">
        <v>947</v>
      </c>
      <c r="E50" s="39">
        <v>1650</v>
      </c>
      <c r="F50" t="s">
        <v>949</v>
      </c>
      <c r="G50" s="39">
        <v>1425850</v>
      </c>
    </row>
    <row r="51" spans="1:7" x14ac:dyDescent="0.35">
      <c r="A51" s="97">
        <v>46053</v>
      </c>
      <c r="B51" s="97">
        <v>46053</v>
      </c>
      <c r="C51" t="s">
        <v>948</v>
      </c>
      <c r="D51" t="s">
        <v>947</v>
      </c>
      <c r="E51" s="39">
        <v>2125</v>
      </c>
      <c r="F51" t="s">
        <v>946</v>
      </c>
      <c r="G51" s="39">
        <v>1427975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A24E-F276-43A6-9D94-3D83F6659B79}">
  <dimension ref="A1:G54"/>
  <sheetViews>
    <sheetView topLeftCell="A19" workbookViewId="0">
      <selection activeCell="L9" sqref="L9"/>
    </sheetView>
  </sheetViews>
  <sheetFormatPr defaultRowHeight="14.5" x14ac:dyDescent="0.35"/>
  <cols>
    <col min="1" max="1" width="36.1796875" bestFit="1" customWidth="1"/>
    <col min="2" max="2" width="11.453125" bestFit="1" customWidth="1"/>
    <col min="3" max="3" width="80.36328125" bestFit="1" customWidth="1"/>
    <col min="5" max="5" width="10.08984375" bestFit="1" customWidth="1"/>
    <col min="6" max="6" width="18.453125" customWidth="1"/>
    <col min="7" max="7" width="16.7265625" customWidth="1"/>
  </cols>
  <sheetData>
    <row r="1" spans="1:7" x14ac:dyDescent="0.35">
      <c r="A1" t="s">
        <v>1048</v>
      </c>
    </row>
    <row r="2" spans="1:7" x14ac:dyDescent="0.35">
      <c r="A2" t="s">
        <v>1059</v>
      </c>
    </row>
    <row r="3" spans="1:7" x14ac:dyDescent="0.35">
      <c r="A3" t="s">
        <v>1058</v>
      </c>
      <c r="B3" s="88">
        <v>1427945</v>
      </c>
    </row>
    <row r="5" spans="1:7" x14ac:dyDescent="0.35">
      <c r="A5" t="s">
        <v>1045</v>
      </c>
      <c r="B5" t="s">
        <v>1044</v>
      </c>
      <c r="C5" t="s">
        <v>1043</v>
      </c>
      <c r="D5" t="s">
        <v>1042</v>
      </c>
      <c r="E5" t="s">
        <v>1041</v>
      </c>
      <c r="F5" t="s">
        <v>1040</v>
      </c>
      <c r="G5" t="s">
        <v>1039</v>
      </c>
    </row>
    <row r="6" spans="1:7" x14ac:dyDescent="0.35">
      <c r="A6" s="97">
        <v>46058</v>
      </c>
      <c r="B6" s="97">
        <v>46058</v>
      </c>
      <c r="C6" t="s">
        <v>1057</v>
      </c>
      <c r="D6" t="s">
        <v>947</v>
      </c>
      <c r="E6" s="39">
        <v>675</v>
      </c>
      <c r="F6" t="s">
        <v>1037</v>
      </c>
      <c r="G6" s="39">
        <v>1428650</v>
      </c>
    </row>
    <row r="7" spans="1:7" x14ac:dyDescent="0.35">
      <c r="A7" s="97">
        <v>46054</v>
      </c>
      <c r="B7" s="97">
        <v>46054</v>
      </c>
      <c r="C7" t="s">
        <v>1038</v>
      </c>
      <c r="D7" t="s">
        <v>947</v>
      </c>
      <c r="E7" s="39">
        <v>1360</v>
      </c>
      <c r="F7" t="s">
        <v>1035</v>
      </c>
      <c r="G7" s="39">
        <v>1430010</v>
      </c>
    </row>
    <row r="8" spans="1:7" x14ac:dyDescent="0.35">
      <c r="A8" s="97">
        <v>46054</v>
      </c>
      <c r="B8" s="97">
        <v>46054</v>
      </c>
      <c r="C8" t="s">
        <v>1036</v>
      </c>
      <c r="D8" t="s">
        <v>947</v>
      </c>
      <c r="E8" s="39">
        <v>594</v>
      </c>
      <c r="F8" t="s">
        <v>1033</v>
      </c>
      <c r="G8" s="39">
        <v>1430604</v>
      </c>
    </row>
    <row r="9" spans="1:7" x14ac:dyDescent="0.35">
      <c r="A9" s="97">
        <v>46055</v>
      </c>
      <c r="B9" s="97">
        <v>46055</v>
      </c>
      <c r="C9" t="s">
        <v>1034</v>
      </c>
      <c r="D9" t="s">
        <v>947</v>
      </c>
      <c r="E9" s="39">
        <v>6300</v>
      </c>
      <c r="F9" t="s">
        <v>1031</v>
      </c>
      <c r="G9" s="39">
        <v>1436904</v>
      </c>
    </row>
    <row r="10" spans="1:7" x14ac:dyDescent="0.35">
      <c r="A10" s="97">
        <v>46056</v>
      </c>
      <c r="B10" s="97">
        <v>46056</v>
      </c>
      <c r="C10" t="s">
        <v>1032</v>
      </c>
      <c r="D10" t="s">
        <v>947</v>
      </c>
      <c r="E10" s="39">
        <v>1870</v>
      </c>
      <c r="F10" t="s">
        <v>1029</v>
      </c>
      <c r="G10" s="39">
        <v>1438774</v>
      </c>
    </row>
    <row r="11" spans="1:7" x14ac:dyDescent="0.35">
      <c r="A11" s="97">
        <v>46058</v>
      </c>
      <c r="B11" s="97">
        <v>46058</v>
      </c>
      <c r="C11" t="s">
        <v>1030</v>
      </c>
      <c r="D11" t="s">
        <v>947</v>
      </c>
      <c r="E11" s="39">
        <v>1955</v>
      </c>
      <c r="F11" t="s">
        <v>1027</v>
      </c>
      <c r="G11" s="39">
        <v>1440729</v>
      </c>
    </row>
    <row r="12" spans="1:7" x14ac:dyDescent="0.35">
      <c r="A12" s="97">
        <v>46058</v>
      </c>
      <c r="B12" s="97">
        <v>46058</v>
      </c>
      <c r="C12" t="s">
        <v>1028</v>
      </c>
      <c r="D12" t="s">
        <v>947</v>
      </c>
      <c r="E12" s="39">
        <v>2805</v>
      </c>
      <c r="F12" t="s">
        <v>1025</v>
      </c>
      <c r="G12" s="39">
        <v>1443534</v>
      </c>
    </row>
    <row r="13" spans="1:7" x14ac:dyDescent="0.35">
      <c r="A13" s="97">
        <v>46058</v>
      </c>
      <c r="B13" s="97">
        <v>46058</v>
      </c>
      <c r="C13" t="s">
        <v>1026</v>
      </c>
      <c r="D13" t="s">
        <v>947</v>
      </c>
      <c r="E13" s="39">
        <v>5580</v>
      </c>
      <c r="F13" t="s">
        <v>1023</v>
      </c>
      <c r="G13" s="39">
        <v>1449114</v>
      </c>
    </row>
    <row r="14" spans="1:7" x14ac:dyDescent="0.35">
      <c r="A14" s="97">
        <v>46058</v>
      </c>
      <c r="B14" s="97">
        <v>46058</v>
      </c>
      <c r="C14" t="s">
        <v>1024</v>
      </c>
      <c r="D14" t="s">
        <v>947</v>
      </c>
      <c r="E14" s="39">
        <v>1870</v>
      </c>
      <c r="F14" t="s">
        <v>1021</v>
      </c>
      <c r="G14" s="39">
        <v>1450984</v>
      </c>
    </row>
    <row r="15" spans="1:7" x14ac:dyDescent="0.35">
      <c r="A15" s="97">
        <v>46059</v>
      </c>
      <c r="B15" s="97">
        <v>46059</v>
      </c>
      <c r="C15" t="s">
        <v>1022</v>
      </c>
      <c r="D15" t="s">
        <v>947</v>
      </c>
      <c r="E15" s="39">
        <v>3080</v>
      </c>
      <c r="F15" t="s">
        <v>1019</v>
      </c>
      <c r="G15" s="39">
        <v>1454064</v>
      </c>
    </row>
    <row r="16" spans="1:7" x14ac:dyDescent="0.35">
      <c r="A16" s="97">
        <v>46061</v>
      </c>
      <c r="B16" s="97">
        <v>46061</v>
      </c>
      <c r="C16" t="s">
        <v>1020</v>
      </c>
      <c r="D16" t="s">
        <v>947</v>
      </c>
      <c r="E16" s="39">
        <v>2380</v>
      </c>
      <c r="F16" t="s">
        <v>1017</v>
      </c>
      <c r="G16" s="39">
        <v>1456444</v>
      </c>
    </row>
    <row r="17" spans="1:7" x14ac:dyDescent="0.35">
      <c r="A17" s="97">
        <v>46061</v>
      </c>
      <c r="B17" s="97">
        <v>46061</v>
      </c>
      <c r="C17" t="s">
        <v>1018</v>
      </c>
      <c r="D17" t="s">
        <v>947</v>
      </c>
      <c r="E17" s="39">
        <v>1105</v>
      </c>
      <c r="F17" t="s">
        <v>1015</v>
      </c>
      <c r="G17" s="39">
        <v>1457549</v>
      </c>
    </row>
    <row r="18" spans="1:7" x14ac:dyDescent="0.35">
      <c r="A18" s="97">
        <v>46061</v>
      </c>
      <c r="B18" s="97">
        <v>46061</v>
      </c>
      <c r="C18" t="s">
        <v>1016</v>
      </c>
      <c r="D18" t="s">
        <v>947</v>
      </c>
      <c r="E18" s="39">
        <v>2860</v>
      </c>
      <c r="F18" t="s">
        <v>1013</v>
      </c>
      <c r="G18" s="39">
        <v>1460409</v>
      </c>
    </row>
    <row r="19" spans="1:7" x14ac:dyDescent="0.35">
      <c r="A19" s="97">
        <v>46062</v>
      </c>
      <c r="B19" s="97">
        <v>46062</v>
      </c>
      <c r="C19" t="s">
        <v>1014</v>
      </c>
      <c r="D19" t="s">
        <v>947</v>
      </c>
      <c r="E19" s="39">
        <v>585</v>
      </c>
      <c r="F19" t="s">
        <v>1011</v>
      </c>
      <c r="G19" s="39">
        <v>1460994</v>
      </c>
    </row>
    <row r="20" spans="1:7" x14ac:dyDescent="0.35">
      <c r="A20" s="97">
        <v>46063</v>
      </c>
      <c r="B20" s="97">
        <v>46063</v>
      </c>
      <c r="C20" t="s">
        <v>1012</v>
      </c>
      <c r="D20" t="s">
        <v>947</v>
      </c>
      <c r="E20" s="39">
        <v>2185</v>
      </c>
      <c r="F20" t="s">
        <v>1009</v>
      </c>
      <c r="G20" s="39">
        <v>1463179</v>
      </c>
    </row>
    <row r="21" spans="1:7" x14ac:dyDescent="0.35">
      <c r="A21" s="97">
        <v>46063</v>
      </c>
      <c r="B21" s="97">
        <v>46063</v>
      </c>
      <c r="C21" t="s">
        <v>1010</v>
      </c>
      <c r="D21" t="s">
        <v>947</v>
      </c>
      <c r="E21" s="39">
        <v>2090</v>
      </c>
      <c r="F21" t="s">
        <v>1007</v>
      </c>
      <c r="G21" s="39">
        <v>1465269</v>
      </c>
    </row>
    <row r="22" spans="1:7" x14ac:dyDescent="0.35">
      <c r="A22" s="97">
        <v>46063</v>
      </c>
      <c r="B22" s="97">
        <v>46063</v>
      </c>
      <c r="C22" t="s">
        <v>1008</v>
      </c>
      <c r="D22" t="s">
        <v>947</v>
      </c>
      <c r="E22" s="39">
        <v>2530</v>
      </c>
      <c r="F22" t="s">
        <v>1005</v>
      </c>
      <c r="G22" s="39">
        <v>1467799</v>
      </c>
    </row>
    <row r="23" spans="1:7" x14ac:dyDescent="0.35">
      <c r="A23" s="97">
        <v>46063</v>
      </c>
      <c r="B23" s="97">
        <v>46063</v>
      </c>
      <c r="C23" t="s">
        <v>1056</v>
      </c>
      <c r="D23" t="s">
        <v>947</v>
      </c>
      <c r="E23" s="39">
        <v>3080</v>
      </c>
      <c r="F23" t="s">
        <v>1003</v>
      </c>
      <c r="G23" s="39">
        <v>1470879</v>
      </c>
    </row>
    <row r="24" spans="1:7" x14ac:dyDescent="0.35">
      <c r="A24" s="97">
        <v>46065</v>
      </c>
      <c r="B24" s="97">
        <v>46065</v>
      </c>
      <c r="C24" t="s">
        <v>1006</v>
      </c>
      <c r="D24" t="s">
        <v>947</v>
      </c>
      <c r="E24" s="39">
        <v>1710</v>
      </c>
      <c r="F24" t="s">
        <v>1001</v>
      </c>
      <c r="G24" s="39">
        <v>1472589</v>
      </c>
    </row>
    <row r="25" spans="1:7" x14ac:dyDescent="0.35">
      <c r="A25" s="97">
        <v>46065</v>
      </c>
      <c r="B25" s="97">
        <v>46065</v>
      </c>
      <c r="C25" t="s">
        <v>1004</v>
      </c>
      <c r="D25" t="s">
        <v>947</v>
      </c>
      <c r="E25" s="39">
        <v>3230</v>
      </c>
      <c r="F25" t="s">
        <v>999</v>
      </c>
      <c r="G25" s="39">
        <v>1475819</v>
      </c>
    </row>
    <row r="26" spans="1:7" x14ac:dyDescent="0.35">
      <c r="A26" s="97">
        <v>46066</v>
      </c>
      <c r="B26" s="97">
        <v>46066</v>
      </c>
      <c r="C26" t="s">
        <v>1002</v>
      </c>
      <c r="D26" t="s">
        <v>947</v>
      </c>
      <c r="E26" s="39">
        <v>585</v>
      </c>
      <c r="F26" t="s">
        <v>997</v>
      </c>
      <c r="G26" s="39">
        <v>1476404</v>
      </c>
    </row>
    <row r="27" spans="1:7" x14ac:dyDescent="0.35">
      <c r="A27" s="97">
        <v>46067</v>
      </c>
      <c r="B27" s="97">
        <v>46067</v>
      </c>
      <c r="C27" t="s">
        <v>1000</v>
      </c>
      <c r="D27" t="s">
        <v>947</v>
      </c>
      <c r="E27" s="39">
        <v>720</v>
      </c>
      <c r="F27" t="s">
        <v>995</v>
      </c>
      <c r="G27" s="39">
        <v>1477124</v>
      </c>
    </row>
    <row r="28" spans="1:7" x14ac:dyDescent="0.35">
      <c r="A28" s="97">
        <v>46068</v>
      </c>
      <c r="B28" s="97">
        <v>46068</v>
      </c>
      <c r="C28" t="s">
        <v>998</v>
      </c>
      <c r="D28" t="s">
        <v>947</v>
      </c>
      <c r="E28" s="39">
        <v>1760</v>
      </c>
      <c r="F28" t="s">
        <v>993</v>
      </c>
      <c r="G28" s="39">
        <v>1478884</v>
      </c>
    </row>
    <row r="29" spans="1:7" x14ac:dyDescent="0.35">
      <c r="A29" s="97">
        <v>46068</v>
      </c>
      <c r="B29" s="97">
        <v>46068</v>
      </c>
      <c r="C29" t="s">
        <v>996</v>
      </c>
      <c r="D29" t="s">
        <v>947</v>
      </c>
      <c r="E29" s="39">
        <v>2975</v>
      </c>
      <c r="F29" t="s">
        <v>991</v>
      </c>
      <c r="G29" s="39">
        <v>1481859</v>
      </c>
    </row>
    <row r="30" spans="1:7" x14ac:dyDescent="0.35">
      <c r="A30" s="97">
        <v>46068</v>
      </c>
      <c r="B30" s="97">
        <v>46068</v>
      </c>
      <c r="C30" t="s">
        <v>994</v>
      </c>
      <c r="D30" t="s">
        <v>947</v>
      </c>
      <c r="E30" s="39">
        <v>935</v>
      </c>
      <c r="F30" t="s">
        <v>989</v>
      </c>
      <c r="G30" s="39">
        <v>1482794</v>
      </c>
    </row>
    <row r="31" spans="1:7" x14ac:dyDescent="0.35">
      <c r="A31" s="97">
        <v>46069</v>
      </c>
      <c r="B31" s="97">
        <v>46069</v>
      </c>
      <c r="C31" t="s">
        <v>992</v>
      </c>
      <c r="D31" t="s">
        <v>947</v>
      </c>
      <c r="E31" s="39">
        <v>1615</v>
      </c>
      <c r="F31" t="s">
        <v>987</v>
      </c>
      <c r="G31" s="39">
        <v>1484409</v>
      </c>
    </row>
    <row r="32" spans="1:7" x14ac:dyDescent="0.35">
      <c r="A32" s="97">
        <v>46070</v>
      </c>
      <c r="B32" s="97">
        <v>46070</v>
      </c>
      <c r="C32" t="s">
        <v>990</v>
      </c>
      <c r="D32" t="s">
        <v>947</v>
      </c>
      <c r="E32" s="39">
        <v>1900</v>
      </c>
      <c r="F32" t="s">
        <v>985</v>
      </c>
      <c r="G32" s="39">
        <v>1486309</v>
      </c>
    </row>
    <row r="33" spans="1:7" x14ac:dyDescent="0.35">
      <c r="A33" s="97">
        <v>46070</v>
      </c>
      <c r="B33" s="97">
        <v>46070</v>
      </c>
      <c r="C33" t="s">
        <v>988</v>
      </c>
      <c r="D33" t="s">
        <v>947</v>
      </c>
      <c r="E33" s="39">
        <v>4680</v>
      </c>
      <c r="F33" t="s">
        <v>983</v>
      </c>
      <c r="G33" s="39">
        <v>1490989</v>
      </c>
    </row>
    <row r="34" spans="1:7" x14ac:dyDescent="0.35">
      <c r="A34" s="97">
        <v>46071</v>
      </c>
      <c r="B34" s="97">
        <v>46071</v>
      </c>
      <c r="C34" t="s">
        <v>986</v>
      </c>
      <c r="D34" t="s">
        <v>947</v>
      </c>
      <c r="E34" s="39">
        <v>2860</v>
      </c>
      <c r="F34" t="s">
        <v>981</v>
      </c>
      <c r="G34" s="39">
        <v>1493849</v>
      </c>
    </row>
    <row r="35" spans="1:7" x14ac:dyDescent="0.35">
      <c r="A35" s="97">
        <v>46072</v>
      </c>
      <c r="B35" s="97">
        <v>46072</v>
      </c>
      <c r="C35" t="s">
        <v>984</v>
      </c>
      <c r="D35" t="s">
        <v>947</v>
      </c>
      <c r="E35" s="39">
        <v>1980</v>
      </c>
      <c r="F35" t="s">
        <v>979</v>
      </c>
      <c r="G35" s="39">
        <v>1495829</v>
      </c>
    </row>
    <row r="36" spans="1:7" x14ac:dyDescent="0.35">
      <c r="A36" s="97">
        <v>46072</v>
      </c>
      <c r="B36" s="97">
        <v>46072</v>
      </c>
      <c r="C36" t="s">
        <v>982</v>
      </c>
      <c r="D36" t="s">
        <v>947</v>
      </c>
      <c r="E36" s="39">
        <v>540</v>
      </c>
      <c r="F36" t="s">
        <v>977</v>
      </c>
      <c r="G36" s="39">
        <v>1496369</v>
      </c>
    </row>
    <row r="37" spans="1:7" x14ac:dyDescent="0.35">
      <c r="A37" s="97">
        <v>46073</v>
      </c>
      <c r="B37" s="97">
        <v>46073</v>
      </c>
      <c r="C37" t="s">
        <v>1055</v>
      </c>
      <c r="D37" t="s">
        <v>947</v>
      </c>
      <c r="E37" s="39">
        <v>675</v>
      </c>
      <c r="F37" t="s">
        <v>975</v>
      </c>
      <c r="G37" s="39">
        <v>1497044</v>
      </c>
    </row>
    <row r="38" spans="1:7" x14ac:dyDescent="0.35">
      <c r="A38" s="97">
        <v>46073</v>
      </c>
      <c r="B38" s="97">
        <v>46073</v>
      </c>
      <c r="C38" t="s">
        <v>980</v>
      </c>
      <c r="D38" t="s">
        <v>947</v>
      </c>
      <c r="E38" s="39">
        <v>3325</v>
      </c>
      <c r="F38" t="s">
        <v>973</v>
      </c>
      <c r="G38" s="39">
        <v>1500369</v>
      </c>
    </row>
    <row r="39" spans="1:7" x14ac:dyDescent="0.35">
      <c r="A39" s="97">
        <v>46073</v>
      </c>
      <c r="B39" s="97">
        <v>46073</v>
      </c>
      <c r="C39" t="s">
        <v>978</v>
      </c>
      <c r="D39" t="s">
        <v>947</v>
      </c>
      <c r="E39" s="39">
        <v>1140</v>
      </c>
      <c r="F39" t="s">
        <v>971</v>
      </c>
      <c r="G39" s="39">
        <v>1501509</v>
      </c>
    </row>
    <row r="40" spans="1:7" x14ac:dyDescent="0.35">
      <c r="A40" s="97">
        <v>46073</v>
      </c>
      <c r="B40" s="97">
        <v>46073</v>
      </c>
      <c r="C40" t="s">
        <v>1054</v>
      </c>
      <c r="D40" t="s">
        <v>947</v>
      </c>
      <c r="E40" s="39">
        <v>3040</v>
      </c>
      <c r="F40" t="s">
        <v>969</v>
      </c>
      <c r="G40" s="39">
        <v>1504549</v>
      </c>
    </row>
    <row r="41" spans="1:7" x14ac:dyDescent="0.35">
      <c r="A41" s="97">
        <v>46074</v>
      </c>
      <c r="B41" s="97">
        <v>46074</v>
      </c>
      <c r="C41" t="s">
        <v>1053</v>
      </c>
      <c r="D41" t="s">
        <v>1052</v>
      </c>
      <c r="E41" s="39">
        <v>-169.71</v>
      </c>
      <c r="F41" t="s">
        <v>967</v>
      </c>
      <c r="G41" s="39">
        <v>1504379.29</v>
      </c>
    </row>
    <row r="42" spans="1:7" x14ac:dyDescent="0.35">
      <c r="A42" s="97">
        <v>46075</v>
      </c>
      <c r="B42" s="97">
        <v>46075</v>
      </c>
      <c r="C42" t="s">
        <v>974</v>
      </c>
      <c r="D42" t="s">
        <v>947</v>
      </c>
      <c r="E42" s="39">
        <v>3600</v>
      </c>
      <c r="F42" t="s">
        <v>965</v>
      </c>
      <c r="G42" s="39">
        <v>1507979.29</v>
      </c>
    </row>
    <row r="43" spans="1:7" x14ac:dyDescent="0.35">
      <c r="A43" s="97">
        <v>46075</v>
      </c>
      <c r="B43" s="97">
        <v>46075</v>
      </c>
      <c r="C43" t="s">
        <v>972</v>
      </c>
      <c r="D43" t="s">
        <v>947</v>
      </c>
      <c r="E43" s="39">
        <v>3960</v>
      </c>
      <c r="F43" t="s">
        <v>963</v>
      </c>
      <c r="G43" s="39">
        <v>1511939.29</v>
      </c>
    </row>
    <row r="44" spans="1:7" x14ac:dyDescent="0.35">
      <c r="A44" s="97">
        <v>46076</v>
      </c>
      <c r="B44" s="97">
        <v>46076</v>
      </c>
      <c r="C44" t="s">
        <v>968</v>
      </c>
      <c r="D44" t="s">
        <v>947</v>
      </c>
      <c r="E44" s="39">
        <v>1520</v>
      </c>
      <c r="F44" t="s">
        <v>961</v>
      </c>
      <c r="G44" s="39">
        <v>1513459.29</v>
      </c>
    </row>
    <row r="45" spans="1:7" x14ac:dyDescent="0.35">
      <c r="A45" s="97">
        <v>46076</v>
      </c>
      <c r="B45" s="97">
        <v>46076</v>
      </c>
      <c r="C45" t="s">
        <v>966</v>
      </c>
      <c r="D45" t="s">
        <v>947</v>
      </c>
      <c r="E45" s="39">
        <v>2465</v>
      </c>
      <c r="F45" t="s">
        <v>959</v>
      </c>
      <c r="G45" s="39">
        <v>1515924.29</v>
      </c>
    </row>
    <row r="46" spans="1:7" x14ac:dyDescent="0.35">
      <c r="A46" s="97">
        <v>46078</v>
      </c>
      <c r="B46" s="97">
        <v>46078</v>
      </c>
      <c r="C46" t="s">
        <v>964</v>
      </c>
      <c r="D46" t="s">
        <v>947</v>
      </c>
      <c r="E46" s="39">
        <v>2635</v>
      </c>
      <c r="F46" t="s">
        <v>957</v>
      </c>
      <c r="G46" s="39">
        <v>1518559.29</v>
      </c>
    </row>
    <row r="47" spans="1:7" x14ac:dyDescent="0.35">
      <c r="A47" s="97">
        <v>46079</v>
      </c>
      <c r="B47" s="97">
        <v>46079</v>
      </c>
      <c r="C47" t="s">
        <v>962</v>
      </c>
      <c r="D47" t="s">
        <v>947</v>
      </c>
      <c r="E47" s="39">
        <v>5250</v>
      </c>
      <c r="F47" t="s">
        <v>955</v>
      </c>
      <c r="G47" s="39">
        <v>1523809.29</v>
      </c>
    </row>
    <row r="48" spans="1:7" x14ac:dyDescent="0.35">
      <c r="A48" s="97">
        <v>46079</v>
      </c>
      <c r="B48" s="97">
        <v>46079</v>
      </c>
      <c r="C48" t="s">
        <v>960</v>
      </c>
      <c r="D48" t="s">
        <v>947</v>
      </c>
      <c r="E48" s="39">
        <v>1710</v>
      </c>
      <c r="F48" t="s">
        <v>953</v>
      </c>
      <c r="G48" s="39">
        <v>1525519.29</v>
      </c>
    </row>
    <row r="49" spans="1:7" x14ac:dyDescent="0.35">
      <c r="A49" s="97">
        <v>46080</v>
      </c>
      <c r="B49" s="97">
        <v>46080</v>
      </c>
      <c r="C49" t="s">
        <v>958</v>
      </c>
      <c r="D49" t="s">
        <v>947</v>
      </c>
      <c r="E49" s="39">
        <v>1980</v>
      </c>
      <c r="F49" t="s">
        <v>951</v>
      </c>
      <c r="G49" s="39">
        <v>1527499.29</v>
      </c>
    </row>
    <row r="50" spans="1:7" x14ac:dyDescent="0.35">
      <c r="A50" s="97">
        <v>46081</v>
      </c>
      <c r="B50" s="97">
        <v>46081</v>
      </c>
      <c r="C50" t="s">
        <v>950</v>
      </c>
      <c r="D50" t="s">
        <v>947</v>
      </c>
      <c r="E50" s="39">
        <v>1650</v>
      </c>
      <c r="F50" t="s">
        <v>949</v>
      </c>
      <c r="G50" s="39">
        <v>1529149.29</v>
      </c>
    </row>
    <row r="51" spans="1:7" x14ac:dyDescent="0.35">
      <c r="A51" s="97">
        <v>46081</v>
      </c>
      <c r="B51" s="97">
        <v>46081</v>
      </c>
      <c r="C51" t="s">
        <v>956</v>
      </c>
      <c r="D51" t="s">
        <v>947</v>
      </c>
      <c r="E51" s="39">
        <v>4950</v>
      </c>
      <c r="F51" t="s">
        <v>946</v>
      </c>
      <c r="G51" s="39">
        <v>1534099.29</v>
      </c>
    </row>
    <row r="52" spans="1:7" x14ac:dyDescent="0.35">
      <c r="A52" s="97">
        <v>46081</v>
      </c>
      <c r="B52" s="97">
        <v>46081</v>
      </c>
      <c r="C52" t="s">
        <v>948</v>
      </c>
      <c r="D52" t="s">
        <v>947</v>
      </c>
      <c r="E52" s="39">
        <v>2125</v>
      </c>
      <c r="F52" t="s">
        <v>1051</v>
      </c>
      <c r="G52" s="39">
        <v>1536224.29</v>
      </c>
    </row>
    <row r="53" spans="1:7" x14ac:dyDescent="0.35">
      <c r="A53" s="97">
        <v>46081</v>
      </c>
      <c r="B53" s="97">
        <v>46081</v>
      </c>
      <c r="C53" t="s">
        <v>954</v>
      </c>
      <c r="D53" t="s">
        <v>947</v>
      </c>
      <c r="E53" s="39">
        <v>2200</v>
      </c>
      <c r="F53" t="s">
        <v>1050</v>
      </c>
      <c r="G53" s="39">
        <v>1538424.29</v>
      </c>
    </row>
    <row r="54" spans="1:7" x14ac:dyDescent="0.35">
      <c r="A54" s="97">
        <v>46081</v>
      </c>
      <c r="B54" s="97">
        <v>46081</v>
      </c>
      <c r="C54" t="s">
        <v>952</v>
      </c>
      <c r="D54" t="s">
        <v>947</v>
      </c>
      <c r="E54" s="39">
        <v>4200</v>
      </c>
      <c r="F54" t="s">
        <v>1049</v>
      </c>
      <c r="G54" s="39">
        <v>1542624.29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EDB7-8B1A-4D96-B70C-C183AB1D0677}">
  <dimension ref="A1:D18"/>
  <sheetViews>
    <sheetView workbookViewId="0">
      <pane ySplit="1" topLeftCell="A2" activePane="bottomLeft" state="frozen"/>
      <selection pane="bottomLeft" activeCell="J25" sqref="J25"/>
    </sheetView>
  </sheetViews>
  <sheetFormatPr defaultRowHeight="14.5" x14ac:dyDescent="0.35"/>
  <cols>
    <col min="1" max="1" width="17.54296875" bestFit="1" customWidth="1"/>
    <col min="2" max="2" width="16.6328125" bestFit="1" customWidth="1"/>
    <col min="3" max="3" width="25.36328125" bestFit="1" customWidth="1"/>
    <col min="4" max="4" width="26.7265625" bestFit="1" customWidth="1"/>
  </cols>
  <sheetData>
    <row r="1" spans="1:4" x14ac:dyDescent="0.35">
      <c r="A1" s="213" t="s">
        <v>4</v>
      </c>
      <c r="B1" s="236">
        <v>46023</v>
      </c>
      <c r="C1" s="236">
        <v>46054</v>
      </c>
      <c r="D1" s="236">
        <v>46082</v>
      </c>
    </row>
    <row r="2" spans="1:4" x14ac:dyDescent="0.35">
      <c r="A2" s="123" t="s">
        <v>14</v>
      </c>
      <c r="B2" s="217">
        <v>143069.5</v>
      </c>
      <c r="C2" s="214">
        <f>B6</f>
        <v>144779.5</v>
      </c>
      <c r="D2" s="214">
        <f>C6</f>
        <v>150305.5</v>
      </c>
    </row>
    <row r="3" spans="1:4" x14ac:dyDescent="0.35">
      <c r="A3" s="123" t="s">
        <v>649</v>
      </c>
      <c r="B3" s="215">
        <v>1710</v>
      </c>
      <c r="C3" s="215">
        <v>6120</v>
      </c>
      <c r="D3" s="215">
        <v>3000</v>
      </c>
    </row>
    <row r="4" spans="1:4" x14ac:dyDescent="0.35">
      <c r="A4" s="123" t="s">
        <v>650</v>
      </c>
      <c r="B4" s="215">
        <v>0</v>
      </c>
      <c r="C4" s="215">
        <v>0</v>
      </c>
      <c r="D4" s="215">
        <v>380</v>
      </c>
    </row>
    <row r="5" spans="1:4" x14ac:dyDescent="0.35">
      <c r="A5" s="123" t="s">
        <v>652</v>
      </c>
      <c r="B5" s="215">
        <v>0</v>
      </c>
      <c r="C5" s="215">
        <v>594</v>
      </c>
      <c r="D5" s="215">
        <v>0</v>
      </c>
    </row>
    <row r="6" spans="1:4" x14ac:dyDescent="0.35">
      <c r="A6" s="219" t="s">
        <v>26</v>
      </c>
      <c r="B6" s="220">
        <f>B2+B3+B4-B5</f>
        <v>144779.5</v>
      </c>
      <c r="C6" s="220">
        <f>C2+C3+C4-C5</f>
        <v>150305.5</v>
      </c>
      <c r="D6" s="220">
        <f>D2+D3+D4-D5</f>
        <v>153685.5</v>
      </c>
    </row>
    <row r="7" spans="1:4" x14ac:dyDescent="0.35">
      <c r="A7" s="123" t="s">
        <v>46</v>
      </c>
      <c r="B7" s="215">
        <v>30000</v>
      </c>
      <c r="C7" s="215">
        <v>31000</v>
      </c>
      <c r="D7" s="215">
        <v>29000</v>
      </c>
    </row>
    <row r="8" spans="1:4" x14ac:dyDescent="0.35">
      <c r="A8" s="123" t="s">
        <v>48</v>
      </c>
      <c r="B8" s="215">
        <v>25000</v>
      </c>
      <c r="C8" s="215">
        <v>25000</v>
      </c>
      <c r="D8" s="215">
        <v>22000</v>
      </c>
    </row>
    <row r="9" spans="1:4" x14ac:dyDescent="0.35">
      <c r="A9" s="123" t="s">
        <v>50</v>
      </c>
      <c r="B9" s="215">
        <v>19000</v>
      </c>
      <c r="C9" s="215">
        <v>19000</v>
      </c>
      <c r="D9" s="215">
        <v>22000</v>
      </c>
    </row>
    <row r="10" spans="1:4" x14ac:dyDescent="0.35">
      <c r="A10" s="124" t="s">
        <v>51</v>
      </c>
      <c r="B10" s="218">
        <f>B7+B8+B9</f>
        <v>74000</v>
      </c>
      <c r="C10" s="218">
        <f>C7+C8+C9</f>
        <v>75000</v>
      </c>
      <c r="D10" s="218">
        <f>D7+D8+D9</f>
        <v>73000</v>
      </c>
    </row>
    <row r="11" spans="1:4" x14ac:dyDescent="0.35">
      <c r="A11" s="123" t="s">
        <v>119</v>
      </c>
      <c r="B11" s="214">
        <f>B6*0.3</f>
        <v>43433.85</v>
      </c>
      <c r="C11" s="214">
        <f>C6*0.3</f>
        <v>45091.65</v>
      </c>
      <c r="D11" s="214">
        <f>D6*0.3</f>
        <v>46105.65</v>
      </c>
    </row>
    <row r="12" spans="1:4" x14ac:dyDescent="0.35">
      <c r="A12" s="123" t="s">
        <v>42</v>
      </c>
      <c r="B12" s="214">
        <f>B6-B11</f>
        <v>101345.65</v>
      </c>
      <c r="C12" s="214">
        <f>C6-C11</f>
        <v>105213.85</v>
      </c>
      <c r="D12" s="214">
        <f>D6-D11</f>
        <v>107579.85</v>
      </c>
    </row>
    <row r="13" spans="1:4" x14ac:dyDescent="0.35">
      <c r="A13" s="219" t="s">
        <v>53</v>
      </c>
      <c r="B13" s="220">
        <f>B12-B10</f>
        <v>27345.649999999994</v>
      </c>
      <c r="C13" s="220">
        <f>C12-C10</f>
        <v>30213.850000000006</v>
      </c>
      <c r="D13" s="220">
        <f>D12-D10</f>
        <v>34579.850000000006</v>
      </c>
    </row>
    <row r="14" spans="1:4" x14ac:dyDescent="0.35">
      <c r="A14" s="123" t="s">
        <v>266</v>
      </c>
      <c r="B14" s="216">
        <v>1</v>
      </c>
      <c r="C14" s="216">
        <v>2</v>
      </c>
      <c r="D14" s="216">
        <v>2</v>
      </c>
    </row>
    <row r="15" spans="1:4" x14ac:dyDescent="0.35">
      <c r="A15" s="123" t="s">
        <v>193</v>
      </c>
      <c r="B15" s="216">
        <v>39</v>
      </c>
      <c r="C15" s="216">
        <v>41</v>
      </c>
      <c r="D15" s="216">
        <v>42</v>
      </c>
    </row>
    <row r="16" spans="1:4" x14ac:dyDescent="0.35">
      <c r="A16" s="221" t="s">
        <v>194</v>
      </c>
      <c r="B16" s="222">
        <v>52</v>
      </c>
      <c r="C16" s="222">
        <v>53</v>
      </c>
      <c r="D16" s="222">
        <v>54</v>
      </c>
    </row>
    <row r="18" spans="1:4" x14ac:dyDescent="0.35">
      <c r="A18" s="42" t="s">
        <v>721</v>
      </c>
      <c r="B18" s="223" t="s">
        <v>722</v>
      </c>
      <c r="C18" s="224" t="s">
        <v>723</v>
      </c>
      <c r="D18" s="225" t="s">
        <v>724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0007B-0F7A-471B-BF41-033345593E90}">
  <dimension ref="A1:F40"/>
  <sheetViews>
    <sheetView tabSelected="1" workbookViewId="0">
      <selection activeCell="K17" sqref="K17"/>
    </sheetView>
  </sheetViews>
  <sheetFormatPr defaultRowHeight="14.5" x14ac:dyDescent="0.35"/>
  <cols>
    <col min="1" max="1" width="35.26953125" bestFit="1" customWidth="1"/>
    <col min="2" max="3" width="12.08984375" bestFit="1" customWidth="1"/>
  </cols>
  <sheetData>
    <row r="1" spans="1:3" x14ac:dyDescent="0.35">
      <c r="A1" t="s">
        <v>4</v>
      </c>
      <c r="B1" s="96" t="s">
        <v>1072</v>
      </c>
      <c r="C1" s="96" t="s">
        <v>1073</v>
      </c>
    </row>
    <row r="2" spans="1:3" x14ac:dyDescent="0.35">
      <c r="A2" t="s">
        <v>1060</v>
      </c>
      <c r="B2" s="39">
        <f>'Jan 2026 A vs F '!B9</f>
        <v>144779.5</v>
      </c>
      <c r="C2" s="39">
        <f>'Feb 2026 A vs F'!B9</f>
        <v>150305.5</v>
      </c>
    </row>
    <row r="3" spans="1:3" x14ac:dyDescent="0.35">
      <c r="A3" t="s">
        <v>1061</v>
      </c>
      <c r="B3" s="39">
        <f>SUM(billing_jan_2026!P2:P48)</f>
        <v>178650</v>
      </c>
      <c r="C3" s="39">
        <f>SUM(billing_feb_2026!P2:P49)</f>
        <v>113974.29</v>
      </c>
    </row>
    <row r="4" spans="1:3" x14ac:dyDescent="0.35">
      <c r="A4" t="s">
        <v>1062</v>
      </c>
      <c r="B4" s="39">
        <f>SUM(bank_statement_jan_2026!E6:E51)</f>
        <v>177975</v>
      </c>
      <c r="C4" s="39">
        <f>SUM(bank_statement_feb_2026!E6:E54)</f>
        <v>114649.29</v>
      </c>
    </row>
    <row r="5" spans="1:3" x14ac:dyDescent="0.35">
      <c r="A5" t="s">
        <v>1064</v>
      </c>
      <c r="B5" s="38">
        <f>B3-B2</f>
        <v>33870.5</v>
      </c>
      <c r="C5" s="38">
        <f>C3-C2</f>
        <v>-36331.210000000006</v>
      </c>
    </row>
    <row r="6" spans="1:3" x14ac:dyDescent="0.35">
      <c r="A6" t="s">
        <v>1063</v>
      </c>
      <c r="B6" s="38">
        <f>B3-B4</f>
        <v>675</v>
      </c>
      <c r="C6" s="38">
        <f>C3-C4</f>
        <v>-675</v>
      </c>
    </row>
    <row r="8" spans="1:3" x14ac:dyDescent="0.35">
      <c r="A8" s="42" t="s">
        <v>1070</v>
      </c>
    </row>
    <row r="9" spans="1:3" x14ac:dyDescent="0.35">
      <c r="A9" t="s">
        <v>1065</v>
      </c>
      <c r="B9" s="96" t="s">
        <v>1072</v>
      </c>
      <c r="C9" s="96" t="s">
        <v>1073</v>
      </c>
    </row>
    <row r="10" spans="1:3" x14ac:dyDescent="0.35">
      <c r="A10" t="s">
        <v>1060</v>
      </c>
      <c r="B10" s="38">
        <f>B2</f>
        <v>144779.5</v>
      </c>
      <c r="C10" s="38">
        <f>C2</f>
        <v>150305.5</v>
      </c>
    </row>
    <row r="11" spans="1:3" x14ac:dyDescent="0.35">
      <c r="A11" t="s">
        <v>1066</v>
      </c>
      <c r="B11" s="38">
        <f xml:space="preserve"> SUMIF(billing_jan_2026!H:H, "Annual", billing_jan_2026!P:P) * (11/12)</f>
        <v>64740.5</v>
      </c>
      <c r="C11" s="38">
        <f xml:space="preserve"> SUMIF(billing_feb_2026!H:H, "Annual", billing_feb_2026!P:P) * (11/12)</f>
        <v>0</v>
      </c>
    </row>
    <row r="12" spans="1:3" x14ac:dyDescent="0.35">
      <c r="A12" t="s">
        <v>1067</v>
      </c>
      <c r="B12" s="38">
        <f xml:space="preserve"> (billing_jan_2026!P34 + billing_jan_2026!P37) / 12</f>
        <v>5885.5</v>
      </c>
      <c r="C12" s="38">
        <f xml:space="preserve"> (billing_jan_2026!P34 + billing_jan_2026!P37) / 12</f>
        <v>5885.5</v>
      </c>
    </row>
    <row r="13" spans="1:3" x14ac:dyDescent="0.35">
      <c r="A13" t="s">
        <v>1068</v>
      </c>
      <c r="B13" s="38">
        <f>B10+B11</f>
        <v>209520</v>
      </c>
      <c r="C13" s="38">
        <f>C10+C11-C12</f>
        <v>144420</v>
      </c>
    </row>
    <row r="14" spans="1:3" x14ac:dyDescent="0.35">
      <c r="A14" t="s">
        <v>1069</v>
      </c>
      <c r="B14" s="38">
        <f>B13-B3</f>
        <v>30870</v>
      </c>
      <c r="C14" s="38">
        <f>C13-C3</f>
        <v>30445.710000000006</v>
      </c>
    </row>
    <row r="16" spans="1:3" x14ac:dyDescent="0.35">
      <c r="A16" s="42" t="s">
        <v>1071</v>
      </c>
    </row>
    <row r="17" spans="1:6" x14ac:dyDescent="0.35">
      <c r="A17" t="s">
        <v>1065</v>
      </c>
      <c r="B17" s="96" t="s">
        <v>1072</v>
      </c>
      <c r="C17" s="96" t="s">
        <v>1073</v>
      </c>
    </row>
    <row r="18" spans="1:6" x14ac:dyDescent="0.35">
      <c r="A18" t="s">
        <v>1061</v>
      </c>
      <c r="B18" s="38">
        <f>B3</f>
        <v>178650</v>
      </c>
      <c r="C18" s="38">
        <f>C3</f>
        <v>113974.29</v>
      </c>
    </row>
    <row r="19" spans="1:6" x14ac:dyDescent="0.35">
      <c r="A19" t="s">
        <v>1062</v>
      </c>
      <c r="B19" s="38">
        <f>B4</f>
        <v>177975</v>
      </c>
      <c r="C19" s="38">
        <f>C4</f>
        <v>114649.29</v>
      </c>
    </row>
    <row r="20" spans="1:6" x14ac:dyDescent="0.35">
      <c r="A20" t="s">
        <v>1069</v>
      </c>
      <c r="B20" s="38">
        <f>B19-B18</f>
        <v>-675</v>
      </c>
      <c r="C20" s="38">
        <f>C19-C18</f>
        <v>675</v>
      </c>
      <c r="F20" s="38"/>
    </row>
    <row r="22" spans="1:6" x14ac:dyDescent="0.35">
      <c r="A22" s="42" t="s">
        <v>1074</v>
      </c>
    </row>
    <row r="23" spans="1:6" x14ac:dyDescent="0.35">
      <c r="A23" t="s">
        <v>1077</v>
      </c>
    </row>
    <row r="24" spans="1:6" x14ac:dyDescent="0.35">
      <c r="A24" t="s">
        <v>1078</v>
      </c>
    </row>
    <row r="25" spans="1:6" x14ac:dyDescent="0.35">
      <c r="A25" t="s">
        <v>1075</v>
      </c>
    </row>
    <row r="26" spans="1:6" x14ac:dyDescent="0.35">
      <c r="A26" t="s">
        <v>1076</v>
      </c>
    </row>
    <row r="28" spans="1:6" x14ac:dyDescent="0.35">
      <c r="A28" s="42" t="s">
        <v>1079</v>
      </c>
    </row>
    <row r="29" spans="1:6" x14ac:dyDescent="0.35">
      <c r="A29" t="s">
        <v>1080</v>
      </c>
    </row>
    <row r="30" spans="1:6" x14ac:dyDescent="0.35">
      <c r="A30" t="s">
        <v>1081</v>
      </c>
    </row>
    <row r="31" spans="1:6" x14ac:dyDescent="0.35">
      <c r="A31" t="s">
        <v>1082</v>
      </c>
    </row>
    <row r="32" spans="1:6" x14ac:dyDescent="0.35">
      <c r="A32" t="s">
        <v>1083</v>
      </c>
    </row>
    <row r="33" spans="1:1" x14ac:dyDescent="0.35">
      <c r="A33" t="s">
        <v>1084</v>
      </c>
    </row>
    <row r="35" spans="1:1" x14ac:dyDescent="0.35">
      <c r="A35" s="42" t="s">
        <v>1085</v>
      </c>
    </row>
    <row r="36" spans="1:1" x14ac:dyDescent="0.35">
      <c r="A36" t="s">
        <v>1090</v>
      </c>
    </row>
    <row r="37" spans="1:1" x14ac:dyDescent="0.35">
      <c r="A37" t="s">
        <v>1086</v>
      </c>
    </row>
    <row r="38" spans="1:1" x14ac:dyDescent="0.35">
      <c r="A38" t="s">
        <v>1087</v>
      </c>
    </row>
    <row r="39" spans="1:1" x14ac:dyDescent="0.35">
      <c r="A39" t="s">
        <v>1088</v>
      </c>
    </row>
    <row r="40" spans="1:1" x14ac:dyDescent="0.35">
      <c r="A40" t="s">
        <v>1089</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10"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C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C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239" t="s">
        <v>311</v>
      </c>
      <c r="C47" s="239"/>
      <c r="D47" s="239"/>
      <c r="E47" s="239"/>
      <c r="F47" s="239"/>
      <c r="G47" s="239"/>
      <c r="H47" s="239"/>
      <c r="I47" s="239"/>
    </row>
    <row r="49" spans="1:8" x14ac:dyDescent="0.35">
      <c r="A49" s="15" t="s">
        <v>71</v>
      </c>
      <c r="B49" s="239" t="s">
        <v>312</v>
      </c>
      <c r="C49" s="239"/>
      <c r="D49" s="239"/>
      <c r="E49" s="239"/>
      <c r="F49" s="239"/>
      <c r="G49" s="239"/>
      <c r="H49" s="239"/>
    </row>
  </sheetData>
  <mergeCells count="2">
    <mergeCell ref="B47:I47"/>
    <mergeCell ref="B49:H49"/>
  </mergeCell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workbookViewId="0">
      <selection activeCell="L24" sqref="L24"/>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66"/>
  <sheetViews>
    <sheetView workbookViewId="0">
      <selection activeCell="B9" sqref="B9"/>
    </sheetView>
  </sheetViews>
  <sheetFormatPr defaultRowHeight="14.5" x14ac:dyDescent="0.35"/>
  <cols>
    <col min="1" max="1" width="32.7265625" customWidth="1"/>
    <col min="2" max="2" width="20" customWidth="1"/>
    <col min="3" max="3" width="58.1796875" customWidth="1"/>
    <col min="4" max="4" width="11.453125" customWidth="1"/>
    <col min="5" max="5" width="11.26953125" customWidth="1"/>
    <col min="6" max="6" width="12.6328125" bestFit="1" customWidth="1"/>
  </cols>
  <sheetData>
    <row r="1" spans="1:8" x14ac:dyDescent="0.35">
      <c r="A1" s="42" t="s">
        <v>600</v>
      </c>
    </row>
    <row r="2" spans="1:8" x14ac:dyDescent="0.35">
      <c r="A2" s="5" t="s">
        <v>4</v>
      </c>
      <c r="B2" s="5" t="s">
        <v>599</v>
      </c>
      <c r="C2" s="99" t="s">
        <v>596</v>
      </c>
      <c r="D2" s="99" t="s">
        <v>597</v>
      </c>
      <c r="E2" s="99" t="s">
        <v>598</v>
      </c>
      <c r="F2" s="103" t="s">
        <v>602</v>
      </c>
    </row>
    <row r="3" spans="1:8" x14ac:dyDescent="0.35">
      <c r="A3" s="7" t="s">
        <v>14</v>
      </c>
      <c r="B3" s="25">
        <v>143069.5</v>
      </c>
      <c r="C3" s="25">
        <f>'2026 Forecast'!B7</f>
        <v>143069.5</v>
      </c>
      <c r="D3" s="25">
        <f>B3-C3</f>
        <v>0</v>
      </c>
      <c r="E3" s="101">
        <f>IFERROR(B3/C3-1, 0)</f>
        <v>0</v>
      </c>
      <c r="F3" s="109" t="str" cm="1">
        <f t="array" ref="F3">_xlfn.IFS(D3&lt;0, "U", D3&gt;0, "F", D3=0, "-")</f>
        <v>-</v>
      </c>
    </row>
    <row r="4" spans="1:8" x14ac:dyDescent="0.35">
      <c r="A4" s="7" t="s">
        <v>16</v>
      </c>
      <c r="B4" s="25">
        <v>1710</v>
      </c>
      <c r="C4" s="25">
        <v>4000</v>
      </c>
      <c r="D4" s="25">
        <f t="shared" ref="D4:D10" si="0">B4-C4</f>
        <v>-2290</v>
      </c>
      <c r="E4" s="101">
        <f t="shared" ref="E4:E7" si="1">IFERROR(B4/C4-1, 0)</f>
        <v>-0.57250000000000001</v>
      </c>
      <c r="F4" s="109" t="str" cm="1">
        <f t="array" ref="F4">_xlfn.IFS(D4&lt;0, "U", D4&gt;0, "F", D4=0, "-")</f>
        <v>U</v>
      </c>
    </row>
    <row r="5" spans="1:8" x14ac:dyDescent="0.35">
      <c r="A5" s="7" t="s">
        <v>18</v>
      </c>
      <c r="B5" s="25">
        <v>0</v>
      </c>
      <c r="C5" s="25">
        <f>'2026 Forecast'!B9/3</f>
        <v>715.34749999999997</v>
      </c>
      <c r="D5" s="25">
        <f t="shared" si="0"/>
        <v>-715.34749999999997</v>
      </c>
      <c r="E5" s="101">
        <f t="shared" si="1"/>
        <v>-1</v>
      </c>
      <c r="F5" s="109" t="str" cm="1">
        <f t="array" ref="F5">_xlfn.IFS(D5&lt;0, "U", D5&gt;0, "F", D5=0, "-")</f>
        <v>U</v>
      </c>
    </row>
    <row r="6" spans="1:8" x14ac:dyDescent="0.35">
      <c r="A6" s="7" t="s">
        <v>654</v>
      </c>
      <c r="B6" s="25">
        <v>0</v>
      </c>
      <c r="C6" s="25">
        <v>0</v>
      </c>
      <c r="D6" s="25">
        <f t="shared" si="0"/>
        <v>0</v>
      </c>
      <c r="E6" s="101">
        <f t="shared" si="1"/>
        <v>0</v>
      </c>
      <c r="F6" s="109" t="str" cm="1">
        <f t="array" ref="F6">_xlfn.IFS(D6&lt;0, "U", D6&gt;0, "F", D6=0, "-")</f>
        <v>-</v>
      </c>
    </row>
    <row r="7" spans="1:8" x14ac:dyDescent="0.35">
      <c r="A7" s="7" t="s">
        <v>22</v>
      </c>
      <c r="B7" s="25">
        <v>0</v>
      </c>
      <c r="C7" s="25">
        <f>'2026 Forecast'!B10/3</f>
        <v>953.79666666666662</v>
      </c>
      <c r="D7" s="25">
        <f>C7-B7</f>
        <v>953.79666666666662</v>
      </c>
      <c r="E7" s="101">
        <f t="shared" si="1"/>
        <v>-1</v>
      </c>
      <c r="F7" s="109" t="str" cm="1">
        <f t="array" ref="F7">_xlfn.IFS(D7&gt;0, "U", D7&lt;0, "F", D7=0, "-")</f>
        <v>U</v>
      </c>
    </row>
    <row r="8" spans="1:8" ht="15" thickBot="1" x14ac:dyDescent="0.4">
      <c r="A8" s="9" t="s">
        <v>24</v>
      </c>
      <c r="B8" s="26">
        <f>B4+B5-B7</f>
        <v>1710</v>
      </c>
      <c r="C8" s="26">
        <f>C4+C5-C7</f>
        <v>3761.5508333333332</v>
      </c>
      <c r="D8" s="26">
        <f t="shared" si="0"/>
        <v>-2051.5508333333332</v>
      </c>
      <c r="E8" s="102">
        <f>B8/C8-1</f>
        <v>-0.54540026819611853</v>
      </c>
      <c r="F8" s="110" t="str" cm="1">
        <f t="array" ref="F8">_xlfn.IFS(D8&lt;0, "U", D8&gt;0, "F", D8=0, "-")</f>
        <v>U</v>
      </c>
    </row>
    <row r="9" spans="1:8" ht="15.5" thickTop="1" thickBot="1" x14ac:dyDescent="0.4">
      <c r="A9" s="9" t="s">
        <v>26</v>
      </c>
      <c r="B9" s="26">
        <f>B3+B4+B5-B7</f>
        <v>144779.5</v>
      </c>
      <c r="C9" s="26">
        <f>C3+C8</f>
        <v>146831.05083333334</v>
      </c>
      <c r="D9" s="26">
        <f t="shared" si="0"/>
        <v>-2051.5508333333419</v>
      </c>
      <c r="E9" s="102">
        <f>B9/C9-1</f>
        <v>-1.3972186548348309E-2</v>
      </c>
      <c r="F9" s="110" t="str" cm="1">
        <f t="array" ref="F9">_xlfn.IFS(D9&lt;0, "U", D9&gt;0, "F", D9=0, "-")</f>
        <v>U</v>
      </c>
    </row>
    <row r="10" spans="1:8" ht="15.5" thickTop="1" thickBot="1" x14ac:dyDescent="0.4">
      <c r="A10" s="9" t="s">
        <v>112</v>
      </c>
      <c r="B10" s="26">
        <f>B9*12</f>
        <v>1737354</v>
      </c>
      <c r="C10" s="22">
        <f>C9*12</f>
        <v>1761972.61</v>
      </c>
      <c r="D10" s="22">
        <f t="shared" si="0"/>
        <v>-24618.610000000102</v>
      </c>
      <c r="E10" s="102">
        <f>B10/C10-1</f>
        <v>-1.3972186548348309E-2</v>
      </c>
      <c r="F10" s="110" t="str" cm="1">
        <f t="array" ref="F10">_xlfn.IFS(D10&lt;0, "U", D10&gt;0, "F", D10=0, "-")</f>
        <v>U</v>
      </c>
    </row>
    <row r="11" spans="1:8" ht="15" thickTop="1" x14ac:dyDescent="0.35"/>
    <row r="12" spans="1:8" x14ac:dyDescent="0.35">
      <c r="A12" s="104" t="s">
        <v>601</v>
      </c>
    </row>
    <row r="13" spans="1:8" x14ac:dyDescent="0.35">
      <c r="A13" s="5" t="s">
        <v>4</v>
      </c>
      <c r="B13" s="5" t="s">
        <v>599</v>
      </c>
      <c r="C13" s="99" t="s">
        <v>596</v>
      </c>
      <c r="D13" s="99" t="s">
        <v>597</v>
      </c>
      <c r="E13" s="99" t="s">
        <v>598</v>
      </c>
      <c r="F13" s="103" t="s">
        <v>602</v>
      </c>
    </row>
    <row r="14" spans="1:8" x14ac:dyDescent="0.35">
      <c r="A14" s="7" t="s">
        <v>38</v>
      </c>
      <c r="B14" s="100">
        <f>B9</f>
        <v>144779.5</v>
      </c>
      <c r="C14" s="100">
        <f>C9</f>
        <v>146831.05083333334</v>
      </c>
      <c r="D14" s="100">
        <f>B14-C14</f>
        <v>-2051.5508333333419</v>
      </c>
      <c r="E14" s="105">
        <f>B14/C14-1</f>
        <v>-1.3972186548348309E-2</v>
      </c>
      <c r="F14" s="109" t="str" cm="1">
        <f t="array" ref="F14">_xlfn.IFS(D14&lt;0, "U", D14&gt;0, "F", D14=0, "-")</f>
        <v>U</v>
      </c>
      <c r="H14" s="2"/>
    </row>
    <row r="15" spans="1:8" x14ac:dyDescent="0.35">
      <c r="A15" s="7" t="s">
        <v>119</v>
      </c>
      <c r="B15" s="100">
        <f>B14*(1-B17)</f>
        <v>43433.850000000006</v>
      </c>
      <c r="C15" s="100">
        <f>C14*0.3</f>
        <v>44049.31525</v>
      </c>
      <c r="D15" s="100">
        <f t="shared" ref="D15:D22" si="2">B15-C15</f>
        <v>-615.46524999999383</v>
      </c>
      <c r="E15" s="105">
        <f t="shared" ref="E15:E23" si="3">B15/C15-1</f>
        <v>-1.3972186548348087E-2</v>
      </c>
      <c r="F15" s="109" t="str" cm="1">
        <f t="array" ref="F15">_xlfn.IFS(D15&gt;0, "U", D15&lt;0, "F", D15=0, "-")</f>
        <v>F</v>
      </c>
      <c r="H15" s="2" t="s">
        <v>120</v>
      </c>
    </row>
    <row r="16" spans="1:8" ht="15" thickBot="1" x14ac:dyDescent="0.4">
      <c r="A16" s="9" t="s">
        <v>42</v>
      </c>
      <c r="B16" s="106">
        <f>B14-B15</f>
        <v>101345.65</v>
      </c>
      <c r="C16" s="106">
        <f>C14-C15</f>
        <v>102781.73558333334</v>
      </c>
      <c r="D16" s="100">
        <f t="shared" si="2"/>
        <v>-1436.085583333348</v>
      </c>
      <c r="E16" s="105">
        <f t="shared" si="3"/>
        <v>-1.3972186548348309E-2</v>
      </c>
      <c r="F16" s="109" t="str" cm="1">
        <f t="array" ref="F16">_xlfn.IFS(D16&lt;0, "U", D16&gt;0, "F", D16=0, "-")</f>
        <v>U</v>
      </c>
      <c r="H16" s="2" t="s">
        <v>121</v>
      </c>
    </row>
    <row r="17" spans="1:8" ht="15" thickTop="1" x14ac:dyDescent="0.35">
      <c r="A17" s="7" t="s">
        <v>44</v>
      </c>
      <c r="B17" s="108">
        <v>0.7</v>
      </c>
      <c r="C17" s="105">
        <f>C16/C14</f>
        <v>0.70000000000000007</v>
      </c>
      <c r="D17" s="100"/>
      <c r="E17" s="105">
        <f t="shared" si="3"/>
        <v>0</v>
      </c>
      <c r="F17" s="109" t="str" cm="1">
        <f t="array" ref="F17">_xlfn.IFS(D17&lt;0, "U", D17&gt;0, "F", D17=0, "-")</f>
        <v>-</v>
      </c>
      <c r="H17" s="2" t="s">
        <v>122</v>
      </c>
    </row>
    <row r="18" spans="1:8" x14ac:dyDescent="0.35">
      <c r="A18" s="7" t="s">
        <v>94</v>
      </c>
      <c r="B18" s="100">
        <f>'Forecast Assumptions'!B26/3</f>
        <v>30000</v>
      </c>
      <c r="C18" s="100">
        <f>'2026 Forecast'!B25/3</f>
        <v>30000</v>
      </c>
      <c r="D18" s="100">
        <f t="shared" si="2"/>
        <v>0</v>
      </c>
      <c r="E18" s="105">
        <f t="shared" si="3"/>
        <v>0</v>
      </c>
      <c r="F18" s="109" t="str" cm="1">
        <f t="array" ref="F18">_xlfn.IFS(D18&lt;0, "U", D18&gt;0, "F", D18=0, "-")</f>
        <v>-</v>
      </c>
      <c r="H18" s="2" t="s">
        <v>123</v>
      </c>
    </row>
    <row r="19" spans="1:8" x14ac:dyDescent="0.35">
      <c r="A19" s="7" t="s">
        <v>95</v>
      </c>
      <c r="B19" s="100">
        <f>'Forecast Assumptions'!B27/3</f>
        <v>25000</v>
      </c>
      <c r="C19" s="100">
        <f>'2026 Forecast'!B26/3</f>
        <v>25000</v>
      </c>
      <c r="D19" s="100">
        <f t="shared" si="2"/>
        <v>0</v>
      </c>
      <c r="E19" s="105">
        <f t="shared" si="3"/>
        <v>0</v>
      </c>
      <c r="F19" s="109" t="str" cm="1">
        <f t="array" ref="F19">_xlfn.IFS(D19&lt;0, "U", D19&gt;0, "F", D19=0, "-")</f>
        <v>-</v>
      </c>
      <c r="H19" s="2" t="s">
        <v>123</v>
      </c>
    </row>
    <row r="20" spans="1:8" x14ac:dyDescent="0.35">
      <c r="A20" s="7" t="s">
        <v>96</v>
      </c>
      <c r="B20" s="100">
        <f>'Forecast Assumptions'!B28/3</f>
        <v>19000</v>
      </c>
      <c r="C20" s="100">
        <f>'2026 Forecast'!B27/3</f>
        <v>19000</v>
      </c>
      <c r="D20" s="100">
        <f t="shared" si="2"/>
        <v>0</v>
      </c>
      <c r="E20" s="105">
        <f t="shared" si="3"/>
        <v>0</v>
      </c>
      <c r="F20" s="109" t="str" cm="1">
        <f t="array" ref="F20">_xlfn.IFS(D20&lt;0, "U", D20&gt;0, "F", D20=0, "-")</f>
        <v>-</v>
      </c>
      <c r="H20" s="2" t="s">
        <v>123</v>
      </c>
    </row>
    <row r="21" spans="1:8" ht="15" thickBot="1" x14ac:dyDescent="0.4">
      <c r="A21" s="9" t="s">
        <v>51</v>
      </c>
      <c r="B21" s="106">
        <f>SUM(B18:B20)</f>
        <v>74000</v>
      </c>
      <c r="C21" s="106">
        <f>'2026 Forecast'!B28/3</f>
        <v>74000</v>
      </c>
      <c r="D21" s="100">
        <f t="shared" si="2"/>
        <v>0</v>
      </c>
      <c r="E21" s="105">
        <f t="shared" si="3"/>
        <v>0</v>
      </c>
      <c r="F21" s="109" t="str" cm="1">
        <f t="array" ref="F21">_xlfn.IFS(D21&lt;0, "U", D21&gt;0, "F", D21=0, "-")</f>
        <v>-</v>
      </c>
      <c r="H21" s="2" t="s">
        <v>52</v>
      </c>
    </row>
    <row r="22" spans="1:8" ht="15.5" thickTop="1" thickBot="1" x14ac:dyDescent="0.4">
      <c r="A22" s="9" t="s">
        <v>53</v>
      </c>
      <c r="B22" s="107">
        <f>B16-B21</f>
        <v>27345.649999999994</v>
      </c>
      <c r="C22" s="107">
        <f>C16-C21</f>
        <v>28781.735583333342</v>
      </c>
      <c r="D22" s="100">
        <f t="shared" si="2"/>
        <v>-1436.085583333348</v>
      </c>
      <c r="E22" s="105">
        <f t="shared" si="3"/>
        <v>-4.9895725682538195E-2</v>
      </c>
      <c r="F22" s="109" t="str" cm="1">
        <f t="array" ref="F22">_xlfn.IFS(D22&lt;0, "U", D22&gt;0, "F", D22=0, "-")</f>
        <v>U</v>
      </c>
      <c r="H22" s="2" t="s">
        <v>124</v>
      </c>
    </row>
    <row r="23" spans="1:8" ht="15" thickTop="1" x14ac:dyDescent="0.35">
      <c r="A23" s="7" t="s">
        <v>55</v>
      </c>
      <c r="B23" s="105">
        <f>B22/B14</f>
        <v>0.18887791434560827</v>
      </c>
      <c r="C23" s="105">
        <f>C22/C14</f>
        <v>0.19601940747535235</v>
      </c>
      <c r="D23" s="105">
        <f>B23-C23</f>
        <v>-7.1414931297440754E-3</v>
      </c>
      <c r="E23" s="105">
        <f t="shared" si="3"/>
        <v>-3.643258196585486E-2</v>
      </c>
      <c r="F23" s="109" t="str" cm="1">
        <f t="array" ref="F23">_xlfn.IFS(D23&lt;0, "U", D23&gt;0, "F", D23=0, "-")</f>
        <v>U</v>
      </c>
      <c r="H23" s="2" t="s">
        <v>125</v>
      </c>
    </row>
    <row r="25" spans="1:8" x14ac:dyDescent="0.35">
      <c r="A25" s="111" t="s">
        <v>611</v>
      </c>
    </row>
    <row r="26" spans="1:8" x14ac:dyDescent="0.35">
      <c r="A26" t="s">
        <v>603</v>
      </c>
    </row>
    <row r="27" spans="1:8" x14ac:dyDescent="0.35">
      <c r="A27" t="s">
        <v>604</v>
      </c>
    </row>
    <row r="28" spans="1:8" x14ac:dyDescent="0.35">
      <c r="A28" t="s">
        <v>605</v>
      </c>
    </row>
    <row r="29" spans="1:8" x14ac:dyDescent="0.35">
      <c r="A29" t="s">
        <v>612</v>
      </c>
    </row>
    <row r="30" spans="1:8" x14ac:dyDescent="0.35">
      <c r="A30" t="s">
        <v>607</v>
      </c>
    </row>
    <row r="31" spans="1:8" x14ac:dyDescent="0.35">
      <c r="A31" t="s">
        <v>606</v>
      </c>
    </row>
    <row r="32" spans="1:8" x14ac:dyDescent="0.35">
      <c r="A32" t="s">
        <v>609</v>
      </c>
    </row>
    <row r="33" spans="1:3" x14ac:dyDescent="0.35">
      <c r="A33" t="s">
        <v>608</v>
      </c>
    </row>
    <row r="34" spans="1:3" x14ac:dyDescent="0.35">
      <c r="A34" t="s">
        <v>610</v>
      </c>
    </row>
    <row r="36" spans="1:3" ht="17" x14ac:dyDescent="0.4">
      <c r="A36" s="112" t="s">
        <v>613</v>
      </c>
    </row>
    <row r="38" spans="1:3" x14ac:dyDescent="0.35">
      <c r="A38" s="113" t="s">
        <v>4</v>
      </c>
      <c r="B38" s="113" t="s">
        <v>283</v>
      </c>
      <c r="C38" s="113" t="s">
        <v>614</v>
      </c>
    </row>
    <row r="39" spans="1:3" x14ac:dyDescent="0.35">
      <c r="A39" t="s">
        <v>193</v>
      </c>
      <c r="B39" s="114">
        <v>39</v>
      </c>
      <c r="C39" t="s">
        <v>615</v>
      </c>
    </row>
    <row r="40" spans="1:3" x14ac:dyDescent="0.35">
      <c r="A40" t="s">
        <v>194</v>
      </c>
      <c r="B40" s="114">
        <v>52</v>
      </c>
      <c r="C40" t="s">
        <v>615</v>
      </c>
    </row>
    <row r="41" spans="1:3" x14ac:dyDescent="0.35">
      <c r="A41" t="s">
        <v>616</v>
      </c>
      <c r="B41" s="100">
        <f>'Jan 2026 A vs F '!B9/'Jan 2026 A vs F '!B39</f>
        <v>3712.2948717948716</v>
      </c>
      <c r="C41" t="s">
        <v>617</v>
      </c>
    </row>
    <row r="42" spans="1:3" x14ac:dyDescent="0.35">
      <c r="A42" t="s">
        <v>618</v>
      </c>
      <c r="B42" s="28">
        <f>B17</f>
        <v>0.7</v>
      </c>
      <c r="C42" t="s">
        <v>619</v>
      </c>
    </row>
    <row r="43" spans="1:3" x14ac:dyDescent="0.35">
      <c r="A43" t="s">
        <v>620</v>
      </c>
      <c r="B43" s="28">
        <f>Retention!Z6</f>
        <v>1</v>
      </c>
      <c r="C43" t="s">
        <v>621</v>
      </c>
    </row>
    <row r="44" spans="1:3" x14ac:dyDescent="0.35">
      <c r="A44" t="s">
        <v>622</v>
      </c>
      <c r="B44" s="28">
        <f>Retention!Z7</f>
        <v>1</v>
      </c>
      <c r="C44" t="s">
        <v>621</v>
      </c>
    </row>
    <row r="45" spans="1:3" x14ac:dyDescent="0.35">
      <c r="A45" t="s">
        <v>623</v>
      </c>
      <c r="B45" t="s">
        <v>624</v>
      </c>
      <c r="C45" t="s">
        <v>653</v>
      </c>
    </row>
    <row r="46" spans="1:3" x14ac:dyDescent="0.35">
      <c r="A46" t="s">
        <v>625</v>
      </c>
      <c r="B46" s="44">
        <f>B18</f>
        <v>30000</v>
      </c>
      <c r="C46" t="s">
        <v>626</v>
      </c>
    </row>
    <row r="47" spans="1:3" x14ac:dyDescent="0.35">
      <c r="A47" t="s">
        <v>627</v>
      </c>
      <c r="B47" s="44">
        <f>B46/1</f>
        <v>30000</v>
      </c>
      <c r="C47" t="s">
        <v>637</v>
      </c>
    </row>
    <row r="48" spans="1:3" x14ac:dyDescent="0.35">
      <c r="A48" t="s">
        <v>628</v>
      </c>
      <c r="B48" t="s">
        <v>629</v>
      </c>
      <c r="C48" t="s">
        <v>630</v>
      </c>
    </row>
    <row r="49" spans="1:3" x14ac:dyDescent="0.35">
      <c r="A49" t="s">
        <v>631</v>
      </c>
      <c r="B49" t="s">
        <v>629</v>
      </c>
      <c r="C49" t="s">
        <v>630</v>
      </c>
    </row>
    <row r="50" spans="1:3" x14ac:dyDescent="0.35">
      <c r="A50" t="s">
        <v>632</v>
      </c>
      <c r="B50" t="s">
        <v>629</v>
      </c>
      <c r="C50" t="s">
        <v>630</v>
      </c>
    </row>
    <row r="52" spans="1:3" x14ac:dyDescent="0.35">
      <c r="A52" s="115" t="s">
        <v>633</v>
      </c>
    </row>
    <row r="53" spans="1:3" x14ac:dyDescent="0.35">
      <c r="A53" s="115" t="s">
        <v>634</v>
      </c>
    </row>
    <row r="55" spans="1:3" x14ac:dyDescent="0.35">
      <c r="A55" s="115" t="s">
        <v>635</v>
      </c>
    </row>
    <row r="56" spans="1:3" x14ac:dyDescent="0.35">
      <c r="A56" s="115" t="s">
        <v>636</v>
      </c>
    </row>
    <row r="59" spans="1:3" ht="17" x14ac:dyDescent="0.4">
      <c r="A59" s="116" t="s">
        <v>638</v>
      </c>
    </row>
    <row r="61" spans="1:3" x14ac:dyDescent="0.35">
      <c r="A61" s="113" t="s">
        <v>4</v>
      </c>
      <c r="B61" s="113" t="s">
        <v>639</v>
      </c>
    </row>
    <row r="62" spans="1:3" x14ac:dyDescent="0.35">
      <c r="A62" t="s">
        <v>616</v>
      </c>
      <c r="B62" s="100">
        <f>B41</f>
        <v>3712.2948717948716</v>
      </c>
    </row>
    <row r="63" spans="1:3" x14ac:dyDescent="0.35">
      <c r="A63" t="s">
        <v>620</v>
      </c>
      <c r="B63" s="28">
        <f>B43</f>
        <v>1</v>
      </c>
    </row>
    <row r="64" spans="1:3" x14ac:dyDescent="0.35">
      <c r="A64" t="s">
        <v>622</v>
      </c>
      <c r="B64" s="28">
        <f>B44</f>
        <v>1</v>
      </c>
    </row>
    <row r="65" spans="1:2" x14ac:dyDescent="0.35">
      <c r="A65" t="s">
        <v>623</v>
      </c>
      <c r="B65" t="str">
        <f>B45</f>
        <v>N/A — no losses</v>
      </c>
    </row>
    <row r="66" spans="1:2" x14ac:dyDescent="0.35">
      <c r="A66" t="s">
        <v>640</v>
      </c>
      <c r="B66" s="44">
        <f>B47</f>
        <v>30000</v>
      </c>
    </row>
  </sheetData>
  <pageMargins left="0.7" right="0.7" top="0.75" bottom="0.75" header="0.3" footer="0.3"/>
  <pageSetup orientation="portrait" r:id="rId1"/>
  <ignoredErrors>
    <ignoredError sqref="F7 F1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F365-9CB5-41C0-864D-069EB78E0ACD}">
  <sheetPr>
    <tabColor theme="8" tint="-0.249977111117893"/>
  </sheetPr>
  <dimension ref="A1:H64"/>
  <sheetViews>
    <sheetView workbookViewId="0">
      <selection activeCell="B9" sqref="B9"/>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s>
  <sheetData>
    <row r="1" spans="1:8" x14ac:dyDescent="0.35">
      <c r="A1" s="124" t="s">
        <v>600</v>
      </c>
    </row>
    <row r="2" spans="1:8" x14ac:dyDescent="0.35">
      <c r="A2" s="125" t="s">
        <v>4</v>
      </c>
      <c r="B2" s="125" t="s">
        <v>655</v>
      </c>
      <c r="C2" s="125" t="s">
        <v>656</v>
      </c>
      <c r="D2" s="125" t="s">
        <v>597</v>
      </c>
      <c r="E2" s="125" t="s">
        <v>598</v>
      </c>
      <c r="F2" s="125" t="s">
        <v>602</v>
      </c>
    </row>
    <row r="3" spans="1:8" x14ac:dyDescent="0.35">
      <c r="A3" s="126" t="s">
        <v>14</v>
      </c>
      <c r="B3" s="128">
        <f>'Jan 2026 A vs F '!B9</f>
        <v>144779.5</v>
      </c>
      <c r="C3" s="128">
        <v>146831.04999999999</v>
      </c>
      <c r="D3" s="128">
        <f t="shared" ref="D3:D10" si="0">B3-C3</f>
        <v>-2051.5499999999884</v>
      </c>
      <c r="E3" s="129">
        <f>IFERROR(B3/C3-1, 0)</f>
        <v>-1.397218095218955E-2</v>
      </c>
      <c r="F3" s="130" t="str" cm="1">
        <f t="array" ref="F3">_xlfn.IFS(D3&lt;0, "U", D3&gt;0, "F", D3=0, "-")</f>
        <v>U</v>
      </c>
    </row>
    <row r="4" spans="1:8" x14ac:dyDescent="0.35">
      <c r="A4" s="158" t="s">
        <v>16</v>
      </c>
      <c r="B4" s="128">
        <v>6120</v>
      </c>
      <c r="C4" s="128">
        <v>4000</v>
      </c>
      <c r="D4" s="128">
        <f t="shared" si="0"/>
        <v>2120</v>
      </c>
      <c r="E4" s="129">
        <f>IFERROR(B4/C4-1, 0)</f>
        <v>0.53</v>
      </c>
      <c r="F4" s="130" t="str" cm="1">
        <f t="array" ref="F4">_xlfn.IFS(D4&lt;0, "U", D4&gt;0, "F", D4=0, "-")</f>
        <v>F</v>
      </c>
    </row>
    <row r="5" spans="1:8" x14ac:dyDescent="0.35">
      <c r="A5" s="158" t="s">
        <v>18</v>
      </c>
      <c r="B5" s="128">
        <v>0</v>
      </c>
      <c r="C5" s="128">
        <f>'2026 Forecast'!B9/3</f>
        <v>715.34749999999997</v>
      </c>
      <c r="D5" s="128">
        <f t="shared" si="0"/>
        <v>-715.34749999999997</v>
      </c>
      <c r="E5" s="129">
        <f>IFERROR(B5/C5-1, 0)</f>
        <v>-1</v>
      </c>
      <c r="F5" s="130" t="str" cm="1">
        <f t="array" ref="F5">_xlfn.IFS(D5&lt;0, "U", D5&gt;0, "F", D5=0, "-")</f>
        <v>U</v>
      </c>
    </row>
    <row r="6" spans="1:8" x14ac:dyDescent="0.35">
      <c r="A6" s="126" t="s">
        <v>654</v>
      </c>
      <c r="B6" s="128">
        <v>0</v>
      </c>
      <c r="C6" s="128">
        <v>0</v>
      </c>
      <c r="D6" s="128">
        <f t="shared" si="0"/>
        <v>0</v>
      </c>
      <c r="E6" s="129">
        <f>IFERROR(B6/C6-1, 0)</f>
        <v>0</v>
      </c>
      <c r="F6" s="130" t="str" cm="1">
        <f t="array" ref="F6">_xlfn.IFS(D6&lt;0, "U", D6&gt;0, "F", D6=0, "-")</f>
        <v>-</v>
      </c>
    </row>
    <row r="7" spans="1:8" x14ac:dyDescent="0.35">
      <c r="A7" s="126" t="s">
        <v>22</v>
      </c>
      <c r="B7" s="128">
        <v>594</v>
      </c>
      <c r="C7" s="128">
        <f>'2026 Forecast'!B10/3</f>
        <v>953.79666666666662</v>
      </c>
      <c r="D7" s="128">
        <f>C7-B7</f>
        <v>359.79666666666662</v>
      </c>
      <c r="E7" s="129">
        <f>IFERROR(B7/C7-1, 0)</f>
        <v>-0.37722575391680269</v>
      </c>
      <c r="F7" s="133" t="str" cm="1">
        <f t="array" ref="F7">_xlfn.IFS(D7&gt;0, "F", D7&lt;0, "U", D7=0, "-")</f>
        <v>F</v>
      </c>
    </row>
    <row r="8" spans="1:8" ht="15" thickBot="1" x14ac:dyDescent="0.4">
      <c r="A8" s="134" t="s">
        <v>24</v>
      </c>
      <c r="B8" s="135">
        <f>B4+B5-B7</f>
        <v>5526</v>
      </c>
      <c r="C8" s="135">
        <f>C4+C5-C7</f>
        <v>3761.5508333333332</v>
      </c>
      <c r="D8" s="135">
        <f t="shared" si="0"/>
        <v>1764.4491666666668</v>
      </c>
      <c r="E8" s="136">
        <f>B8/C8-1</f>
        <v>0.46907492277675367</v>
      </c>
      <c r="F8" s="137" t="str" cm="1">
        <f t="array" ref="F8">_xlfn.IFS(D8&lt;0, "U", D8&gt;0, "F", D8=0, "-")</f>
        <v>F</v>
      </c>
    </row>
    <row r="9" spans="1:8" ht="15" thickTop="1" x14ac:dyDescent="0.35">
      <c r="A9" s="138" t="s">
        <v>26</v>
      </c>
      <c r="B9" s="139">
        <f>B3+B4+B5-B7</f>
        <v>150305.5</v>
      </c>
      <c r="C9" s="139">
        <f>C3+C8</f>
        <v>150592.60083333333</v>
      </c>
      <c r="D9" s="139">
        <f t="shared" si="0"/>
        <v>-287.10083333333023</v>
      </c>
      <c r="E9" s="140">
        <f>B9/C9-1</f>
        <v>-1.9064737028552381E-3</v>
      </c>
      <c r="F9" s="141" t="str" cm="1">
        <f t="array" ref="F9">_xlfn.IFS(D9&lt;0, "U", D9&gt;0, "F", D9=0, "-")</f>
        <v>U</v>
      </c>
    </row>
    <row r="10" spans="1:8" ht="15" thickBot="1" x14ac:dyDescent="0.4">
      <c r="A10" s="127" t="s">
        <v>112</v>
      </c>
      <c r="B10" s="142">
        <f>B9*12</f>
        <v>1803666</v>
      </c>
      <c r="C10" s="142">
        <f>C9*12</f>
        <v>1807111.21</v>
      </c>
      <c r="D10" s="142">
        <f t="shared" si="0"/>
        <v>-3445.2099999999627</v>
      </c>
      <c r="E10" s="143">
        <f>B10/C10-1</f>
        <v>-1.9064737028552381E-3</v>
      </c>
      <c r="F10" s="144" t="str" cm="1">
        <f t="array" ref="F10">_xlfn.IFS(D10&lt;0, "U", D10&gt;0, "F", D10=0, "-")</f>
        <v>U</v>
      </c>
    </row>
    <row r="11" spans="1:8" ht="15" thickTop="1" x14ac:dyDescent="0.35">
      <c r="A11" s="145"/>
      <c r="B11" s="145"/>
      <c r="C11" s="145"/>
      <c r="D11" s="145"/>
      <c r="E11" s="145"/>
      <c r="F11" s="145"/>
    </row>
    <row r="12" spans="1:8" x14ac:dyDescent="0.35">
      <c r="A12" s="127" t="s">
        <v>601</v>
      </c>
    </row>
    <row r="13" spans="1:8" x14ac:dyDescent="0.35">
      <c r="A13" s="125" t="s">
        <v>4</v>
      </c>
      <c r="B13" s="125" t="s">
        <v>655</v>
      </c>
      <c r="C13" s="125" t="s">
        <v>656</v>
      </c>
      <c r="D13" s="125" t="s">
        <v>597</v>
      </c>
      <c r="E13" s="125" t="s">
        <v>598</v>
      </c>
      <c r="F13" s="125" t="s">
        <v>602</v>
      </c>
    </row>
    <row r="14" spans="1:8" x14ac:dyDescent="0.35">
      <c r="A14" s="127" t="s">
        <v>38</v>
      </c>
      <c r="B14" s="131">
        <f>B9</f>
        <v>150305.5</v>
      </c>
      <c r="C14" s="131">
        <f>C9</f>
        <v>150592.60083333333</v>
      </c>
      <c r="D14" s="131">
        <f t="shared" ref="D14:D23" si="1">B14-C14</f>
        <v>-287.10083333333023</v>
      </c>
      <c r="E14" s="132">
        <f t="shared" ref="E14:E23" si="2">B14/C14-1</f>
        <v>-1.9064737028552381E-3</v>
      </c>
      <c r="F14" s="130" t="str" cm="1">
        <f t="array" ref="F14">_xlfn.IFS(D14&lt;0, "U", D14&gt;0, "F", D14=0, "-")</f>
        <v>U</v>
      </c>
      <c r="H14" s="2" t="s">
        <v>120</v>
      </c>
    </row>
    <row r="15" spans="1:8" x14ac:dyDescent="0.35">
      <c r="A15" s="127" t="s">
        <v>119</v>
      </c>
      <c r="B15" s="131">
        <f>B14*(1-B17)</f>
        <v>45091.650000000009</v>
      </c>
      <c r="C15" s="131">
        <f>C14*0.3</f>
        <v>45177.780249999996</v>
      </c>
      <c r="D15" s="131">
        <f t="shared" si="1"/>
        <v>-86.130249999987427</v>
      </c>
      <c r="E15" s="132">
        <f t="shared" si="2"/>
        <v>-1.9064737028550161E-3</v>
      </c>
      <c r="F15" s="130" t="str" cm="1">
        <f t="array" ref="F15">_xlfn.IFS(D15&gt;0, "U", D15&lt;0, "F", D15=0, "-")</f>
        <v>F</v>
      </c>
      <c r="H15" s="2" t="s">
        <v>121</v>
      </c>
    </row>
    <row r="16" spans="1:8" ht="15" thickBot="1" x14ac:dyDescent="0.4">
      <c r="A16" s="134" t="s">
        <v>42</v>
      </c>
      <c r="B16" s="146">
        <f>B14-B15</f>
        <v>105213.84999999999</v>
      </c>
      <c r="C16" s="146">
        <f>C14-C15</f>
        <v>105414.82058333333</v>
      </c>
      <c r="D16" s="146">
        <f t="shared" si="1"/>
        <v>-200.9705833333428</v>
      </c>
      <c r="E16" s="147">
        <f t="shared" si="2"/>
        <v>-1.9064737028553491E-3</v>
      </c>
      <c r="F16" s="148" t="str" cm="1">
        <f t="array" ref="F16">_xlfn.IFS(D16&lt;0, "U", D16&gt;0, "F", D16=0, "-")</f>
        <v>U</v>
      </c>
      <c r="H16" s="2" t="s">
        <v>122</v>
      </c>
    </row>
    <row r="17" spans="1:8" ht="15" thickTop="1" x14ac:dyDescent="0.35">
      <c r="A17" s="138" t="s">
        <v>44</v>
      </c>
      <c r="B17" s="156">
        <v>0.7</v>
      </c>
      <c r="C17" s="155">
        <f>C16/C14</f>
        <v>0.70000000000000007</v>
      </c>
      <c r="D17" s="155">
        <f t="shared" si="1"/>
        <v>0</v>
      </c>
      <c r="E17" s="155">
        <f t="shared" si="2"/>
        <v>0</v>
      </c>
      <c r="F17" s="150" t="str" cm="1">
        <f t="array" ref="F17">_xlfn.IFS(D17&lt;0, "U", D17&gt;0, "F", D17=0, "-")</f>
        <v>-</v>
      </c>
      <c r="H17" s="2" t="s">
        <v>123</v>
      </c>
    </row>
    <row r="18" spans="1:8" x14ac:dyDescent="0.35">
      <c r="A18" s="127" t="s">
        <v>94</v>
      </c>
      <c r="B18" s="131">
        <v>31000</v>
      </c>
      <c r="C18" s="131">
        <f>'2026 Forecast'!B25/3</f>
        <v>30000</v>
      </c>
      <c r="D18" s="131">
        <f t="shared" si="1"/>
        <v>1000</v>
      </c>
      <c r="E18" s="132">
        <f t="shared" si="2"/>
        <v>3.3333333333333437E-2</v>
      </c>
      <c r="F18" s="130" t="str" cm="1">
        <f t="array" ref="F18">_xlfn.IFS(D18&lt;0, "U", D18&gt;0, "F", D18=0, "-")</f>
        <v>F</v>
      </c>
      <c r="H18" s="2" t="s">
        <v>123</v>
      </c>
    </row>
    <row r="19" spans="1:8" x14ac:dyDescent="0.35">
      <c r="A19" s="127" t="s">
        <v>95</v>
      </c>
      <c r="B19" s="131">
        <f>'Forecast Assumptions'!B27/3</f>
        <v>25000</v>
      </c>
      <c r="C19" s="131">
        <f>'2026 Forecast'!B26/3</f>
        <v>25000</v>
      </c>
      <c r="D19" s="131">
        <f t="shared" si="1"/>
        <v>0</v>
      </c>
      <c r="E19" s="132">
        <f t="shared" si="2"/>
        <v>0</v>
      </c>
      <c r="F19" s="130" t="str" cm="1">
        <f t="array" ref="F19">_xlfn.IFS(D19&lt;0, "U", D19&gt;0, "F", D19=0, "-")</f>
        <v>-</v>
      </c>
      <c r="H19" s="2" t="s">
        <v>123</v>
      </c>
    </row>
    <row r="20" spans="1:8" x14ac:dyDescent="0.35">
      <c r="A20" s="127" t="s">
        <v>96</v>
      </c>
      <c r="B20" s="131">
        <f>'Forecast Assumptions'!B28/3</f>
        <v>19000</v>
      </c>
      <c r="C20" s="131">
        <f>'2026 Forecast'!B27/3</f>
        <v>19000</v>
      </c>
      <c r="D20" s="131">
        <f t="shared" si="1"/>
        <v>0</v>
      </c>
      <c r="E20" s="132">
        <f t="shared" si="2"/>
        <v>0</v>
      </c>
      <c r="F20" s="130" t="str" cm="1">
        <f t="array" ref="F20">_xlfn.IFS(D20&lt;0, "U", D20&gt;0, "F", D20=0, "-")</f>
        <v>-</v>
      </c>
      <c r="H20" s="2" t="s">
        <v>52</v>
      </c>
    </row>
    <row r="21" spans="1:8" ht="15" thickBot="1" x14ac:dyDescent="0.4">
      <c r="A21" s="134" t="s">
        <v>51</v>
      </c>
      <c r="B21" s="146">
        <f>SUM(B18:B20)</f>
        <v>75000</v>
      </c>
      <c r="C21" s="146">
        <f>'2026 Forecast'!B28/3</f>
        <v>74000</v>
      </c>
      <c r="D21" s="146">
        <f t="shared" si="1"/>
        <v>1000</v>
      </c>
      <c r="E21" s="149">
        <f t="shared" si="2"/>
        <v>1.3513513513513598E-2</v>
      </c>
      <c r="F21" s="148" t="str" cm="1">
        <f t="array" ref="F21">_xlfn.IFS(D21&lt;0, "U", D21&gt;0, "F", D21=0, "-")</f>
        <v>F</v>
      </c>
      <c r="H21" s="2" t="s">
        <v>124</v>
      </c>
    </row>
    <row r="22" spans="1:8" ht="15.5" thickTop="1" thickBot="1" x14ac:dyDescent="0.4">
      <c r="A22" s="151" t="s">
        <v>53</v>
      </c>
      <c r="B22" s="152">
        <f>B16-B21</f>
        <v>30213.849999999991</v>
      </c>
      <c r="C22" s="152">
        <f>C16-C21</f>
        <v>31414.820583333334</v>
      </c>
      <c r="D22" s="152">
        <f t="shared" si="1"/>
        <v>-1200.9705833333428</v>
      </c>
      <c r="E22" s="153">
        <f t="shared" si="2"/>
        <v>-3.8229426781144826E-2</v>
      </c>
      <c r="F22" s="154" t="str" cm="1">
        <f t="array" ref="F22">_xlfn.IFS(D22&lt;0, "U", D22&gt;0, "F", D22=0, "-")</f>
        <v>U</v>
      </c>
      <c r="H22" s="2" t="s">
        <v>125</v>
      </c>
    </row>
    <row r="23" spans="1:8" ht="15" thickTop="1" x14ac:dyDescent="0.35">
      <c r="A23" s="127" t="s">
        <v>55</v>
      </c>
      <c r="B23" s="132">
        <f>B22/B14</f>
        <v>0.2010162635432502</v>
      </c>
      <c r="C23" s="132">
        <f>C22/C14</f>
        <v>0.20860799540942476</v>
      </c>
      <c r="D23" s="132">
        <f t="shared" si="1"/>
        <v>-7.591731866174567E-3</v>
      </c>
      <c r="E23" s="132">
        <f t="shared" si="2"/>
        <v>-3.6392334106248647E-2</v>
      </c>
      <c r="F23" s="130" t="str" cm="1">
        <f t="array" ref="F23">IFERROR(_xlfn.IFS(D23&lt;0, "U", D23&gt;0, "F", D23=0, "-"), "-")</f>
        <v>U</v>
      </c>
    </row>
    <row r="25" spans="1:8" x14ac:dyDescent="0.35">
      <c r="A25" s="157"/>
    </row>
    <row r="27" spans="1:8" ht="17" x14ac:dyDescent="0.4">
      <c r="A27" s="159" t="s">
        <v>657</v>
      </c>
    </row>
    <row r="29" spans="1:8" x14ac:dyDescent="0.35">
      <c r="A29" s="160" t="s">
        <v>4</v>
      </c>
      <c r="B29" s="160" t="s">
        <v>283</v>
      </c>
      <c r="C29" s="160" t="s">
        <v>658</v>
      </c>
      <c r="D29" s="160" t="s">
        <v>614</v>
      </c>
    </row>
    <row r="30" spans="1:8" x14ac:dyDescent="0.35">
      <c r="A30" s="123" t="s">
        <v>193</v>
      </c>
      <c r="B30" s="161">
        <v>41</v>
      </c>
      <c r="C30" s="123">
        <f>IFERROR(B30-_xlfn.XLOOKUP("Active Customers",'KPI Tracker'!$A$4:$A$16,'KPI Tracker'!$B$4:$B$16),"—")</f>
        <v>2</v>
      </c>
      <c r="D30" s="123" t="s">
        <v>660</v>
      </c>
    </row>
    <row r="31" spans="1:8" x14ac:dyDescent="0.35">
      <c r="A31" s="123" t="s">
        <v>194</v>
      </c>
      <c r="B31" s="161">
        <v>53</v>
      </c>
      <c r="C31" s="123" t="str">
        <f>IFERROR(B31-_xlfn.XLOOKUP("Active Subscriptions",'KPI Tracker'!$A$4:$A$16,'KPI Tracker'!$B$4:$B$16),"—")</f>
        <v>—</v>
      </c>
      <c r="D31" s="123" t="s">
        <v>660</v>
      </c>
    </row>
    <row r="32" spans="1:8" x14ac:dyDescent="0.35">
      <c r="A32" s="123" t="s">
        <v>616</v>
      </c>
      <c r="B32" s="131">
        <f>B9/B30</f>
        <v>3665.9878048780488</v>
      </c>
      <c r="C32" s="131">
        <f>IFERROR(B32-_xlfn.XLOOKUP("ARPA",'KPI Tracker'!$A$4:$A$16,'KPI Tracker'!$B$4:$B$16),"—")</f>
        <v>-46.307066916822805</v>
      </c>
      <c r="D32" s="123" t="s">
        <v>617</v>
      </c>
    </row>
    <row r="33" spans="1:4" x14ac:dyDescent="0.35">
      <c r="A33" s="123" t="s">
        <v>618</v>
      </c>
      <c r="B33" s="162">
        <f>B17</f>
        <v>0.7</v>
      </c>
      <c r="C33" s="162">
        <f>IFERROR(B33-_xlfn.XLOOKUP("Gross Margin",'KPI Tracker'!$A$4:$A$16,'KPI Tracker'!$B$4:$B$16),"—")</f>
        <v>0</v>
      </c>
      <c r="D33" s="123" t="s">
        <v>619</v>
      </c>
    </row>
    <row r="34" spans="1:4" x14ac:dyDescent="0.35">
      <c r="A34" s="123" t="s">
        <v>620</v>
      </c>
      <c r="B34" s="162">
        <f>Retention!AA6</f>
        <v>0.99610819735501566</v>
      </c>
      <c r="C34" s="162">
        <f>IFERROR(B34-_xlfn.XLOOKUP("GRR",'KPI Tracker'!$A$4:$A$16,'KPI Tracker'!$B$4:$B$16),"—")</f>
        <v>-3.8918026449843435E-3</v>
      </c>
      <c r="D34" s="123" t="s">
        <v>621</v>
      </c>
    </row>
    <row r="35" spans="1:4" x14ac:dyDescent="0.35">
      <c r="A35" s="123" t="s">
        <v>622</v>
      </c>
      <c r="B35" s="162">
        <f>Retention!AA7</f>
        <v>0.99610819735501566</v>
      </c>
      <c r="C35" s="162">
        <f>IFERROR(B35-_xlfn.XLOOKUP("NRR",'KPI Tracker'!$A$4:$A$16,'KPI Tracker'!$B$4:$B$16),"—")</f>
        <v>-3.8918026449843435E-3</v>
      </c>
      <c r="D35" s="123" t="s">
        <v>621</v>
      </c>
    </row>
    <row r="36" spans="1:4" x14ac:dyDescent="0.35">
      <c r="A36" s="123" t="s">
        <v>623</v>
      </c>
      <c r="B36" s="123">
        <f>IFERROR(IF((B6+B7)=0,"N/A — no losses",(B4+B5)/(B6+B7)),"N/A")</f>
        <v>10.303030303030303</v>
      </c>
      <c r="C36" s="123">
        <f>IFERROR(IF(ISNUMBER(B36),B36-_xlfn.XLOOKUP("Quick Ratio",'KPI Tracker'!$A$4:$A$16,'KPI Tracker'!$B$4:$B$16),"—"),"—")</f>
        <v>10.303030303030303</v>
      </c>
      <c r="D36" s="123" t="s">
        <v>661</v>
      </c>
    </row>
    <row r="37" spans="1:4" x14ac:dyDescent="0.35">
      <c r="A37" s="123" t="s">
        <v>625</v>
      </c>
      <c r="B37" s="163">
        <f>B18</f>
        <v>31000</v>
      </c>
      <c r="C37" s="163">
        <f>IFERROR(B37-_xlfn.XLOOKUP("S&amp;M (actual)",'KPI Tracker'!$A$4:$A$16,'KPI Tracker'!$B$4:$B$16),"—")</f>
        <v>1000</v>
      </c>
      <c r="D37" s="123" t="s">
        <v>626</v>
      </c>
    </row>
    <row r="38" spans="1:4" x14ac:dyDescent="0.35">
      <c r="A38" s="123" t="s">
        <v>627</v>
      </c>
      <c r="B38" s="163">
        <f>IFERROR(IF(B39=0,"—",B37/B39),"—")</f>
        <v>15500</v>
      </c>
      <c r="C38" s="163">
        <f>IFERROR(IF(ISNUMBER(B38),B38-_xlfn.XLOOKUP("CAC — monthly",'KPI Tracker'!$A$4:$A$16,'KPI Tracker'!$B$4:$B$16),"—"),"—")</f>
        <v>-14500</v>
      </c>
      <c r="D38" s="123" t="s">
        <v>662</v>
      </c>
    </row>
    <row r="39" spans="1:4" x14ac:dyDescent="0.35">
      <c r="A39" s="164" t="s">
        <v>664</v>
      </c>
      <c r="B39" s="172">
        <v>2</v>
      </c>
      <c r="C39" s="123" t="s">
        <v>629</v>
      </c>
      <c r="D39" s="164" t="s">
        <v>665</v>
      </c>
    </row>
    <row r="40" spans="1:4" x14ac:dyDescent="0.35">
      <c r="A40" s="123" t="s">
        <v>659</v>
      </c>
      <c r="B40" s="163">
        <f>IFERROR(IF(('Jan 2026 A vs F '!B46/'Jan 2026 A vs F '!B47+B39)=0,"—",('Jan 2026 A vs F '!B46+B37)/('Jan 2026 A vs F '!B46/'Jan 2026 A vs F '!B47+B39)),"—")</f>
        <v>20333.333333333332</v>
      </c>
      <c r="C40" s="123" t="s">
        <v>629</v>
      </c>
      <c r="D40" s="123" t="s">
        <v>663</v>
      </c>
    </row>
    <row r="41" spans="1:4" x14ac:dyDescent="0.35">
      <c r="A41" s="123" t="s">
        <v>628</v>
      </c>
      <c r="B41" s="123" t="s">
        <v>629</v>
      </c>
      <c r="C41" s="123" t="s">
        <v>629</v>
      </c>
      <c r="D41" s="123" t="s">
        <v>630</v>
      </c>
    </row>
    <row r="42" spans="1:4" x14ac:dyDescent="0.35">
      <c r="A42" s="123" t="s">
        <v>631</v>
      </c>
      <c r="B42" s="123" t="s">
        <v>629</v>
      </c>
      <c r="C42" s="123" t="s">
        <v>629</v>
      </c>
      <c r="D42" s="123" t="s">
        <v>630</v>
      </c>
    </row>
    <row r="43" spans="1:4" x14ac:dyDescent="0.35">
      <c r="A43" s="123" t="s">
        <v>632</v>
      </c>
      <c r="B43" s="123" t="s">
        <v>629</v>
      </c>
      <c r="C43" s="123" t="s">
        <v>629</v>
      </c>
      <c r="D43" s="123" t="s">
        <v>630</v>
      </c>
    </row>
    <row r="44" spans="1:4" x14ac:dyDescent="0.35">
      <c r="A44" s="165" t="s">
        <v>633</v>
      </c>
    </row>
    <row r="45" spans="1:4" x14ac:dyDescent="0.35">
      <c r="A45" s="165" t="s">
        <v>666</v>
      </c>
    </row>
    <row r="47" spans="1:4" x14ac:dyDescent="0.35">
      <c r="A47" s="165" t="s">
        <v>635</v>
      </c>
    </row>
    <row r="48" spans="1:4" x14ac:dyDescent="0.35">
      <c r="A48" s="165" t="s">
        <v>636</v>
      </c>
    </row>
    <row r="51" spans="1:3" ht="17" x14ac:dyDescent="0.4">
      <c r="A51" s="166" t="s">
        <v>638</v>
      </c>
    </row>
    <row r="53" spans="1:3" x14ac:dyDescent="0.35">
      <c r="A53" s="160" t="s">
        <v>4</v>
      </c>
      <c r="B53" s="160" t="s">
        <v>639</v>
      </c>
      <c r="C53" s="160" t="s">
        <v>667</v>
      </c>
    </row>
    <row r="54" spans="1:3" x14ac:dyDescent="0.35">
      <c r="A54" s="123" t="s">
        <v>616</v>
      </c>
      <c r="B54" s="131">
        <f>B32</f>
        <v>3665.9878048780488</v>
      </c>
      <c r="C54" s="131">
        <f>B9/B30</f>
        <v>3665.9878048780488</v>
      </c>
    </row>
    <row r="55" spans="1:3" x14ac:dyDescent="0.35">
      <c r="A55" s="123" t="s">
        <v>620</v>
      </c>
      <c r="B55" s="162">
        <f>B34</f>
        <v>0.99610819735501566</v>
      </c>
      <c r="C55" s="162">
        <f>Retention!AA6</f>
        <v>0.99610819735501566</v>
      </c>
    </row>
    <row r="56" spans="1:3" x14ac:dyDescent="0.35">
      <c r="A56" s="123" t="s">
        <v>622</v>
      </c>
      <c r="B56" s="162">
        <f>B35</f>
        <v>0.99610819735501566</v>
      </c>
      <c r="C56" s="162">
        <f>Retention!AA7</f>
        <v>0.99610819735501566</v>
      </c>
    </row>
    <row r="57" spans="1:3" x14ac:dyDescent="0.35">
      <c r="A57" s="123" t="s">
        <v>623</v>
      </c>
      <c r="B57" s="123">
        <f>B36</f>
        <v>10.303030303030303</v>
      </c>
      <c r="C57" s="123">
        <f>IFERROR(IF((B6+B7)=0,"N/A — no losses",(B4+B5)/(B6+B7)),"N/A")</f>
        <v>10.303030303030303</v>
      </c>
    </row>
    <row r="58" spans="1:3" x14ac:dyDescent="0.35">
      <c r="A58" s="123" t="s">
        <v>640</v>
      </c>
      <c r="B58" s="163">
        <f>B38</f>
        <v>15500</v>
      </c>
      <c r="C58" s="163">
        <f>IFERROR(IF(B39=0,"—",B37/B39),"—")</f>
        <v>15500</v>
      </c>
    </row>
    <row r="60" spans="1:3" x14ac:dyDescent="0.35">
      <c r="A60" s="124" t="s">
        <v>611</v>
      </c>
    </row>
    <row r="61" spans="1:3" x14ac:dyDescent="0.35">
      <c r="A61" t="s">
        <v>693</v>
      </c>
    </row>
    <row r="62" spans="1:3" x14ac:dyDescent="0.35">
      <c r="A62" t="s">
        <v>669</v>
      </c>
    </row>
    <row r="63" spans="1:3" x14ac:dyDescent="0.35">
      <c r="A63" t="s">
        <v>670</v>
      </c>
    </row>
    <row r="64" spans="1:3" x14ac:dyDescent="0.35">
      <c r="A64" t="s">
        <v>671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93CA-951F-4CCD-B608-45DA95292727}">
  <sheetPr>
    <tabColor theme="8" tint="-0.249977111117893"/>
  </sheetPr>
  <dimension ref="A1:N101"/>
  <sheetViews>
    <sheetView workbookViewId="0">
      <selection activeCell="C56" sqref="C56"/>
    </sheetView>
  </sheetViews>
  <sheetFormatPr defaultRowHeight="14.5" x14ac:dyDescent="0.35"/>
  <cols>
    <col min="1" max="1" width="40" customWidth="1"/>
    <col min="2" max="3" width="21.81640625" customWidth="1"/>
    <col min="4" max="4" width="18.1796875" customWidth="1"/>
    <col min="5" max="5" width="14.54296875" customWidth="1"/>
    <col min="6" max="6" width="9.08984375" customWidth="1"/>
    <col min="8" max="8" width="36.36328125" customWidth="1"/>
    <col min="9" max="9" width="14.54296875" bestFit="1" customWidth="1"/>
  </cols>
  <sheetData>
    <row r="1" spans="1:10" x14ac:dyDescent="0.35">
      <c r="A1" s="124" t="s">
        <v>600</v>
      </c>
      <c r="H1" s="226" t="s">
        <v>725</v>
      </c>
      <c r="I1" s="227"/>
      <c r="J1" s="227"/>
    </row>
    <row r="2" spans="1:10" x14ac:dyDescent="0.35">
      <c r="A2" s="125" t="s">
        <v>4</v>
      </c>
      <c r="B2" s="198" t="str">
        <f>"Actual - "&amp;TEXT($I$2,"mmm yy")</f>
        <v>Actual - Mar 26</v>
      </c>
      <c r="C2" s="125" t="s">
        <v>675</v>
      </c>
      <c r="D2" s="125" t="s">
        <v>597</v>
      </c>
      <c r="E2" s="125" t="s">
        <v>598</v>
      </c>
      <c r="F2" s="125" t="s">
        <v>602</v>
      </c>
      <c r="H2" s="228" t="s">
        <v>726</v>
      </c>
      <c r="I2" s="229">
        <v>46082</v>
      </c>
      <c r="J2" s="230" t="s">
        <v>727</v>
      </c>
    </row>
    <row r="3" spans="1:10" x14ac:dyDescent="0.35">
      <c r="A3" s="126" t="s">
        <v>14</v>
      </c>
      <c r="B3" s="234">
        <f>INDEX(Actuals!$B$2:$Y$2,MATCH($I$2,Actuals!$B$1:$Y$1,0))</f>
        <v>150305.5</v>
      </c>
      <c r="C3" s="128">
        <v>150592.6</v>
      </c>
      <c r="D3" s="128">
        <f t="shared" ref="D3:D10" si="0">B3-C3</f>
        <v>-287.10000000000582</v>
      </c>
      <c r="E3" s="129">
        <f>IFERROR(B3/C3-1, 0)</f>
        <v>-1.9064681797114069E-3</v>
      </c>
      <c r="F3" s="130" t="str" cm="1">
        <f t="array" ref="F3">_xlfn.IFS(D3&lt;0, "U", D3&gt;0, "F", D3=0, "-")</f>
        <v>U</v>
      </c>
      <c r="H3" s="231" t="s">
        <v>728</v>
      </c>
      <c r="I3" s="232" t="s">
        <v>729</v>
      </c>
      <c r="J3" s="230" t="s">
        <v>727</v>
      </c>
    </row>
    <row r="4" spans="1:10" x14ac:dyDescent="0.35">
      <c r="A4" s="158" t="s">
        <v>16</v>
      </c>
      <c r="B4" s="234">
        <f>INDEX(Actuals!$B$3:$Y$3,MATCH($I$2,Actuals!$B$1:$Y$1,0))</f>
        <v>3000</v>
      </c>
      <c r="C4" s="128">
        <v>4000</v>
      </c>
      <c r="D4" s="128">
        <f t="shared" si="0"/>
        <v>-1000</v>
      </c>
      <c r="E4" s="129">
        <f>IFERROR(B4/C4-1, 0)</f>
        <v>-0.25</v>
      </c>
      <c r="F4" s="130" t="str" cm="1">
        <f t="array" ref="F4">_xlfn.IFS(D4&lt;0, "U", D4&gt;0, "F", D4=0, "-")</f>
        <v>U</v>
      </c>
      <c r="H4" s="231" t="s">
        <v>730</v>
      </c>
      <c r="I4" s="233">
        <f>EOMONTH(I2,0)</f>
        <v>46112</v>
      </c>
      <c r="J4" s="230" t="s">
        <v>731</v>
      </c>
    </row>
    <row r="5" spans="1:10" x14ac:dyDescent="0.35">
      <c r="A5" s="158" t="s">
        <v>18</v>
      </c>
      <c r="B5" s="234">
        <f>INDEX(Actuals!$B$4:$Y$4,MATCH($I$2,Actuals!$B$1:$Y$1,0))</f>
        <v>380</v>
      </c>
      <c r="C5" s="128">
        <f>'2026 Forecast'!B9/3</f>
        <v>715.34749999999997</v>
      </c>
      <c r="D5" s="128">
        <f t="shared" si="0"/>
        <v>-335.34749999999997</v>
      </c>
      <c r="E5" s="129">
        <f>IFERROR(B5/C5-1, 0)</f>
        <v>-0.46878964419390579</v>
      </c>
      <c r="F5" s="130" t="str" cm="1">
        <f t="array" ref="F5">_xlfn.IFS(D5&lt;0, "U", D5&gt;0, "F", D5=0, "-")</f>
        <v>U</v>
      </c>
    </row>
    <row r="6" spans="1:10" x14ac:dyDescent="0.35">
      <c r="A6" s="126" t="s">
        <v>654</v>
      </c>
      <c r="B6" s="128">
        <v>0</v>
      </c>
      <c r="C6" s="128">
        <v>0</v>
      </c>
      <c r="D6" s="128">
        <f t="shared" si="0"/>
        <v>0</v>
      </c>
      <c r="E6" s="129">
        <f>IFERROR(B6/C6-1, 0)</f>
        <v>0</v>
      </c>
      <c r="F6" s="130" t="str" cm="1">
        <f t="array" ref="F6">_xlfn.IFS(D6&lt;0, "U", D6&gt;0, "F", D6=0, "-")</f>
        <v>-</v>
      </c>
    </row>
    <row r="7" spans="1:10" x14ac:dyDescent="0.35">
      <c r="A7" s="126" t="s">
        <v>22</v>
      </c>
      <c r="B7" s="234">
        <f>INDEX(Actuals!$B$5:$Y$5,MATCH($I$2,Actuals!$B$1:$Y$1,0))</f>
        <v>0</v>
      </c>
      <c r="C7" s="128">
        <f>'2026 Forecast'!B10/3</f>
        <v>953.79666666666662</v>
      </c>
      <c r="D7" s="128">
        <f>C7-B7</f>
        <v>953.79666666666662</v>
      </c>
      <c r="E7" s="129">
        <f>IFERROR(B7/C7-1, 0)</f>
        <v>-1</v>
      </c>
      <c r="F7" s="133" t="str" cm="1">
        <f t="array" ref="F7">_xlfn.IFS(D7&gt;0, "F", D7&lt;0, "U", D7=0, "-")</f>
        <v>F</v>
      </c>
      <c r="J7">
        <f>INDEX(Actuals!$B$7:$Y$7,MATCH($I$2,Actuals!$B$1:$Y$1,0))</f>
        <v>29000</v>
      </c>
    </row>
    <row r="8" spans="1:10" ht="15" thickBot="1" x14ac:dyDescent="0.4">
      <c r="A8" s="134" t="s">
        <v>24</v>
      </c>
      <c r="B8" s="135">
        <f>B4+B5-B7</f>
        <v>3380</v>
      </c>
      <c r="C8" s="135">
        <f>C4+C5-C7</f>
        <v>3761.5508333333332</v>
      </c>
      <c r="D8" s="135">
        <f t="shared" si="0"/>
        <v>-381.55083333333323</v>
      </c>
      <c r="E8" s="136">
        <f>B8/C8-1</f>
        <v>-0.10143444824729864</v>
      </c>
      <c r="F8" s="137" t="str" cm="1">
        <f t="array" ref="F8">_xlfn.IFS(D8&lt;0, "U", D8&gt;0, "F", D8=0, "-")</f>
        <v>U</v>
      </c>
    </row>
    <row r="9" spans="1:10" ht="15" thickTop="1" x14ac:dyDescent="0.35">
      <c r="A9" s="138" t="s">
        <v>26</v>
      </c>
      <c r="B9" s="139">
        <f>B3+B4+B5-B7</f>
        <v>153685.5</v>
      </c>
      <c r="C9" s="139">
        <f>C3+C8</f>
        <v>154354.15083333335</v>
      </c>
      <c r="D9" s="139">
        <f t="shared" si="0"/>
        <v>-668.65083333334769</v>
      </c>
      <c r="E9" s="140">
        <f>B9/C9-1</f>
        <v>-4.3319264802624824E-3</v>
      </c>
      <c r="F9" s="141" t="str" cm="1">
        <f t="array" ref="F9">_xlfn.IFS(D9&lt;0, "U", D9&gt;0, "F", D9=0, "-")</f>
        <v>U</v>
      </c>
    </row>
    <row r="10" spans="1:10" ht="15" thickBot="1" x14ac:dyDescent="0.4">
      <c r="A10" s="127" t="s">
        <v>112</v>
      </c>
      <c r="B10" s="142">
        <f>B9*12</f>
        <v>1844226</v>
      </c>
      <c r="C10" s="142">
        <f>C9*12</f>
        <v>1852249.81</v>
      </c>
      <c r="D10" s="142">
        <f t="shared" si="0"/>
        <v>-8023.8100000000559</v>
      </c>
      <c r="E10" s="143">
        <f>B10/C10-1</f>
        <v>-4.3319264802624824E-3</v>
      </c>
      <c r="F10" s="144" t="str" cm="1">
        <f t="array" ref="F10">_xlfn.IFS(D10&lt;0, "U", D10&gt;0, "F", D10=0, "-")</f>
        <v>U</v>
      </c>
    </row>
    <row r="11" spans="1:10" ht="15" thickTop="1" x14ac:dyDescent="0.35">
      <c r="A11" s="145"/>
      <c r="B11" s="145"/>
      <c r="C11" s="145"/>
      <c r="D11" s="145"/>
      <c r="E11" s="145"/>
      <c r="F11" s="145"/>
    </row>
    <row r="12" spans="1:10" x14ac:dyDescent="0.35">
      <c r="A12" s="127" t="s">
        <v>601</v>
      </c>
    </row>
    <row r="13" spans="1:10" x14ac:dyDescent="0.35">
      <c r="A13" s="125" t="s">
        <v>4</v>
      </c>
      <c r="B13" s="198" t="str">
        <f>"Actual - "&amp;TEXT($I$2,"mmm yy")</f>
        <v>Actual - Mar 26</v>
      </c>
      <c r="C13" s="125" t="s">
        <v>675</v>
      </c>
      <c r="D13" s="125" t="s">
        <v>597</v>
      </c>
      <c r="E13" s="125" t="s">
        <v>598</v>
      </c>
      <c r="F13" s="125" t="s">
        <v>602</v>
      </c>
    </row>
    <row r="14" spans="1:10" x14ac:dyDescent="0.35">
      <c r="A14" s="127" t="s">
        <v>38</v>
      </c>
      <c r="B14" s="131">
        <f>B9</f>
        <v>153685.5</v>
      </c>
      <c r="C14" s="131">
        <f>C9</f>
        <v>154354.15083333335</v>
      </c>
      <c r="D14" s="131">
        <f t="shared" ref="D14:D23" si="1">B14-C14</f>
        <v>-668.65083333334769</v>
      </c>
      <c r="E14" s="132">
        <f t="shared" ref="E14:E23" si="2">B14/C14-1</f>
        <v>-4.3319264802624824E-3</v>
      </c>
      <c r="F14" s="130" t="str" cm="1">
        <f t="array" ref="F14">_xlfn.IFS(D14&lt;0, "U", D14&gt;0, "F", D14=0, "-")</f>
        <v>U</v>
      </c>
      <c r="H14" s="2" t="s">
        <v>120</v>
      </c>
    </row>
    <row r="15" spans="1:10" x14ac:dyDescent="0.35">
      <c r="A15" s="127" t="s">
        <v>119</v>
      </c>
      <c r="B15" s="131">
        <f>B14*(1-B17)</f>
        <v>46105.650000000009</v>
      </c>
      <c r="C15" s="131">
        <f>C14*0.3</f>
        <v>46306.24525</v>
      </c>
      <c r="D15" s="131">
        <f t="shared" si="1"/>
        <v>-200.59524999999121</v>
      </c>
      <c r="E15" s="132">
        <f t="shared" si="2"/>
        <v>-4.3319264802622603E-3</v>
      </c>
      <c r="F15" s="130" t="str" cm="1">
        <f t="array" ref="F15">_xlfn.IFS(D15&gt;0, "U", D15&lt;0, "F", D15=0, "-")</f>
        <v>F</v>
      </c>
      <c r="H15" s="2" t="s">
        <v>121</v>
      </c>
    </row>
    <row r="16" spans="1:10" ht="15" thickBot="1" x14ac:dyDescent="0.4">
      <c r="A16" s="134" t="s">
        <v>42</v>
      </c>
      <c r="B16" s="146">
        <f>B14-B15</f>
        <v>107579.84999999999</v>
      </c>
      <c r="C16" s="146">
        <f>C14-C15</f>
        <v>108047.90558333334</v>
      </c>
      <c r="D16" s="146">
        <f t="shared" si="1"/>
        <v>-468.0555833333492</v>
      </c>
      <c r="E16" s="147">
        <f t="shared" si="2"/>
        <v>-4.3319264802625934E-3</v>
      </c>
      <c r="F16" s="148" t="str" cm="1">
        <f t="array" ref="F16">_xlfn.IFS(D16&lt;0, "U", D16&gt;0, "F", D16=0, "-")</f>
        <v>U</v>
      </c>
      <c r="H16" s="2" t="s">
        <v>122</v>
      </c>
    </row>
    <row r="17" spans="1:14" ht="15" thickTop="1" x14ac:dyDescent="0.35">
      <c r="A17" s="138" t="s">
        <v>44</v>
      </c>
      <c r="B17" s="156">
        <v>0.7</v>
      </c>
      <c r="C17" s="155">
        <f>C16/C14</f>
        <v>0.7</v>
      </c>
      <c r="D17" s="155">
        <f t="shared" si="1"/>
        <v>0</v>
      </c>
      <c r="E17" s="155">
        <f t="shared" si="2"/>
        <v>0</v>
      </c>
      <c r="F17" s="150" t="str" cm="1">
        <f t="array" ref="F17">_xlfn.IFS(D17&lt;0, "U", D17&gt;0, "F", D17=0, "-")</f>
        <v>-</v>
      </c>
      <c r="H17" s="2" t="s">
        <v>123</v>
      </c>
    </row>
    <row r="18" spans="1:14" x14ac:dyDescent="0.35">
      <c r="A18" s="127" t="s">
        <v>94</v>
      </c>
      <c r="B18" s="100">
        <f>INDEX(Actuals!$B$7:$Y$7,MATCH($I$2,Actuals!$B$1:$Y$1,0))</f>
        <v>29000</v>
      </c>
      <c r="C18" s="131">
        <f>'2026 Forecast'!B25/3</f>
        <v>30000</v>
      </c>
      <c r="D18" s="131">
        <f t="shared" si="1"/>
        <v>-1000</v>
      </c>
      <c r="E18" s="132">
        <f t="shared" si="2"/>
        <v>-3.3333333333333326E-2</v>
      </c>
      <c r="F18" s="130" t="str" cm="1">
        <f t="array" ref="F18">_xlfn.IFS(D18&lt;0, "U", D18&gt;0, "F", D18=0, "-")</f>
        <v>U</v>
      </c>
      <c r="H18" s="2" t="s">
        <v>123</v>
      </c>
    </row>
    <row r="19" spans="1:14" x14ac:dyDescent="0.35">
      <c r="A19" s="127" t="s">
        <v>95</v>
      </c>
      <c r="B19" s="100">
        <f>INDEX(Actuals!$B$8:$Y$8,MATCH($I$2,Actuals!$B$1:$Y$1,0))</f>
        <v>22000</v>
      </c>
      <c r="C19" s="131">
        <f>'2026 Forecast'!B26/3</f>
        <v>25000</v>
      </c>
      <c r="D19" s="131">
        <f t="shared" si="1"/>
        <v>-3000</v>
      </c>
      <c r="E19" s="132">
        <f t="shared" si="2"/>
        <v>-0.12</v>
      </c>
      <c r="F19" s="130" t="str" cm="1">
        <f t="array" ref="F19">_xlfn.IFS(D19&lt;0, "U", D19&gt;0, "F", D19=0, "-")</f>
        <v>U</v>
      </c>
      <c r="H19" s="2" t="s">
        <v>123</v>
      </c>
    </row>
    <row r="20" spans="1:14" x14ac:dyDescent="0.35">
      <c r="A20" s="127" t="s">
        <v>96</v>
      </c>
      <c r="B20" s="100">
        <f>INDEX(Actuals!$B$9:$Y$9,MATCH($I$2,Actuals!$B$1:$Y$1,0))</f>
        <v>22000</v>
      </c>
      <c r="C20" s="131">
        <f>'2026 Forecast'!B27/3</f>
        <v>19000</v>
      </c>
      <c r="D20" s="131">
        <f t="shared" si="1"/>
        <v>3000</v>
      </c>
      <c r="E20" s="132">
        <f t="shared" si="2"/>
        <v>0.15789473684210531</v>
      </c>
      <c r="F20" s="130" t="str" cm="1">
        <f t="array" ref="F20">_xlfn.IFS(D20&lt;0, "U", D20&gt;0, "F", D20=0, "-")</f>
        <v>F</v>
      </c>
      <c r="H20" s="2" t="s">
        <v>52</v>
      </c>
    </row>
    <row r="21" spans="1:14" ht="15" thickBot="1" x14ac:dyDescent="0.4">
      <c r="A21" s="134" t="s">
        <v>51</v>
      </c>
      <c r="B21" s="146">
        <f>SUM(B18:B20)</f>
        <v>73000</v>
      </c>
      <c r="C21" s="146">
        <f>'2026 Forecast'!B28/3</f>
        <v>74000</v>
      </c>
      <c r="D21" s="146">
        <f t="shared" si="1"/>
        <v>-1000</v>
      </c>
      <c r="E21" s="149">
        <f t="shared" si="2"/>
        <v>-1.3513513513513487E-2</v>
      </c>
      <c r="F21" s="148" t="str" cm="1">
        <f t="array" ref="F21">_xlfn.IFS(D21&lt;0, "U", D21&gt;0, "F", D21=0, "-")</f>
        <v>U</v>
      </c>
      <c r="H21" s="2" t="s">
        <v>124</v>
      </c>
    </row>
    <row r="22" spans="1:14" ht="15.5" thickTop="1" thickBot="1" x14ac:dyDescent="0.4">
      <c r="A22" s="151" t="s">
        <v>53</v>
      </c>
      <c r="B22" s="152">
        <f>B16-B21</f>
        <v>34579.849999999991</v>
      </c>
      <c r="C22" s="152">
        <f>C16-C21</f>
        <v>34047.90558333334</v>
      </c>
      <c r="D22" s="152">
        <f t="shared" si="1"/>
        <v>531.9444166666508</v>
      </c>
      <c r="E22" s="153">
        <f t="shared" si="2"/>
        <v>1.5623410825218009E-2</v>
      </c>
      <c r="F22" s="154" t="str" cm="1">
        <f t="array" ref="F22">_xlfn.IFS(D22&lt;0, "U", D22&gt;0, "F", D22=0, "-")</f>
        <v>F</v>
      </c>
      <c r="H22" s="2" t="s">
        <v>125</v>
      </c>
    </row>
    <row r="23" spans="1:14" ht="15" thickTop="1" x14ac:dyDescent="0.35">
      <c r="A23" s="127" t="s">
        <v>55</v>
      </c>
      <c r="B23" s="162">
        <f>B22/B14</f>
        <v>0.22500398541176617</v>
      </c>
      <c r="C23" s="162">
        <f>C22/C14</f>
        <v>0.22058302546134426</v>
      </c>
      <c r="D23" s="132">
        <f t="shared" si="1"/>
        <v>4.4209599504219099E-3</v>
      </c>
      <c r="E23" s="132">
        <f t="shared" si="2"/>
        <v>2.0042158462445503E-2</v>
      </c>
      <c r="F23" s="130" t="str" cm="1">
        <f t="array" ref="F23">IFERROR(_xlfn.IFS(D23&lt;0, "U", D23&gt;0, "F", D23=0, "-"), "-")</f>
        <v>F</v>
      </c>
    </row>
    <row r="25" spans="1:14" x14ac:dyDescent="0.35">
      <c r="A25" s="157"/>
    </row>
    <row r="27" spans="1:14" ht="17" x14ac:dyDescent="0.4">
      <c r="A27" s="159" t="s">
        <v>694</v>
      </c>
    </row>
    <row r="28" spans="1:14" x14ac:dyDescent="0.35">
      <c r="H28" s="238"/>
    </row>
    <row r="29" spans="1:14" x14ac:dyDescent="0.35">
      <c r="A29" s="160" t="s">
        <v>4</v>
      </c>
      <c r="B29" s="160" t="s">
        <v>283</v>
      </c>
      <c r="C29" s="113" t="str">
        <f>"vs "&amp;TEXT(EOMONTH($I$2,-1),"mmm yyyy")</f>
        <v>vs Feb 2026</v>
      </c>
      <c r="D29" s="160" t="s">
        <v>614</v>
      </c>
    </row>
    <row r="30" spans="1:14" x14ac:dyDescent="0.35">
      <c r="A30" s="123" t="s">
        <v>193</v>
      </c>
      <c r="B30" s="235">
        <f>INDEX(Actuals!$B$15:$Y$15,MATCH($I$2,Actuals!$B$1:$Y$1,0))</f>
        <v>42</v>
      </c>
      <c r="C30" s="123">
        <f>IFERROR(B30-_xlfn.XLOOKUP("Active Customers",'KPI Tracker'!$A$4:$A$16,'KPI Tracker'!$C$4:$C$16),"—")</f>
        <v>1</v>
      </c>
      <c r="D30" s="123" t="s">
        <v>676</v>
      </c>
    </row>
    <row r="31" spans="1:14" x14ac:dyDescent="0.35">
      <c r="A31" s="123" t="s">
        <v>194</v>
      </c>
      <c r="B31" s="235">
        <f>INDEX(Actuals!$B$16:$Y$16,MATCH($I$2,Actuals!$B$1:$Y$1,0))</f>
        <v>54</v>
      </c>
      <c r="C31" s="167">
        <f>B31-INDEX(Actuals!$B$16:$Y$16,MATCH(DATE(YEAR($I$2),MONTH($I$2)-1,1),Actuals!$B$1:$Y$1,0))</f>
        <v>1</v>
      </c>
      <c r="D31" s="123" t="s">
        <v>677</v>
      </c>
      <c r="N31" t="s">
        <v>668</v>
      </c>
    </row>
    <row r="32" spans="1:14" x14ac:dyDescent="0.35">
      <c r="A32" s="123" t="s">
        <v>616</v>
      </c>
      <c r="B32" s="131">
        <f>B9/B30</f>
        <v>3659.1785714285716</v>
      </c>
      <c r="C32" s="131">
        <f>IFERROR(B32-INDEX(Actuals!$B$6:$Y$6,MATCH(DATE(YEAR($I$2),MONTH($I$2)-1,1),Actuals!$B$1:$Y$1,0))/INDEX(Actuals!$B$15:$Y$15,MATCH(DATE(YEAR($I$2),MONTH($I$2)-1,1),Actuals!$B$1:$Y$1,0)),"—")</f>
        <v>-6.8092334494772331</v>
      </c>
      <c r="D32" s="123" t="s">
        <v>617</v>
      </c>
    </row>
    <row r="33" spans="1:11" x14ac:dyDescent="0.35">
      <c r="A33" s="123" t="s">
        <v>618</v>
      </c>
      <c r="B33" s="162">
        <f>B17</f>
        <v>0.7</v>
      </c>
      <c r="C33" s="162">
        <f>0</f>
        <v>0</v>
      </c>
      <c r="D33" s="123" t="s">
        <v>619</v>
      </c>
    </row>
    <row r="34" spans="1:11" x14ac:dyDescent="0.35">
      <c r="A34" s="123" t="s">
        <v>620</v>
      </c>
      <c r="B34" s="28">
        <f>INDEX(Retention!$B$6:$AY$6,MATCH($I$2,Retention!$B$4:$AY$4,0))</f>
        <v>1</v>
      </c>
      <c r="C34" s="162">
        <f>B34-INDEX(Retention!$B$6:$AY$6,MATCH(DATE(YEAR($I$2),MONTH($I$2)-1,1),Retention!$B$4:$AY$4,0))</f>
        <v>3.8918026449843435E-3</v>
      </c>
      <c r="D34" s="123" t="s">
        <v>621</v>
      </c>
    </row>
    <row r="35" spans="1:11" x14ac:dyDescent="0.35">
      <c r="A35" s="123" t="s">
        <v>622</v>
      </c>
      <c r="B35" s="28">
        <f>INDEX(Retention!$B$7:$AY$7,MATCH($I$2,Retention!$B$4:$AY$4,0))</f>
        <v>1.00240271380201</v>
      </c>
      <c r="C35" s="162">
        <f>B35-INDEX(Retention!$B$7:$AY$7,MATCH(DATE(YEAR($I$2),MONTH($I$2)-1,1),Retention!$B$4:$AY$4,0))</f>
        <v>6.2945164469943027E-3</v>
      </c>
      <c r="D35" s="123" t="s">
        <v>621</v>
      </c>
    </row>
    <row r="36" spans="1:11" x14ac:dyDescent="0.35">
      <c r="A36" s="123" t="s">
        <v>623</v>
      </c>
      <c r="B36" s="123" t="str">
        <f>IFERROR(IF((B6+B7)=0,"N/A — no losses",(B4+B5)/(B6+B7)),"N/A")</f>
        <v>N/A — no losses</v>
      </c>
      <c r="C36" s="123" t="str">
        <f>IFERROR(IF(ISNUMBER(B36),B36-_xlfn.XLOOKUP("Quick Ratio",'KPI Tracker'!$A$4:$A$16,'KPI Tracker'!$B$4:$B$16),"—"),"—")</f>
        <v>—</v>
      </c>
      <c r="D36" s="123" t="s">
        <v>661</v>
      </c>
    </row>
    <row r="37" spans="1:11" x14ac:dyDescent="0.35">
      <c r="A37" s="123" t="s">
        <v>625</v>
      </c>
      <c r="B37" s="163">
        <f>B18</f>
        <v>29000</v>
      </c>
      <c r="C37" s="163">
        <f>B37-INDEX(Actuals!$B$7:$Y$7,MATCH(DATE(YEAR($I$2),MONTH($I$2)-1,1),Actuals!$B$1:$Y$1,0))</f>
        <v>-2000</v>
      </c>
      <c r="D37" s="123" t="s">
        <v>626</v>
      </c>
    </row>
    <row r="38" spans="1:11" x14ac:dyDescent="0.35">
      <c r="A38" s="123" t="s">
        <v>627</v>
      </c>
      <c r="B38" s="163">
        <f>IFERROR(IF(B39=0,"—",B37/B39),"—")</f>
        <v>14500</v>
      </c>
      <c r="C38" s="163">
        <f>IFERROR(B38-INDEX(Actuals!$B$7:$Y$7,MATCH(DATE(YEAR($I$2),MONTH($I$2)-1,1),Actuals!$B$1:$Y$1,0))/INDEX(Actuals!$B$14:$Y$14,MATCH(DATE(YEAR($I$2),MONTH($I$2)-1,1),Actuals!$B$1:$Y$1,0)),"—")</f>
        <v>-1000</v>
      </c>
      <c r="D38" s="123" t="s">
        <v>662</v>
      </c>
    </row>
    <row r="39" spans="1:11" x14ac:dyDescent="0.35">
      <c r="A39" s="164" t="s">
        <v>664</v>
      </c>
      <c r="B39" s="235">
        <f>INDEX(Actuals!$B$14:$Y$14,MATCH($I$2,Actuals!$B$1:$Y$1,0))</f>
        <v>2</v>
      </c>
      <c r="C39" s="123" t="s">
        <v>629</v>
      </c>
      <c r="D39" s="164" t="s">
        <v>678</v>
      </c>
    </row>
    <row r="40" spans="1:11" x14ac:dyDescent="0.35">
      <c r="A40" s="123" t="s">
        <v>659</v>
      </c>
      <c r="B40" s="163">
        <f>IFERROR(IF(('Jan 2026 A vs F '!B46/'Jan 2026 A vs F '!B47+'Feb 2026 A vs F'!B39+B39)=0,"—",('Jan 2026 A vs F '!B46+'Feb 2026 A vs F'!B37+B37)/('Jan 2026 A vs F '!B46/'Jan 2026 A vs F '!B47+'Feb 2026 A vs F'!B39+B39)),"—")</f>
        <v>18000</v>
      </c>
      <c r="C40" s="123" t="s">
        <v>629</v>
      </c>
      <c r="D40" s="123" t="s">
        <v>663</v>
      </c>
      <c r="K40" s="211"/>
    </row>
    <row r="41" spans="1:11" x14ac:dyDescent="0.35">
      <c r="A41" s="123" t="s">
        <v>628</v>
      </c>
      <c r="B41" s="123" t="s">
        <v>629</v>
      </c>
      <c r="C41" s="123" t="s">
        <v>629</v>
      </c>
      <c r="D41" s="123" t="s">
        <v>630</v>
      </c>
    </row>
    <row r="42" spans="1:11" x14ac:dyDescent="0.35">
      <c r="A42" s="123" t="s">
        <v>631</v>
      </c>
      <c r="B42" s="123" t="s">
        <v>629</v>
      </c>
      <c r="C42" s="123" t="s">
        <v>629</v>
      </c>
      <c r="D42" s="123" t="s">
        <v>630</v>
      </c>
    </row>
    <row r="43" spans="1:11" x14ac:dyDescent="0.35">
      <c r="A43" s="123" t="s">
        <v>632</v>
      </c>
      <c r="B43" s="123" t="s">
        <v>629</v>
      </c>
      <c r="C43" s="123" t="s">
        <v>629</v>
      </c>
      <c r="D43" s="123" t="s">
        <v>630</v>
      </c>
    </row>
    <row r="44" spans="1:11" x14ac:dyDescent="0.35">
      <c r="A44" s="165" t="s">
        <v>633</v>
      </c>
    </row>
    <row r="45" spans="1:11" x14ac:dyDescent="0.35">
      <c r="A45" s="165" t="s">
        <v>666</v>
      </c>
    </row>
    <row r="47" spans="1:11" x14ac:dyDescent="0.35">
      <c r="A47" s="165" t="s">
        <v>635</v>
      </c>
    </row>
    <row r="48" spans="1:11" x14ac:dyDescent="0.35">
      <c r="A48" s="165" t="s">
        <v>636</v>
      </c>
    </row>
    <row r="51" spans="1:5" ht="17" x14ac:dyDescent="0.4">
      <c r="A51" s="166" t="s">
        <v>638</v>
      </c>
    </row>
    <row r="53" spans="1:5" x14ac:dyDescent="0.35">
      <c r="A53" s="160" t="s">
        <v>4</v>
      </c>
      <c r="B53" s="160" t="s">
        <v>639</v>
      </c>
      <c r="C53" s="160" t="s">
        <v>667</v>
      </c>
    </row>
    <row r="54" spans="1:5" x14ac:dyDescent="0.35">
      <c r="A54" s="123" t="s">
        <v>616</v>
      </c>
      <c r="B54" s="131">
        <f>B32</f>
        <v>3659.1785714285716</v>
      </c>
      <c r="C54" s="131">
        <f>B9/B30</f>
        <v>3659.1785714285716</v>
      </c>
    </row>
    <row r="55" spans="1:5" x14ac:dyDescent="0.35">
      <c r="A55" s="123" t="s">
        <v>620</v>
      </c>
      <c r="B55" s="162">
        <f>B34</f>
        <v>1</v>
      </c>
      <c r="C55" s="162">
        <f>INDEX(Retention!$B$6:$AY$6, MATCH($I$2, Retention!$B$4:$AY$4,0))</f>
        <v>1</v>
      </c>
      <c r="E55" t="s">
        <v>737</v>
      </c>
    </row>
    <row r="56" spans="1:5" x14ac:dyDescent="0.35">
      <c r="A56" s="123" t="s">
        <v>622</v>
      </c>
      <c r="B56" s="162">
        <f>B35</f>
        <v>1.00240271380201</v>
      </c>
      <c r="C56" s="162">
        <f>INDEX(Retention!$B$7:$AY$7, MATCH($I$2, Retention!$B$4:$AY$4,0))</f>
        <v>1.00240271380201</v>
      </c>
    </row>
    <row r="57" spans="1:5" x14ac:dyDescent="0.35">
      <c r="A57" s="123" t="s">
        <v>623</v>
      </c>
      <c r="B57" s="123" t="str">
        <f>B36</f>
        <v>N/A — no losses</v>
      </c>
      <c r="C57" s="123" t="str">
        <f>IFERROR(IF((B6+B7)=0,"N/A — no losses",(B4+B5)/(B6+B7)),"N/A")</f>
        <v>N/A — no losses</v>
      </c>
    </row>
    <row r="58" spans="1:5" x14ac:dyDescent="0.35">
      <c r="A58" s="123" t="s">
        <v>640</v>
      </c>
      <c r="B58" s="163">
        <f>B38</f>
        <v>14500</v>
      </c>
      <c r="C58" s="163">
        <f>IFERROR(IF(B39=0,"—",B37/B39),"—")</f>
        <v>14500</v>
      </c>
    </row>
    <row r="60" spans="1:5" x14ac:dyDescent="0.35">
      <c r="A60" s="124" t="s">
        <v>611</v>
      </c>
    </row>
    <row r="61" spans="1:5" x14ac:dyDescent="0.35">
      <c r="A61" s="237" t="str">
        <f>TEXT($I$2,"mmmm yyyy")&amp;" — Closing MRR: "&amp;TEXT(B9,"$#,##0")&amp;" | NRR: "&amp;TEXT(B35,"0.0%")&amp;" | EBITDA margin: "&amp;TEXT(B23,"0.0%")</f>
        <v>March 2026 — Closing MRR: $153,686 | NRR: 100.2% | EBITDA margin: 22.5%</v>
      </c>
    </row>
    <row r="62" spans="1:5" x14ac:dyDescent="0.35">
      <c r="A62" s="212" t="s">
        <v>736</v>
      </c>
    </row>
    <row r="63" spans="1:5" x14ac:dyDescent="0.35">
      <c r="A63" s="212" t="s">
        <v>732</v>
      </c>
    </row>
    <row r="64" spans="1:5" x14ac:dyDescent="0.35">
      <c r="A64" s="212" t="s">
        <v>733</v>
      </c>
    </row>
    <row r="65" spans="1:3" x14ac:dyDescent="0.35">
      <c r="A65" s="212" t="s">
        <v>717</v>
      </c>
    </row>
    <row r="67" spans="1:3" x14ac:dyDescent="0.35">
      <c r="A67" s="193" t="s">
        <v>695</v>
      </c>
    </row>
    <row r="69" spans="1:3" x14ac:dyDescent="0.35">
      <c r="A69" s="194" t="s">
        <v>696</v>
      </c>
    </row>
    <row r="70" spans="1:3" x14ac:dyDescent="0.35">
      <c r="A70" s="125" t="s">
        <v>645</v>
      </c>
      <c r="B70" s="125" t="s">
        <v>697</v>
      </c>
    </row>
    <row r="71" spans="1:3" x14ac:dyDescent="0.35">
      <c r="A71" s="126" t="s">
        <v>698</v>
      </c>
      <c r="B71" s="195">
        <f>'Jan 2026 A vs F '!B4+'Feb 2026 A vs F'!B4+'Mar 2026 A vs F'!B4</f>
        <v>10830</v>
      </c>
    </row>
    <row r="72" spans="1:3" x14ac:dyDescent="0.35">
      <c r="A72" s="126" t="s">
        <v>699</v>
      </c>
      <c r="B72" s="195">
        <f>'Jan 2026 A vs F '!B5+'Feb 2026 A vs F'!B5+'Mar 2026 A vs F'!B5</f>
        <v>380</v>
      </c>
    </row>
    <row r="73" spans="1:3" x14ac:dyDescent="0.35">
      <c r="A73" s="126" t="s">
        <v>700</v>
      </c>
      <c r="B73" s="195">
        <f>'Jan 2026 A vs F '!B7+'Feb 2026 A vs F'!B7+'Mar 2026 A vs F'!B7</f>
        <v>594</v>
      </c>
    </row>
    <row r="74" spans="1:3" x14ac:dyDescent="0.35">
      <c r="A74" s="126" t="s">
        <v>701</v>
      </c>
      <c r="B74" s="195">
        <f>'Jan 2026 A vs F '!B8+'Feb 2026 A vs F'!B8+'Mar 2026 A vs F'!B8</f>
        <v>10616</v>
      </c>
    </row>
    <row r="75" spans="1:3" x14ac:dyDescent="0.35">
      <c r="A75" s="127" t="s">
        <v>146</v>
      </c>
      <c r="B75" s="196">
        <f>'Mar 2026 A vs F'!B9</f>
        <v>153685.5</v>
      </c>
    </row>
    <row r="77" spans="1:3" x14ac:dyDescent="0.35">
      <c r="A77" s="194" t="s">
        <v>702</v>
      </c>
    </row>
    <row r="78" spans="1:3" x14ac:dyDescent="0.35">
      <c r="A78" s="125" t="s">
        <v>703</v>
      </c>
      <c r="B78" s="125" t="s">
        <v>697</v>
      </c>
    </row>
    <row r="79" spans="1:3" x14ac:dyDescent="0.35">
      <c r="A79" s="126" t="s">
        <v>704</v>
      </c>
      <c r="B79" s="195">
        <f>'Jan 2026 A vs F '!B14+'Feb 2026 A vs F'!B14+'Mar 2026 A vs F'!B14</f>
        <v>448770.5</v>
      </c>
      <c r="C79" s="30"/>
    </row>
    <row r="80" spans="1:3" x14ac:dyDescent="0.35">
      <c r="A80" s="126" t="s">
        <v>705</v>
      </c>
      <c r="B80" s="195">
        <f>'Jan 2026 A vs F '!B15+'Feb 2026 A vs F'!B15+'Mar 2026 A vs F'!B15</f>
        <v>134631.15000000002</v>
      </c>
    </row>
    <row r="81" spans="1:2" x14ac:dyDescent="0.35">
      <c r="A81" s="127" t="s">
        <v>706</v>
      </c>
      <c r="B81" s="196">
        <f>B79-B80</f>
        <v>314139.34999999998</v>
      </c>
    </row>
    <row r="82" spans="1:2" x14ac:dyDescent="0.35">
      <c r="A82" s="126" t="s">
        <v>707</v>
      </c>
      <c r="B82" s="197">
        <f>B81/B79</f>
        <v>0.7</v>
      </c>
    </row>
    <row r="83" spans="1:2" x14ac:dyDescent="0.35">
      <c r="A83" s="126" t="s">
        <v>708</v>
      </c>
      <c r="B83" s="195">
        <f>'Jan 2026 A vs F '!B18+'Feb 2026 A vs F'!B18+'Mar 2026 A vs F'!B18</f>
        <v>90000</v>
      </c>
    </row>
    <row r="84" spans="1:2" x14ac:dyDescent="0.35">
      <c r="A84" s="126" t="s">
        <v>709</v>
      </c>
      <c r="B84" s="195">
        <f>'Jan 2026 A vs F '!B19+'Jan 2026 A vs F '!B20+'Feb 2026 A vs F'!B19+'Feb 2026 A vs F'!B20+'Mar 2026 A vs F'!B19+'Mar 2026 A vs F'!B20</f>
        <v>132000</v>
      </c>
    </row>
    <row r="85" spans="1:2" x14ac:dyDescent="0.35">
      <c r="A85" s="127" t="s">
        <v>710</v>
      </c>
      <c r="B85" s="196">
        <f>'Jan 2026 A vs F '!B21+'Feb 2026 A vs F'!B21+'Mar 2026 A vs F'!B21</f>
        <v>222000</v>
      </c>
    </row>
    <row r="86" spans="1:2" x14ac:dyDescent="0.35">
      <c r="A86" s="127" t="s">
        <v>711</v>
      </c>
      <c r="B86" s="196">
        <f>B81-B85</f>
        <v>92139.349999999977</v>
      </c>
    </row>
    <row r="87" spans="1:2" x14ac:dyDescent="0.35">
      <c r="A87" s="126" t="s">
        <v>712</v>
      </c>
      <c r="B87" s="197">
        <f>B86/B79</f>
        <v>0.20531507752849168</v>
      </c>
    </row>
    <row r="89" spans="1:2" x14ac:dyDescent="0.35">
      <c r="A89" s="194" t="s">
        <v>713</v>
      </c>
    </row>
    <row r="90" spans="1:2" x14ac:dyDescent="0.35">
      <c r="A90" s="198" t="s">
        <v>4</v>
      </c>
      <c r="B90" s="125" t="s">
        <v>697</v>
      </c>
    </row>
    <row r="91" spans="1:2" x14ac:dyDescent="0.35">
      <c r="A91" t="s">
        <v>714</v>
      </c>
      <c r="B91" s="167">
        <f>Actuals!B14+Actuals!C14+Actuals!D14</f>
        <v>5</v>
      </c>
    </row>
    <row r="92" spans="1:2" x14ac:dyDescent="0.35">
      <c r="A92" t="s">
        <v>715</v>
      </c>
      <c r="B92" s="100">
        <f>B83/B91</f>
        <v>18000</v>
      </c>
    </row>
    <row r="93" spans="1:2" x14ac:dyDescent="0.35">
      <c r="A93" t="s">
        <v>628</v>
      </c>
      <c r="B93" s="100">
        <f>(B82/((B73/'Jan 2026 A vs F '!B3)*12)*'Mar 2026 A vs F'!B54)</f>
        <v>51411.587266764865</v>
      </c>
    </row>
    <row r="94" spans="1:2" x14ac:dyDescent="0.35">
      <c r="A94" t="s">
        <v>631</v>
      </c>
      <c r="B94" s="199">
        <f>B93/B92</f>
        <v>2.8561992925980482</v>
      </c>
    </row>
    <row r="95" spans="1:2" x14ac:dyDescent="0.35">
      <c r="A95" t="s">
        <v>716</v>
      </c>
      <c r="B95" s="199">
        <f>B92/(B54*B82)</f>
        <v>7.0273382980177059</v>
      </c>
    </row>
    <row r="97" spans="1:1" x14ac:dyDescent="0.35">
      <c r="A97" s="210" t="s">
        <v>718</v>
      </c>
    </row>
    <row r="98" spans="1:1" x14ac:dyDescent="0.35">
      <c r="A98" s="212" t="s">
        <v>734</v>
      </c>
    </row>
    <row r="99" spans="1:1" x14ac:dyDescent="0.35">
      <c r="A99" s="212" t="s">
        <v>735</v>
      </c>
    </row>
    <row r="100" spans="1:1" x14ac:dyDescent="0.35">
      <c r="A100" s="212" t="s">
        <v>719</v>
      </c>
    </row>
    <row r="101" spans="1:1" x14ac:dyDescent="0.35">
      <c r="A101" s="212" t="s">
        <v>720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workbookViewId="0">
      <pane ySplit="6" topLeftCell="A7" activePane="bottomLeft" state="frozen"/>
      <selection pane="bottomLeft" activeCell="J48" sqref="J48"/>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6536-E0F1-4975-A641-B712DF8BD68D}">
  <sheetPr>
    <tabColor theme="9" tint="-0.499984740745262"/>
  </sheetPr>
  <dimension ref="A1:E18"/>
  <sheetViews>
    <sheetView workbookViewId="0">
      <selection activeCell="C37" sqref="C37"/>
    </sheetView>
  </sheetViews>
  <sheetFormatPr defaultRowHeight="14.5" x14ac:dyDescent="0.35"/>
  <cols>
    <col min="1" max="1" width="29.08984375" customWidth="1"/>
    <col min="2" max="4" width="20" customWidth="1"/>
    <col min="5" max="5" width="23.6328125" customWidth="1"/>
  </cols>
  <sheetData>
    <row r="1" spans="1:5" ht="18.5" x14ac:dyDescent="0.45">
      <c r="A1" s="117" t="s">
        <v>641</v>
      </c>
    </row>
    <row r="3" spans="1:5" x14ac:dyDescent="0.35">
      <c r="A3" s="113" t="s">
        <v>4</v>
      </c>
      <c r="B3" s="175" t="s">
        <v>672</v>
      </c>
      <c r="C3" s="175" t="s">
        <v>673</v>
      </c>
      <c r="D3" s="175" t="s">
        <v>674</v>
      </c>
      <c r="E3" s="118" t="s">
        <v>81</v>
      </c>
    </row>
    <row r="4" spans="1:5" x14ac:dyDescent="0.35">
      <c r="A4" t="s">
        <v>26</v>
      </c>
      <c r="B4" s="100">
        <f>'Jan 2026 A vs F '!B9</f>
        <v>144779.5</v>
      </c>
      <c r="C4" s="131">
        <f>'Feb 2026 A vs F'!B9</f>
        <v>150305.5</v>
      </c>
      <c r="D4" s="131">
        <f>'Mar 2026 A vs F'!B9</f>
        <v>153685.5</v>
      </c>
      <c r="E4" s="174">
        <f>'Mar 2026 A vs F'!B75</f>
        <v>153685.5</v>
      </c>
    </row>
    <row r="5" spans="1:5" x14ac:dyDescent="0.35">
      <c r="A5" t="s">
        <v>193</v>
      </c>
      <c r="B5" s="120">
        <f>'Jan 2026 A vs F '!B39</f>
        <v>39</v>
      </c>
      <c r="C5" s="167">
        <f>'Feb 2026 A vs F'!B30</f>
        <v>41</v>
      </c>
      <c r="D5">
        <f>'Mar 2026 A vs F'!B30</f>
        <v>42</v>
      </c>
      <c r="E5" s="200">
        <f>'Mar 2026 A vs F'!B30</f>
        <v>42</v>
      </c>
    </row>
    <row r="6" spans="1:5" x14ac:dyDescent="0.35">
      <c r="A6" t="s">
        <v>616</v>
      </c>
      <c r="B6" s="100">
        <f>'Jan 2026 A vs F '!B41</f>
        <v>3712.2948717948716</v>
      </c>
      <c r="C6" s="131">
        <f>'Feb 2026 A vs F'!B32</f>
        <v>3665.9878048780488</v>
      </c>
      <c r="D6" s="131">
        <f>'Mar 2026 A vs F'!B32</f>
        <v>3659.1785714285716</v>
      </c>
      <c r="E6" s="174">
        <f>'Mar 2026 A vs F'!B75/'Mar 2026 A vs F'!B30</f>
        <v>3659.1785714285716</v>
      </c>
    </row>
    <row r="7" spans="1:5" x14ac:dyDescent="0.35">
      <c r="A7" t="s">
        <v>618</v>
      </c>
      <c r="B7" s="28">
        <f>'Jan 2026 A vs F '!B42</f>
        <v>0.7</v>
      </c>
      <c r="C7" s="162">
        <f>'Feb 2026 A vs F'!B33</f>
        <v>0.7</v>
      </c>
      <c r="D7" s="162">
        <f>'Mar 2026 A vs F'!B33</f>
        <v>0.7</v>
      </c>
      <c r="E7" s="201">
        <f>'Mar 2026 A vs F'!B82</f>
        <v>0.7</v>
      </c>
    </row>
    <row r="8" spans="1:5" x14ac:dyDescent="0.35">
      <c r="A8" t="s">
        <v>620</v>
      </c>
      <c r="B8" s="28">
        <f>'Jan 2026 A vs F '!B43</f>
        <v>1</v>
      </c>
      <c r="C8" s="162">
        <f>'Feb 2026 A vs F'!B34</f>
        <v>0.99610819735501566</v>
      </c>
      <c r="D8" s="162">
        <f>'Mar 2026 A vs F'!B34</f>
        <v>1</v>
      </c>
      <c r="E8" s="202">
        <f>'Mar 2026 A vs F'!B34</f>
        <v>1</v>
      </c>
    </row>
    <row r="9" spans="1:5" x14ac:dyDescent="0.35">
      <c r="A9" t="s">
        <v>622</v>
      </c>
      <c r="B9" s="28">
        <f>'Jan 2026 A vs F '!B44</f>
        <v>1</v>
      </c>
      <c r="C9" s="162">
        <f>'Feb 2026 A vs F'!B35</f>
        <v>0.99610819735501566</v>
      </c>
      <c r="D9" s="162">
        <f>'Mar 2026 A vs F'!B35</f>
        <v>1.00240271380201</v>
      </c>
      <c r="E9" s="201">
        <f>'Mar 2026 A vs F'!B35</f>
        <v>1.00240271380201</v>
      </c>
    </row>
    <row r="10" spans="1:5" x14ac:dyDescent="0.35">
      <c r="A10" t="s">
        <v>623</v>
      </c>
      <c r="C10" s="123">
        <f>'Feb 2026 A vs F'!B36</f>
        <v>10.303030303030303</v>
      </c>
      <c r="D10" t="str">
        <f>'Mar 2026 A vs F'!B36</f>
        <v>N/A — no losses</v>
      </c>
      <c r="E10" s="203" t="s">
        <v>629</v>
      </c>
    </row>
    <row r="11" spans="1:5" x14ac:dyDescent="0.35">
      <c r="A11" t="s">
        <v>625</v>
      </c>
      <c r="B11" s="44">
        <f>'Jan 2026 A vs F '!B46</f>
        <v>30000</v>
      </c>
      <c r="C11" s="163">
        <f>'Feb 2026 A vs F'!B37</f>
        <v>31000</v>
      </c>
      <c r="D11" s="163">
        <f>'Mar 2026 A vs F'!B37</f>
        <v>29000</v>
      </c>
      <c r="E11" s="204">
        <f>'Mar 2026 A vs F'!B83</f>
        <v>90000</v>
      </c>
    </row>
    <row r="12" spans="1:5" x14ac:dyDescent="0.35">
      <c r="A12" t="s">
        <v>642</v>
      </c>
      <c r="B12" s="44">
        <f>'Jan 2026 A vs F '!B47</f>
        <v>30000</v>
      </c>
      <c r="C12" s="163">
        <f>'Feb 2026 A vs F'!B38</f>
        <v>15500</v>
      </c>
      <c r="D12" s="163">
        <f>'Mar 2026 A vs F'!B38</f>
        <v>14500</v>
      </c>
      <c r="E12" s="205">
        <f>'Mar 2026 A vs F'!B92</f>
        <v>18000</v>
      </c>
    </row>
    <row r="13" spans="1:5" x14ac:dyDescent="0.35">
      <c r="A13" s="119" t="s">
        <v>643</v>
      </c>
      <c r="B13" s="121">
        <v>0</v>
      </c>
      <c r="C13" s="121"/>
      <c r="D13" s="121"/>
      <c r="E13" s="206">
        <f>'Mar 2026 A vs F'!B92</f>
        <v>18000</v>
      </c>
    </row>
    <row r="14" spans="1:5" x14ac:dyDescent="0.35">
      <c r="A14" s="119" t="s">
        <v>628</v>
      </c>
      <c r="B14" s="121">
        <v>0</v>
      </c>
      <c r="C14" s="121"/>
      <c r="D14" s="121"/>
      <c r="E14" s="207">
        <f>'Mar 2026 A vs F'!B93</f>
        <v>51411.587266764865</v>
      </c>
    </row>
    <row r="15" spans="1:5" x14ac:dyDescent="0.35">
      <c r="A15" s="119" t="s">
        <v>631</v>
      </c>
      <c r="B15" s="121">
        <v>0</v>
      </c>
      <c r="C15" s="121"/>
      <c r="D15" s="121"/>
      <c r="E15" s="208">
        <f>'Mar 2026 A vs F'!B94</f>
        <v>2.8561992925980482</v>
      </c>
    </row>
    <row r="16" spans="1:5" x14ac:dyDescent="0.35">
      <c r="A16" s="119" t="s">
        <v>632</v>
      </c>
      <c r="B16" s="121">
        <v>0</v>
      </c>
      <c r="C16" s="121"/>
      <c r="D16" s="121"/>
      <c r="E16" s="209">
        <f>'Mar 2026 A vs F'!B95</f>
        <v>7.0273382980177059</v>
      </c>
    </row>
    <row r="18" spans="1:5" ht="30" customHeight="1" x14ac:dyDescent="0.35">
      <c r="A18" s="240" t="s">
        <v>644</v>
      </c>
      <c r="B18" s="240"/>
      <c r="C18" s="240"/>
      <c r="D18" s="122"/>
      <c r="E18" s="122"/>
    </row>
  </sheetData>
  <mergeCells count="1">
    <mergeCell ref="A18:C18"/>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400A-F6A7-4884-99EF-FD343C8B71C2}">
  <sheetPr>
    <tabColor theme="8" tint="-0.499984740745262"/>
  </sheetPr>
  <dimension ref="A1:I22"/>
  <sheetViews>
    <sheetView workbookViewId="0">
      <selection activeCell="J20" sqref="J20"/>
    </sheetView>
  </sheetViews>
  <sheetFormatPr defaultRowHeight="14.5" x14ac:dyDescent="0.35"/>
  <cols>
    <col min="1" max="1" width="8.81640625" bestFit="1" customWidth="1"/>
    <col min="2" max="2" width="15" bestFit="1" customWidth="1"/>
    <col min="3" max="4" width="10.81640625" bestFit="1" customWidth="1"/>
    <col min="5" max="5" width="10.36328125" bestFit="1" customWidth="1"/>
  </cols>
  <sheetData>
    <row r="1" spans="1:5" x14ac:dyDescent="0.35">
      <c r="A1" t="s">
        <v>155</v>
      </c>
      <c r="B1" t="s">
        <v>645</v>
      </c>
      <c r="C1" t="s">
        <v>646</v>
      </c>
      <c r="D1" t="s">
        <v>647</v>
      </c>
      <c r="E1" t="s">
        <v>648</v>
      </c>
    </row>
    <row r="2" spans="1:5" x14ac:dyDescent="0.35">
      <c r="A2" s="192">
        <v>46023</v>
      </c>
      <c r="B2" t="s">
        <v>14</v>
      </c>
      <c r="C2" s="100">
        <f>'Jan 2026 A vs F '!B3</f>
        <v>143069.5</v>
      </c>
      <c r="D2" s="100">
        <f>'Jan 2026 A vs F '!C3</f>
        <v>143069.5</v>
      </c>
      <c r="E2" s="100">
        <f>'Jan 2026 A vs F '!D3</f>
        <v>0</v>
      </c>
    </row>
    <row r="3" spans="1:5" x14ac:dyDescent="0.35">
      <c r="A3" s="192">
        <v>46023</v>
      </c>
      <c r="B3" t="s">
        <v>649</v>
      </c>
      <c r="C3" s="100">
        <f>'Jan 2026 A vs F '!B4</f>
        <v>1710</v>
      </c>
      <c r="D3" s="100">
        <f>'Jan 2026 A vs F '!C4</f>
        <v>4000</v>
      </c>
      <c r="E3" s="100">
        <f>'Jan 2026 A vs F '!D4</f>
        <v>-2290</v>
      </c>
    </row>
    <row r="4" spans="1:5" x14ac:dyDescent="0.35">
      <c r="A4" s="192">
        <v>46023</v>
      </c>
      <c r="B4" t="s">
        <v>650</v>
      </c>
      <c r="C4" s="100">
        <f>'Jan 2026 A vs F '!B5</f>
        <v>0</v>
      </c>
      <c r="D4" s="100">
        <f>'Jan 2026 A vs F '!C5</f>
        <v>715.34749999999997</v>
      </c>
      <c r="E4" s="100">
        <f>'Jan 2026 A vs F '!D5</f>
        <v>-715.34749999999997</v>
      </c>
    </row>
    <row r="5" spans="1:5" x14ac:dyDescent="0.35">
      <c r="A5" s="192">
        <v>46023</v>
      </c>
      <c r="B5" t="s">
        <v>651</v>
      </c>
      <c r="C5" s="100">
        <f>'Jan 2026 A vs F '!B6</f>
        <v>0</v>
      </c>
      <c r="D5" s="100">
        <f>'Jan 2026 A vs F '!C6</f>
        <v>0</v>
      </c>
      <c r="E5" s="100">
        <f>C5-D5</f>
        <v>0</v>
      </c>
    </row>
    <row r="6" spans="1:5" x14ac:dyDescent="0.35">
      <c r="A6" s="192">
        <v>46023</v>
      </c>
      <c r="B6" t="s">
        <v>652</v>
      </c>
      <c r="C6" s="100">
        <f>'Jan 2026 A vs F '!B7</f>
        <v>0</v>
      </c>
      <c r="D6" s="100">
        <f>'Jan 2026 A vs F '!C7</f>
        <v>953.79666666666662</v>
      </c>
      <c r="E6" s="168">
        <f>D6-C6</f>
        <v>953.79666666666662</v>
      </c>
    </row>
    <row r="7" spans="1:5" x14ac:dyDescent="0.35">
      <c r="A7" s="192">
        <v>46023</v>
      </c>
      <c r="B7" t="s">
        <v>24</v>
      </c>
      <c r="C7" s="100">
        <f>'Jan 2026 A vs F '!B8</f>
        <v>1710</v>
      </c>
      <c r="D7" s="100">
        <f>'Jan 2026 A vs F '!C8</f>
        <v>3761.5508333333332</v>
      </c>
      <c r="E7" s="100">
        <f>'Jan 2026 A vs F '!D8</f>
        <v>-2051.5508333333332</v>
      </c>
    </row>
    <row r="8" spans="1:5" x14ac:dyDescent="0.35">
      <c r="A8" s="192">
        <v>46023</v>
      </c>
      <c r="B8" t="s">
        <v>26</v>
      </c>
      <c r="C8" s="100">
        <f>'Jan 2026 A vs F '!B9</f>
        <v>144779.5</v>
      </c>
      <c r="D8" s="100">
        <f>'Jan 2026 A vs F '!C9</f>
        <v>146831.05083333334</v>
      </c>
      <c r="E8" s="100">
        <f>'Jan 2026 A vs F '!D9</f>
        <v>-2051.5508333333419</v>
      </c>
    </row>
    <row r="9" spans="1:5" x14ac:dyDescent="0.35">
      <c r="A9" s="192" t="str">
        <f t="shared" ref="A9:A15" si="0">TEXT(DATE(2026,2,1),"mmm-yy")</f>
        <v>Feb-26</v>
      </c>
      <c r="B9" s="173" t="s">
        <v>14</v>
      </c>
      <c r="C9" s="174">
        <f>'Feb 2026 A vs F'!B3</f>
        <v>144779.5</v>
      </c>
      <c r="D9" s="174">
        <f>'Feb 2026 A vs F'!C3</f>
        <v>146831.04999999999</v>
      </c>
      <c r="E9" s="174">
        <f>C9-D9</f>
        <v>-2051.5499999999884</v>
      </c>
    </row>
    <row r="10" spans="1:5" x14ac:dyDescent="0.35">
      <c r="A10" s="192" t="str">
        <f t="shared" si="0"/>
        <v>Feb-26</v>
      </c>
      <c r="B10" s="169" t="s">
        <v>649</v>
      </c>
      <c r="C10" s="171">
        <f>'Feb 2026 A vs F'!B4</f>
        <v>6120</v>
      </c>
      <c r="D10" s="171">
        <f>'Feb 2026 A vs F'!C4</f>
        <v>4000</v>
      </c>
      <c r="E10" s="171">
        <f>C10-D10</f>
        <v>2120</v>
      </c>
    </row>
    <row r="11" spans="1:5" x14ac:dyDescent="0.35">
      <c r="A11" s="192" t="str">
        <f t="shared" si="0"/>
        <v>Feb-26</v>
      </c>
      <c r="B11" s="170" t="s">
        <v>650</v>
      </c>
      <c r="C11" s="168">
        <f>'Feb 2026 A vs F'!B5</f>
        <v>0</v>
      </c>
      <c r="D11" s="168">
        <f>'Feb 2026 A vs F'!C5</f>
        <v>715.34749999999997</v>
      </c>
      <c r="E11" s="168">
        <f>C11-D11</f>
        <v>-715.34749999999997</v>
      </c>
    </row>
    <row r="12" spans="1:5" x14ac:dyDescent="0.35">
      <c r="A12" s="192" t="str">
        <f t="shared" si="0"/>
        <v>Feb-26</v>
      </c>
      <c r="B12" s="169" t="s">
        <v>651</v>
      </c>
      <c r="C12" s="171">
        <f>'Feb 2026 A vs F'!B6</f>
        <v>0</v>
      </c>
      <c r="D12" s="171">
        <f>'Feb 2026 A vs F'!C6</f>
        <v>0</v>
      </c>
      <c r="E12" s="171">
        <f>D12-C12</f>
        <v>0</v>
      </c>
    </row>
    <row r="13" spans="1:5" x14ac:dyDescent="0.35">
      <c r="A13" s="192" t="str">
        <f t="shared" si="0"/>
        <v>Feb-26</v>
      </c>
      <c r="B13" s="170" t="s">
        <v>652</v>
      </c>
      <c r="C13" s="168">
        <f>'Feb 2026 A vs F'!B7</f>
        <v>594</v>
      </c>
      <c r="D13" s="168">
        <f>'Feb 2026 A vs F'!C7</f>
        <v>953.79666666666662</v>
      </c>
      <c r="E13" s="168">
        <f>D13-C13</f>
        <v>359.79666666666662</v>
      </c>
    </row>
    <row r="14" spans="1:5" x14ac:dyDescent="0.35">
      <c r="A14" s="192" t="str">
        <f t="shared" si="0"/>
        <v>Feb-26</v>
      </c>
      <c r="B14" s="169" t="s">
        <v>24</v>
      </c>
      <c r="C14" s="171">
        <f>'Feb 2026 A vs F'!B8</f>
        <v>5526</v>
      </c>
      <c r="D14" s="171">
        <f>'Feb 2026 A vs F'!C8</f>
        <v>3761.5508333333332</v>
      </c>
      <c r="E14" s="171">
        <f>C14-D14</f>
        <v>1764.4491666666668</v>
      </c>
    </row>
    <row r="15" spans="1:5" ht="15" thickBot="1" x14ac:dyDescent="0.4">
      <c r="A15" s="192" t="str">
        <f t="shared" si="0"/>
        <v>Feb-26</v>
      </c>
      <c r="B15" s="170" t="s">
        <v>26</v>
      </c>
      <c r="C15" s="168">
        <f>'Feb 2026 A vs F'!B9</f>
        <v>150305.5</v>
      </c>
      <c r="D15" s="168">
        <f>'Feb 2026 A vs F'!C9</f>
        <v>150592.60083333333</v>
      </c>
      <c r="E15" s="168">
        <f>C15-D15</f>
        <v>-287.10083333333023</v>
      </c>
    </row>
    <row r="16" spans="1:5" x14ac:dyDescent="0.35">
      <c r="A16" s="192" t="str">
        <f t="shared" ref="A16:A22" si="1">TEXT(DATE(2026,3,1),"mmm-yy")</f>
        <v>Mar-26</v>
      </c>
      <c r="B16" s="189" t="s">
        <v>14</v>
      </c>
      <c r="C16" s="190">
        <f>'Mar 2026 A vs F'!B3</f>
        <v>150305.5</v>
      </c>
      <c r="D16" s="190">
        <f>'Mar 2026 A vs F'!C3</f>
        <v>150592.6</v>
      </c>
      <c r="E16" s="191">
        <f>'Mar 2026 A vs F'!D3</f>
        <v>-287.10000000000582</v>
      </c>
    </row>
    <row r="17" spans="1:9" x14ac:dyDescent="0.35">
      <c r="A17" s="192" t="str">
        <f t="shared" si="1"/>
        <v>Mar-26</v>
      </c>
      <c r="B17" s="186" t="s">
        <v>649</v>
      </c>
      <c r="C17" s="187">
        <f>'Mar 2026 A vs F'!B4</f>
        <v>3000</v>
      </c>
      <c r="D17" s="187">
        <f>'Mar 2026 A vs F'!C4</f>
        <v>4000</v>
      </c>
      <c r="E17" s="188">
        <f>'Mar 2026 A vs F'!D4</f>
        <v>-1000</v>
      </c>
    </row>
    <row r="18" spans="1:9" x14ac:dyDescent="0.35">
      <c r="A18" s="192" t="str">
        <f t="shared" si="1"/>
        <v>Mar-26</v>
      </c>
      <c r="B18" s="177" t="s">
        <v>650</v>
      </c>
      <c r="C18" s="184">
        <f>'Mar 2026 A vs F'!B5</f>
        <v>380</v>
      </c>
      <c r="D18" s="184">
        <f>'Mar 2026 A vs F'!C5</f>
        <v>715.34749999999997</v>
      </c>
      <c r="E18" s="179">
        <f>'Mar 2026 A vs F'!D5</f>
        <v>-335.34749999999997</v>
      </c>
      <c r="I18" t="s">
        <v>668</v>
      </c>
    </row>
    <row r="19" spans="1:9" x14ac:dyDescent="0.35">
      <c r="A19" s="192" t="str">
        <f t="shared" si="1"/>
        <v>Mar-26</v>
      </c>
      <c r="B19" s="182" t="s">
        <v>651</v>
      </c>
      <c r="C19" s="185">
        <f>'Mar 2026 A vs F'!B6</f>
        <v>0</v>
      </c>
      <c r="D19" s="185">
        <f>'Mar 2026 A vs F'!C6</f>
        <v>0</v>
      </c>
      <c r="E19" s="183">
        <f>D19-C19</f>
        <v>0</v>
      </c>
    </row>
    <row r="20" spans="1:9" x14ac:dyDescent="0.35">
      <c r="A20" s="192" t="str">
        <f t="shared" si="1"/>
        <v>Mar-26</v>
      </c>
      <c r="B20" s="177" t="s">
        <v>652</v>
      </c>
      <c r="C20" s="184">
        <f>'Mar 2026 A vs F'!B7</f>
        <v>0</v>
      </c>
      <c r="D20" s="184">
        <f>'Mar 2026 A vs F'!C7</f>
        <v>953.79666666666662</v>
      </c>
      <c r="E20" s="179">
        <f>'Mar 2026 A vs F'!D7</f>
        <v>953.79666666666662</v>
      </c>
    </row>
    <row r="21" spans="1:9" x14ac:dyDescent="0.35">
      <c r="A21" s="192" t="str">
        <f t="shared" si="1"/>
        <v>Mar-26</v>
      </c>
      <c r="B21" s="182" t="s">
        <v>24</v>
      </c>
      <c r="C21" s="185">
        <f>'Mar 2026 A vs F'!B8</f>
        <v>3380</v>
      </c>
      <c r="D21" s="185">
        <f>'Mar 2026 A vs F'!C8</f>
        <v>3761.5508333333332</v>
      </c>
      <c r="E21" s="183">
        <f>'Mar 2026 A vs F'!D8</f>
        <v>-381.55083333333323</v>
      </c>
    </row>
    <row r="22" spans="1:9" x14ac:dyDescent="0.35">
      <c r="A22" s="192" t="str">
        <f t="shared" si="1"/>
        <v>Mar-26</v>
      </c>
      <c r="B22" s="178" t="s">
        <v>26</v>
      </c>
      <c r="C22" s="181">
        <f>'Mar 2026 A vs F'!B9</f>
        <v>153685.5</v>
      </c>
      <c r="D22" s="181">
        <f>'Mar 2026 A vs F'!C9</f>
        <v>154354.15083333335</v>
      </c>
      <c r="E22" s="180">
        <f>'Mar 2026 A vs F'!D9</f>
        <v>-668.65083333334769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102"/>
  <sheetViews>
    <sheetView topLeftCell="A64" workbookViewId="0">
      <selection activeCell="W2" sqref="W2"/>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5"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5" t="s">
        <v>330</v>
      </c>
      <c r="T1" s="42" t="s">
        <v>331</v>
      </c>
      <c r="U1" s="42" t="s">
        <v>332</v>
      </c>
      <c r="V1" s="42" t="s">
        <v>333</v>
      </c>
    </row>
    <row r="2" spans="1:22" x14ac:dyDescent="0.35">
      <c r="A2" t="s">
        <v>334</v>
      </c>
      <c r="B2" t="s">
        <v>226</v>
      </c>
      <c r="C2" t="s">
        <v>335</v>
      </c>
      <c r="D2" t="s">
        <v>227</v>
      </c>
      <c r="E2" t="s">
        <v>336</v>
      </c>
      <c r="F2" s="96">
        <v>45292</v>
      </c>
      <c r="G2" s="97">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98"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 t="shared" ref="U2:U33" si="0">IF(H2&lt;&gt;"cancelled",0,IF(COUNTIFS($C$2:$C$102,$C2,$H$2:$H$102,"created",$F$2:$F$102,"&lt;="&amp;F2)-COUNTIFS($C$2:$C$102,$C2,$H$2:$H$102,"cancelled",$F$2:$F$102,"&lt;="&amp;F2)=0,1,0))</f>
        <v>0</v>
      </c>
      <c r="V2">
        <f t="shared" ref="V2:V33" si="1">IF(AND(H2="created",T2=0,COUNTIFS($C$2:$C$102,$C2,$H$2:$H$102,"cancelled",$F$2:$F$102,"&lt;"&amp;F2)&gt;0,COUNTIFS($C$2:$C$102,$C2,$H$2:$H$102,"created",$F$2:$F$102,"&lt;"&amp;F2)-COUNTIFS($C$2:$C$102,$C2,$H$2:$H$102,"cancelled",$F$2:$F$102,"&lt;"&amp;F2)=0),1,0)</f>
        <v>0</v>
      </c>
    </row>
    <row r="3" spans="1:22" x14ac:dyDescent="0.35">
      <c r="A3" t="s">
        <v>339</v>
      </c>
      <c r="B3" t="s">
        <v>340</v>
      </c>
      <c r="C3" t="s">
        <v>341</v>
      </c>
      <c r="D3" t="s">
        <v>342</v>
      </c>
      <c r="E3" t="s">
        <v>343</v>
      </c>
      <c r="F3" s="96">
        <v>45292</v>
      </c>
      <c r="G3" s="97">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98"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si="0"/>
        <v>0</v>
      </c>
      <c r="V3">
        <f t="shared" si="1"/>
        <v>0</v>
      </c>
    </row>
    <row r="4" spans="1:22" x14ac:dyDescent="0.35">
      <c r="A4" t="s">
        <v>345</v>
      </c>
      <c r="B4" t="s">
        <v>346</v>
      </c>
      <c r="C4" t="s">
        <v>347</v>
      </c>
      <c r="D4" t="s">
        <v>348</v>
      </c>
      <c r="E4" t="s">
        <v>336</v>
      </c>
      <c r="F4" s="96">
        <v>45323</v>
      </c>
      <c r="G4" s="97">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98"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349</v>
      </c>
      <c r="B5" t="s">
        <v>350</v>
      </c>
      <c r="C5" t="s">
        <v>351</v>
      </c>
      <c r="D5" t="s">
        <v>243</v>
      </c>
      <c r="E5" t="s">
        <v>343</v>
      </c>
      <c r="F5" s="96">
        <v>45323</v>
      </c>
      <c r="G5" s="97">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98"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352</v>
      </c>
      <c r="B6" t="s">
        <v>242</v>
      </c>
      <c r="C6" t="s">
        <v>351</v>
      </c>
      <c r="D6" t="s">
        <v>243</v>
      </c>
      <c r="E6" t="s">
        <v>343</v>
      </c>
      <c r="F6" s="96">
        <v>45323</v>
      </c>
      <c r="G6" s="97">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98"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353</v>
      </c>
      <c r="B7" t="s">
        <v>228</v>
      </c>
      <c r="C7" t="s">
        <v>354</v>
      </c>
      <c r="D7" t="s">
        <v>229</v>
      </c>
      <c r="E7" t="s">
        <v>336</v>
      </c>
      <c r="F7" s="96">
        <v>45352</v>
      </c>
      <c r="G7" s="97">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98"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355</v>
      </c>
      <c r="B8" t="s">
        <v>356</v>
      </c>
      <c r="C8" t="s">
        <v>357</v>
      </c>
      <c r="D8" t="s">
        <v>358</v>
      </c>
      <c r="E8" t="s">
        <v>343</v>
      </c>
      <c r="F8" s="96">
        <v>45352</v>
      </c>
      <c r="G8" s="97">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98"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359</v>
      </c>
      <c r="B9" t="s">
        <v>360</v>
      </c>
      <c r="C9" t="s">
        <v>361</v>
      </c>
      <c r="D9" t="s">
        <v>247</v>
      </c>
      <c r="E9" t="s">
        <v>336</v>
      </c>
      <c r="F9" s="96">
        <v>45383</v>
      </c>
      <c r="G9" s="97">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98"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362</v>
      </c>
      <c r="B10" t="s">
        <v>246</v>
      </c>
      <c r="C10" t="s">
        <v>361</v>
      </c>
      <c r="D10" t="s">
        <v>247</v>
      </c>
      <c r="E10" t="s">
        <v>336</v>
      </c>
      <c r="F10" s="96">
        <v>45383</v>
      </c>
      <c r="G10" s="97">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98"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363</v>
      </c>
      <c r="B11" t="s">
        <v>230</v>
      </c>
      <c r="C11" t="s">
        <v>364</v>
      </c>
      <c r="D11" t="s">
        <v>231</v>
      </c>
      <c r="E11" t="s">
        <v>336</v>
      </c>
      <c r="F11" s="96">
        <v>45383</v>
      </c>
      <c r="G11" s="97">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98"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365</v>
      </c>
      <c r="B12" t="s">
        <v>366</v>
      </c>
      <c r="C12" t="s">
        <v>367</v>
      </c>
      <c r="D12" t="s">
        <v>368</v>
      </c>
      <c r="E12" t="s">
        <v>343</v>
      </c>
      <c r="F12" s="96">
        <v>45383</v>
      </c>
      <c r="G12" s="97">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98"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369</v>
      </c>
      <c r="B13" t="s">
        <v>370</v>
      </c>
      <c r="C13" t="s">
        <v>371</v>
      </c>
      <c r="D13" t="s">
        <v>372</v>
      </c>
      <c r="E13" t="s">
        <v>336</v>
      </c>
      <c r="F13" s="96">
        <v>45413</v>
      </c>
      <c r="G13" s="97">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98"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373</v>
      </c>
      <c r="B14" t="s">
        <v>374</v>
      </c>
      <c r="C14" t="s">
        <v>375</v>
      </c>
      <c r="D14" t="s">
        <v>376</v>
      </c>
      <c r="E14" t="s">
        <v>377</v>
      </c>
      <c r="F14" s="96">
        <v>45413</v>
      </c>
      <c r="G14" s="97">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98"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378</v>
      </c>
      <c r="B15" t="s">
        <v>379</v>
      </c>
      <c r="C15" t="s">
        <v>380</v>
      </c>
      <c r="D15" t="s">
        <v>237</v>
      </c>
      <c r="E15" t="s">
        <v>336</v>
      </c>
      <c r="F15" s="96">
        <v>45444</v>
      </c>
      <c r="G15" s="97">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98"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381</v>
      </c>
      <c r="B16" t="s">
        <v>236</v>
      </c>
      <c r="C16" t="s">
        <v>380</v>
      </c>
      <c r="D16" t="s">
        <v>237</v>
      </c>
      <c r="E16" t="s">
        <v>336</v>
      </c>
      <c r="F16" s="96">
        <v>45444</v>
      </c>
      <c r="G16" s="97">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98"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382</v>
      </c>
      <c r="B17" t="s">
        <v>232</v>
      </c>
      <c r="C17" t="s">
        <v>383</v>
      </c>
      <c r="D17" t="s">
        <v>233</v>
      </c>
      <c r="E17" t="s">
        <v>343</v>
      </c>
      <c r="F17" s="96">
        <v>45444</v>
      </c>
      <c r="G17" s="97">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98"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384</v>
      </c>
      <c r="B18" t="s">
        <v>385</v>
      </c>
      <c r="C18" t="s">
        <v>386</v>
      </c>
      <c r="D18" t="s">
        <v>387</v>
      </c>
      <c r="E18" t="s">
        <v>336</v>
      </c>
      <c r="F18" s="96">
        <v>45474</v>
      </c>
      <c r="G18" s="97">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98"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388</v>
      </c>
      <c r="B19" t="s">
        <v>389</v>
      </c>
      <c r="C19" t="s">
        <v>335</v>
      </c>
      <c r="D19" t="s">
        <v>227</v>
      </c>
      <c r="E19" t="s">
        <v>336</v>
      </c>
      <c r="F19" s="96">
        <v>45474</v>
      </c>
      <c r="G19" s="97">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98"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390</v>
      </c>
      <c r="B20" t="s">
        <v>244</v>
      </c>
      <c r="C20" t="s">
        <v>391</v>
      </c>
      <c r="D20" t="s">
        <v>245</v>
      </c>
      <c r="E20" t="s">
        <v>343</v>
      </c>
      <c r="F20" s="96">
        <v>45474</v>
      </c>
      <c r="G20" s="97">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98"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392</v>
      </c>
      <c r="B21" t="s">
        <v>393</v>
      </c>
      <c r="C21" t="s">
        <v>391</v>
      </c>
      <c r="D21" t="s">
        <v>245</v>
      </c>
      <c r="E21" t="s">
        <v>343</v>
      </c>
      <c r="F21" s="96">
        <v>45474</v>
      </c>
      <c r="G21" s="97">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98"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394</v>
      </c>
      <c r="B22" t="s">
        <v>395</v>
      </c>
      <c r="C22" t="s">
        <v>396</v>
      </c>
      <c r="D22" t="s">
        <v>397</v>
      </c>
      <c r="E22" t="s">
        <v>336</v>
      </c>
      <c r="F22" s="96">
        <v>45505</v>
      </c>
      <c r="G22" s="97">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98"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398</v>
      </c>
      <c r="B23" t="s">
        <v>399</v>
      </c>
      <c r="C23" t="s">
        <v>400</v>
      </c>
      <c r="D23" t="s">
        <v>401</v>
      </c>
      <c r="E23" t="s">
        <v>336</v>
      </c>
      <c r="F23" s="96">
        <v>45505</v>
      </c>
      <c r="G23" s="97">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98"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402</v>
      </c>
      <c r="B24" t="s">
        <v>226</v>
      </c>
      <c r="C24" t="s">
        <v>335</v>
      </c>
      <c r="D24" t="s">
        <v>227</v>
      </c>
      <c r="E24" t="s">
        <v>336</v>
      </c>
      <c r="F24" s="96">
        <v>45505</v>
      </c>
      <c r="G24" s="97">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98"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408</v>
      </c>
      <c r="B25" t="s">
        <v>409</v>
      </c>
      <c r="C25" t="s">
        <v>410</v>
      </c>
      <c r="D25" t="s">
        <v>411</v>
      </c>
      <c r="E25" t="s">
        <v>343</v>
      </c>
      <c r="F25" s="96">
        <v>45536</v>
      </c>
      <c r="G25" s="97">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98"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412</v>
      </c>
      <c r="B26" t="s">
        <v>413</v>
      </c>
      <c r="C26" t="s">
        <v>347</v>
      </c>
      <c r="D26" t="s">
        <v>348</v>
      </c>
      <c r="E26" t="s">
        <v>336</v>
      </c>
      <c r="F26" s="96">
        <v>45536</v>
      </c>
      <c r="G26" s="97">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98"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414</v>
      </c>
      <c r="B27" t="s">
        <v>415</v>
      </c>
      <c r="C27" t="s">
        <v>416</v>
      </c>
      <c r="D27" t="s">
        <v>241</v>
      </c>
      <c r="E27" t="s">
        <v>377</v>
      </c>
      <c r="F27" s="96">
        <v>45536</v>
      </c>
      <c r="G27" s="97">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98"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417</v>
      </c>
      <c r="B28" t="s">
        <v>240</v>
      </c>
      <c r="C28" t="s">
        <v>416</v>
      </c>
      <c r="D28" t="s">
        <v>241</v>
      </c>
      <c r="E28" t="s">
        <v>377</v>
      </c>
      <c r="F28" s="96">
        <v>45536</v>
      </c>
      <c r="G28" s="97">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98"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418</v>
      </c>
      <c r="B29" t="s">
        <v>419</v>
      </c>
      <c r="C29" t="s">
        <v>420</v>
      </c>
      <c r="D29" t="s">
        <v>421</v>
      </c>
      <c r="E29" t="s">
        <v>336</v>
      </c>
      <c r="F29" s="96">
        <v>45536</v>
      </c>
      <c r="G29" s="97">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98"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422</v>
      </c>
      <c r="B30" t="s">
        <v>423</v>
      </c>
      <c r="C30" t="s">
        <v>357</v>
      </c>
      <c r="D30" t="s">
        <v>358</v>
      </c>
      <c r="E30" t="s">
        <v>343</v>
      </c>
      <c r="F30" s="96">
        <v>45566</v>
      </c>
      <c r="G30" s="97">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98"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424</v>
      </c>
      <c r="B31" t="s">
        <v>234</v>
      </c>
      <c r="C31" t="s">
        <v>425</v>
      </c>
      <c r="D31" t="s">
        <v>235</v>
      </c>
      <c r="E31" t="s">
        <v>343</v>
      </c>
      <c r="F31" s="96">
        <v>45566</v>
      </c>
      <c r="G31" s="97">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98"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426</v>
      </c>
      <c r="B32" t="s">
        <v>427</v>
      </c>
      <c r="C32" t="s">
        <v>428</v>
      </c>
      <c r="D32" t="s">
        <v>429</v>
      </c>
      <c r="E32" t="s">
        <v>336</v>
      </c>
      <c r="F32" s="96">
        <v>45566</v>
      </c>
      <c r="G32" s="97">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98"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430</v>
      </c>
      <c r="B33" t="s">
        <v>431</v>
      </c>
      <c r="C33" t="s">
        <v>364</v>
      </c>
      <c r="D33" t="s">
        <v>231</v>
      </c>
      <c r="E33" t="s">
        <v>336</v>
      </c>
      <c r="F33" s="96">
        <v>45597</v>
      </c>
      <c r="G33" s="97">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98"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432</v>
      </c>
      <c r="B34" t="s">
        <v>238</v>
      </c>
      <c r="C34" t="s">
        <v>433</v>
      </c>
      <c r="D34" t="s">
        <v>239</v>
      </c>
      <c r="E34" t="s">
        <v>336</v>
      </c>
      <c r="F34" s="96">
        <v>45597</v>
      </c>
      <c r="G34" s="97">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98"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ref="U34:U65" si="2">IF(H34&lt;&gt;"cancelled",0,IF(COUNTIFS($C$2:$C$102,$C34,$H$2:$H$102,"created",$F$2:$F$102,"&lt;="&amp;F34)-COUNTIFS($C$2:$C$102,$C34,$H$2:$H$102,"cancelled",$F$2:$F$102,"&lt;="&amp;F34)=0,1,0))</f>
        <v>0</v>
      </c>
      <c r="V34">
        <f t="shared" ref="V34:V65" si="3">IF(AND(H34="created",T34=0,COUNTIFS($C$2:$C$102,$C34,$H$2:$H$102,"cancelled",$F$2:$F$102,"&lt;"&amp;F34)&gt;0,COUNTIFS($C$2:$C$102,$C34,$H$2:$H$102,"created",$F$2:$F$102,"&lt;"&amp;F34)-COUNTIFS($C$2:$C$102,$C34,$H$2:$H$102,"cancelled",$F$2:$F$102,"&lt;"&amp;F34)=0),1,0)</f>
        <v>0</v>
      </c>
    </row>
    <row r="35" spans="1:22" x14ac:dyDescent="0.35">
      <c r="A35" t="s">
        <v>434</v>
      </c>
      <c r="B35" t="s">
        <v>228</v>
      </c>
      <c r="C35" t="s">
        <v>354</v>
      </c>
      <c r="D35" t="s">
        <v>229</v>
      </c>
      <c r="E35" t="s">
        <v>336</v>
      </c>
      <c r="F35" s="96">
        <v>45597</v>
      </c>
      <c r="G35" s="97">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98"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2"/>
        <v>1</v>
      </c>
      <c r="V35">
        <f t="shared" si="3"/>
        <v>0</v>
      </c>
    </row>
    <row r="36" spans="1:22" x14ac:dyDescent="0.35">
      <c r="A36" t="s">
        <v>436</v>
      </c>
      <c r="B36" t="s">
        <v>437</v>
      </c>
      <c r="C36" t="s">
        <v>438</v>
      </c>
      <c r="D36" t="s">
        <v>439</v>
      </c>
      <c r="E36" t="s">
        <v>343</v>
      </c>
      <c r="F36" s="96">
        <v>45597</v>
      </c>
      <c r="G36" s="97">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98"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2"/>
        <v>0</v>
      </c>
      <c r="V36">
        <f t="shared" si="3"/>
        <v>0</v>
      </c>
    </row>
    <row r="37" spans="1:22" x14ac:dyDescent="0.35">
      <c r="A37" t="s">
        <v>440</v>
      </c>
      <c r="B37" t="s">
        <v>441</v>
      </c>
      <c r="C37" t="s">
        <v>442</v>
      </c>
      <c r="D37" t="s">
        <v>443</v>
      </c>
      <c r="E37" t="s">
        <v>336</v>
      </c>
      <c r="F37" s="96">
        <v>45627</v>
      </c>
      <c r="G37" s="97">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98"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2"/>
        <v>0</v>
      </c>
      <c r="V37">
        <f t="shared" si="3"/>
        <v>0</v>
      </c>
    </row>
    <row r="38" spans="1:22" x14ac:dyDescent="0.35">
      <c r="A38" t="s">
        <v>444</v>
      </c>
      <c r="B38" t="s">
        <v>445</v>
      </c>
      <c r="C38" t="s">
        <v>396</v>
      </c>
      <c r="D38" t="s">
        <v>397</v>
      </c>
      <c r="E38" t="s">
        <v>336</v>
      </c>
      <c r="F38" s="96">
        <v>45627</v>
      </c>
      <c r="G38" s="97">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98"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2"/>
        <v>0</v>
      </c>
      <c r="V38">
        <f t="shared" si="3"/>
        <v>0</v>
      </c>
    </row>
    <row r="39" spans="1:22" x14ac:dyDescent="0.35">
      <c r="A39" t="s">
        <v>446</v>
      </c>
      <c r="B39" t="s">
        <v>447</v>
      </c>
      <c r="C39" t="s">
        <v>367</v>
      </c>
      <c r="D39" t="s">
        <v>368</v>
      </c>
      <c r="E39" t="s">
        <v>343</v>
      </c>
      <c r="F39" s="96">
        <v>45627</v>
      </c>
      <c r="G39" s="97">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98"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2"/>
        <v>0</v>
      </c>
      <c r="V39">
        <f t="shared" si="3"/>
        <v>0</v>
      </c>
    </row>
    <row r="40" spans="1:22" x14ac:dyDescent="0.35">
      <c r="A40" t="s">
        <v>448</v>
      </c>
      <c r="B40" t="s">
        <v>230</v>
      </c>
      <c r="C40" t="s">
        <v>364</v>
      </c>
      <c r="D40" t="s">
        <v>231</v>
      </c>
      <c r="E40" t="s">
        <v>336</v>
      </c>
      <c r="F40" s="96">
        <v>45627</v>
      </c>
      <c r="G40" s="97">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98"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2"/>
        <v>0</v>
      </c>
      <c r="V40">
        <f t="shared" si="3"/>
        <v>0</v>
      </c>
    </row>
    <row r="41" spans="1:22" x14ac:dyDescent="0.35">
      <c r="A41" t="s">
        <v>449</v>
      </c>
      <c r="B41" t="s">
        <v>450</v>
      </c>
      <c r="C41" t="s">
        <v>451</v>
      </c>
      <c r="D41" t="s">
        <v>452</v>
      </c>
      <c r="E41" t="s">
        <v>336</v>
      </c>
      <c r="F41" s="96">
        <v>45627</v>
      </c>
      <c r="G41" s="97">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98"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2"/>
        <v>0</v>
      </c>
      <c r="V41">
        <f t="shared" si="3"/>
        <v>0</v>
      </c>
    </row>
    <row r="42" spans="1:22" x14ac:dyDescent="0.35">
      <c r="A42" t="s">
        <v>453</v>
      </c>
      <c r="B42" t="s">
        <v>454</v>
      </c>
      <c r="C42" t="s">
        <v>455</v>
      </c>
      <c r="D42" t="s">
        <v>456</v>
      </c>
      <c r="E42" t="s">
        <v>343</v>
      </c>
      <c r="F42" s="96">
        <v>45658</v>
      </c>
      <c r="G42" s="97">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98"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2"/>
        <v>0</v>
      </c>
      <c r="V42">
        <f t="shared" si="3"/>
        <v>0</v>
      </c>
    </row>
    <row r="43" spans="1:22" x14ac:dyDescent="0.35">
      <c r="A43" t="s">
        <v>457</v>
      </c>
      <c r="B43" t="s">
        <v>385</v>
      </c>
      <c r="C43" t="s">
        <v>386</v>
      </c>
      <c r="D43" t="s">
        <v>387</v>
      </c>
      <c r="E43" t="s">
        <v>336</v>
      </c>
      <c r="F43" s="96">
        <v>45658</v>
      </c>
      <c r="G43" s="97">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98"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2"/>
        <v>0</v>
      </c>
      <c r="V43">
        <f t="shared" si="3"/>
        <v>0</v>
      </c>
    </row>
    <row r="44" spans="1:22" x14ac:dyDescent="0.35">
      <c r="A44" t="s">
        <v>460</v>
      </c>
      <c r="B44" t="s">
        <v>232</v>
      </c>
      <c r="C44" t="s">
        <v>383</v>
      </c>
      <c r="D44" t="s">
        <v>233</v>
      </c>
      <c r="E44" t="s">
        <v>343</v>
      </c>
      <c r="F44" s="96">
        <v>45658</v>
      </c>
      <c r="G44" s="97">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98"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2"/>
        <v>1</v>
      </c>
      <c r="V44">
        <f t="shared" si="3"/>
        <v>0</v>
      </c>
    </row>
    <row r="45" spans="1:22" x14ac:dyDescent="0.35">
      <c r="A45" t="s">
        <v>462</v>
      </c>
      <c r="B45" t="s">
        <v>463</v>
      </c>
      <c r="C45" t="s">
        <v>464</v>
      </c>
      <c r="D45" t="s">
        <v>465</v>
      </c>
      <c r="E45" t="s">
        <v>377</v>
      </c>
      <c r="F45" s="96">
        <v>45658</v>
      </c>
      <c r="G45" s="97">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98"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2"/>
        <v>0</v>
      </c>
      <c r="V45">
        <f t="shared" si="3"/>
        <v>0</v>
      </c>
    </row>
    <row r="46" spans="1:22" x14ac:dyDescent="0.35">
      <c r="A46" t="s">
        <v>466</v>
      </c>
      <c r="B46" t="s">
        <v>467</v>
      </c>
      <c r="C46" t="s">
        <v>341</v>
      </c>
      <c r="D46" t="s">
        <v>342</v>
      </c>
      <c r="E46" t="s">
        <v>343</v>
      </c>
      <c r="F46" s="96">
        <v>45658</v>
      </c>
      <c r="G46" s="97">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98"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2"/>
        <v>0</v>
      </c>
      <c r="V46">
        <f t="shared" si="3"/>
        <v>0</v>
      </c>
    </row>
    <row r="47" spans="1:22" x14ac:dyDescent="0.35">
      <c r="A47" t="s">
        <v>468</v>
      </c>
      <c r="B47" t="s">
        <v>469</v>
      </c>
      <c r="C47" t="s">
        <v>425</v>
      </c>
      <c r="D47" t="s">
        <v>235</v>
      </c>
      <c r="E47" t="s">
        <v>343</v>
      </c>
      <c r="F47" s="96">
        <v>45658</v>
      </c>
      <c r="G47" s="97">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98"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2"/>
        <v>0</v>
      </c>
      <c r="V47">
        <f t="shared" si="3"/>
        <v>0</v>
      </c>
    </row>
    <row r="48" spans="1:22" x14ac:dyDescent="0.35">
      <c r="A48" t="s">
        <v>470</v>
      </c>
      <c r="B48" t="s">
        <v>471</v>
      </c>
      <c r="C48" t="s">
        <v>472</v>
      </c>
      <c r="D48" t="s">
        <v>473</v>
      </c>
      <c r="E48" t="s">
        <v>336</v>
      </c>
      <c r="F48" s="96">
        <v>45689</v>
      </c>
      <c r="G48" s="97">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98"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2"/>
        <v>0</v>
      </c>
      <c r="V48">
        <f t="shared" si="3"/>
        <v>0</v>
      </c>
    </row>
    <row r="49" spans="1:22" x14ac:dyDescent="0.35">
      <c r="A49" t="s">
        <v>474</v>
      </c>
      <c r="B49" t="s">
        <v>475</v>
      </c>
      <c r="C49" t="s">
        <v>371</v>
      </c>
      <c r="D49" t="s">
        <v>372</v>
      </c>
      <c r="E49" t="s">
        <v>336</v>
      </c>
      <c r="F49" s="96">
        <v>45689</v>
      </c>
      <c r="G49" s="97">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98"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2"/>
        <v>0</v>
      </c>
      <c r="V49">
        <f t="shared" si="3"/>
        <v>0</v>
      </c>
    </row>
    <row r="50" spans="1:22" x14ac:dyDescent="0.35">
      <c r="A50" t="s">
        <v>476</v>
      </c>
      <c r="B50" t="s">
        <v>477</v>
      </c>
      <c r="C50" t="s">
        <v>386</v>
      </c>
      <c r="D50" t="s">
        <v>387</v>
      </c>
      <c r="E50" t="s">
        <v>336</v>
      </c>
      <c r="F50" s="96">
        <v>45689</v>
      </c>
      <c r="G50" s="97">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98"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2"/>
        <v>0</v>
      </c>
      <c r="V50">
        <f t="shared" si="3"/>
        <v>0</v>
      </c>
    </row>
    <row r="51" spans="1:22" x14ac:dyDescent="0.35">
      <c r="A51" t="s">
        <v>478</v>
      </c>
      <c r="B51" t="s">
        <v>479</v>
      </c>
      <c r="C51" t="s">
        <v>480</v>
      </c>
      <c r="D51" t="s">
        <v>481</v>
      </c>
      <c r="E51" t="s">
        <v>343</v>
      </c>
      <c r="F51" s="96">
        <v>45689</v>
      </c>
      <c r="G51" s="97">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98"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2"/>
        <v>0</v>
      </c>
      <c r="V51">
        <f t="shared" si="3"/>
        <v>0</v>
      </c>
    </row>
    <row r="52" spans="1:22" x14ac:dyDescent="0.35">
      <c r="A52" t="s">
        <v>482</v>
      </c>
      <c r="B52" t="s">
        <v>483</v>
      </c>
      <c r="C52" t="s">
        <v>484</v>
      </c>
      <c r="D52" t="s">
        <v>485</v>
      </c>
      <c r="E52" t="s">
        <v>336</v>
      </c>
      <c r="F52" s="96">
        <v>45717</v>
      </c>
      <c r="G52" s="97">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98"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2"/>
        <v>0</v>
      </c>
      <c r="V52">
        <f t="shared" si="3"/>
        <v>0</v>
      </c>
    </row>
    <row r="53" spans="1:22" x14ac:dyDescent="0.35">
      <c r="A53" t="s">
        <v>486</v>
      </c>
      <c r="B53" t="s">
        <v>487</v>
      </c>
      <c r="C53" t="s">
        <v>438</v>
      </c>
      <c r="D53" t="s">
        <v>439</v>
      </c>
      <c r="E53" t="s">
        <v>343</v>
      </c>
      <c r="F53" s="96">
        <v>45717</v>
      </c>
      <c r="G53" s="97">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98"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2"/>
        <v>0</v>
      </c>
      <c r="V53">
        <f t="shared" si="3"/>
        <v>0</v>
      </c>
    </row>
    <row r="54" spans="1:22" x14ac:dyDescent="0.35">
      <c r="A54" t="s">
        <v>488</v>
      </c>
      <c r="B54" t="s">
        <v>370</v>
      </c>
      <c r="C54" t="s">
        <v>371</v>
      </c>
      <c r="D54" t="s">
        <v>372</v>
      </c>
      <c r="E54" t="s">
        <v>336</v>
      </c>
      <c r="F54" s="96">
        <v>45717</v>
      </c>
      <c r="G54" s="97">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98"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2"/>
        <v>0</v>
      </c>
      <c r="V54">
        <f t="shared" si="3"/>
        <v>0</v>
      </c>
    </row>
    <row r="55" spans="1:22" x14ac:dyDescent="0.35">
      <c r="A55" t="s">
        <v>491</v>
      </c>
      <c r="B55" t="s">
        <v>492</v>
      </c>
      <c r="C55" t="s">
        <v>410</v>
      </c>
      <c r="D55" t="s">
        <v>411</v>
      </c>
      <c r="E55" t="s">
        <v>343</v>
      </c>
      <c r="F55" s="96">
        <v>45717</v>
      </c>
      <c r="G55" s="97">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98"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2"/>
        <v>0</v>
      </c>
      <c r="V55">
        <f t="shared" si="3"/>
        <v>0</v>
      </c>
    </row>
    <row r="56" spans="1:22" x14ac:dyDescent="0.35">
      <c r="A56" t="s">
        <v>493</v>
      </c>
      <c r="B56" t="s">
        <v>467</v>
      </c>
      <c r="C56" t="s">
        <v>341</v>
      </c>
      <c r="D56" t="s">
        <v>342</v>
      </c>
      <c r="E56" t="s">
        <v>343</v>
      </c>
      <c r="F56" s="96">
        <v>45717</v>
      </c>
      <c r="G56" s="97">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98"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2"/>
        <v>0</v>
      </c>
      <c r="V56">
        <f t="shared" si="3"/>
        <v>0</v>
      </c>
    </row>
    <row r="57" spans="1:22" x14ac:dyDescent="0.35">
      <c r="A57" t="s">
        <v>496</v>
      </c>
      <c r="B57" t="s">
        <v>497</v>
      </c>
      <c r="C57" t="s">
        <v>498</v>
      </c>
      <c r="D57" t="s">
        <v>499</v>
      </c>
      <c r="E57" t="s">
        <v>343</v>
      </c>
      <c r="F57" s="96">
        <v>45717</v>
      </c>
      <c r="G57" s="97">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98"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2"/>
        <v>0</v>
      </c>
      <c r="V57">
        <f t="shared" si="3"/>
        <v>0</v>
      </c>
    </row>
    <row r="58" spans="1:22" x14ac:dyDescent="0.35">
      <c r="A58" t="s">
        <v>500</v>
      </c>
      <c r="B58" t="s">
        <v>415</v>
      </c>
      <c r="C58" t="s">
        <v>416</v>
      </c>
      <c r="D58" t="s">
        <v>241</v>
      </c>
      <c r="E58" t="s">
        <v>377</v>
      </c>
      <c r="F58" s="96">
        <v>45717</v>
      </c>
      <c r="G58" s="97">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98"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2"/>
        <v>0</v>
      </c>
      <c r="V58">
        <f t="shared" si="3"/>
        <v>0</v>
      </c>
    </row>
    <row r="59" spans="1:22" x14ac:dyDescent="0.35">
      <c r="A59" t="s">
        <v>503</v>
      </c>
      <c r="B59" t="s">
        <v>504</v>
      </c>
      <c r="C59" t="s">
        <v>505</v>
      </c>
      <c r="D59" t="s">
        <v>506</v>
      </c>
      <c r="E59" t="s">
        <v>336</v>
      </c>
      <c r="F59" s="96">
        <v>45717</v>
      </c>
      <c r="G59" s="97">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98"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2"/>
        <v>0</v>
      </c>
      <c r="V59">
        <f t="shared" si="3"/>
        <v>0</v>
      </c>
    </row>
    <row r="60" spans="1:22" x14ac:dyDescent="0.35">
      <c r="A60" t="s">
        <v>507</v>
      </c>
      <c r="B60" t="s">
        <v>454</v>
      </c>
      <c r="C60" t="s">
        <v>455</v>
      </c>
      <c r="D60" t="s">
        <v>456</v>
      </c>
      <c r="E60" t="s">
        <v>343</v>
      </c>
      <c r="F60" s="96">
        <v>45748</v>
      </c>
      <c r="G60" s="97">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98"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2"/>
        <v>0</v>
      </c>
      <c r="V60">
        <f t="shared" si="3"/>
        <v>0</v>
      </c>
    </row>
    <row r="61" spans="1:22" x14ac:dyDescent="0.35">
      <c r="A61" t="s">
        <v>508</v>
      </c>
      <c r="B61" t="s">
        <v>509</v>
      </c>
      <c r="C61" t="s">
        <v>510</v>
      </c>
      <c r="D61" t="s">
        <v>511</v>
      </c>
      <c r="E61" t="s">
        <v>336</v>
      </c>
      <c r="F61" s="96">
        <v>45748</v>
      </c>
      <c r="G61" s="97">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98"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2"/>
        <v>0</v>
      </c>
      <c r="V61">
        <f t="shared" si="3"/>
        <v>0</v>
      </c>
    </row>
    <row r="62" spans="1:22" x14ac:dyDescent="0.35">
      <c r="A62" t="s">
        <v>512</v>
      </c>
      <c r="B62" t="s">
        <v>379</v>
      </c>
      <c r="C62" t="s">
        <v>380</v>
      </c>
      <c r="D62" t="s">
        <v>237</v>
      </c>
      <c r="E62" t="s">
        <v>336</v>
      </c>
      <c r="F62" s="96">
        <v>45748</v>
      </c>
      <c r="G62" s="97">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98"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2"/>
        <v>0</v>
      </c>
      <c r="V62">
        <f t="shared" si="3"/>
        <v>0</v>
      </c>
    </row>
    <row r="63" spans="1:22" x14ac:dyDescent="0.35">
      <c r="A63" t="s">
        <v>514</v>
      </c>
      <c r="B63" t="s">
        <v>515</v>
      </c>
      <c r="C63" t="s">
        <v>428</v>
      </c>
      <c r="D63" t="s">
        <v>429</v>
      </c>
      <c r="E63" t="s">
        <v>336</v>
      </c>
      <c r="F63" s="96">
        <v>45748</v>
      </c>
      <c r="G63" s="97">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98"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2"/>
        <v>0</v>
      </c>
      <c r="V63">
        <f t="shared" si="3"/>
        <v>0</v>
      </c>
    </row>
    <row r="64" spans="1:22" x14ac:dyDescent="0.35">
      <c r="A64" t="s">
        <v>516</v>
      </c>
      <c r="B64" t="s">
        <v>517</v>
      </c>
      <c r="C64" t="s">
        <v>518</v>
      </c>
      <c r="D64" t="s">
        <v>519</v>
      </c>
      <c r="E64" t="s">
        <v>343</v>
      </c>
      <c r="F64" s="96">
        <v>45748</v>
      </c>
      <c r="G64" s="97">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98"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2"/>
        <v>0</v>
      </c>
      <c r="V64">
        <f t="shared" si="3"/>
        <v>0</v>
      </c>
    </row>
    <row r="65" spans="1:22" x14ac:dyDescent="0.35">
      <c r="A65" t="s">
        <v>520</v>
      </c>
      <c r="B65" t="s">
        <v>350</v>
      </c>
      <c r="C65" t="s">
        <v>351</v>
      </c>
      <c r="D65" t="s">
        <v>243</v>
      </c>
      <c r="E65" t="s">
        <v>343</v>
      </c>
      <c r="F65" s="96">
        <v>45778</v>
      </c>
      <c r="G65" s="97">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98"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2"/>
        <v>0</v>
      </c>
      <c r="V65">
        <f t="shared" si="3"/>
        <v>0</v>
      </c>
    </row>
    <row r="66" spans="1:22" x14ac:dyDescent="0.35">
      <c r="A66" t="s">
        <v>522</v>
      </c>
      <c r="B66" t="s">
        <v>523</v>
      </c>
      <c r="C66" t="s">
        <v>524</v>
      </c>
      <c r="D66" t="s">
        <v>525</v>
      </c>
      <c r="E66" t="s">
        <v>377</v>
      </c>
      <c r="F66" s="96">
        <v>45778</v>
      </c>
      <c r="G66" s="97">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98"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ref="U66:U98" si="4">IF(H66&lt;&gt;"cancelled",0,IF(COUNTIFS($C$2:$C$102,$C66,$H$2:$H$102,"created",$F$2:$F$102,"&lt;="&amp;F66)-COUNTIFS($C$2:$C$102,$C66,$H$2:$H$102,"cancelled",$F$2:$F$102,"&lt;="&amp;F66)=0,1,0))</f>
        <v>0</v>
      </c>
      <c r="V66">
        <f t="shared" ref="V66:V98" si="5">IF(AND(H66="created",T66=0,COUNTIFS($C$2:$C$102,$C66,$H$2:$H$102,"cancelled",$F$2:$F$102,"&lt;"&amp;F66)&gt;0,COUNTIFS($C$2:$C$102,$C66,$H$2:$H$102,"created",$F$2:$F$102,"&lt;"&amp;F66)-COUNTIFS($C$2:$C$102,$C66,$H$2:$H$102,"cancelled",$F$2:$F$102,"&lt;"&amp;F66)=0),1,0)</f>
        <v>0</v>
      </c>
    </row>
    <row r="67" spans="1:22" x14ac:dyDescent="0.35">
      <c r="A67" t="s">
        <v>526</v>
      </c>
      <c r="B67" t="s">
        <v>527</v>
      </c>
      <c r="C67" t="s">
        <v>383</v>
      </c>
      <c r="D67" t="s">
        <v>233</v>
      </c>
      <c r="E67" t="s">
        <v>343</v>
      </c>
      <c r="F67" s="96">
        <v>45778</v>
      </c>
      <c r="G67" s="97">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98"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si="4"/>
        <v>0</v>
      </c>
      <c r="V67">
        <f t="shared" si="5"/>
        <v>1</v>
      </c>
    </row>
    <row r="68" spans="1:22" x14ac:dyDescent="0.35">
      <c r="A68" t="s">
        <v>529</v>
      </c>
      <c r="B68" t="s">
        <v>530</v>
      </c>
      <c r="C68" t="s">
        <v>442</v>
      </c>
      <c r="D68" t="s">
        <v>443</v>
      </c>
      <c r="E68" t="s">
        <v>336</v>
      </c>
      <c r="F68" s="96">
        <v>45778</v>
      </c>
      <c r="G68" s="97">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98"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4"/>
        <v>0</v>
      </c>
      <c r="V68">
        <f t="shared" si="5"/>
        <v>0</v>
      </c>
    </row>
    <row r="69" spans="1:22" x14ac:dyDescent="0.35">
      <c r="A69" t="s">
        <v>531</v>
      </c>
      <c r="B69" t="s">
        <v>234</v>
      </c>
      <c r="C69" t="s">
        <v>425</v>
      </c>
      <c r="D69" t="s">
        <v>235</v>
      </c>
      <c r="E69" t="s">
        <v>343</v>
      </c>
      <c r="F69" s="96">
        <v>45778</v>
      </c>
      <c r="G69" s="97">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98"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4"/>
        <v>0</v>
      </c>
      <c r="V69">
        <f t="shared" si="5"/>
        <v>0</v>
      </c>
    </row>
    <row r="70" spans="1:22" x14ac:dyDescent="0.35">
      <c r="A70" t="s">
        <v>533</v>
      </c>
      <c r="B70" t="s">
        <v>534</v>
      </c>
      <c r="C70" t="s">
        <v>535</v>
      </c>
      <c r="D70" t="s">
        <v>536</v>
      </c>
      <c r="E70" t="s">
        <v>336</v>
      </c>
      <c r="F70" s="96">
        <v>45778</v>
      </c>
      <c r="G70" s="97">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98"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4"/>
        <v>0</v>
      </c>
      <c r="V70">
        <f t="shared" si="5"/>
        <v>0</v>
      </c>
    </row>
    <row r="71" spans="1:22" x14ac:dyDescent="0.35">
      <c r="A71" t="s">
        <v>537</v>
      </c>
      <c r="B71" t="s">
        <v>409</v>
      </c>
      <c r="C71" t="s">
        <v>410</v>
      </c>
      <c r="D71" t="s">
        <v>411</v>
      </c>
      <c r="E71" t="s">
        <v>343</v>
      </c>
      <c r="F71" s="96">
        <v>45809</v>
      </c>
      <c r="G71" s="97">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98"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4"/>
        <v>0</v>
      </c>
      <c r="V71">
        <f t="shared" si="5"/>
        <v>0</v>
      </c>
    </row>
    <row r="72" spans="1:22" x14ac:dyDescent="0.35">
      <c r="A72" t="s">
        <v>539</v>
      </c>
      <c r="B72" t="s">
        <v>540</v>
      </c>
      <c r="C72" t="s">
        <v>455</v>
      </c>
      <c r="D72" t="s">
        <v>456</v>
      </c>
      <c r="E72" t="s">
        <v>343</v>
      </c>
      <c r="F72" s="96">
        <v>45809</v>
      </c>
      <c r="G72" s="97">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98"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4"/>
        <v>0</v>
      </c>
      <c r="V72">
        <f t="shared" si="5"/>
        <v>0</v>
      </c>
    </row>
    <row r="73" spans="1:22" x14ac:dyDescent="0.35">
      <c r="A73" t="s">
        <v>541</v>
      </c>
      <c r="B73" t="s">
        <v>542</v>
      </c>
      <c r="C73" t="s">
        <v>543</v>
      </c>
      <c r="D73" t="s">
        <v>544</v>
      </c>
      <c r="E73" t="s">
        <v>343</v>
      </c>
      <c r="F73" s="96">
        <v>45809</v>
      </c>
      <c r="G73" s="97">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98"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4"/>
        <v>0</v>
      </c>
      <c r="V73">
        <f t="shared" si="5"/>
        <v>0</v>
      </c>
    </row>
    <row r="74" spans="1:22" x14ac:dyDescent="0.35">
      <c r="A74" t="s">
        <v>545</v>
      </c>
      <c r="B74" t="s">
        <v>236</v>
      </c>
      <c r="C74" t="s">
        <v>380</v>
      </c>
      <c r="D74" t="s">
        <v>237</v>
      </c>
      <c r="E74" t="s">
        <v>336</v>
      </c>
      <c r="F74" s="96">
        <v>45809</v>
      </c>
      <c r="G74" s="97">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98"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4"/>
        <v>0</v>
      </c>
      <c r="V74">
        <f t="shared" si="5"/>
        <v>0</v>
      </c>
    </row>
    <row r="75" spans="1:22" x14ac:dyDescent="0.35">
      <c r="A75" t="s">
        <v>547</v>
      </c>
      <c r="B75" t="s">
        <v>450</v>
      </c>
      <c r="C75" t="s">
        <v>451</v>
      </c>
      <c r="D75" t="s">
        <v>452</v>
      </c>
      <c r="E75" t="s">
        <v>336</v>
      </c>
      <c r="F75" s="96">
        <v>45809</v>
      </c>
      <c r="G75" s="97">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98"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4"/>
        <v>0</v>
      </c>
      <c r="V75">
        <f t="shared" si="5"/>
        <v>0</v>
      </c>
    </row>
    <row r="76" spans="1:22" x14ac:dyDescent="0.35">
      <c r="A76" t="s">
        <v>550</v>
      </c>
      <c r="B76" t="s">
        <v>551</v>
      </c>
      <c r="C76" t="s">
        <v>552</v>
      </c>
      <c r="D76" t="s">
        <v>553</v>
      </c>
      <c r="E76" t="s">
        <v>336</v>
      </c>
      <c r="F76" s="96">
        <v>45809</v>
      </c>
      <c r="G76" s="97">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98"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4"/>
        <v>0</v>
      </c>
      <c r="V76">
        <f t="shared" si="5"/>
        <v>0</v>
      </c>
    </row>
    <row r="77" spans="1:22" x14ac:dyDescent="0.35">
      <c r="A77" t="s">
        <v>554</v>
      </c>
      <c r="B77" t="s">
        <v>238</v>
      </c>
      <c r="C77" t="s">
        <v>433</v>
      </c>
      <c r="D77" t="s">
        <v>239</v>
      </c>
      <c r="E77" t="s">
        <v>336</v>
      </c>
      <c r="F77" s="96">
        <v>45809</v>
      </c>
      <c r="G77" s="97">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98"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4"/>
        <v>1</v>
      </c>
      <c r="V77">
        <f t="shared" si="5"/>
        <v>0</v>
      </c>
    </row>
    <row r="78" spans="1:22" x14ac:dyDescent="0.35">
      <c r="A78" t="s">
        <v>555</v>
      </c>
      <c r="B78" t="s">
        <v>431</v>
      </c>
      <c r="C78" t="s">
        <v>364</v>
      </c>
      <c r="D78" t="s">
        <v>231</v>
      </c>
      <c r="E78" t="s">
        <v>336</v>
      </c>
      <c r="F78" s="96">
        <v>45839</v>
      </c>
      <c r="G78" s="97">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98"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4"/>
        <v>0</v>
      </c>
      <c r="V78">
        <f t="shared" si="5"/>
        <v>0</v>
      </c>
    </row>
    <row r="79" spans="1:22" x14ac:dyDescent="0.35">
      <c r="A79" t="s">
        <v>556</v>
      </c>
      <c r="B79" t="s">
        <v>240</v>
      </c>
      <c r="C79" t="s">
        <v>416</v>
      </c>
      <c r="D79" t="s">
        <v>241</v>
      </c>
      <c r="E79" t="s">
        <v>377</v>
      </c>
      <c r="F79" s="96">
        <v>45839</v>
      </c>
      <c r="G79" s="97">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98"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4"/>
        <v>0</v>
      </c>
      <c r="V79">
        <f t="shared" si="5"/>
        <v>0</v>
      </c>
    </row>
    <row r="80" spans="1:22" x14ac:dyDescent="0.35">
      <c r="A80" t="s">
        <v>558</v>
      </c>
      <c r="B80" t="s">
        <v>374</v>
      </c>
      <c r="C80" t="s">
        <v>375</v>
      </c>
      <c r="D80" t="s">
        <v>376</v>
      </c>
      <c r="E80" t="s">
        <v>377</v>
      </c>
      <c r="F80" s="96">
        <v>45839</v>
      </c>
      <c r="G80" s="97">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98"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4"/>
        <v>0</v>
      </c>
      <c r="V80">
        <f t="shared" si="5"/>
        <v>0</v>
      </c>
    </row>
    <row r="81" spans="1:22" x14ac:dyDescent="0.35">
      <c r="A81" t="s">
        <v>560</v>
      </c>
      <c r="B81" t="s">
        <v>471</v>
      </c>
      <c r="C81" t="s">
        <v>472</v>
      </c>
      <c r="D81" t="s">
        <v>473</v>
      </c>
      <c r="E81" t="s">
        <v>336</v>
      </c>
      <c r="F81" s="96">
        <v>45870</v>
      </c>
      <c r="G81" s="97">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98"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4"/>
        <v>0</v>
      </c>
      <c r="V81">
        <f t="shared" si="5"/>
        <v>0</v>
      </c>
    </row>
    <row r="82" spans="1:22" x14ac:dyDescent="0.35">
      <c r="A82" t="s">
        <v>562</v>
      </c>
      <c r="B82" t="s">
        <v>497</v>
      </c>
      <c r="C82" t="s">
        <v>498</v>
      </c>
      <c r="D82" t="s">
        <v>499</v>
      </c>
      <c r="E82" t="s">
        <v>343</v>
      </c>
      <c r="F82" s="96">
        <v>45870</v>
      </c>
      <c r="G82" s="97">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98"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4"/>
        <v>0</v>
      </c>
      <c r="V82">
        <f t="shared" si="5"/>
        <v>0</v>
      </c>
    </row>
    <row r="83" spans="1:22" x14ac:dyDescent="0.35">
      <c r="A83" t="s">
        <v>564</v>
      </c>
      <c r="B83" t="s">
        <v>399</v>
      </c>
      <c r="C83" t="s">
        <v>400</v>
      </c>
      <c r="D83" t="s">
        <v>401</v>
      </c>
      <c r="E83" t="s">
        <v>336</v>
      </c>
      <c r="F83" s="96">
        <v>45870</v>
      </c>
      <c r="G83" s="97">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98"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4"/>
        <v>0</v>
      </c>
      <c r="V83">
        <f t="shared" si="5"/>
        <v>0</v>
      </c>
    </row>
    <row r="84" spans="1:22" x14ac:dyDescent="0.35">
      <c r="A84" t="s">
        <v>566</v>
      </c>
      <c r="B84" t="s">
        <v>427</v>
      </c>
      <c r="C84" t="s">
        <v>428</v>
      </c>
      <c r="D84" t="s">
        <v>429</v>
      </c>
      <c r="E84" t="s">
        <v>336</v>
      </c>
      <c r="F84" s="96">
        <v>45870</v>
      </c>
      <c r="G84" s="97">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98"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4"/>
        <v>0</v>
      </c>
      <c r="V84">
        <f t="shared" si="5"/>
        <v>0</v>
      </c>
    </row>
    <row r="85" spans="1:22" x14ac:dyDescent="0.35">
      <c r="A85" t="s">
        <v>568</v>
      </c>
      <c r="B85" t="s">
        <v>242</v>
      </c>
      <c r="C85" t="s">
        <v>351</v>
      </c>
      <c r="D85" t="s">
        <v>243</v>
      </c>
      <c r="E85" t="s">
        <v>343</v>
      </c>
      <c r="F85" s="96">
        <v>45870</v>
      </c>
      <c r="G85" s="97">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98"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4"/>
        <v>0</v>
      </c>
      <c r="V85">
        <f t="shared" si="5"/>
        <v>0</v>
      </c>
    </row>
    <row r="86" spans="1:22" x14ac:dyDescent="0.35">
      <c r="A86" t="s">
        <v>569</v>
      </c>
      <c r="B86" t="s">
        <v>479</v>
      </c>
      <c r="C86" t="s">
        <v>480</v>
      </c>
      <c r="D86" t="s">
        <v>481</v>
      </c>
      <c r="E86" t="s">
        <v>343</v>
      </c>
      <c r="F86" s="96">
        <v>45901</v>
      </c>
      <c r="G86" s="97">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98"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4"/>
        <v>0</v>
      </c>
      <c r="V86">
        <f t="shared" si="5"/>
        <v>0</v>
      </c>
    </row>
    <row r="87" spans="1:22" x14ac:dyDescent="0.35">
      <c r="A87" t="s">
        <v>571</v>
      </c>
      <c r="B87" t="s">
        <v>540</v>
      </c>
      <c r="C87" t="s">
        <v>455</v>
      </c>
      <c r="D87" t="s">
        <v>456</v>
      </c>
      <c r="E87" t="s">
        <v>343</v>
      </c>
      <c r="F87" s="96">
        <v>45901</v>
      </c>
      <c r="G87" s="97">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98"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4"/>
        <v>0</v>
      </c>
      <c r="V87">
        <f t="shared" si="5"/>
        <v>0</v>
      </c>
    </row>
    <row r="88" spans="1:22" x14ac:dyDescent="0.35">
      <c r="A88" t="s">
        <v>573</v>
      </c>
      <c r="B88" t="s">
        <v>504</v>
      </c>
      <c r="C88" t="s">
        <v>505</v>
      </c>
      <c r="D88" t="s">
        <v>506</v>
      </c>
      <c r="E88" t="s">
        <v>336</v>
      </c>
      <c r="F88" s="96">
        <v>45901</v>
      </c>
      <c r="G88" s="97">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98"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4"/>
        <v>0</v>
      </c>
      <c r="V88">
        <f t="shared" si="5"/>
        <v>0</v>
      </c>
    </row>
    <row r="89" spans="1:22" x14ac:dyDescent="0.35">
      <c r="A89" t="s">
        <v>575</v>
      </c>
      <c r="B89" t="s">
        <v>437</v>
      </c>
      <c r="C89" t="s">
        <v>438</v>
      </c>
      <c r="D89" t="s">
        <v>439</v>
      </c>
      <c r="E89" t="s">
        <v>343</v>
      </c>
      <c r="F89" s="96">
        <v>45931</v>
      </c>
      <c r="G89" s="97">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98"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4"/>
        <v>0</v>
      </c>
      <c r="V89">
        <f t="shared" si="5"/>
        <v>0</v>
      </c>
    </row>
    <row r="90" spans="1:22" x14ac:dyDescent="0.35">
      <c r="A90" t="s">
        <v>577</v>
      </c>
      <c r="B90" t="s">
        <v>578</v>
      </c>
      <c r="C90" t="s">
        <v>433</v>
      </c>
      <c r="D90" t="s">
        <v>239</v>
      </c>
      <c r="E90" t="s">
        <v>336</v>
      </c>
      <c r="F90" s="96">
        <v>45931</v>
      </c>
      <c r="G90" s="97">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98"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4"/>
        <v>0</v>
      </c>
      <c r="V90">
        <f t="shared" si="5"/>
        <v>1</v>
      </c>
    </row>
    <row r="91" spans="1:22" x14ac:dyDescent="0.35">
      <c r="A91" t="s">
        <v>579</v>
      </c>
      <c r="B91" t="s">
        <v>523</v>
      </c>
      <c r="C91" t="s">
        <v>524</v>
      </c>
      <c r="D91" t="s">
        <v>525</v>
      </c>
      <c r="E91" t="s">
        <v>377</v>
      </c>
      <c r="F91" s="96">
        <v>45931</v>
      </c>
      <c r="G91" s="97">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98"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4"/>
        <v>0</v>
      </c>
      <c r="V91">
        <f t="shared" si="5"/>
        <v>0</v>
      </c>
    </row>
    <row r="92" spans="1:22" x14ac:dyDescent="0.35">
      <c r="A92" t="s">
        <v>581</v>
      </c>
      <c r="B92" t="s">
        <v>244</v>
      </c>
      <c r="C92" t="s">
        <v>391</v>
      </c>
      <c r="D92" t="s">
        <v>245</v>
      </c>
      <c r="E92" t="s">
        <v>343</v>
      </c>
      <c r="F92" s="96">
        <v>45962</v>
      </c>
      <c r="G92" s="97">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98"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4"/>
        <v>0</v>
      </c>
      <c r="V92">
        <f t="shared" si="5"/>
        <v>0</v>
      </c>
    </row>
    <row r="93" spans="1:22" x14ac:dyDescent="0.35">
      <c r="A93" t="s">
        <v>583</v>
      </c>
      <c r="B93" t="s">
        <v>551</v>
      </c>
      <c r="C93" t="s">
        <v>552</v>
      </c>
      <c r="D93" t="s">
        <v>553</v>
      </c>
      <c r="E93" t="s">
        <v>336</v>
      </c>
      <c r="F93" s="96">
        <v>45962</v>
      </c>
      <c r="G93" s="97">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98"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4"/>
        <v>0</v>
      </c>
      <c r="V93">
        <f t="shared" si="5"/>
        <v>0</v>
      </c>
    </row>
    <row r="94" spans="1:22" x14ac:dyDescent="0.35">
      <c r="A94" t="s">
        <v>585</v>
      </c>
      <c r="B94" t="s">
        <v>515</v>
      </c>
      <c r="C94" t="s">
        <v>428</v>
      </c>
      <c r="D94" t="s">
        <v>429</v>
      </c>
      <c r="E94" t="s">
        <v>336</v>
      </c>
      <c r="F94" s="96">
        <v>45992</v>
      </c>
      <c r="G94" s="97">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98"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4"/>
        <v>0</v>
      </c>
      <c r="V94">
        <f t="shared" si="5"/>
        <v>0</v>
      </c>
    </row>
    <row r="95" spans="1:22" x14ac:dyDescent="0.35">
      <c r="A95" t="s">
        <v>587</v>
      </c>
      <c r="B95" t="s">
        <v>246</v>
      </c>
      <c r="C95" t="s">
        <v>361</v>
      </c>
      <c r="D95" t="s">
        <v>247</v>
      </c>
      <c r="E95" t="s">
        <v>336</v>
      </c>
      <c r="F95" s="96">
        <v>45992</v>
      </c>
      <c r="G95" s="97">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98"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4"/>
        <v>0</v>
      </c>
      <c r="V95">
        <f t="shared" si="5"/>
        <v>0</v>
      </c>
    </row>
    <row r="96" spans="1:22" x14ac:dyDescent="0.35">
      <c r="A96" t="s">
        <v>589</v>
      </c>
      <c r="B96" t="s">
        <v>244</v>
      </c>
      <c r="C96" t="s">
        <v>391</v>
      </c>
      <c r="D96" t="s">
        <v>245</v>
      </c>
      <c r="E96" t="s">
        <v>343</v>
      </c>
      <c r="F96" s="96">
        <v>45992</v>
      </c>
      <c r="G96" s="97">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98"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4"/>
        <v>0</v>
      </c>
      <c r="V96">
        <f t="shared" si="5"/>
        <v>0</v>
      </c>
    </row>
    <row r="97" spans="1:22" x14ac:dyDescent="0.35">
      <c r="A97" t="s">
        <v>590</v>
      </c>
      <c r="B97" t="s">
        <v>591</v>
      </c>
      <c r="C97" t="s">
        <v>592</v>
      </c>
      <c r="D97" t="s">
        <v>593</v>
      </c>
      <c r="E97" t="s">
        <v>343</v>
      </c>
      <c r="F97" s="96">
        <v>46023</v>
      </c>
      <c r="G97" s="97">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98"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4"/>
        <v>0</v>
      </c>
      <c r="V97">
        <f t="shared" si="5"/>
        <v>0</v>
      </c>
    </row>
    <row r="98" spans="1:22" x14ac:dyDescent="0.35">
      <c r="A98" t="s">
        <v>594</v>
      </c>
      <c r="B98" t="s">
        <v>246</v>
      </c>
      <c r="C98" t="s">
        <v>361</v>
      </c>
      <c r="D98" t="s">
        <v>247</v>
      </c>
      <c r="E98" t="s">
        <v>336</v>
      </c>
      <c r="F98" s="96">
        <v>46054</v>
      </c>
      <c r="G98" s="97">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98"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4"/>
        <v>0</v>
      </c>
      <c r="V98">
        <f t="shared" si="5"/>
        <v>0</v>
      </c>
    </row>
    <row r="99" spans="1:22" x14ac:dyDescent="0.35">
      <c r="A99" t="s">
        <v>679</v>
      </c>
      <c r="B99" t="s">
        <v>680</v>
      </c>
      <c r="C99" t="s">
        <v>681</v>
      </c>
      <c r="D99" t="s">
        <v>689</v>
      </c>
      <c r="E99" t="s">
        <v>377</v>
      </c>
      <c r="F99" s="96">
        <v>46054</v>
      </c>
      <c r="G99" s="97">
        <v>46063</v>
      </c>
      <c r="H99" t="s">
        <v>337</v>
      </c>
      <c r="M99" t="s">
        <v>206</v>
      </c>
      <c r="N99" t="s">
        <v>338</v>
      </c>
      <c r="O99">
        <v>28</v>
      </c>
      <c r="P99">
        <v>110</v>
      </c>
      <c r="Q99">
        <v>0</v>
      </c>
      <c r="R99" t="str" cm="1">
        <f t="array" ref="R99">_xlfn.IFS(H99="created",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98" cm="1">
        <f t="array" ref="S99">IF(N99="Monthly",_xlfn.IFS(H99="created",O99*P99*(1-Q99/100),H99="cancelled",-(O99*P99*(1-Q99/100)),H99="seats_change",(J99-I99)*P99*(1-Q99/100),H99="price_change",(J99-I99)*O99*(1-Q99/100),H99="discount_added",-(O99*P99*(J99-I99)/100),H99="plan_upgrade",O99*(_xlfn.XLOOKUP(J99,$M:$M,$P:$P)-_xlfn.XLOOKUP(I99,$M:$M,$P:$P))*(1-Q99/100),H99="plan_downgrade",O99*(_xlfn.XLOOKUP(J99,$M:$M,$P:$P)-_xlfn.XLOOKUP(I99,$M:$M,$P:$P))*(1-Q99/100)),_xlfn.IFS(H99="created",O99*P99*(1-Q99/100)/12,H99="cancelled",-(O99*P99*(1-Q99/100))/12,H99="seats_change",(J99-I99)*P99*(1-Q99/100)/12,H99="price_change",(J99-I99)*O99*(1-Q99/100)/12,H99="plan_upgrade",(O99*(_xlfn.XLOOKUP(J99,$M:$M,$P:$P)-_xlfn.XLOOKUP(I99,$M:$M,$P:$P))*(1-Q99/100))/12,H99="plan_downgrade",(O99*(_xlfn.XLOOKUP(J99,$M:$M,$P:$P)-_xlfn.XLOOKUP(I99,$M:$M,$P:$P))*(1-Q99/100))/12,H99="discount_added",-(O99*P99*(J99-I99)/100)/12))</f>
        <v>3080</v>
      </c>
      <c r="T99">
        <f>IF(H99&lt;&gt;"created",0,IF(COUNTIFS($C$1:C98,$C99,$H$1:H98,"created")=0,1,0))</f>
        <v>1</v>
      </c>
      <c r="U99">
        <f t="shared" ref="U99:U102" si="6">IF(H99&lt;&gt;"cancelled",0,IF(COUNTIFS($C$2:$C$102,$C99,$H$2:$H$102,"created",$F$2:$F$102,"&lt;="&amp;F99)-COUNTIFS($C$2:$C$102,$C99,$H$2:$H$102,"cancelled",$F$2:$F$102,"&lt;="&amp;F99)=0,1,0))</f>
        <v>0</v>
      </c>
      <c r="V99">
        <f t="shared" ref="V99:V102" si="7">IF(AND(H99="created",T99=0,COUNTIFS($C$2:$C$102,$C99,$H$2:$H$102,"cancelled",$F$2:$F$102,"&lt;"&amp;F99)&gt;0,COUNTIFS($C$2:$C$102,$C99,$H$2:$H$102,"created",$F$2:$F$102,"&lt;"&amp;F99)-COUNTIFS($C$2:$C$102,$C99,$H$2:$H$102,"cancelled",$F$2:$F$102,"&lt;"&amp;F99)=0),1,0)</f>
        <v>0</v>
      </c>
    </row>
    <row r="100" spans="1:22" x14ac:dyDescent="0.35">
      <c r="A100" t="s">
        <v>682</v>
      </c>
      <c r="B100" t="s">
        <v>683</v>
      </c>
      <c r="C100" t="s">
        <v>684</v>
      </c>
      <c r="D100" t="s">
        <v>690</v>
      </c>
      <c r="E100" t="s">
        <v>343</v>
      </c>
      <c r="F100" s="96">
        <v>46054</v>
      </c>
      <c r="G100" s="97">
        <v>46073</v>
      </c>
      <c r="H100" t="s">
        <v>337</v>
      </c>
      <c r="M100" t="s">
        <v>203</v>
      </c>
      <c r="N100" t="s">
        <v>338</v>
      </c>
      <c r="O100">
        <v>32</v>
      </c>
      <c r="P100">
        <v>95</v>
      </c>
      <c r="Q100">
        <v>0</v>
      </c>
      <c r="R100" t="str" cm="1">
        <f t="array" ref="R100">_xlfn.IFS(H100="created",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98" cm="1">
        <f t="array" ref="S100">IF(N100="Monthly",_xlfn.IFS(H100="created",O100*P100*(1-Q100/100),H100="cancelled",-(O100*P100*(1-Q100/100)),H100="seats_change",(J100-I100)*P100*(1-Q100/100),H100="price_change",(J100-I100)*O100*(1-Q100/100),H100="discount_added",-(O100*P100*(J100-I100)/100),H100="plan_upgrade",O100*(_xlfn.XLOOKUP(J100,$M:$M,$P:$P)-_xlfn.XLOOKUP(I100,$M:$M,$P:$P))*(1-Q100/100),H100="plan_downgrade",O100*(_xlfn.XLOOKUP(J100,$M:$M,$P:$P)-_xlfn.XLOOKUP(I100,$M:$M,$P:$P))*(1-Q100/100)),_xlfn.IFS(H100="created",O100*P100*(1-Q100/100)/12,H100="cancelled",-(O100*P100*(1-Q100/100))/12,H100="seats_change",(J100-I100)*P100*(1-Q100/100)/12,H100="price_change",(J100-I100)*O100*(1-Q100/100)/12,H100="plan_upgrade",(O100*(_xlfn.XLOOKUP(J100,$M:$M,$P:$P)-_xlfn.XLOOKUP(I100,$M:$M,$P:$P))*(1-Q100/100))/12,H100="plan_downgrade",(O100*(_xlfn.XLOOKUP(J100,$M:$M,$P:$P)-_xlfn.XLOOKUP(I100,$M:$M,$P:$P))*(1-Q100/100))/12,H100="discount_added",-(O100*P100*(J100-I100)/100)/12))</f>
        <v>3040</v>
      </c>
      <c r="T100">
        <f>IF(H100&lt;&gt;"created",0,IF(COUNTIFS($C$1:C99,$C100,$H$1:H99,"created")=0,1,0))</f>
        <v>1</v>
      </c>
      <c r="U100">
        <f t="shared" si="6"/>
        <v>0</v>
      </c>
      <c r="V100">
        <f t="shared" si="7"/>
        <v>0</v>
      </c>
    </row>
    <row r="101" spans="1:22" x14ac:dyDescent="0.35">
      <c r="A101" t="s">
        <v>685</v>
      </c>
      <c r="B101" t="s">
        <v>686</v>
      </c>
      <c r="C101" t="s">
        <v>687</v>
      </c>
      <c r="D101" t="s">
        <v>691</v>
      </c>
      <c r="E101" t="s">
        <v>336</v>
      </c>
      <c r="F101" s="96">
        <v>46082</v>
      </c>
      <c r="G101" s="97">
        <v>46089</v>
      </c>
      <c r="H101" t="s">
        <v>337</v>
      </c>
      <c r="M101" t="s">
        <v>207</v>
      </c>
      <c r="N101" t="s">
        <v>338</v>
      </c>
      <c r="O101">
        <v>20</v>
      </c>
      <c r="P101">
        <v>150</v>
      </c>
      <c r="Q101">
        <v>0</v>
      </c>
      <c r="R101" t="str" cm="1">
        <f t="array" ref="R101">_xlfn.IFS(H101="created",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98" cm="1">
        <f t="array" ref="S101">IF(N101="Monthly",_xlfn.IFS(H101="created",O101*P101*(1-Q101/100),H101="cancelled",-(O101*P101*(1-Q101/100)),H101="seats_change",(J101-I101)*P101*(1-Q101/100),H101="price_change",(J101-I101)*O101*(1-Q101/100),H101="discount_added",-(O101*P101*(J101-I101)/100),H101="plan_upgrade",O101*(_xlfn.XLOOKUP(J101,$M:$M,$P:$P)-_xlfn.XLOOKUP(I101,$M:$M,$P:$P))*(1-Q101/100),H101="plan_downgrade",O101*(_xlfn.XLOOKUP(J101,$M:$M,$P:$P)-_xlfn.XLOOKUP(I101,$M:$M,$P:$P))*(1-Q101/100)),_xlfn.IFS(H101="created",O101*P101*(1-Q101/100)/12,H101="cancelled",-(O101*P101*(1-Q101/100))/12,H101="seats_change",(J101-I101)*P101*(1-Q101/100)/12,H101="price_change",(J101-I101)*O101*(1-Q101/100)/12,H101="plan_upgrade",(O101*(_xlfn.XLOOKUP(J101,$M:$M,$P:$P)-_xlfn.XLOOKUP(I101,$M:$M,$P:$P))*(1-Q101/100))/12,H101="plan_downgrade",(O101*(_xlfn.XLOOKUP(J101,$M:$M,$P:$P)-_xlfn.XLOOKUP(I101,$M:$M,$P:$P))*(1-Q101/100))/12,H101="discount_added",-(O101*P101*(J101-I101)/100)/12))</f>
        <v>3000</v>
      </c>
      <c r="T101">
        <f>IF(H101&lt;&gt;"created",0,IF(COUNTIFS($C$1:C100,$C101,$H$1:H100,"created")=0,1,0))</f>
        <v>1</v>
      </c>
      <c r="U101">
        <f t="shared" si="6"/>
        <v>0</v>
      </c>
      <c r="V101">
        <f t="shared" si="7"/>
        <v>0</v>
      </c>
    </row>
    <row r="102" spans="1:22" x14ac:dyDescent="0.35">
      <c r="A102" t="s">
        <v>688</v>
      </c>
      <c r="B102" t="s">
        <v>379</v>
      </c>
      <c r="C102" t="s">
        <v>380</v>
      </c>
      <c r="D102" t="s">
        <v>237</v>
      </c>
      <c r="E102" t="s">
        <v>336</v>
      </c>
      <c r="F102" s="96">
        <v>46082</v>
      </c>
      <c r="G102" s="97">
        <v>46096</v>
      </c>
      <c r="H102" t="s">
        <v>501</v>
      </c>
      <c r="I102">
        <v>23</v>
      </c>
      <c r="J102">
        <v>27</v>
      </c>
      <c r="K102" t="s">
        <v>326</v>
      </c>
      <c r="L102" t="s">
        <v>692</v>
      </c>
      <c r="M102" t="s">
        <v>203</v>
      </c>
      <c r="N102" t="s">
        <v>338</v>
      </c>
      <c r="O102">
        <v>27</v>
      </c>
      <c r="P102">
        <v>95</v>
      </c>
      <c r="Q102">
        <v>0</v>
      </c>
      <c r="R102" t="str" cm="1">
        <f t="array" ref="R102">_xlfn.IFS(H102="created",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98" cm="1">
        <f t="array" ref="S102">IF(N102="Monthly",_xlfn.IFS(H102="created",O102*P102*(1-Q102/100),H102="cancelled",-(O102*P102*(1-Q102/100)),H102="seats_change",(J102-I102)*P102*(1-Q102/100),H102="price_change",(J102-I102)*O102*(1-Q102/100),H102="discount_added",-(O102*P102*(J102-I102)/100),H102="plan_upgrade",O102*(_xlfn.XLOOKUP(J102,$M:$M,$P:$P)-_xlfn.XLOOKUP(I102,$M:$M,$P:$P))*(1-Q102/100),H102="plan_downgrade",O102*(_xlfn.XLOOKUP(J102,$M:$M,$P:$P)-_xlfn.XLOOKUP(I102,$M:$M,$P:$P))*(1-Q102/100)),_xlfn.IFS(H102="created",O102*P102*(1-Q102/100)/12,H102="cancelled",-(O102*P102*(1-Q102/100))/12,H102="seats_change",(J102-I102)*P102*(1-Q102/100)/12,H102="price_change",(J102-I102)*O102*(1-Q102/100)/12,H102="plan_upgrade",(O102*(_xlfn.XLOOKUP(J102,$M:$M,$P:$P)-_xlfn.XLOOKUP(I102,$M:$M,$P:$P))*(1-Q102/100))/12,H102="plan_downgrade",(O102*(_xlfn.XLOOKUP(J102,$M:$M,$P:$P)-_xlfn.XLOOKUP(I102,$M:$M,$P:$P))*(1-Q102/100))/12,H102="discount_added",-(O102*P102*(J102-I102)/100)/12))</f>
        <v>380</v>
      </c>
      <c r="T102">
        <f>IF(H102&lt;&gt;"created",0,IF(COUNTIFS($C$1:C101,$C102,$H$1:H101,"created")=0,1,0))</f>
        <v>0</v>
      </c>
      <c r="U102">
        <f t="shared" si="6"/>
        <v>0</v>
      </c>
      <c r="V102">
        <f t="shared" si="7"/>
        <v>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3"/>
  <sheetViews>
    <sheetView workbookViewId="0">
      <pane ySplit="1" topLeftCell="A2" activePane="bottomLeft" state="frozen"/>
      <selection pane="bottomLeft" activeCell="F31" sqref="F31"/>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SUMIFS(Engine!$S$2:$S$102, Engine!$R$2:$R$102, "New", Engine!$F$2:$F$102, Waterfall!A3)</f>
        <v>5800</v>
      </c>
      <c r="D3" s="39">
        <f>SUMIFS(Engine!$S$2:$S$102, Engine!$R$2:$R$102, "Expansion", Engine!$F$2:$F$102, Waterfall!A3)</f>
        <v>0</v>
      </c>
      <c r="E3" s="38">
        <f>SUMIFS(Engine!$S$2:$S$102, Engine!$R$2:$R$102, "Contraction", Engine!$F$2:$F$102, Waterfall!A3)</f>
        <v>0</v>
      </c>
      <c r="F3" s="38">
        <f>SUMIFS(Engine!$S$2:$S$102, Engine!$R$2:$R$102, "Churned", Engine!$F$2:$F$102, Waterfall!A3)</f>
        <v>0</v>
      </c>
      <c r="G3" s="38">
        <f>C3+D3+E3+F3</f>
        <v>5800</v>
      </c>
      <c r="H3" s="38">
        <f>B3+G3</f>
        <v>5800</v>
      </c>
    </row>
    <row r="4" spans="1:8" x14ac:dyDescent="0.35">
      <c r="A4" s="37">
        <v>45323</v>
      </c>
      <c r="B4" s="38">
        <f>H3</f>
        <v>5800</v>
      </c>
      <c r="C4" s="39">
        <f>SUMIFS(Engine!$S$2:$S$102, Engine!$R$2:$R$102, "New", Engine!$F$2:$F$102, Waterfall!A4)</f>
        <v>8615</v>
      </c>
      <c r="D4" s="39">
        <f>SUMIFS(Engine!$S$2:$S$102, Engine!$R$2:$R$102, "Expansion", Engine!$F$2:$F$102, Waterfall!A4)</f>
        <v>0</v>
      </c>
      <c r="E4" s="38">
        <f>SUMIFS(Engine!$S$2:$S$102, Engine!$R$2:$R$102, "Contraction", Engine!$F$2:$F$102, Waterfall!A4)</f>
        <v>0</v>
      </c>
      <c r="F4" s="38">
        <f>SUMIFS(Engine!$S$2:$S$102, Engine!$R$2:$R$102, "Churned", Engine!$F$2:$F$102, Waterfall!A4)</f>
        <v>0</v>
      </c>
      <c r="G4" s="38">
        <f t="shared" ref="G4:G29" si="0">C4+D4+E4+F4</f>
        <v>8615</v>
      </c>
      <c r="H4" s="38">
        <f t="shared" ref="H4:H28" si="1">B4+G4</f>
        <v>14415</v>
      </c>
    </row>
    <row r="5" spans="1:8" x14ac:dyDescent="0.35">
      <c r="A5" s="37">
        <v>45352</v>
      </c>
      <c r="B5" s="38">
        <f t="shared" ref="B5:B27" si="2">H4</f>
        <v>14415</v>
      </c>
      <c r="C5" s="39">
        <f>SUMIFS(Engine!$S$2:$S$102, Engine!$R$2:$R$102, "New", Engine!$F$2:$F$102, Waterfall!A5)</f>
        <v>6075</v>
      </c>
      <c r="D5" s="39">
        <f>SUMIFS(Engine!$S$2:$S$102, Engine!$R$2:$R$102, "Expansion", Engine!$F$2:$F$102, Waterfall!A5)</f>
        <v>0</v>
      </c>
      <c r="E5" s="38">
        <f>SUMIFS(Engine!$S$2:$S$102, Engine!$R$2:$R$102, "Contraction", Engine!$F$2:$F$102, Waterfall!A5)</f>
        <v>0</v>
      </c>
      <c r="F5" s="38">
        <f>SUMIFS(Engine!$S$2:$S$102, Engine!$R$2:$R$102, "Churned", Engine!$F$2:$F$102, Waterfall!A5)</f>
        <v>0</v>
      </c>
      <c r="G5" s="38">
        <f t="shared" si="0"/>
        <v>6075</v>
      </c>
      <c r="H5" s="38">
        <f t="shared" si="1"/>
        <v>20490</v>
      </c>
    </row>
    <row r="6" spans="1:8" x14ac:dyDescent="0.35">
      <c r="A6" s="37">
        <v>45383</v>
      </c>
      <c r="B6" s="38">
        <f t="shared" si="2"/>
        <v>20490</v>
      </c>
      <c r="C6" s="39">
        <f>SUMIFS(Engine!$S$2:$S$102, Engine!$R$2:$R$102, "New", Engine!$F$2:$F$102, Waterfall!A6)</f>
        <v>9444</v>
      </c>
      <c r="D6" s="39">
        <f>SUMIFS(Engine!$S$2:$S$102, Engine!$R$2:$R$102, "Expansion", Engine!$F$2:$F$102, Waterfall!A6)</f>
        <v>0</v>
      </c>
      <c r="E6" s="38">
        <f>SUMIFS(Engine!$S$2:$S$102, Engine!$R$2:$R$102, "Contraction", Engine!$F$2:$F$102, Waterfall!A6)</f>
        <v>0</v>
      </c>
      <c r="F6" s="38">
        <f>SUMIFS(Engine!$S$2:$S$102, Engine!$R$2:$R$102, "Churned", Engine!$F$2:$F$102, Waterfall!A6)</f>
        <v>0</v>
      </c>
      <c r="G6" s="38">
        <f t="shared" si="0"/>
        <v>9444</v>
      </c>
      <c r="H6" s="38">
        <f t="shared" si="1"/>
        <v>29934</v>
      </c>
    </row>
    <row r="7" spans="1:8" x14ac:dyDescent="0.35">
      <c r="A7" s="37">
        <v>45413</v>
      </c>
      <c r="B7" s="38">
        <f t="shared" si="2"/>
        <v>29934</v>
      </c>
      <c r="C7" s="39">
        <f>SUMIFS(Engine!$S$2:$S$102, Engine!$R$2:$R$102, "New", Engine!$F$2:$F$102, Waterfall!A7)</f>
        <v>2565</v>
      </c>
      <c r="D7" s="39">
        <f>SUMIFS(Engine!$S$2:$S$102, Engine!$R$2:$R$102, "Expansion", Engine!$F$2:$F$102, Waterfall!A7)</f>
        <v>0</v>
      </c>
      <c r="E7" s="38">
        <f>SUMIFS(Engine!$S$2:$S$102, Engine!$R$2:$R$102, "Contraction", Engine!$F$2:$F$102, Waterfall!A7)</f>
        <v>0</v>
      </c>
      <c r="F7" s="38">
        <f>SUMIFS(Engine!$S$2:$S$102, Engine!$R$2:$R$102, "Churned", Engine!$F$2:$F$102, Waterfall!A7)</f>
        <v>0</v>
      </c>
      <c r="G7" s="38">
        <f t="shared" si="0"/>
        <v>2565</v>
      </c>
      <c r="H7" s="38">
        <f t="shared" si="1"/>
        <v>32499</v>
      </c>
    </row>
    <row r="8" spans="1:8" x14ac:dyDescent="0.35">
      <c r="A8" s="37">
        <v>45444</v>
      </c>
      <c r="B8" s="38">
        <f t="shared" si="2"/>
        <v>32499</v>
      </c>
      <c r="C8" s="39">
        <f>SUMIFS(Engine!$S$2:$S$102, Engine!$R$2:$R$102, "New", Engine!$F$2:$F$102, Waterfall!A8)</f>
        <v>3490</v>
      </c>
      <c r="D8" s="39">
        <f>SUMIFS(Engine!$S$2:$S$102, Engine!$R$2:$R$102, "Expansion", Engine!$F$2:$F$102, Waterfall!A8)</f>
        <v>0</v>
      </c>
      <c r="E8" s="38">
        <f>SUMIFS(Engine!$S$2:$S$102, Engine!$R$2:$R$102, "Contraction", Engine!$F$2:$F$102, Waterfall!A8)</f>
        <v>0</v>
      </c>
      <c r="F8" s="38">
        <f>SUMIFS(Engine!$S$2:$S$102, Engine!$R$2:$R$102, "Churned", Engine!$F$2:$F$102, Waterfall!A8)</f>
        <v>0</v>
      </c>
      <c r="G8" s="38">
        <f t="shared" si="0"/>
        <v>3490</v>
      </c>
      <c r="H8" s="38">
        <f t="shared" si="1"/>
        <v>35989</v>
      </c>
    </row>
    <row r="9" spans="1:8" x14ac:dyDescent="0.35">
      <c r="A9" s="37">
        <v>45474</v>
      </c>
      <c r="B9" s="38">
        <f t="shared" si="2"/>
        <v>35989</v>
      </c>
      <c r="C9" s="39">
        <f>SUMIFS(Engine!$S$2:$S$102, Engine!$R$2:$R$102, "New", Engine!$F$2:$F$102, Waterfall!A9)</f>
        <v>9364.5</v>
      </c>
      <c r="D9" s="39">
        <f>SUMIFS(Engine!$S$2:$S$102, Engine!$R$2:$R$102, "Expansion", Engine!$F$2:$F$102, Waterfall!A9)</f>
        <v>0</v>
      </c>
      <c r="E9" s="38">
        <f>SUMIFS(Engine!$S$2:$S$102, Engine!$R$2:$R$102, "Contraction", Engine!$F$2:$F$102, Waterfall!A9)</f>
        <v>0</v>
      </c>
      <c r="F9" s="38">
        <f>SUMIFS(Engine!$S$2:$S$102, Engine!$R$2:$R$102, "Churned", Engine!$F$2:$F$102, Waterfall!A9)</f>
        <v>0</v>
      </c>
      <c r="G9" s="38">
        <f t="shared" si="0"/>
        <v>9364.5</v>
      </c>
      <c r="H9" s="38">
        <f t="shared" si="1"/>
        <v>45353.5</v>
      </c>
    </row>
    <row r="10" spans="1:8" x14ac:dyDescent="0.35">
      <c r="A10" s="37">
        <v>45505</v>
      </c>
      <c r="B10" s="38">
        <f t="shared" si="2"/>
        <v>45353.5</v>
      </c>
      <c r="C10" s="39">
        <f>SUMIFS(Engine!$S$2:$S$102, Engine!$R$2:$R$102, "New", Engine!$F$2:$F$102, Waterfall!A10)</f>
        <v>6840</v>
      </c>
      <c r="D10" s="39">
        <f>SUMIFS(Engine!$S$2:$S$102, Engine!$R$2:$R$102, "Expansion", Engine!$F$2:$F$102, Waterfall!A10)</f>
        <v>0</v>
      </c>
      <c r="E10" s="38">
        <f>SUMIFS(Engine!$S$2:$S$102, Engine!$R$2:$R$102, "Contraction", Engine!$F$2:$F$102, Waterfall!A10)</f>
        <v>0</v>
      </c>
      <c r="F10" s="39">
        <f>SUMIFS(Engine!$S$2:$S$102, Engine!$R$2:$R$102, "Churned", Engine!$F$2:$F$102, Waterfall!A10)</f>
        <v>-1900</v>
      </c>
      <c r="G10" s="38">
        <f t="shared" si="0"/>
        <v>4940</v>
      </c>
      <c r="H10" s="38">
        <f t="shared" si="1"/>
        <v>50293.5</v>
      </c>
    </row>
    <row r="11" spans="1:8" x14ac:dyDescent="0.35">
      <c r="A11" s="37">
        <v>45536</v>
      </c>
      <c r="B11" s="38">
        <f t="shared" si="2"/>
        <v>50293.5</v>
      </c>
      <c r="C11" s="39">
        <f>SUMIFS(Engine!$S$2:$S$102, Engine!$R$2:$R$102, "New", Engine!$F$2:$F$102, Waterfall!A11)</f>
        <v>13415</v>
      </c>
      <c r="D11" s="39">
        <f>SUMIFS(Engine!$S$2:$S$102, Engine!$R$2:$R$102, "Expansion", Engine!$F$2:$F$102, Waterfall!A11)</f>
        <v>0</v>
      </c>
      <c r="E11" s="38">
        <f>SUMIFS(Engine!$S$2:$S$102, Engine!$R$2:$R$102, "Contraction", Engine!$F$2:$F$102, Waterfall!A11)</f>
        <v>0</v>
      </c>
      <c r="F11" s="38">
        <f>SUMIFS(Engine!$S$2:$S$102, Engine!$R$2:$R$102, "Churned", Engine!$F$2:$F$102, Waterfall!A11)</f>
        <v>0</v>
      </c>
      <c r="G11" s="38">
        <f t="shared" si="0"/>
        <v>13415</v>
      </c>
      <c r="H11" s="38">
        <f t="shared" si="1"/>
        <v>63708.5</v>
      </c>
    </row>
    <row r="12" spans="1:8" x14ac:dyDescent="0.35">
      <c r="A12" s="37">
        <v>45566</v>
      </c>
      <c r="B12" s="38">
        <f t="shared" si="2"/>
        <v>63708.5</v>
      </c>
      <c r="C12" s="39">
        <f>SUMIFS(Engine!$S$2:$S$102, Engine!$R$2:$R$102, "New", Engine!$F$2:$F$102, Waterfall!A12)</f>
        <v>10130</v>
      </c>
      <c r="D12" s="39">
        <f>SUMIFS(Engine!$S$2:$S$102, Engine!$R$2:$R$102, "Expansion", Engine!$F$2:$F$102, Waterfall!A12)</f>
        <v>0</v>
      </c>
      <c r="E12" s="38">
        <f>SUMIFS(Engine!$S$2:$S$102, Engine!$R$2:$R$102, "Contraction", Engine!$F$2:$F$102, Waterfall!A12)</f>
        <v>0</v>
      </c>
      <c r="F12" s="38">
        <f>SUMIFS(Engine!$S$2:$S$102, Engine!$R$2:$R$102, "Churned", Engine!$F$2:$F$102, Waterfall!A12)</f>
        <v>0</v>
      </c>
      <c r="G12" s="38">
        <f t="shared" si="0"/>
        <v>10130</v>
      </c>
      <c r="H12" s="38">
        <f t="shared" si="1"/>
        <v>73838.5</v>
      </c>
    </row>
    <row r="13" spans="1:8" x14ac:dyDescent="0.35">
      <c r="A13" s="37">
        <v>45597</v>
      </c>
      <c r="B13" s="38">
        <f t="shared" si="2"/>
        <v>73838.5</v>
      </c>
      <c r="C13" s="39">
        <f>SUMIFS(Engine!$S$2:$S$102, Engine!$R$2:$R$102, "New", Engine!$F$2:$F$102, Waterfall!A13)</f>
        <v>4955</v>
      </c>
      <c r="D13" s="39">
        <f>SUMIFS(Engine!$S$2:$S$102, Engine!$R$2:$R$102, "Expansion", Engine!$F$2:$F$102, Waterfall!A13)</f>
        <v>0</v>
      </c>
      <c r="E13" s="38">
        <f>SUMIFS(Engine!$S$2:$S$102, Engine!$R$2:$R$102, "Contraction", Engine!$F$2:$F$102, Waterfall!A13)</f>
        <v>0</v>
      </c>
      <c r="F13" s="39">
        <f>SUMIFS(Engine!$S$2:$S$102, Engine!$R$2:$R$102, "Churned", Engine!$F$2:$F$102, Waterfall!A13)</f>
        <v>-495</v>
      </c>
      <c r="G13" s="38">
        <f t="shared" si="0"/>
        <v>4460</v>
      </c>
      <c r="H13" s="38">
        <f t="shared" si="1"/>
        <v>78298.5</v>
      </c>
    </row>
    <row r="14" spans="1:8" x14ac:dyDescent="0.35">
      <c r="A14" s="37">
        <v>45627</v>
      </c>
      <c r="B14" s="38">
        <f t="shared" si="2"/>
        <v>78298.5</v>
      </c>
      <c r="C14" s="39">
        <f>SUMIFS(Engine!$S$2:$S$102, Engine!$R$2:$R$102, "New", Engine!$F$2:$F$102, Waterfall!A14)</f>
        <v>14915</v>
      </c>
      <c r="D14" s="39">
        <f>SUMIFS(Engine!$S$2:$S$102, Engine!$R$2:$R$102, "Expansion", Engine!$F$2:$F$102, Waterfall!A14)</f>
        <v>0</v>
      </c>
      <c r="E14" s="38">
        <f>SUMIFS(Engine!$S$2:$S$102, Engine!$R$2:$R$102, "Contraction", Engine!$F$2:$F$102, Waterfall!A14)</f>
        <v>0</v>
      </c>
      <c r="F14" s="39">
        <f>SUMIFS(Engine!$S$2:$S$102, Engine!$R$2:$R$102, "Churned", Engine!$F$2:$F$102, Waterfall!A14)</f>
        <v>-2090</v>
      </c>
      <c r="G14" s="38">
        <f t="shared" si="0"/>
        <v>12825</v>
      </c>
      <c r="H14" s="38">
        <f t="shared" si="1"/>
        <v>91123.5</v>
      </c>
    </row>
    <row r="15" spans="1:8" x14ac:dyDescent="0.35">
      <c r="A15" s="37">
        <v>45658</v>
      </c>
      <c r="B15" s="38">
        <f t="shared" si="2"/>
        <v>91123.5</v>
      </c>
      <c r="C15" s="39">
        <f>SUMIFS(Engine!$S$2:$S$102, Engine!$R$2:$R$102, "New", Engine!$F$2:$F$102, Waterfall!A15)</f>
        <v>9940.5</v>
      </c>
      <c r="D15" s="39">
        <f>SUMIFS(Engine!$S$2:$S$102, Engine!$R$2:$R$102, "Expansion", Engine!$F$2:$F$102, Waterfall!A15)</f>
        <v>140</v>
      </c>
      <c r="E15" s="38">
        <f>SUMIFS(Engine!$S$2:$S$102, Engine!$R$2:$R$102, "Contraction", Engine!$F$2:$F$102, Waterfall!A15)</f>
        <v>0</v>
      </c>
      <c r="F15" s="39">
        <f>SUMIFS(Engine!$S$2:$S$102, Engine!$R$2:$R$102, "Churned", Engine!$F$2:$F$102, Waterfall!A15)</f>
        <v>-450</v>
      </c>
      <c r="G15" s="38">
        <f t="shared" si="0"/>
        <v>9630.5</v>
      </c>
      <c r="H15" s="38">
        <f t="shared" si="1"/>
        <v>100754</v>
      </c>
    </row>
    <row r="16" spans="1:8" x14ac:dyDescent="0.35">
      <c r="A16" s="37">
        <v>45689</v>
      </c>
      <c r="B16" s="38">
        <f t="shared" si="2"/>
        <v>100754</v>
      </c>
      <c r="C16" s="39">
        <f>SUMIFS(Engine!$S$2:$S$102, Engine!$R$2:$R$102, "New", Engine!$F$2:$F$102, Waterfall!A16)</f>
        <v>7405</v>
      </c>
      <c r="D16" s="39">
        <f>SUMIFS(Engine!$S$2:$S$102, Engine!$R$2:$R$102, "Expansion", Engine!$F$2:$F$102, Waterfall!A16)</f>
        <v>0</v>
      </c>
      <c r="E16" s="38">
        <f>SUMIFS(Engine!$S$2:$S$102, Engine!$R$2:$R$102, "Contraction", Engine!$F$2:$F$102, Waterfall!A16)</f>
        <v>0</v>
      </c>
      <c r="F16" s="38">
        <f>SUMIFS(Engine!$S$2:$S$102, Engine!$R$2:$R$102, "Churned", Engine!$F$2:$F$102, Waterfall!A16)</f>
        <v>0</v>
      </c>
      <c r="G16" s="38">
        <f t="shared" si="0"/>
        <v>7405</v>
      </c>
      <c r="H16" s="38">
        <f t="shared" si="1"/>
        <v>108159</v>
      </c>
    </row>
    <row r="17" spans="1:8" x14ac:dyDescent="0.35">
      <c r="A17" s="37">
        <v>45717</v>
      </c>
      <c r="B17" s="38">
        <f t="shared" si="2"/>
        <v>108159</v>
      </c>
      <c r="C17" s="39">
        <f>SUMIFS(Engine!$S$2:$S$102, Engine!$R$2:$R$102, "New", Engine!$F$2:$F$102, Waterfall!A17)</f>
        <v>19390</v>
      </c>
      <c r="D17" s="39">
        <f>SUMIFS(Engine!$S$2:$S$102, Engine!$R$2:$R$102, "Expansion", Engine!$F$2:$F$102, Waterfall!A17)</f>
        <v>0</v>
      </c>
      <c r="E17" s="39">
        <f>SUMIFS(Engine!$S$2:$S$102, Engine!$R$2:$R$102, "Contraction", Engine!$F$2:$F$102, Waterfall!A17)</f>
        <v>-1009.5</v>
      </c>
      <c r="F17" s="38">
        <f>SUMIFS(Engine!$S$2:$S$102, Engine!$R$2:$R$102, "Churned", Engine!$F$2:$F$102, Waterfall!A17)</f>
        <v>0</v>
      </c>
      <c r="G17" s="38">
        <f t="shared" si="0"/>
        <v>18380.5</v>
      </c>
      <c r="H17" s="38">
        <f t="shared" si="1"/>
        <v>126539.5</v>
      </c>
    </row>
    <row r="18" spans="1:8" x14ac:dyDescent="0.35">
      <c r="A18" s="37">
        <v>45748</v>
      </c>
      <c r="B18" s="38">
        <f t="shared" si="2"/>
        <v>126539.5</v>
      </c>
      <c r="C18" s="39">
        <f>SUMIFS(Engine!$S$2:$S$102, Engine!$R$2:$R$102, "New", Engine!$F$2:$F$102, Waterfall!A18)</f>
        <v>5780</v>
      </c>
      <c r="D18" s="39">
        <f>SUMIFS(Engine!$S$2:$S$102, Engine!$R$2:$R$102, "Expansion", Engine!$F$2:$F$102, Waterfall!A18)</f>
        <v>755</v>
      </c>
      <c r="E18" s="38">
        <f>SUMIFS(Engine!$S$2:$S$102, Engine!$R$2:$R$102, "Contraction", Engine!$F$2:$F$102, Waterfall!A18)</f>
        <v>0</v>
      </c>
      <c r="F18" s="38">
        <f>SUMIFS(Engine!$S$2:$S$102, Engine!$R$2:$R$102, "Churned", Engine!$F$2:$F$102, Waterfall!A18)</f>
        <v>0</v>
      </c>
      <c r="G18" s="38">
        <f t="shared" si="0"/>
        <v>6535</v>
      </c>
      <c r="H18" s="38">
        <f t="shared" si="1"/>
        <v>133074.5</v>
      </c>
    </row>
    <row r="19" spans="1:8" x14ac:dyDescent="0.35">
      <c r="A19" s="37">
        <v>45778</v>
      </c>
      <c r="B19" s="38">
        <f t="shared" si="2"/>
        <v>133074.5</v>
      </c>
      <c r="C19" s="39">
        <f>SUMIFS(Engine!$S$2:$S$102, Engine!$R$2:$R$102, "New", Engine!$F$2:$F$102, Waterfall!A19)</f>
        <v>12060</v>
      </c>
      <c r="D19" s="39">
        <f>SUMIFS(Engine!$S$2:$S$102, Engine!$R$2:$R$102, "Expansion", Engine!$F$2:$F$102, Waterfall!A19)</f>
        <v>330</v>
      </c>
      <c r="E19" s="38">
        <f>SUMIFS(Engine!$S$2:$S$102, Engine!$R$2:$R$102, "Contraction", Engine!$F$2:$F$102, Waterfall!A19)</f>
        <v>0</v>
      </c>
      <c r="F19" s="39">
        <f>SUMIFS(Engine!$S$2:$S$102, Engine!$R$2:$R$102, "Churned", Engine!$F$2:$F$102, Waterfall!A19)</f>
        <v>-2375</v>
      </c>
      <c r="G19" s="38">
        <f t="shared" si="0"/>
        <v>10015</v>
      </c>
      <c r="H19" s="38">
        <f t="shared" si="1"/>
        <v>143089.5</v>
      </c>
    </row>
    <row r="20" spans="1:8" x14ac:dyDescent="0.35">
      <c r="A20" s="37">
        <v>45809</v>
      </c>
      <c r="B20" s="38">
        <f t="shared" si="2"/>
        <v>143089.5</v>
      </c>
      <c r="C20" s="39">
        <f>SUMIFS(Engine!$S$2:$S$102, Engine!$R$2:$R$102, "New", Engine!$F$2:$F$102, Waterfall!A20)</f>
        <v>8630</v>
      </c>
      <c r="D20" s="39">
        <f>SUMIFS(Engine!$S$2:$S$102, Engine!$R$2:$R$102, "Expansion", Engine!$F$2:$F$102, Waterfall!A20)</f>
        <v>1700</v>
      </c>
      <c r="E20" s="38">
        <f>SUMIFS(Engine!$S$2:$S$102, Engine!$R$2:$R$102, "Contraction", Engine!$F$2:$F$102, Waterfall!A20)</f>
        <v>0</v>
      </c>
      <c r="F20" s="39">
        <f>SUMIFS(Engine!$S$2:$S$102, Engine!$R$2:$R$102, "Churned", Engine!$F$2:$F$102, Waterfall!A20)</f>
        <v>-1305</v>
      </c>
      <c r="G20" s="38">
        <f t="shared" si="0"/>
        <v>9025</v>
      </c>
      <c r="H20" s="38">
        <f t="shared" si="1"/>
        <v>152114.5</v>
      </c>
    </row>
    <row r="21" spans="1:8" x14ac:dyDescent="0.35">
      <c r="A21" s="37">
        <v>45839</v>
      </c>
      <c r="B21" s="38">
        <f t="shared" si="2"/>
        <v>152114.5</v>
      </c>
      <c r="C21" s="39">
        <f>SUMIFS(Engine!$S$2:$S$102, Engine!$R$2:$R$102, "New", Engine!$F$2:$F$102, Waterfall!A21)</f>
        <v>0</v>
      </c>
      <c r="D21" s="39">
        <f>SUMIFS(Engine!$S$2:$S$102, Engine!$R$2:$R$102, "Expansion", Engine!$F$2:$F$102, Waterfall!A21)</f>
        <v>660</v>
      </c>
      <c r="E21" s="38">
        <f>SUMIFS(Engine!$S$2:$S$102, Engine!$R$2:$R$102, "Contraction", Engine!$F$2:$F$102, Waterfall!A21)</f>
        <v>0</v>
      </c>
      <c r="F21" s="39">
        <f>SUMIFS(Engine!$S$2:$S$102, Engine!$R$2:$R$102, "Churned", Engine!$F$2:$F$102, Waterfall!A21)</f>
        <v>-1760</v>
      </c>
      <c r="G21" s="38">
        <f t="shared" si="0"/>
        <v>-1100</v>
      </c>
      <c r="H21" s="38">
        <f t="shared" si="1"/>
        <v>151014.5</v>
      </c>
    </row>
    <row r="22" spans="1:8" x14ac:dyDescent="0.35">
      <c r="A22" s="37">
        <v>45870</v>
      </c>
      <c r="B22" s="38">
        <f t="shared" si="2"/>
        <v>151014.5</v>
      </c>
      <c r="C22" s="39">
        <f>SUMIFS(Engine!$S$2:$S$102, Engine!$R$2:$R$102, "New", Engine!$F$2:$F$102, Waterfall!A22)</f>
        <v>0</v>
      </c>
      <c r="D22" s="39">
        <f>SUMIFS(Engine!$S$2:$S$102, Engine!$R$2:$R$102, "Expansion", Engine!$F$2:$F$102, Waterfall!A22)</f>
        <v>2960</v>
      </c>
      <c r="E22" s="39">
        <f>SUMIFS(Engine!$S$2:$S$102, Engine!$R$2:$R$102, "Contraction", Engine!$F$2:$F$102, Waterfall!A22)</f>
        <v>-710</v>
      </c>
      <c r="F22" s="39">
        <f>SUMIFS(Engine!$S$2:$S$102, Engine!$R$2:$R$102, "Churned", Engine!$F$2:$F$102, Waterfall!A22)</f>
        <v>-4680</v>
      </c>
      <c r="G22" s="38">
        <f t="shared" si="0"/>
        <v>-2430</v>
      </c>
      <c r="H22" s="38">
        <f t="shared" si="1"/>
        <v>148584.5</v>
      </c>
    </row>
    <row r="23" spans="1:8" x14ac:dyDescent="0.35">
      <c r="A23" s="37">
        <v>45901</v>
      </c>
      <c r="B23" s="38">
        <f t="shared" si="2"/>
        <v>148584.5</v>
      </c>
      <c r="C23" s="39">
        <f>SUMIFS(Engine!$S$2:$S$102, Engine!$R$2:$R$102, "New", Engine!$F$2:$F$102, Waterfall!A23)</f>
        <v>0</v>
      </c>
      <c r="D23" s="39">
        <f>SUMIFS(Engine!$S$2:$S$102, Engine!$R$2:$R$102, "Expansion", Engine!$F$2:$F$102, Waterfall!A23)</f>
        <v>1900</v>
      </c>
      <c r="E23" s="39">
        <f>SUMIFS(Engine!$S$2:$S$102, Engine!$R$2:$R$102, "Contraction", Engine!$F$2:$F$102, Waterfall!A23)</f>
        <v>-125</v>
      </c>
      <c r="F23" s="38">
        <f>SUMIFS(Engine!$S$2:$S$102, Engine!$R$2:$R$102, "Churned", Engine!$F$2:$F$102, Waterfall!A23)</f>
        <v>0</v>
      </c>
      <c r="G23" s="38">
        <f t="shared" si="0"/>
        <v>1775</v>
      </c>
      <c r="H23" s="38">
        <f t="shared" si="1"/>
        <v>150359.5</v>
      </c>
    </row>
    <row r="24" spans="1:8" x14ac:dyDescent="0.35">
      <c r="A24" s="37">
        <v>45931</v>
      </c>
      <c r="B24" s="38">
        <f t="shared" si="2"/>
        <v>150359.5</v>
      </c>
      <c r="C24" s="39">
        <f>SUMIFS(Engine!$S$2:$S$102, Engine!$R$2:$R$102, "New", Engine!$F$2:$F$102, Waterfall!A24)</f>
        <v>935</v>
      </c>
      <c r="D24" s="39">
        <f>SUMIFS(Engine!$S$2:$S$102, Engine!$R$2:$R$102, "Expansion", Engine!$F$2:$F$102, Waterfall!A24)</f>
        <v>1325</v>
      </c>
      <c r="E24" s="38">
        <f>SUMIFS(Engine!$S$2:$S$102, Engine!$R$2:$R$102, "Contraction", Engine!$F$2:$F$102, Waterfall!A24)</f>
        <v>0</v>
      </c>
      <c r="F24" s="38">
        <f>SUMIFS(Engine!$S$2:$S$102, Engine!$R$2:$R$102, "Churned", Engine!$F$2:$F$102, Waterfall!A24)</f>
        <v>0</v>
      </c>
      <c r="G24" s="38">
        <f t="shared" si="0"/>
        <v>2260</v>
      </c>
      <c r="H24" s="38">
        <f t="shared" si="1"/>
        <v>152619.5</v>
      </c>
    </row>
    <row r="25" spans="1:8" x14ac:dyDescent="0.35">
      <c r="A25" s="37">
        <v>45962</v>
      </c>
      <c r="B25" s="38">
        <f t="shared" si="2"/>
        <v>152619.5</v>
      </c>
      <c r="C25" s="39">
        <f>SUMIFS(Engine!$S$2:$S$102, Engine!$R$2:$R$102, "New", Engine!$F$2:$F$102, Waterfall!A25)</f>
        <v>0</v>
      </c>
      <c r="D25" s="39">
        <f>SUMIFS(Engine!$S$2:$S$102, Engine!$R$2:$R$102, "Expansion", Engine!$F$2:$F$102, Waterfall!A25)</f>
        <v>0</v>
      </c>
      <c r="E25" s="39">
        <f>SUMIFS(Engine!$S$2:$S$102, Engine!$R$2:$R$102, "Contraction", Engine!$F$2:$F$102, Waterfall!A25)</f>
        <v>-435.5</v>
      </c>
      <c r="F25" s="38">
        <f>SUMIFS(Engine!$S$2:$S$102, Engine!$R$2:$R$102, "Churned", Engine!$F$2:$F$102, Waterfall!A25)</f>
        <v>0</v>
      </c>
      <c r="G25" s="40">
        <f t="shared" si="0"/>
        <v>-435.5</v>
      </c>
      <c r="H25" s="38">
        <f t="shared" si="1"/>
        <v>152184</v>
      </c>
    </row>
    <row r="26" spans="1:8" x14ac:dyDescent="0.35">
      <c r="A26" s="37">
        <v>45992</v>
      </c>
      <c r="B26" s="38">
        <f t="shared" si="2"/>
        <v>152184</v>
      </c>
      <c r="C26" s="39">
        <f>SUMIFS(Engine!$S$2:$S$102, Engine!$R$2:$R$102, "New", Engine!$F$2:$F$102, Waterfall!A26)</f>
        <v>0</v>
      </c>
      <c r="D26" s="39">
        <f>SUMIFS(Engine!$S$2:$S$102, Engine!$R$2:$R$102, "Expansion", Engine!$F$2:$F$102, Waterfall!A26)</f>
        <v>440</v>
      </c>
      <c r="E26" s="39">
        <f>SUMIFS(Engine!$S$2:$S$102, Engine!$R$2:$R$102, "Contraction", Engine!$F$2:$F$102, Waterfall!A26)</f>
        <v>-81</v>
      </c>
      <c r="F26" s="39">
        <f>SUMIFS(Engine!$S$2:$S$102, Engine!$R$2:$R$102, "Churned", Engine!$F$2:$F$102, Waterfall!A26)</f>
        <v>-1624.5</v>
      </c>
      <c r="G26" s="38">
        <f t="shared" si="0"/>
        <v>-1265.5</v>
      </c>
      <c r="H26" s="38">
        <f t="shared" si="1"/>
        <v>150918.5</v>
      </c>
    </row>
    <row r="27" spans="1:8" x14ac:dyDescent="0.35">
      <c r="A27" s="37">
        <v>46023</v>
      </c>
      <c r="B27" s="38">
        <f t="shared" si="2"/>
        <v>150918.5</v>
      </c>
      <c r="C27" s="39">
        <f>SUMIFS(Engine!$S$2:$S$102, Engine!$R$2:$R$102, "New", Engine!$F$2:$F$102, Waterfall!A27)</f>
        <v>1710</v>
      </c>
      <c r="D27" s="39">
        <f>SUMIFS(Engine!$S$2:$S$102, Engine!$R$2:$R$102, "Expansion", Engine!$F$2:$F$102, Waterfall!A27)</f>
        <v>0</v>
      </c>
      <c r="E27" s="38">
        <f>SUMIFS(Engine!$S$2:$S$102, Engine!$R$2:$R$102, "Contraction", Engine!$F$2:$F$102, Waterfall!A27)</f>
        <v>0</v>
      </c>
      <c r="F27" s="38">
        <f>SUMIFS(Engine!$S$2:$S$102, Engine!$R$2:$R$102, "Churned", Engine!$F$2:$F$102, Waterfall!A27)</f>
        <v>0</v>
      </c>
      <c r="G27" s="38">
        <f t="shared" si="0"/>
        <v>1710</v>
      </c>
      <c r="H27" s="38">
        <f t="shared" si="1"/>
        <v>152628.5</v>
      </c>
    </row>
    <row r="28" spans="1:8" x14ac:dyDescent="0.35">
      <c r="A28" s="37">
        <v>46054</v>
      </c>
      <c r="B28" s="38">
        <f>H27</f>
        <v>152628.5</v>
      </c>
      <c r="C28" s="39">
        <f>SUMIFS(Engine!$S$2:$S$102, Engine!$R$2:$R$102, "New", Engine!$F$2:$F$102, Waterfall!A28)</f>
        <v>6120</v>
      </c>
      <c r="D28" s="39">
        <f>SUMIFS(Engine!$S$2:$S$102, Engine!$R$2:$R$102, "Expansion", Engine!$F$2:$F$102, Waterfall!A28)</f>
        <v>0</v>
      </c>
      <c r="E28" s="38">
        <f>SUMIFS(Engine!$S$2:$S$102, Engine!$R$2:$R$102, "Contraction", Engine!$F$2:$F$102, Waterfall!A28)</f>
        <v>0</v>
      </c>
      <c r="F28" s="39">
        <f>SUMIFS(Engine!$S$2:$S$102, Engine!$R$2:$R$102, "Churned", Engine!$F$2:$F$102, Waterfall!A28)</f>
        <v>-594</v>
      </c>
      <c r="G28" s="38">
        <f t="shared" si="0"/>
        <v>5526</v>
      </c>
      <c r="H28" s="38">
        <f t="shared" si="1"/>
        <v>158154.5</v>
      </c>
    </row>
    <row r="29" spans="1:8" x14ac:dyDescent="0.35">
      <c r="A29" s="37">
        <v>46082</v>
      </c>
      <c r="B29" s="38">
        <f>H28</f>
        <v>158154.5</v>
      </c>
      <c r="C29" s="39">
        <f>SUMIFS(Engine!$S$2:$S$102, Engine!$R$2:$R$102, "New", Engine!$F$2:$F$102, Waterfall!A29)</f>
        <v>3000</v>
      </c>
      <c r="D29" s="39">
        <f>SUMIFS(Engine!$S$2:$S$102, Engine!$R$2:$R$102, "Expansion", Engine!$F$2:$F$102, Waterfall!A29)</f>
        <v>380</v>
      </c>
      <c r="E29" s="38">
        <f>SUMIFS(Engine!$S$2:$S$102, Engine!$R$2:$R$102, "Contraction", Engine!$F$2:$F$102, Waterfall!A29)</f>
        <v>0</v>
      </c>
      <c r="F29" s="39">
        <f>SUMIFS(Engine!$S$2:$S$102, Engine!$R$2:$R$102, "Churned", Engine!$F$2:$F$102, Waterfall!A29)</f>
        <v>0</v>
      </c>
      <c r="G29" s="38">
        <f t="shared" si="0"/>
        <v>3380</v>
      </c>
      <c r="H29" s="38">
        <f>B29+G29</f>
        <v>161534.5</v>
      </c>
    </row>
    <row r="31" spans="1:8" x14ac:dyDescent="0.35">
      <c r="A31" t="s">
        <v>163</v>
      </c>
      <c r="B31" s="38">
        <f>H28</f>
        <v>158154.5</v>
      </c>
    </row>
    <row r="32" spans="1:8" x14ac:dyDescent="0.35">
      <c r="A32" t="s">
        <v>164</v>
      </c>
      <c r="B32" s="38">
        <f>SUM(Engine!$S$2:$S$102)</f>
        <v>161534.5</v>
      </c>
    </row>
    <row r="33" spans="1:2" x14ac:dyDescent="0.35">
      <c r="A33" t="s">
        <v>165</v>
      </c>
      <c r="B33" s="38">
        <f>B31-B32</f>
        <v>-3380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B37"/>
  <sheetViews>
    <sheetView workbookViewId="0">
      <selection activeCell="M41" sqref="M41"/>
    </sheetView>
  </sheetViews>
  <sheetFormatPr defaultRowHeight="14.5" x14ac:dyDescent="0.35"/>
  <cols>
    <col min="1" max="1" width="40" customWidth="1"/>
    <col min="28" max="28" width="12.08984375" bestFit="1" customWidth="1"/>
  </cols>
  <sheetData>
    <row r="1" spans="1:28" ht="15.5" x14ac:dyDescent="0.35">
      <c r="A1" s="41" t="s">
        <v>166</v>
      </c>
    </row>
    <row r="3" spans="1:28" x14ac:dyDescent="0.35">
      <c r="A3" s="42" t="s">
        <v>167</v>
      </c>
    </row>
    <row r="4" spans="1:28"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c r="AB4" s="43">
        <f>Waterfall!A29</f>
        <v>46082</v>
      </c>
    </row>
    <row r="5" spans="1:28"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c r="AB5" s="38">
        <f>Waterfall!B29</f>
        <v>158154.5</v>
      </c>
    </row>
    <row r="6" spans="1:28"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c r="AB6" s="28">
        <f>IF(Waterfall!B29=0,"-",1+(Waterfall!E29+Waterfall!F29)/Waterfall!B29)</f>
        <v>1</v>
      </c>
    </row>
    <row r="7" spans="1:28"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c r="AB7" s="28">
        <f>IF(Waterfall!B29=0,"-",1+(Waterfall!D29+Waterfall!E29+Waterfall!F29)/Waterfall!B29)</f>
        <v>1.00240271380201</v>
      </c>
    </row>
    <row r="9" spans="1:28" x14ac:dyDescent="0.35">
      <c r="A9" s="42" t="s">
        <v>170</v>
      </c>
    </row>
    <row r="10" spans="1:28"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c r="AB10" s="43">
        <f>AB4</f>
        <v>46082</v>
      </c>
    </row>
    <row r="11" spans="1:28"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c r="AB11" s="28">
        <f>IF(Waterfall!B29=0,"-",-Waterfall!F29/Waterfall!B29)</f>
        <v>0</v>
      </c>
    </row>
    <row r="12" spans="1:28"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c r="AB12" s="28">
        <f>IF(Waterfall!B29=0,"-",-(Waterfall!E29+Waterfall!F29)/Waterfall!B29)</f>
        <v>0</v>
      </c>
    </row>
    <row r="14" spans="1:28" x14ac:dyDescent="0.35">
      <c r="A14" s="42" t="s">
        <v>173</v>
      </c>
    </row>
    <row r="15" spans="1:28"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c r="AB15" s="43">
        <f>AB4</f>
        <v>46082</v>
      </c>
    </row>
    <row r="16" spans="1:28" x14ac:dyDescent="0.35">
      <c r="A16" s="42" t="s">
        <v>174</v>
      </c>
      <c r="B16" s="31">
        <v>0</v>
      </c>
      <c r="C16" s="31">
        <f>B16+COUNTIFS(Engine!$H$2:$H$102,"created",Engine!$F$2:$F$102,B15)-COUNTIFS(Engine!$H$2:$H$102,"cancelled",Engine!$F$2:$F$102,B15)</f>
        <v>2</v>
      </c>
      <c r="D16" s="31">
        <f>C16+COUNTIFS(Engine!$H$2:$H$102,"created",Engine!$F$2:$F$102,C15)-COUNTIFS(Engine!$H$2:$H$102,"cancelled",Engine!$F$2:$F$102,C15)</f>
        <v>5</v>
      </c>
      <c r="E16" s="31">
        <f>D16+COUNTIFS(Engine!$H$2:$H$102,"created",Engine!$F$2:$F$102,D15)-COUNTIFS(Engine!$H$2:$H$102,"cancelled",Engine!$F$2:$F$102,D15)</f>
        <v>7</v>
      </c>
      <c r="F16" s="31">
        <f>E16+COUNTIFS(Engine!$H$2:$H$102,"created",Engine!$F$2:$F$102,E15)-COUNTIFS(Engine!$H$2:$H$102,"cancelled",Engine!$F$2:$F$102,E15)</f>
        <v>11</v>
      </c>
      <c r="G16" s="31">
        <f>F16+COUNTIFS(Engine!$H$2:$H$102,"created",Engine!$F$2:$F$102,F15)-COUNTIFS(Engine!$H$2:$H$102,"cancelled",Engine!$F$2:$F$102,F15)</f>
        <v>13</v>
      </c>
      <c r="H16" s="31">
        <f>G16+COUNTIFS(Engine!$H$2:$H$102,"created",Engine!$F$2:$F$102,G15)-COUNTIFS(Engine!$H$2:$H$102,"cancelled",Engine!$F$2:$F$102,G15)</f>
        <v>16</v>
      </c>
      <c r="I16" s="31">
        <f>H16+COUNTIFS(Engine!$H$2:$H$102,"created",Engine!$F$2:$F$102,H15)-COUNTIFS(Engine!$H$2:$H$102,"cancelled",Engine!$F$2:$F$102,H15)</f>
        <v>20</v>
      </c>
      <c r="J16" s="31">
        <f>I16+COUNTIFS(Engine!$H$2:$H$102,"created",Engine!$F$2:$F$102,I15)-COUNTIFS(Engine!$H$2:$H$102,"cancelled",Engine!$F$2:$F$102,I15)</f>
        <v>21</v>
      </c>
      <c r="K16" s="31">
        <f>J16+COUNTIFS(Engine!$H$2:$H$102,"created",Engine!$F$2:$F$102,J15)-COUNTIFS(Engine!$H$2:$H$102,"cancelled",Engine!$F$2:$F$102,J15)</f>
        <v>26</v>
      </c>
      <c r="L16" s="31">
        <f>K16+COUNTIFS(Engine!$H$2:$H$102,"created",Engine!$F$2:$F$102,K15)-COUNTIFS(Engine!$H$2:$H$102,"cancelled",Engine!$F$2:$F$102,K15)</f>
        <v>29</v>
      </c>
      <c r="M16" s="31">
        <f>L16+COUNTIFS(Engine!$H$2:$H$102,"created",Engine!$F$2:$F$102,L15)-COUNTIFS(Engine!$H$2:$H$102,"cancelled",Engine!$F$2:$F$102,L15)</f>
        <v>31</v>
      </c>
      <c r="N16" s="31">
        <f>M16+COUNTIFS(Engine!$H$2:$H$102,"created",Engine!$F$2:$F$102,M15)-COUNTIFS(Engine!$H$2:$H$102,"cancelled",Engine!$F$2:$F$102,M15)</f>
        <v>34</v>
      </c>
      <c r="O16" s="31">
        <f>N16+COUNTIFS(Engine!$H$2:$H$102,"created",Engine!$F$2:$F$102,N15)-COUNTIFS(Engine!$H$2:$H$102,"cancelled",Engine!$F$2:$F$102,N15)</f>
        <v>37</v>
      </c>
      <c r="P16" s="31">
        <f>O16+COUNTIFS(Engine!$H$2:$H$102,"created",Engine!$F$2:$F$102,O15)-COUNTIFS(Engine!$H$2:$H$102,"cancelled",Engine!$F$2:$F$102,O15)</f>
        <v>41</v>
      </c>
      <c r="Q16" s="31">
        <f>P16+COUNTIFS(Engine!$H$2:$H$102,"created",Engine!$F$2:$F$102,P15)-COUNTIFS(Engine!$H$2:$H$102,"cancelled",Engine!$F$2:$F$102,P15)</f>
        <v>46</v>
      </c>
      <c r="R16" s="31">
        <f>Q16+COUNTIFS(Engine!$H$2:$H$102,"created",Engine!$F$2:$F$102,Q15)-COUNTIFS(Engine!$H$2:$H$102,"cancelled",Engine!$F$2:$F$102,Q15)</f>
        <v>49</v>
      </c>
      <c r="S16" s="31">
        <f>R16+COUNTIFS(Engine!$H$2:$H$102,"created",Engine!$F$2:$F$102,R15)-COUNTIFS(Engine!$H$2:$H$102,"cancelled",Engine!$F$2:$F$102,R15)</f>
        <v>52</v>
      </c>
      <c r="T16" s="31">
        <f>S16+COUNTIFS(Engine!$H$2:$H$102,"created",Engine!$F$2:$F$102,S15)-COUNTIFS(Engine!$H$2:$H$102,"cancelled",Engine!$F$2:$F$102,S15)</f>
        <v>53</v>
      </c>
      <c r="U16" s="31">
        <f>T16+COUNTIFS(Engine!$H$2:$H$102,"created",Engine!$F$2:$F$102,T15)-COUNTIFS(Engine!$H$2:$H$102,"cancelled",Engine!$F$2:$F$102,T15)</f>
        <v>52</v>
      </c>
      <c r="V16" s="31">
        <f>U16+COUNTIFS(Engine!$H$2:$H$102,"created",Engine!$F$2:$F$102,U15)-COUNTIFS(Engine!$H$2:$H$102,"cancelled",Engine!$F$2:$F$102,U15)</f>
        <v>51</v>
      </c>
      <c r="W16" s="31">
        <f>V16+COUNTIFS(Engine!$H$2:$H$102,"created",Engine!$F$2:$F$102,V15)-COUNTIFS(Engine!$H$2:$H$102,"cancelled",Engine!$F$2:$F$102,V15)</f>
        <v>51</v>
      </c>
      <c r="X16" s="31">
        <f>W16+COUNTIFS(Engine!$H$2:$H$102,"created",Engine!$F$2:$F$102,W15)-COUNTIFS(Engine!$H$2:$H$102,"cancelled",Engine!$F$2:$F$102,W15)</f>
        <v>52</v>
      </c>
      <c r="Y16" s="31">
        <f>X16+COUNTIFS(Engine!$H$2:$H$102,"created",Engine!$F$2:$F$102,X15)-COUNTIFS(Engine!$H$2:$H$102,"cancelled",Engine!$F$2:$F$102,X15)</f>
        <v>52</v>
      </c>
      <c r="Z16" s="31">
        <f>Y16+COUNTIFS(Engine!$H$2:$H$102,"created",Engine!$F$2:$F$102,Y15)-COUNTIFS(Engine!$H$2:$H$102,"cancelled",Engine!$F$2:$F$102,Y15)</f>
        <v>51</v>
      </c>
      <c r="AA16" s="31">
        <f>Z16+COUNTIFS(Engine!$H$2:$H$102,"created",Engine!$F$2:$F$102,Z15)-COUNTIFS(Engine!$H$2:$H$102,"cancelled",Engine!$F$2:$F$102,Z15)</f>
        <v>52</v>
      </c>
      <c r="AB16" s="31">
        <f>AA16+COUNTIFS(Engine!$H$2:$H$102,"created",Engine!$F$2:$F$102,AA15)-COUNTIFS(Engine!$H$2:$H$102,"cancelled",Engine!$F$2:$F$102,AA15)</f>
        <v>53</v>
      </c>
    </row>
    <row r="17" spans="1:28" x14ac:dyDescent="0.35">
      <c r="A17" s="42" t="s">
        <v>175</v>
      </c>
      <c r="B17" s="31">
        <f>COUNTIFS(Engine!$H$2:$H$102,"cancelled",Engine!$F$2:$F$102,B15)</f>
        <v>0</v>
      </c>
      <c r="C17" s="31">
        <f>COUNTIFS(Engine!$H$2:$H$102,"cancelled",Engine!$F$2:$F$102,C15)</f>
        <v>0</v>
      </c>
      <c r="D17" s="31">
        <f>COUNTIFS(Engine!$H$2:$H$102,"cancelled",Engine!$F$2:$F$102,D15)</f>
        <v>0</v>
      </c>
      <c r="E17" s="31">
        <f>COUNTIFS(Engine!$H$2:$H$102,"cancelled",Engine!$F$2:$F$102,E15)</f>
        <v>0</v>
      </c>
      <c r="F17" s="31">
        <f>COUNTIFS(Engine!$H$2:$H$102,"cancelled",Engine!$F$2:$F$102,F15)</f>
        <v>0</v>
      </c>
      <c r="G17" s="31">
        <f>COUNTIFS(Engine!$H$2:$H$102,"cancelled",Engine!$F$2:$F$102,G15)</f>
        <v>0</v>
      </c>
      <c r="H17" s="31">
        <f>COUNTIFS(Engine!$H$2:$H$102,"cancelled",Engine!$F$2:$F$102,H15)</f>
        <v>0</v>
      </c>
      <c r="I17" s="31">
        <f>COUNTIFS(Engine!$H$2:$H$102,"cancelled",Engine!$F$2:$F$102,I15)</f>
        <v>1</v>
      </c>
      <c r="J17" s="31">
        <f>COUNTIFS(Engine!$H$2:$H$102,"cancelled",Engine!$F$2:$F$102,J15)</f>
        <v>0</v>
      </c>
      <c r="K17" s="31">
        <f>COUNTIFS(Engine!$H$2:$H$102,"cancelled",Engine!$F$2:$F$102,K15)</f>
        <v>0</v>
      </c>
      <c r="L17" s="31">
        <f>COUNTIFS(Engine!$H$2:$H$102,"cancelled",Engine!$F$2:$F$102,L15)</f>
        <v>1</v>
      </c>
      <c r="M17" s="31">
        <f>COUNTIFS(Engine!$H$2:$H$102,"cancelled",Engine!$F$2:$F$102,M15)</f>
        <v>1</v>
      </c>
      <c r="N17" s="31">
        <f>COUNTIFS(Engine!$H$2:$H$102,"cancelled",Engine!$F$2:$F$102,N15)</f>
        <v>1</v>
      </c>
      <c r="O17" s="31">
        <f>COUNTIFS(Engine!$H$2:$H$102,"cancelled",Engine!$F$2:$F$102,O15)</f>
        <v>0</v>
      </c>
      <c r="P17" s="31">
        <f>COUNTIFS(Engine!$H$2:$H$102,"cancelled",Engine!$F$2:$F$102,P15)</f>
        <v>0</v>
      </c>
      <c r="Q17" s="31">
        <f>COUNTIFS(Engine!$H$2:$H$102,"cancelled",Engine!$F$2:$F$102,Q15)</f>
        <v>0</v>
      </c>
      <c r="R17" s="31">
        <f>COUNTIFS(Engine!$H$2:$H$102,"cancelled",Engine!$F$2:$F$102,R15)</f>
        <v>1</v>
      </c>
      <c r="S17" s="31">
        <f>COUNTIFS(Engine!$H$2:$H$102,"cancelled",Engine!$F$2:$F$102,S15)</f>
        <v>2</v>
      </c>
      <c r="T17" s="31">
        <f>COUNTIFS(Engine!$H$2:$H$102,"cancelled",Engine!$F$2:$F$102,T15)</f>
        <v>1</v>
      </c>
      <c r="U17" s="31">
        <f>COUNTIFS(Engine!$H$2:$H$102,"cancelled",Engine!$F$2:$F$102,U15)</f>
        <v>1</v>
      </c>
      <c r="V17" s="31">
        <f>COUNTIFS(Engine!$H$2:$H$102,"cancelled",Engine!$F$2:$F$102,V15)</f>
        <v>0</v>
      </c>
      <c r="W17" s="31">
        <f>COUNTIFS(Engine!$H$2:$H$102,"cancelled",Engine!$F$2:$F$102,W15)</f>
        <v>0</v>
      </c>
      <c r="X17" s="31">
        <f>COUNTIFS(Engine!$H$2:$H$102,"cancelled",Engine!$F$2:$F$102,X15)</f>
        <v>0</v>
      </c>
      <c r="Y17" s="31">
        <f>COUNTIFS(Engine!$H$2:$H$102,"cancelled",Engine!$F$2:$F$102,Y15)</f>
        <v>1</v>
      </c>
      <c r="Z17" s="31">
        <f>COUNTIFS(Engine!$H$2:$H$102,"cancelled",Engine!$F$2:$F$102,Z15)</f>
        <v>0</v>
      </c>
      <c r="AA17" s="31">
        <f>COUNTIFS(Engine!$H$2:$H$102,"cancelled",Engine!$F$2:$F$102,AA15)</f>
        <v>1</v>
      </c>
      <c r="AB17" s="31">
        <f>COUNTIFS(Engine!$H$2:$H$102,"cancelled",Engine!$F$2:$F$102,AB15)</f>
        <v>0</v>
      </c>
    </row>
    <row r="18" spans="1:28" x14ac:dyDescent="0.35">
      <c r="A18" s="42" t="s">
        <v>176</v>
      </c>
      <c r="B18" s="28" t="str">
        <f t="shared" ref="B18:AB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c r="AB18" s="28">
        <f t="shared" si="2"/>
        <v>0</v>
      </c>
    </row>
    <row r="19" spans="1:28" x14ac:dyDescent="0.35">
      <c r="A19" s="45" t="s">
        <v>177</v>
      </c>
      <c r="B19" s="46">
        <f>0</f>
        <v>0</v>
      </c>
      <c r="C19" s="176">
        <f>COUNTIFS(Engine!$T$2:$T$102,1,Engine!$F$2:$F$102,"&lt;="&amp;B15)+COUNTIFS(Engine!$V$2:$V$102,1,Engine!$F$2:$F$102,"&lt;="&amp;B15)-COUNTIFS(Engine!$U$2:$U$102,1,Engine!$F$2:$F$102,"&lt;="&amp;B15)</f>
        <v>2</v>
      </c>
      <c r="D19" s="176">
        <f>COUNTIFS(Engine!$T$2:$T$102,1,Engine!$F$2:$F$102,"&lt;="&amp;C15)+COUNTIFS(Engine!$V$2:$V$102,1,Engine!$F$2:$F$102,"&lt;="&amp;C15)-COUNTIFS(Engine!$U$2:$U$102,1,Engine!$F$2:$F$102,"&lt;="&amp;C15)</f>
        <v>4</v>
      </c>
      <c r="E19" s="176">
        <f>COUNTIFS(Engine!$T$2:$T$102,1,Engine!$F$2:$F$102,"&lt;="&amp;D15)+COUNTIFS(Engine!$V$2:$V$102,1,Engine!$F$2:$F$102,"&lt;="&amp;D15)-COUNTIFS(Engine!$U$2:$U$102,1,Engine!$F$2:$F$102,"&lt;="&amp;D15)</f>
        <v>6</v>
      </c>
      <c r="F19" s="176">
        <f>COUNTIFS(Engine!$T$2:$T$102,1,Engine!$F$2:$F$102,"&lt;="&amp;E15)+COUNTIFS(Engine!$V$2:$V$102,1,Engine!$F$2:$F$102,"&lt;="&amp;E15)-COUNTIFS(Engine!$U$2:$U$102,1,Engine!$F$2:$F$102,"&lt;="&amp;E15)</f>
        <v>9</v>
      </c>
      <c r="G19" s="176">
        <f>COUNTIFS(Engine!$T$2:$T$102,1,Engine!$F$2:$F$102,"&lt;="&amp;F15)+COUNTIFS(Engine!$V$2:$V$102,1,Engine!$F$2:$F$102,"&lt;="&amp;F15)-COUNTIFS(Engine!$U$2:$U$102,1,Engine!$F$2:$F$102,"&lt;="&amp;F15)</f>
        <v>11</v>
      </c>
      <c r="H19" s="176">
        <f>COUNTIFS(Engine!$T$2:$T$102,1,Engine!$F$2:$F$102,"&lt;="&amp;G15)+COUNTIFS(Engine!$V$2:$V$102,1,Engine!$F$2:$F$102,"&lt;="&amp;G15)-COUNTIFS(Engine!$U$2:$U$102,1,Engine!$F$2:$F$102,"&lt;="&amp;G15)</f>
        <v>13</v>
      </c>
      <c r="I19" s="176">
        <f>COUNTIFS(Engine!$T$2:$T$102,1,Engine!$F$2:$F$102,"&lt;="&amp;H15)+COUNTIFS(Engine!$V$2:$V$102,1,Engine!$F$2:$F$102,"&lt;="&amp;H15)-COUNTIFS(Engine!$U$2:$U$102,1,Engine!$F$2:$F$102,"&lt;="&amp;H15)</f>
        <v>15</v>
      </c>
      <c r="J19" s="176">
        <f>COUNTIFS(Engine!$T$2:$T$102,1,Engine!$F$2:$F$102,"&lt;="&amp;I15)+COUNTIFS(Engine!$V$2:$V$102,1,Engine!$F$2:$F$102,"&lt;="&amp;I15)-COUNTIFS(Engine!$U$2:$U$102,1,Engine!$F$2:$F$102,"&lt;="&amp;I15)</f>
        <v>17</v>
      </c>
      <c r="K19" s="176">
        <f>COUNTIFS(Engine!$T$2:$T$102,1,Engine!$F$2:$F$102,"&lt;="&amp;J15)+COUNTIFS(Engine!$V$2:$V$102,1,Engine!$F$2:$F$102,"&lt;="&amp;J15)-COUNTIFS(Engine!$U$2:$U$102,1,Engine!$F$2:$F$102,"&lt;="&amp;J15)</f>
        <v>20</v>
      </c>
      <c r="L19" s="176">
        <f>COUNTIFS(Engine!$T$2:$T$102,1,Engine!$F$2:$F$102,"&lt;="&amp;K15)+COUNTIFS(Engine!$V$2:$V$102,1,Engine!$F$2:$F$102,"&lt;="&amp;K15)-COUNTIFS(Engine!$U$2:$U$102,1,Engine!$F$2:$F$102,"&lt;="&amp;K15)</f>
        <v>22</v>
      </c>
      <c r="M19" s="176">
        <f>COUNTIFS(Engine!$T$2:$T$102,1,Engine!$F$2:$F$102,"&lt;="&amp;L15)+COUNTIFS(Engine!$V$2:$V$102,1,Engine!$F$2:$F$102,"&lt;="&amp;L15)-COUNTIFS(Engine!$U$2:$U$102,1,Engine!$F$2:$F$102,"&lt;="&amp;L15)</f>
        <v>23</v>
      </c>
      <c r="N19" s="176">
        <f>COUNTIFS(Engine!$T$2:$T$102,1,Engine!$F$2:$F$102,"&lt;="&amp;M15)+COUNTIFS(Engine!$V$2:$V$102,1,Engine!$F$2:$F$102,"&lt;="&amp;M15)-COUNTIFS(Engine!$U$2:$U$102,1,Engine!$F$2:$F$102,"&lt;="&amp;M15)</f>
        <v>25</v>
      </c>
      <c r="O19" s="176">
        <f>COUNTIFS(Engine!$T$2:$T$102,1,Engine!$F$2:$F$102,"&lt;="&amp;N15)+COUNTIFS(Engine!$V$2:$V$102,1,Engine!$F$2:$F$102,"&lt;="&amp;N15)-COUNTIFS(Engine!$U$2:$U$102,1,Engine!$F$2:$F$102,"&lt;="&amp;N15)</f>
        <v>26</v>
      </c>
      <c r="P19" s="176">
        <f>COUNTIFS(Engine!$T$2:$T$102,1,Engine!$F$2:$F$102,"&lt;="&amp;O15)+COUNTIFS(Engine!$V$2:$V$102,1,Engine!$F$2:$F$102,"&lt;="&amp;O15)-COUNTIFS(Engine!$U$2:$U$102,1,Engine!$F$2:$F$102,"&lt;="&amp;O15)</f>
        <v>28</v>
      </c>
      <c r="Q19" s="176">
        <f>COUNTIFS(Engine!$T$2:$T$102,1,Engine!$F$2:$F$102,"&lt;="&amp;P15)+COUNTIFS(Engine!$V$2:$V$102,1,Engine!$F$2:$F$102,"&lt;="&amp;P15)-COUNTIFS(Engine!$U$2:$U$102,1,Engine!$F$2:$F$102,"&lt;="&amp;P15)</f>
        <v>31</v>
      </c>
      <c r="R19" s="176">
        <f>COUNTIFS(Engine!$T$2:$T$102,1,Engine!$F$2:$F$102,"&lt;="&amp;Q15)+COUNTIFS(Engine!$V$2:$V$102,1,Engine!$F$2:$F$102,"&lt;="&amp;Q15)-COUNTIFS(Engine!$U$2:$U$102,1,Engine!$F$2:$F$102,"&lt;="&amp;Q15)</f>
        <v>33</v>
      </c>
      <c r="S19" s="176">
        <f>COUNTIFS(Engine!$T$2:$T$102,1,Engine!$F$2:$F$102,"&lt;="&amp;R15)+COUNTIFS(Engine!$V$2:$V$102,1,Engine!$F$2:$F$102,"&lt;="&amp;R15)-COUNTIFS(Engine!$U$2:$U$102,1,Engine!$F$2:$F$102,"&lt;="&amp;R15)</f>
        <v>36</v>
      </c>
      <c r="T19" s="176">
        <f>COUNTIFS(Engine!$T$2:$T$102,1,Engine!$F$2:$F$102,"&lt;="&amp;S15)+COUNTIFS(Engine!$V$2:$V$102,1,Engine!$F$2:$F$102,"&lt;="&amp;S15)-COUNTIFS(Engine!$U$2:$U$102,1,Engine!$F$2:$F$102,"&lt;="&amp;S15)</f>
        <v>37</v>
      </c>
      <c r="U19" s="176">
        <f>COUNTIFS(Engine!$T$2:$T$102,1,Engine!$F$2:$F$102,"&lt;="&amp;T15)+COUNTIFS(Engine!$V$2:$V$102,1,Engine!$F$2:$F$102,"&lt;="&amp;T15)-COUNTIFS(Engine!$U$2:$U$102,1,Engine!$F$2:$F$102,"&lt;="&amp;T15)</f>
        <v>37</v>
      </c>
      <c r="V19" s="176">
        <f>COUNTIFS(Engine!$T$2:$T$102,1,Engine!$F$2:$F$102,"&lt;="&amp;U15)+COUNTIFS(Engine!$V$2:$V$102,1,Engine!$F$2:$F$102,"&lt;="&amp;U15)-COUNTIFS(Engine!$U$2:$U$102,1,Engine!$F$2:$F$102,"&lt;="&amp;U15)</f>
        <v>37</v>
      </c>
      <c r="W19" s="176">
        <f>COUNTIFS(Engine!$T$2:$T$102,1,Engine!$F$2:$F$102,"&lt;="&amp;V15)+COUNTIFS(Engine!$V$2:$V$102,1,Engine!$F$2:$F$102,"&lt;="&amp;V15)-COUNTIFS(Engine!$U$2:$U$102,1,Engine!$F$2:$F$102,"&lt;="&amp;V15)</f>
        <v>37</v>
      </c>
      <c r="X19" s="176">
        <f>COUNTIFS(Engine!$T$2:$T$102,1,Engine!$F$2:$F$102,"&lt;="&amp;W15)+COUNTIFS(Engine!$V$2:$V$102,1,Engine!$F$2:$F$102,"&lt;="&amp;W15)-COUNTIFS(Engine!$U$2:$U$102,1,Engine!$F$2:$F$102,"&lt;="&amp;W15)</f>
        <v>38</v>
      </c>
      <c r="Y19" s="176">
        <f>COUNTIFS(Engine!$T$2:$T$102,1,Engine!$F$2:$F$102,"&lt;="&amp;X15)+COUNTIFS(Engine!$V$2:$V$102,1,Engine!$F$2:$F$102,"&lt;="&amp;X15)-COUNTIFS(Engine!$U$2:$U$102,1,Engine!$F$2:$F$102,"&lt;="&amp;X15)</f>
        <v>38</v>
      </c>
      <c r="Z19" s="176">
        <f>COUNTIFS(Engine!$T$2:$T$102,1,Engine!$F$2:$F$102,"&lt;="&amp;Y15)+COUNTIFS(Engine!$V$2:$V$102,1,Engine!$F$2:$F$102,"&lt;="&amp;Y15)-COUNTIFS(Engine!$U$2:$U$102,1,Engine!$F$2:$F$102,"&lt;="&amp;Y15)</f>
        <v>38</v>
      </c>
      <c r="AA19" s="176">
        <f>COUNTIFS(Engine!$T$2:$T$102,1,Engine!$F$2:$F$102,"&lt;="&amp;Z15)+COUNTIFS(Engine!$V$2:$V$102,1,Engine!$F$2:$F$102,"&lt;="&amp;Z15)-COUNTIFS(Engine!$U$2:$U$102,1,Engine!$F$2:$F$102,"&lt;="&amp;Z15)</f>
        <v>39</v>
      </c>
      <c r="AB19" s="176">
        <f>COUNTIFS(Engine!$T$2:$T$102,1,Engine!$F$2:$F$102,"&lt;="&amp;AA15)+COUNTIFS(Engine!$V$2:$V$102,1,Engine!$F$2:$F$102,"&lt;="&amp;AA15)-COUNTIFS(Engine!$U$2:$U$102,1,Engine!$F$2:$F$102,"&lt;="&amp;AA15)</f>
        <v>41</v>
      </c>
    </row>
    <row r="20" spans="1:28" x14ac:dyDescent="0.35">
      <c r="A20" s="45" t="s">
        <v>178</v>
      </c>
      <c r="B20" s="176">
        <f>COUNTIFS(Engine!$U$2:$U$102,1,Engine!$F$2:$F$102,B15)</f>
        <v>0</v>
      </c>
      <c r="C20" s="176">
        <f>COUNTIFS(Engine!$U$2:$U$102,1,Engine!$F$2:$F$102,C15)</f>
        <v>0</v>
      </c>
      <c r="D20" s="176">
        <f>COUNTIFS(Engine!$U$2:$U$102,1,Engine!$F$2:$F$102,D15)</f>
        <v>0</v>
      </c>
      <c r="E20" s="176">
        <f>COUNTIFS(Engine!$U$2:$U$102,1,Engine!$F$2:$F$102,E15)</f>
        <v>0</v>
      </c>
      <c r="F20" s="176">
        <f>COUNTIFS(Engine!$U$2:$U$102,1,Engine!$F$2:$F$102,F15)</f>
        <v>0</v>
      </c>
      <c r="G20" s="176">
        <f>COUNTIFS(Engine!$U$2:$U$102,1,Engine!$F$2:$F$102,G15)</f>
        <v>0</v>
      </c>
      <c r="H20" s="176">
        <f>COUNTIFS(Engine!$U$2:$U$102,1,Engine!$F$2:$F$102,H15)</f>
        <v>0</v>
      </c>
      <c r="I20" s="176">
        <f>COUNTIFS(Engine!$U$2:$U$102,1,Engine!$F$2:$F$102,I15)</f>
        <v>0</v>
      </c>
      <c r="J20" s="176">
        <f>COUNTIFS(Engine!$U$2:$U$102,1,Engine!$F$2:$F$102,J15)</f>
        <v>0</v>
      </c>
      <c r="K20" s="176">
        <f>COUNTIFS(Engine!$U$2:$U$102,1,Engine!$F$2:$F$102,K15)</f>
        <v>0</v>
      </c>
      <c r="L20" s="176">
        <f>COUNTIFS(Engine!$U$2:$U$102,1,Engine!$F$2:$F$102,L15)</f>
        <v>1</v>
      </c>
      <c r="M20" s="176">
        <f>COUNTIFS(Engine!$U$2:$U$102,1,Engine!$F$2:$F$102,M15)</f>
        <v>0</v>
      </c>
      <c r="N20" s="176">
        <f>COUNTIFS(Engine!$U$2:$U$102,1,Engine!$F$2:$F$102,N15)</f>
        <v>1</v>
      </c>
      <c r="O20" s="176">
        <f>COUNTIFS(Engine!$U$2:$U$102,1,Engine!$F$2:$F$102,O15)</f>
        <v>0</v>
      </c>
      <c r="P20" s="176">
        <f>COUNTIFS(Engine!$U$2:$U$102,1,Engine!$F$2:$F$102,P15)</f>
        <v>0</v>
      </c>
      <c r="Q20" s="176">
        <f>COUNTIFS(Engine!$U$2:$U$102,1,Engine!$F$2:$F$102,Q15)</f>
        <v>0</v>
      </c>
      <c r="R20" s="176">
        <f>COUNTIFS(Engine!$U$2:$U$102,1,Engine!$F$2:$F$102,R15)</f>
        <v>0</v>
      </c>
      <c r="S20" s="176">
        <f>COUNTIFS(Engine!$U$2:$U$102,1,Engine!$F$2:$F$102,S15)</f>
        <v>1</v>
      </c>
      <c r="T20" s="176">
        <f>COUNTIFS(Engine!$U$2:$U$102,1,Engine!$F$2:$F$102,T15)</f>
        <v>0</v>
      </c>
      <c r="U20" s="176">
        <f>COUNTIFS(Engine!$U$2:$U$102,1,Engine!$F$2:$F$102,U15)</f>
        <v>0</v>
      </c>
      <c r="V20" s="176">
        <f>COUNTIFS(Engine!$U$2:$U$102,1,Engine!$F$2:$F$102,V15)</f>
        <v>0</v>
      </c>
      <c r="W20" s="176">
        <f>COUNTIFS(Engine!$U$2:$U$102,1,Engine!$F$2:$F$102,W15)</f>
        <v>0</v>
      </c>
      <c r="X20" s="176">
        <f>COUNTIFS(Engine!$U$2:$U$102,1,Engine!$F$2:$F$102,X15)</f>
        <v>0</v>
      </c>
      <c r="Y20" s="176">
        <f>COUNTIFS(Engine!$U$2:$U$102,1,Engine!$F$2:$F$102,Y15)</f>
        <v>0</v>
      </c>
      <c r="Z20" s="176">
        <f>COUNTIFS(Engine!$U$2:$U$102,1,Engine!$F$2:$F$102,Z15)</f>
        <v>0</v>
      </c>
      <c r="AA20" s="176">
        <f>COUNTIFS(Engine!$U$2:$U$102,1,Engine!$F$2:$F$102,AA15)</f>
        <v>0</v>
      </c>
      <c r="AB20" s="176">
        <f>COUNTIFS(Engine!$U$2:$U$102,1,Engine!$F$2:$F$102,AB15)</f>
        <v>0</v>
      </c>
    </row>
    <row r="21" spans="1:28" x14ac:dyDescent="0.35">
      <c r="A21" s="45" t="s">
        <v>179</v>
      </c>
      <c r="B21" s="47" t="str">
        <f t="shared" ref="B21:AB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c r="AB21" s="47">
        <f t="shared" si="3"/>
        <v>0</v>
      </c>
    </row>
    <row r="23" spans="1:28" x14ac:dyDescent="0.35">
      <c r="A23" s="42" t="s">
        <v>180</v>
      </c>
    </row>
    <row r="24" spans="1:28"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c r="AB24" s="43">
        <f>AB4</f>
        <v>46082</v>
      </c>
    </row>
    <row r="25" spans="1:28" x14ac:dyDescent="0.35">
      <c r="A25" s="42" t="s">
        <v>181</v>
      </c>
      <c r="B25" s="28" t="str">
        <f>IFERROR(AVERAGEIF(B6:B6,"&gt;0"),"-")</f>
        <v>-</v>
      </c>
      <c r="C25" s="28">
        <f>IFERROR(AVERAGEIF(B6:C6,"&gt;0"),"-")</f>
        <v>1</v>
      </c>
      <c r="D25" s="28">
        <f>IFERROR(AVERAGEIF(B6:D6,"&gt;0"),"-")</f>
        <v>1</v>
      </c>
      <c r="E25" s="28">
        <f t="shared" ref="E25:AB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c r="AB25" s="28">
        <f t="shared" si="5"/>
        <v>0.99870273245167185</v>
      </c>
    </row>
    <row r="26" spans="1:28"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c r="AB26" s="28">
        <f t="shared" si="5"/>
        <v>0.99950363705234191</v>
      </c>
    </row>
    <row r="27" spans="1:28" x14ac:dyDescent="0.35">
      <c r="A27" s="42" t="s">
        <v>183</v>
      </c>
      <c r="B27" s="28" t="str">
        <f>IFERROR(AVERAGE(B21),"-")</f>
        <v>-</v>
      </c>
      <c r="C27" s="28">
        <f>IFERROR(AVERAGE(B21:C21),"-")</f>
        <v>0</v>
      </c>
      <c r="D27" s="28">
        <f>IFERROR(AVERAGE(B21:D21),"-")</f>
        <v>0</v>
      </c>
      <c r="E27" s="28">
        <f>AVERAGE(C21:E21)</f>
        <v>0</v>
      </c>
      <c r="F27" s="28">
        <f t="shared" ref="F27:AB27" si="6">AVERAGE(D21:F21)</f>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c r="AB27" s="28">
        <f t="shared" si="6"/>
        <v>0</v>
      </c>
    </row>
    <row r="28" spans="1:28"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8"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B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c r="AB29" s="28">
        <f t="shared" si="7"/>
        <v>0.99224809288627958</v>
      </c>
    </row>
    <row r="30" spans="1:28"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c r="AB30" s="28">
        <f t="shared" si="7"/>
        <v>0.99817810211127156</v>
      </c>
    </row>
    <row r="31" spans="1:28"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B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c r="AB31" s="28">
        <f t="shared" si="8"/>
        <v>2.3148148148148147E-3</v>
      </c>
    </row>
    <row r="32" spans="1:28" ht="20" customHeight="1" x14ac:dyDescent="0.35"/>
    <row r="33" spans="1:27" x14ac:dyDescent="0.35">
      <c r="A33" s="42" t="s">
        <v>187</v>
      </c>
    </row>
    <row r="34" spans="1:27" ht="80" customHeight="1" x14ac:dyDescent="0.35">
      <c r="A34" s="241" t="s">
        <v>188</v>
      </c>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c r="AA34" s="242"/>
    </row>
    <row r="35" spans="1:27" ht="15" customHeight="1" x14ac:dyDescent="0.35"/>
    <row r="36" spans="1:27" x14ac:dyDescent="0.35">
      <c r="A36" s="42" t="s">
        <v>189</v>
      </c>
    </row>
    <row r="37" spans="1:27" ht="95" customHeight="1" x14ac:dyDescent="0.35">
      <c r="A37" s="241" t="s">
        <v>190</v>
      </c>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c r="AA37" s="242"/>
    </row>
  </sheetData>
  <mergeCells count="2">
    <mergeCell ref="A34:AA34"/>
    <mergeCell ref="A37:AA37"/>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topLeftCell="A42" workbookViewId="0">
      <pane xSplit="1" topLeftCell="B1" activePane="topRight" state="frozen"/>
      <selection pane="topRight" activeCell="D10" sqref="D10"/>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43</v>
      </c>
      <c r="C4" s="52"/>
    </row>
    <row r="5" spans="1:4" x14ac:dyDescent="0.35">
      <c r="A5" s="51" t="s">
        <v>194</v>
      </c>
      <c r="B5" s="52">
        <f>COUNTA(Table1[subscription_id])</f>
        <v>101</v>
      </c>
      <c r="C5" s="52"/>
    </row>
    <row r="6" spans="1:4" x14ac:dyDescent="0.35">
      <c r="A6" s="51" t="s">
        <v>195</v>
      </c>
      <c r="B6" s="53">
        <f>SUM(C12:C17)</f>
        <v>144185.5</v>
      </c>
      <c r="C6" s="53"/>
    </row>
    <row r="7" spans="1:4" x14ac:dyDescent="0.35">
      <c r="A7" s="51" t="s">
        <v>196</v>
      </c>
      <c r="B7" s="53">
        <f>B6/B4</f>
        <v>3353.1511627906975</v>
      </c>
      <c r="C7" s="53"/>
    </row>
    <row r="8" spans="1:4" x14ac:dyDescent="0.35">
      <c r="A8" s="51" t="s">
        <v>197</v>
      </c>
      <c r="B8" s="53">
        <f>B6/B5</f>
        <v>1427.579207920792</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2347.2058139534884</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 t="shared" ref="E28:E33" si="1">C12</f>
        <v>3105</v>
      </c>
      <c r="F28" s="59">
        <f t="shared" ref="F28:F33" si="2">E28*C28/B28</f>
        <v>931.5</v>
      </c>
    </row>
    <row r="29" spans="1:6" x14ac:dyDescent="0.35">
      <c r="A29" s="54" t="s">
        <v>203</v>
      </c>
      <c r="B29" s="59">
        <f>Ref!B3</f>
        <v>95</v>
      </c>
      <c r="C29" s="59">
        <f>Ref!C3</f>
        <v>28.5</v>
      </c>
      <c r="D29" s="60">
        <f>Ref!D3</f>
        <v>0.7</v>
      </c>
      <c r="E29" s="59">
        <f t="shared" si="1"/>
        <v>15475.5</v>
      </c>
      <c r="F29" s="59">
        <f t="shared" si="2"/>
        <v>4642.6499999999996</v>
      </c>
    </row>
    <row r="30" spans="1:6" x14ac:dyDescent="0.35">
      <c r="A30" s="54" t="s">
        <v>204</v>
      </c>
      <c r="B30" s="59">
        <f>Ref!B4</f>
        <v>180</v>
      </c>
      <c r="C30" s="59">
        <f>Ref!C4</f>
        <v>54</v>
      </c>
      <c r="D30" s="60">
        <f>Ref!D4</f>
        <v>0.7</v>
      </c>
      <c r="E30" s="59">
        <f t="shared" si="1"/>
        <v>32580</v>
      </c>
      <c r="F30" s="59">
        <f t="shared" si="2"/>
        <v>9774</v>
      </c>
    </row>
    <row r="31" spans="1:6" x14ac:dyDescent="0.35">
      <c r="A31" s="54" t="s">
        <v>205</v>
      </c>
      <c r="B31" s="59">
        <f>Ref!B5</f>
        <v>85</v>
      </c>
      <c r="C31" s="59">
        <f>Ref!C5</f>
        <v>25.5</v>
      </c>
      <c r="D31" s="60">
        <f>Ref!D5</f>
        <v>0.7</v>
      </c>
      <c r="E31" s="59">
        <f t="shared" si="1"/>
        <v>29325</v>
      </c>
      <c r="F31" s="59">
        <f t="shared" si="2"/>
        <v>8797.5</v>
      </c>
    </row>
    <row r="32" spans="1:6" x14ac:dyDescent="0.35">
      <c r="A32" s="54" t="s">
        <v>206</v>
      </c>
      <c r="B32" s="59">
        <f>Ref!B6</f>
        <v>110</v>
      </c>
      <c r="C32" s="59">
        <f>Ref!C6</f>
        <v>33</v>
      </c>
      <c r="D32" s="60">
        <f>Ref!D6</f>
        <v>0.7</v>
      </c>
      <c r="E32" s="59">
        <f t="shared" si="1"/>
        <v>26950</v>
      </c>
      <c r="F32" s="59">
        <f t="shared" si="2"/>
        <v>8085</v>
      </c>
    </row>
    <row r="33" spans="1:6" x14ac:dyDescent="0.35">
      <c r="A33" s="54" t="s">
        <v>207</v>
      </c>
      <c r="B33" s="59">
        <f>Ref!B7</f>
        <v>150</v>
      </c>
      <c r="C33" s="59">
        <f>Ref!C7</f>
        <v>45</v>
      </c>
      <c r="D33" s="60">
        <f>Ref!D7</f>
        <v>0.7</v>
      </c>
      <c r="E33" s="59">
        <f t="shared" si="1"/>
        <v>36750</v>
      </c>
      <c r="F33" s="59">
        <f t="shared" si="2"/>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393114.91096195462</v>
      </c>
    </row>
    <row r="58" spans="1:10" x14ac:dyDescent="0.35">
      <c r="A58" s="67" t="s">
        <v>252</v>
      </c>
      <c r="B58" s="68">
        <f>B7*B23/B37</f>
        <v>275180.4376733682</v>
      </c>
    </row>
    <row r="59" spans="1:10" x14ac:dyDescent="0.35">
      <c r="A59" s="62" t="s">
        <v>253</v>
      </c>
      <c r="B59" s="66">
        <f>B7*C53*B23</f>
        <v>26953.190642250524</v>
      </c>
    </row>
    <row r="61" spans="1:10" x14ac:dyDescent="0.35">
      <c r="A61" s="62" t="s">
        <v>254</v>
      </c>
    </row>
    <row r="62" spans="1:10" ht="195.5" x14ac:dyDescent="0.35">
      <c r="A62" s="69" t="s">
        <v>255</v>
      </c>
    </row>
    <row r="64" spans="1:10" x14ac:dyDescent="0.35">
      <c r="A64" s="243" t="s">
        <v>256</v>
      </c>
      <c r="B64" s="243"/>
      <c r="C64" s="243"/>
      <c r="D64" s="243"/>
      <c r="E64" s="243"/>
      <c r="F64" s="243"/>
      <c r="G64" s="243"/>
      <c r="H64" s="243"/>
      <c r="I64" s="243"/>
      <c r="J64" s="243"/>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20.348951591318468</v>
      </c>
      <c r="C93" s="81" t="s">
        <v>293</v>
      </c>
    </row>
    <row r="94" spans="1:10" x14ac:dyDescent="0.35">
      <c r="A94" s="62" t="s">
        <v>294</v>
      </c>
      <c r="B94" s="82">
        <f>B58/B89</f>
        <v>8.1559110158081864</v>
      </c>
      <c r="C94" s="65" t="s">
        <v>293</v>
      </c>
    </row>
    <row r="95" spans="1:10" x14ac:dyDescent="0.35">
      <c r="A95" s="67" t="s">
        <v>295</v>
      </c>
      <c r="B95" s="83">
        <f>B85/B24</f>
        <v>5.7613511532248163</v>
      </c>
      <c r="C95" s="81" t="s">
        <v>296</v>
      </c>
    </row>
    <row r="96" spans="1:10" x14ac:dyDescent="0.35">
      <c r="A96" s="62" t="s">
        <v>297</v>
      </c>
      <c r="B96" s="84">
        <f>B89/B24</f>
        <v>14.374538355105056</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J28" sqref="J28"/>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billing_jan_2026</vt:lpstr>
      <vt:lpstr>billing_feb_2026</vt:lpstr>
      <vt:lpstr>bank_statement_jan_2026</vt:lpstr>
      <vt:lpstr>bank_statement_feb_2026</vt:lpstr>
      <vt:lpstr>Actuals</vt:lpstr>
      <vt:lpstr>Billing Reconciliation</vt:lpstr>
      <vt:lpstr>Historical Baseline</vt:lpstr>
      <vt:lpstr>Forecast Assumptions</vt:lpstr>
      <vt:lpstr>Jan 2026 A vs F </vt:lpstr>
      <vt:lpstr>Feb 2026 A vs F</vt:lpstr>
      <vt:lpstr>Mar 2026 A vs F</vt:lpstr>
      <vt:lpstr>2026 Forecast</vt:lpstr>
      <vt:lpstr>KPI Tracker</vt:lpstr>
      <vt:lpstr>Waterfall Data</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2026-06-12T01:37:01Z</dcterms:modified>
</cp:coreProperties>
</file>