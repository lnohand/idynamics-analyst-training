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venti\Downloads\"/>
    </mc:Choice>
  </mc:AlternateContent>
  <xr:revisionPtr revIDLastSave="0" documentId="8_{308D6CA9-34E5-43CD-A1CF-FE15D97C463E}" xr6:coauthVersionLast="47" xr6:coauthVersionMax="47" xr10:uidLastSave="{00000000-0000-0000-0000-000000000000}"/>
  <bookViews>
    <workbookView xWindow="-110" yWindow="-110" windowWidth="38620" windowHeight="21100" activeTab="7" xr2:uid="{478EB4B8-AD5C-4CEB-8AE6-EDB91D22A2E1}"/>
  </bookViews>
  <sheets>
    <sheet name="Raw Snapshot" sheetId="9" r:id="rId1"/>
    <sheet name="Raw Events" sheetId="8" r:id="rId2"/>
    <sheet name="Raw Cash" sheetId="10" r:id="rId3"/>
    <sheet name="Ref" sheetId="4" r:id="rId4"/>
    <sheet name="Engine" sheetId="5" r:id="rId5"/>
    <sheet name="Waterfall" sheetId="6" r:id="rId6"/>
    <sheet name="Growth" sheetId="11" r:id="rId7"/>
    <sheet name="Retention"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2" l="1"/>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B18" i="12"/>
  <c r="C18" i="12"/>
  <c r="D18" i="12"/>
  <c r="E18" i="12"/>
  <c r="F18" i="12"/>
  <c r="G18" i="12"/>
  <c r="H18" i="12"/>
  <c r="I18" i="12"/>
  <c r="J18" i="12"/>
  <c r="K18" i="12"/>
  <c r="L18" i="12"/>
  <c r="M18" i="12"/>
  <c r="N18" i="12"/>
  <c r="O18" i="12"/>
  <c r="P18" i="12"/>
  <c r="Q18" i="12"/>
  <c r="R18" i="12"/>
  <c r="S18" i="12"/>
  <c r="T18" i="12"/>
  <c r="U18" i="12"/>
  <c r="V18" i="12"/>
  <c r="W18" i="12"/>
  <c r="X18" i="12"/>
  <c r="Y18" i="12"/>
  <c r="Z18" i="12"/>
  <c r="AA18" i="12"/>
  <c r="B12" i="12"/>
  <c r="C12" i="12"/>
  <c r="D12" i="12"/>
  <c r="E12" i="12"/>
  <c r="F12" i="12"/>
  <c r="G12" i="12"/>
  <c r="H12" i="12"/>
  <c r="I12" i="12"/>
  <c r="J12" i="12"/>
  <c r="K12" i="12"/>
  <c r="L12" i="12"/>
  <c r="M12" i="12"/>
  <c r="N12" i="12"/>
  <c r="O12" i="12"/>
  <c r="P12" i="12"/>
  <c r="Q12" i="12"/>
  <c r="R12" i="12"/>
  <c r="S12" i="12"/>
  <c r="T12" i="12"/>
  <c r="U12" i="12"/>
  <c r="V12" i="12"/>
  <c r="W12" i="12"/>
  <c r="X12" i="12"/>
  <c r="Y12" i="12"/>
  <c r="Z12" i="12"/>
  <c r="AA12" i="12"/>
  <c r="B11"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B7" i="12"/>
  <c r="C7" i="12"/>
  <c r="D7" i="12"/>
  <c r="E7" i="12"/>
  <c r="F7" i="12"/>
  <c r="G7" i="12"/>
  <c r="H7" i="12"/>
  <c r="I7" i="12"/>
  <c r="J7" i="12"/>
  <c r="K7" i="12"/>
  <c r="L7" i="12"/>
  <c r="M7" i="12"/>
  <c r="N7" i="12"/>
  <c r="O7" i="12"/>
  <c r="P7" i="12"/>
  <c r="Q7" i="12"/>
  <c r="R7" i="12"/>
  <c r="S7" i="12"/>
  <c r="T7" i="12"/>
  <c r="U7" i="12"/>
  <c r="V7" i="12"/>
  <c r="W7" i="12"/>
  <c r="X7" i="12"/>
  <c r="Y7" i="12"/>
  <c r="AA26" i="12" s="1"/>
  <c r="Z7" i="12"/>
  <c r="AA30" i="12" s="1"/>
  <c r="AA7" i="12"/>
  <c r="B6" i="12"/>
  <c r="C6" i="12"/>
  <c r="D6" i="12"/>
  <c r="E6" i="12"/>
  <c r="F6" i="12"/>
  <c r="G6" i="12"/>
  <c r="H6" i="12"/>
  <c r="I6" i="12"/>
  <c r="J6" i="12"/>
  <c r="K6" i="12"/>
  <c r="L6" i="12"/>
  <c r="M6" i="12"/>
  <c r="N6" i="12"/>
  <c r="O6" i="12"/>
  <c r="P6" i="12"/>
  <c r="Q6" i="12"/>
  <c r="R6" i="12"/>
  <c r="S6" i="12"/>
  <c r="T6" i="12"/>
  <c r="U6" i="12"/>
  <c r="V6" i="12"/>
  <c r="W6" i="12"/>
  <c r="X6" i="12"/>
  <c r="Y6" i="12"/>
  <c r="Z6" i="12"/>
  <c r="AA6" i="12"/>
  <c r="AA31" i="12"/>
  <c r="Z31" i="12"/>
  <c r="Y31" i="12"/>
  <c r="X31" i="12"/>
  <c r="W31" i="12"/>
  <c r="V31" i="12"/>
  <c r="U31" i="12"/>
  <c r="T31" i="12"/>
  <c r="S31" i="12"/>
  <c r="R31" i="12"/>
  <c r="Q31" i="12"/>
  <c r="P31" i="12"/>
  <c r="O31" i="12"/>
  <c r="N31" i="12"/>
  <c r="M31" i="12"/>
  <c r="L31" i="12"/>
  <c r="K31" i="12"/>
  <c r="J31" i="12"/>
  <c r="I31" i="12"/>
  <c r="H31" i="12"/>
  <c r="G31" i="12"/>
  <c r="F31" i="12"/>
  <c r="E31" i="12"/>
  <c r="D31" i="12"/>
  <c r="C31" i="12"/>
  <c r="B31" i="12"/>
  <c r="Z30" i="12"/>
  <c r="Y30" i="12"/>
  <c r="X30" i="12"/>
  <c r="W30" i="12"/>
  <c r="V30" i="12"/>
  <c r="U30" i="12"/>
  <c r="T30" i="12"/>
  <c r="S30" i="12"/>
  <c r="R30" i="12"/>
  <c r="Q30" i="12"/>
  <c r="P30" i="12"/>
  <c r="O30" i="12"/>
  <c r="N30" i="12"/>
  <c r="M30" i="12"/>
  <c r="L30" i="12"/>
  <c r="K30" i="12"/>
  <c r="J30" i="12"/>
  <c r="I30" i="12"/>
  <c r="H30" i="12"/>
  <c r="G30" i="12"/>
  <c r="F30" i="12"/>
  <c r="E30" i="12"/>
  <c r="D30" i="12"/>
  <c r="C30" i="12"/>
  <c r="B30" i="12"/>
  <c r="AA29" i="12"/>
  <c r="Z29" i="12"/>
  <c r="Y29" i="12"/>
  <c r="X29" i="12"/>
  <c r="W29" i="12"/>
  <c r="V29" i="12"/>
  <c r="U29" i="12"/>
  <c r="T29" i="12"/>
  <c r="S29" i="12"/>
  <c r="R29" i="12"/>
  <c r="E29" i="12"/>
  <c r="D29" i="12"/>
  <c r="C29" i="12"/>
  <c r="B29" i="12"/>
  <c r="B26" i="12"/>
  <c r="Y25" i="12"/>
  <c r="X25" i="12"/>
  <c r="W25" i="12"/>
  <c r="V25" i="12"/>
  <c r="U25" i="12"/>
  <c r="T25" i="12"/>
  <c r="S25" i="12"/>
  <c r="R25" i="12"/>
  <c r="Q25" i="12"/>
  <c r="P25" i="12"/>
  <c r="O25" i="12"/>
  <c r="N25" i="12"/>
  <c r="M25" i="12"/>
  <c r="L25" i="12"/>
  <c r="K25" i="12"/>
  <c r="J25" i="12"/>
  <c r="I25" i="12"/>
  <c r="E25" i="12"/>
  <c r="D25" i="12"/>
  <c r="C25" i="12"/>
  <c r="B25" i="12"/>
  <c r="AA24" i="12"/>
  <c r="Z24" i="12"/>
  <c r="Y24" i="12"/>
  <c r="X24" i="12"/>
  <c r="W24" i="12"/>
  <c r="V24" i="12"/>
  <c r="U24" i="12"/>
  <c r="T24" i="12"/>
  <c r="B19" i="12"/>
  <c r="V98" i="5"/>
  <c r="V97" i="5"/>
  <c r="V96" i="5"/>
  <c r="V95" i="5"/>
  <c r="V94" i="5"/>
  <c r="V93" i="5"/>
  <c r="V92" i="5"/>
  <c r="V91" i="5"/>
  <c r="V90" i="5"/>
  <c r="V89" i="5"/>
  <c r="V88" i="5"/>
  <c r="V87" i="5"/>
  <c r="V86" i="5"/>
  <c r="V85" i="5"/>
  <c r="V84" i="5"/>
  <c r="V83" i="5"/>
  <c r="V82" i="5"/>
  <c r="V81" i="5"/>
  <c r="V80" i="5"/>
  <c r="V79" i="5"/>
  <c r="V78" i="5"/>
  <c r="V77" i="5"/>
  <c r="V76" i="5"/>
  <c r="V75" i="5"/>
  <c r="V74" i="5"/>
  <c r="V73" i="5"/>
  <c r="V72" i="5"/>
  <c r="V71" i="5"/>
  <c r="V70" i="5"/>
  <c r="V69" i="5"/>
  <c r="V68" i="5"/>
  <c r="V67" i="5"/>
  <c r="V66" i="5"/>
  <c r="V65" i="5"/>
  <c r="V64" i="5"/>
  <c r="V63" i="5"/>
  <c r="V62" i="5"/>
  <c r="V61" i="5"/>
  <c r="V60" i="5"/>
  <c r="V59" i="5"/>
  <c r="V58" i="5"/>
  <c r="V57" i="5"/>
  <c r="V56" i="5"/>
  <c r="V55" i="5"/>
  <c r="V54" i="5"/>
  <c r="V53" i="5"/>
  <c r="V52" i="5"/>
  <c r="V51" i="5"/>
  <c r="V50" i="5"/>
  <c r="V49" i="5"/>
  <c r="V48" i="5"/>
  <c r="V47" i="5"/>
  <c r="V46" i="5"/>
  <c r="V45" i="5"/>
  <c r="V44" i="5"/>
  <c r="V43" i="5"/>
  <c r="V42" i="5"/>
  <c r="V41" i="5"/>
  <c r="V40"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V8" i="5"/>
  <c r="V7" i="5"/>
  <c r="V6" i="5"/>
  <c r="V5" i="5"/>
  <c r="V4" i="5"/>
  <c r="V3" i="5"/>
  <c r="V2" i="5"/>
  <c r="U98" i="5"/>
  <c r="T98" i="5"/>
  <c r="U97" i="5"/>
  <c r="T97" i="5"/>
  <c r="U96" i="5"/>
  <c r="T96" i="5"/>
  <c r="U95" i="5"/>
  <c r="T95" i="5"/>
  <c r="U94" i="5"/>
  <c r="T94" i="5"/>
  <c r="U93" i="5"/>
  <c r="T93" i="5"/>
  <c r="U92" i="5"/>
  <c r="T92" i="5"/>
  <c r="U91" i="5"/>
  <c r="T91" i="5"/>
  <c r="U90" i="5"/>
  <c r="T90" i="5"/>
  <c r="U89" i="5"/>
  <c r="T89" i="5"/>
  <c r="U88" i="5"/>
  <c r="T88" i="5"/>
  <c r="U87" i="5"/>
  <c r="T87" i="5"/>
  <c r="U86" i="5"/>
  <c r="T86" i="5"/>
  <c r="U85" i="5"/>
  <c r="T85" i="5"/>
  <c r="U84" i="5"/>
  <c r="T84" i="5"/>
  <c r="U83" i="5"/>
  <c r="T83" i="5"/>
  <c r="U82" i="5"/>
  <c r="T82" i="5"/>
  <c r="U81" i="5"/>
  <c r="T81" i="5"/>
  <c r="U80" i="5"/>
  <c r="T80" i="5"/>
  <c r="U79" i="5"/>
  <c r="T79" i="5"/>
  <c r="U78" i="5"/>
  <c r="T78" i="5"/>
  <c r="U77" i="5"/>
  <c r="T77" i="5"/>
  <c r="U76" i="5"/>
  <c r="T76" i="5"/>
  <c r="U75" i="5"/>
  <c r="T75" i="5"/>
  <c r="U74" i="5"/>
  <c r="T74" i="5"/>
  <c r="U73" i="5"/>
  <c r="T73" i="5"/>
  <c r="U72" i="5"/>
  <c r="T72" i="5"/>
  <c r="U71" i="5"/>
  <c r="T71" i="5"/>
  <c r="U70" i="5"/>
  <c r="T70" i="5"/>
  <c r="U69" i="5"/>
  <c r="T69" i="5"/>
  <c r="U68" i="5"/>
  <c r="T68" i="5"/>
  <c r="U67" i="5"/>
  <c r="T67" i="5"/>
  <c r="U66" i="5"/>
  <c r="T66" i="5"/>
  <c r="U65" i="5"/>
  <c r="T65" i="5"/>
  <c r="U64" i="5"/>
  <c r="T64" i="5"/>
  <c r="U63" i="5"/>
  <c r="T63" i="5"/>
  <c r="U62" i="5"/>
  <c r="T62" i="5"/>
  <c r="U61" i="5"/>
  <c r="T61" i="5"/>
  <c r="U60" i="5"/>
  <c r="T60" i="5"/>
  <c r="U59" i="5"/>
  <c r="T59" i="5"/>
  <c r="U58" i="5"/>
  <c r="T58" i="5"/>
  <c r="U57" i="5"/>
  <c r="T57" i="5"/>
  <c r="U56" i="5"/>
  <c r="T56" i="5"/>
  <c r="U55" i="5"/>
  <c r="T55" i="5"/>
  <c r="U54" i="5"/>
  <c r="T54" i="5"/>
  <c r="U53" i="5"/>
  <c r="T53" i="5"/>
  <c r="U52" i="5"/>
  <c r="T52" i="5"/>
  <c r="U51" i="5"/>
  <c r="T51" i="5"/>
  <c r="U50" i="5"/>
  <c r="T50" i="5"/>
  <c r="U49" i="5"/>
  <c r="T49" i="5"/>
  <c r="U48" i="5"/>
  <c r="T48" i="5"/>
  <c r="U47" i="5"/>
  <c r="T47" i="5"/>
  <c r="U46" i="5"/>
  <c r="T46" i="5"/>
  <c r="U45" i="5"/>
  <c r="T45" i="5"/>
  <c r="U44" i="5"/>
  <c r="T44" i="5"/>
  <c r="U43" i="5"/>
  <c r="T43" i="5"/>
  <c r="U42" i="5"/>
  <c r="T42" i="5"/>
  <c r="U41" i="5"/>
  <c r="T41" i="5"/>
  <c r="U40" i="5"/>
  <c r="T40" i="5"/>
  <c r="U39" i="5"/>
  <c r="T39" i="5"/>
  <c r="U38" i="5"/>
  <c r="T38" i="5"/>
  <c r="U37" i="5"/>
  <c r="T37" i="5"/>
  <c r="U36" i="5"/>
  <c r="T36" i="5"/>
  <c r="U35" i="5"/>
  <c r="T35" i="5"/>
  <c r="U34" i="5"/>
  <c r="T34" i="5"/>
  <c r="U33" i="5"/>
  <c r="T33" i="5"/>
  <c r="U32" i="5"/>
  <c r="T32" i="5"/>
  <c r="U31" i="5"/>
  <c r="T31" i="5"/>
  <c r="U30" i="5"/>
  <c r="T30" i="5"/>
  <c r="U29" i="5"/>
  <c r="T29" i="5"/>
  <c r="U28" i="5"/>
  <c r="T28" i="5"/>
  <c r="U27" i="5"/>
  <c r="T27" i="5"/>
  <c r="U26" i="5"/>
  <c r="T26" i="5"/>
  <c r="U25" i="5"/>
  <c r="T25" i="5"/>
  <c r="U24" i="5"/>
  <c r="T24" i="5"/>
  <c r="U23" i="5"/>
  <c r="T23" i="5"/>
  <c r="U22" i="5"/>
  <c r="T22" i="5"/>
  <c r="U21" i="5"/>
  <c r="T21" i="5"/>
  <c r="U20" i="5"/>
  <c r="T20" i="5"/>
  <c r="U19" i="5"/>
  <c r="T19" i="5"/>
  <c r="U18" i="5"/>
  <c r="T18" i="5"/>
  <c r="U17" i="5"/>
  <c r="T17" i="5"/>
  <c r="U16" i="5"/>
  <c r="T16" i="5"/>
  <c r="U15" i="5"/>
  <c r="T15" i="5"/>
  <c r="U14" i="5"/>
  <c r="T14" i="5"/>
  <c r="U13" i="5"/>
  <c r="T13" i="5"/>
  <c r="U12" i="5"/>
  <c r="T12" i="5"/>
  <c r="U11" i="5"/>
  <c r="T11" i="5"/>
  <c r="U10" i="5"/>
  <c r="T10" i="5"/>
  <c r="U9" i="5"/>
  <c r="T9" i="5"/>
  <c r="U8" i="5"/>
  <c r="T8" i="5"/>
  <c r="U7" i="5"/>
  <c r="T7" i="5"/>
  <c r="U6" i="5"/>
  <c r="T6" i="5"/>
  <c r="U5" i="5"/>
  <c r="T5" i="5"/>
  <c r="U4" i="5"/>
  <c r="T4" i="5"/>
  <c r="U3" i="5"/>
  <c r="T3" i="5"/>
  <c r="U2" i="5"/>
  <c r="T2" i="5"/>
  <c r="Z26" i="12"/>
  <c r="Y26" i="12"/>
  <c r="X26" i="12"/>
  <c r="W26" i="12"/>
  <c r="V26" i="12"/>
  <c r="U26" i="12"/>
  <c r="T26" i="12"/>
  <c r="S26" i="12"/>
  <c r="R26" i="12"/>
  <c r="Q26" i="12"/>
  <c r="P26" i="12"/>
  <c r="O26" i="12"/>
  <c r="N26" i="12"/>
  <c r="M26" i="12"/>
  <c r="L26" i="12"/>
  <c r="K26" i="12"/>
  <c r="J26" i="12"/>
  <c r="I26" i="12"/>
  <c r="H26" i="12"/>
  <c r="G26" i="12"/>
  <c r="F26" i="12"/>
  <c r="E26" i="12"/>
  <c r="AA25" i="12"/>
  <c r="Z25" i="12"/>
  <c r="AA5" i="12"/>
  <c r="Z5" i="12"/>
  <c r="Y5" i="12"/>
  <c r="X5" i="12"/>
  <c r="W5" i="12"/>
  <c r="V5" i="12"/>
  <c r="U5" i="12"/>
  <c r="T5" i="12"/>
  <c r="S5" i="12"/>
  <c r="R5" i="12"/>
  <c r="Q5" i="12"/>
  <c r="P5" i="12"/>
  <c r="O5" i="12"/>
  <c r="N5" i="12"/>
  <c r="M5" i="12"/>
  <c r="L5" i="12"/>
  <c r="K5" i="12"/>
  <c r="J5" i="12"/>
  <c r="I5" i="12"/>
  <c r="H5" i="12"/>
  <c r="G5" i="12"/>
  <c r="F5" i="12"/>
  <c r="E5" i="12"/>
  <c r="D5" i="12"/>
  <c r="C5" i="12"/>
  <c r="B5" i="12"/>
  <c r="AA4" i="12"/>
  <c r="Z4" i="12"/>
  <c r="Y4" i="12"/>
  <c r="X4" i="12"/>
  <c r="W4" i="12"/>
  <c r="V4" i="12"/>
  <c r="U4" i="12"/>
  <c r="T4" i="12"/>
  <c r="S4" i="12"/>
  <c r="R4" i="12"/>
  <c r="Q4" i="12"/>
  <c r="P4" i="12"/>
  <c r="O4" i="12"/>
  <c r="N4" i="12"/>
  <c r="M4" i="12"/>
  <c r="L4" i="12"/>
  <c r="K4" i="12"/>
  <c r="J4" i="12"/>
  <c r="I4" i="12"/>
  <c r="H4" i="12"/>
  <c r="G4" i="12"/>
  <c r="F4" i="12"/>
  <c r="E4" i="12"/>
  <c r="D4" i="12"/>
  <c r="C4" i="12"/>
  <c r="B4" i="12"/>
  <c r="B21" i="11"/>
  <c r="O12"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E16" i="11"/>
  <c r="G16" i="11"/>
  <c r="I16" i="11"/>
  <c r="J16" i="11"/>
  <c r="N15" i="11"/>
  <c r="O15" i="11"/>
  <c r="P15" i="11"/>
  <c r="Q15" i="11"/>
  <c r="R15" i="11"/>
  <c r="S15" i="11"/>
  <c r="T15" i="11"/>
  <c r="U15" i="11"/>
  <c r="V15" i="11"/>
  <c r="W15" i="11"/>
  <c r="X15" i="11"/>
  <c r="Y15" i="11"/>
  <c r="Z15" i="11"/>
  <c r="AA15" i="11"/>
  <c r="H14" i="11"/>
  <c r="I14" i="11"/>
  <c r="J14" i="11"/>
  <c r="K14" i="11"/>
  <c r="L14" i="11"/>
  <c r="M14" i="11"/>
  <c r="N14" i="11"/>
  <c r="O14" i="11"/>
  <c r="P14" i="11"/>
  <c r="Q14" i="11"/>
  <c r="R14" i="11"/>
  <c r="S14" i="11"/>
  <c r="T14" i="11"/>
  <c r="U14" i="11"/>
  <c r="V14" i="11"/>
  <c r="W14" i="11"/>
  <c r="X14" i="11"/>
  <c r="Y14" i="11"/>
  <c r="Z14" i="11"/>
  <c r="AA14" i="11"/>
  <c r="N12" i="11"/>
  <c r="P12" i="11"/>
  <c r="Q12" i="11"/>
  <c r="R12" i="11"/>
  <c r="S12" i="11"/>
  <c r="T12" i="11"/>
  <c r="U12" i="11"/>
  <c r="V12" i="11"/>
  <c r="W12" i="11"/>
  <c r="X12" i="11"/>
  <c r="Y12" i="11"/>
  <c r="Z12" i="11"/>
  <c r="AA12" i="11"/>
  <c r="C11" i="11"/>
  <c r="D11" i="11"/>
  <c r="F16" i="11" s="1"/>
  <c r="E11" i="11"/>
  <c r="F11" i="11"/>
  <c r="H16" i="11" s="1"/>
  <c r="G11" i="11"/>
  <c r="H11" i="11"/>
  <c r="I11" i="11"/>
  <c r="K16" i="11" s="1"/>
  <c r="J11" i="11"/>
  <c r="L16" i="11" s="1"/>
  <c r="K11" i="11"/>
  <c r="M16" i="11" s="1"/>
  <c r="L11" i="11"/>
  <c r="N16" i="11" s="1"/>
  <c r="M11" i="11"/>
  <c r="O16" i="11" s="1"/>
  <c r="N11" i="11"/>
  <c r="P16" i="11" s="1"/>
  <c r="O11" i="11"/>
  <c r="Q16" i="11" s="1"/>
  <c r="P11" i="11"/>
  <c r="R16" i="11" s="1"/>
  <c r="Q11" i="11"/>
  <c r="S16" i="11" s="1"/>
  <c r="R11" i="11"/>
  <c r="T16" i="11" s="1"/>
  <c r="S11" i="11"/>
  <c r="U16" i="11" s="1"/>
  <c r="T11" i="11"/>
  <c r="V16" i="11" s="1"/>
  <c r="U11" i="11"/>
  <c r="W16" i="11" s="1"/>
  <c r="V11" i="11"/>
  <c r="X16" i="11" s="1"/>
  <c r="W11" i="11"/>
  <c r="Y16" i="11" s="1"/>
  <c r="X11" i="11"/>
  <c r="Z16" i="11" s="1"/>
  <c r="Y11" i="11"/>
  <c r="AA16" i="11" s="1"/>
  <c r="Z11" i="11"/>
  <c r="AA11" i="11"/>
  <c r="B8" i="11"/>
  <c r="C8" i="11" s="1"/>
  <c r="D8" i="11" s="1"/>
  <c r="E8" i="11" s="1"/>
  <c r="F8" i="11" s="1"/>
  <c r="G8" i="11" s="1"/>
  <c r="H8" i="11" s="1"/>
  <c r="I8" i="11" s="1"/>
  <c r="J8" i="11" s="1"/>
  <c r="K8" i="11" s="1"/>
  <c r="L8" i="11" s="1"/>
  <c r="M8" i="11" s="1"/>
  <c r="N8" i="11" s="1"/>
  <c r="O8" i="11" s="1"/>
  <c r="P8" i="11" s="1"/>
  <c r="Q8" i="11" s="1"/>
  <c r="R8" i="11" s="1"/>
  <c r="S8" i="11" s="1"/>
  <c r="T8" i="11" s="1"/>
  <c r="U8" i="11" s="1"/>
  <c r="V8" i="11" s="1"/>
  <c r="W8" i="11" s="1"/>
  <c r="X8" i="11" s="1"/>
  <c r="Y8" i="11" s="1"/>
  <c r="Z8" i="11" s="1"/>
  <c r="AA8" i="11" s="1"/>
  <c r="B7" i="11"/>
  <c r="C7" i="11"/>
  <c r="D7" i="11"/>
  <c r="E7" i="11"/>
  <c r="F7" i="11"/>
  <c r="G7" i="11"/>
  <c r="H7" i="11"/>
  <c r="I7" i="11"/>
  <c r="J7" i="11"/>
  <c r="K7" i="11"/>
  <c r="L7" i="11"/>
  <c r="M7" i="11"/>
  <c r="N7" i="11"/>
  <c r="O7" i="11"/>
  <c r="P7" i="11"/>
  <c r="Q7" i="11"/>
  <c r="R7" i="11"/>
  <c r="S7" i="11"/>
  <c r="T7" i="11"/>
  <c r="U7" i="11"/>
  <c r="V7" i="11"/>
  <c r="W7" i="11"/>
  <c r="X7" i="11"/>
  <c r="Y7" i="11"/>
  <c r="Z7" i="11"/>
  <c r="AA7" i="11"/>
  <c r="B6" i="11"/>
  <c r="C6" i="11"/>
  <c r="D6" i="11"/>
  <c r="E6" i="11"/>
  <c r="F6" i="11"/>
  <c r="G6" i="11"/>
  <c r="H6" i="11"/>
  <c r="I6" i="11"/>
  <c r="J6" i="11"/>
  <c r="K6" i="11"/>
  <c r="L6" i="11"/>
  <c r="M6" i="11"/>
  <c r="N6" i="11"/>
  <c r="O6" i="11"/>
  <c r="P6" i="11"/>
  <c r="Q6" i="11"/>
  <c r="R6" i="11"/>
  <c r="S6" i="11"/>
  <c r="T6" i="11"/>
  <c r="U6" i="11"/>
  <c r="V6" i="11"/>
  <c r="W6" i="11"/>
  <c r="X6" i="11"/>
  <c r="Y6" i="11"/>
  <c r="Z6" i="11"/>
  <c r="AA6" i="11"/>
  <c r="B5" i="11"/>
  <c r="C5" i="11"/>
  <c r="D5" i="11"/>
  <c r="E5" i="11"/>
  <c r="F5" i="11"/>
  <c r="G5" i="11"/>
  <c r="H5" i="11"/>
  <c r="I5" i="11"/>
  <c r="J5" i="11"/>
  <c r="K5" i="11"/>
  <c r="L5" i="11"/>
  <c r="M5" i="11"/>
  <c r="N5" i="11"/>
  <c r="O5" i="11"/>
  <c r="P5" i="11"/>
  <c r="Q5" i="11"/>
  <c r="R5" i="11"/>
  <c r="S5" i="11"/>
  <c r="T5" i="11"/>
  <c r="U5" i="11"/>
  <c r="V5" i="11"/>
  <c r="W5" i="11"/>
  <c r="X5" i="11"/>
  <c r="Y5" i="11"/>
  <c r="Z5" i="11"/>
  <c r="AA5" i="11"/>
  <c r="B4" i="11"/>
  <c r="C4" i="11"/>
  <c r="D4" i="11"/>
  <c r="E4" i="11"/>
  <c r="F4" i="11"/>
  <c r="G4" i="11"/>
  <c r="H4" i="11"/>
  <c r="I4" i="11"/>
  <c r="J4" i="11"/>
  <c r="K4" i="11"/>
  <c r="L4" i="11"/>
  <c r="M4" i="11"/>
  <c r="N4" i="11"/>
  <c r="O4" i="11"/>
  <c r="P4" i="11"/>
  <c r="Q4" i="11"/>
  <c r="R4" i="11"/>
  <c r="S4" i="11"/>
  <c r="T4" i="11"/>
  <c r="U4" i="11"/>
  <c r="V4" i="11"/>
  <c r="W4" i="11"/>
  <c r="X4" i="11"/>
  <c r="Y4" i="11"/>
  <c r="Z4" i="11"/>
  <c r="AA4" i="11"/>
  <c r="S3" i="5" a="1"/>
  <c r="S3" i="5"/>
  <c r="S4" i="5" a="1"/>
  <c r="S4" i="5" s="1"/>
  <c r="S5" i="5" a="1"/>
  <c r="S5" i="5" s="1"/>
  <c r="S6" i="5" a="1"/>
  <c r="S6" i="5" s="1"/>
  <c r="S7" i="5" a="1"/>
  <c r="S7" i="5"/>
  <c r="S8" i="5" a="1"/>
  <c r="S8" i="5"/>
  <c r="S9" i="5" a="1"/>
  <c r="S9" i="5" s="1"/>
  <c r="S10" i="5" a="1"/>
  <c r="S10" i="5" s="1"/>
  <c r="S11" i="5" a="1"/>
  <c r="S11" i="5"/>
  <c r="S12" i="5" a="1"/>
  <c r="S12" i="5" s="1"/>
  <c r="S13" i="5" a="1"/>
  <c r="S13" i="5" s="1"/>
  <c r="S14" i="5" a="1"/>
  <c r="S14" i="5" s="1"/>
  <c r="S15" i="5" a="1"/>
  <c r="S15" i="5" s="1"/>
  <c r="S16" i="5" a="1"/>
  <c r="S16" i="5" s="1"/>
  <c r="S17" i="5" a="1"/>
  <c r="S17" i="5" s="1"/>
  <c r="S18" i="5" a="1"/>
  <c r="S18" i="5" s="1"/>
  <c r="S19" i="5" a="1"/>
  <c r="S19" i="5" s="1"/>
  <c r="S20" i="5" a="1"/>
  <c r="S20" i="5" s="1"/>
  <c r="S21" i="5" a="1"/>
  <c r="S21" i="5" s="1"/>
  <c r="S22" i="5" a="1"/>
  <c r="S22" i="5" s="1"/>
  <c r="S23" i="5" a="1"/>
  <c r="S23" i="5" s="1"/>
  <c r="S24" i="5" a="1"/>
  <c r="S24" i="5" s="1"/>
  <c r="S25" i="5" a="1"/>
  <c r="S25" i="5" s="1"/>
  <c r="S26" i="5" a="1"/>
  <c r="S26" i="5" s="1"/>
  <c r="S27" i="5" a="1"/>
  <c r="S27" i="5"/>
  <c r="S28" i="5" a="1"/>
  <c r="S28" i="5"/>
  <c r="S29" i="5" a="1"/>
  <c r="S29" i="5"/>
  <c r="S30" i="5" a="1"/>
  <c r="S30" i="5"/>
  <c r="S31" i="5" a="1"/>
  <c r="S31" i="5"/>
  <c r="S32" i="5" a="1"/>
  <c r="S32" i="5"/>
  <c r="S33" i="5" a="1"/>
  <c r="S33" i="5"/>
  <c r="S34" i="5" a="1"/>
  <c r="S34" i="5"/>
  <c r="S35" i="5" a="1"/>
  <c r="S35" i="5" s="1"/>
  <c r="S36" i="5" a="1"/>
  <c r="S36" i="5"/>
  <c r="S37" i="5" a="1"/>
  <c r="S37" i="5" s="1"/>
  <c r="S38" i="5" a="1"/>
  <c r="S38" i="5" s="1"/>
  <c r="S39" i="5" a="1"/>
  <c r="S39" i="5" s="1"/>
  <c r="S40" i="5" a="1"/>
  <c r="S40" i="5" s="1"/>
  <c r="S41" i="5" a="1"/>
  <c r="S41" i="5" s="1"/>
  <c r="S42" i="5" a="1"/>
  <c r="S42" i="5" s="1"/>
  <c r="S43" i="5" a="1"/>
  <c r="S43" i="5" s="1"/>
  <c r="S44" i="5" a="1"/>
  <c r="S44" i="5" s="1"/>
  <c r="S45" i="5" a="1"/>
  <c r="S45" i="5"/>
  <c r="S46" i="5" a="1"/>
  <c r="S46" i="5"/>
  <c r="S47" i="5" a="1"/>
  <c r="S47" i="5"/>
  <c r="S48" i="5" a="1"/>
  <c r="S48" i="5"/>
  <c r="S49" i="5" a="1"/>
  <c r="S49" i="5"/>
  <c r="S50" i="5" a="1"/>
  <c r="S50" i="5"/>
  <c r="S51" i="5" a="1"/>
  <c r="S51" i="5" s="1"/>
  <c r="S52" i="5" a="1"/>
  <c r="S52" i="5"/>
  <c r="S53" i="5" a="1"/>
  <c r="S53" i="5"/>
  <c r="S54" i="5" a="1"/>
  <c r="S54" i="5"/>
  <c r="S55" i="5" a="1"/>
  <c r="S55" i="5"/>
  <c r="S56" i="5" a="1"/>
  <c r="S56" i="5" s="1"/>
  <c r="S57" i="5" a="1"/>
  <c r="S57" i="5"/>
  <c r="S58" i="5" a="1"/>
  <c r="S58" i="5" s="1"/>
  <c r="S59" i="5" a="1"/>
  <c r="S59" i="5"/>
  <c r="S60" i="5" a="1"/>
  <c r="S60" i="5" s="1"/>
  <c r="S61" i="5" a="1"/>
  <c r="S61" i="5" s="1"/>
  <c r="S62" i="5" a="1"/>
  <c r="S62" i="5" s="1"/>
  <c r="S63" i="5" a="1"/>
  <c r="S63" i="5" s="1"/>
  <c r="S64" i="5" a="1"/>
  <c r="S64" i="5"/>
  <c r="S65" i="5" a="1"/>
  <c r="S65" i="5" s="1"/>
  <c r="S66" i="5" a="1"/>
  <c r="S66" i="5" s="1"/>
  <c r="S67" i="5" a="1"/>
  <c r="S67" i="5" s="1"/>
  <c r="S68" i="5" a="1"/>
  <c r="S68" i="5" s="1"/>
  <c r="S69" i="5" a="1"/>
  <c r="S69" i="5" s="1"/>
  <c r="S70" i="5" a="1"/>
  <c r="S70" i="5" s="1"/>
  <c r="S71" i="5" a="1"/>
  <c r="S71" i="5" s="1"/>
  <c r="S72" i="5" a="1"/>
  <c r="S72" i="5"/>
  <c r="S73" i="5" a="1"/>
  <c r="S73" i="5" s="1"/>
  <c r="S74" i="5" a="1"/>
  <c r="S74" i="5" s="1"/>
  <c r="S75" i="5" a="1"/>
  <c r="S75" i="5"/>
  <c r="S76" i="5" a="1"/>
  <c r="S76" i="5"/>
  <c r="S77" i="5" a="1"/>
  <c r="S77" i="5" s="1"/>
  <c r="S78" i="5" a="1"/>
  <c r="S78" i="5" s="1"/>
  <c r="S79" i="5" a="1"/>
  <c r="S79" i="5"/>
  <c r="S80" i="5" a="1"/>
  <c r="S80" i="5"/>
  <c r="S81" i="5" a="1"/>
  <c r="S81" i="5"/>
  <c r="S82" i="5" a="1"/>
  <c r="S82" i="5"/>
  <c r="S83" i="5" a="1"/>
  <c r="S83" i="5"/>
  <c r="S84" i="5" a="1"/>
  <c r="S84" i="5"/>
  <c r="S85" i="5" a="1"/>
  <c r="S85" i="5"/>
  <c r="S86" i="5" a="1"/>
  <c r="S86" i="5"/>
  <c r="S87" i="5" a="1"/>
  <c r="S87" i="5"/>
  <c r="S88" i="5" a="1"/>
  <c r="S88" i="5" s="1"/>
  <c r="S89" i="5" a="1"/>
  <c r="S89" i="5" s="1"/>
  <c r="S90" i="5" a="1"/>
  <c r="S90" i="5"/>
  <c r="S91" i="5" a="1"/>
  <c r="S91" i="5"/>
  <c r="S92" i="5" a="1"/>
  <c r="S92" i="5"/>
  <c r="S93" i="5" a="1"/>
  <c r="S93" i="5"/>
  <c r="S94" i="5" a="1"/>
  <c r="S94" i="5"/>
  <c r="S95" i="5" a="1"/>
  <c r="S95" i="5"/>
  <c r="S96" i="5" a="1"/>
  <c r="S96" i="5"/>
  <c r="S97" i="5" a="1"/>
  <c r="S97" i="5"/>
  <c r="S98" i="5" a="1"/>
  <c r="S98" i="5"/>
  <c r="S2" i="5" a="1"/>
  <c r="S2" i="5" s="1"/>
  <c r="F28" i="6"/>
  <c r="B31" i="6"/>
  <c r="B3" i="6"/>
  <c r="R3" i="5" a="1"/>
  <c r="R3" i="5" s="1"/>
  <c r="R4" i="5" a="1"/>
  <c r="R4" i="5" s="1"/>
  <c r="R5" i="5" a="1"/>
  <c r="R5" i="5" s="1"/>
  <c r="R6" i="5" a="1"/>
  <c r="R6" i="5" s="1"/>
  <c r="R7" i="5" a="1"/>
  <c r="R7" i="5" s="1"/>
  <c r="R8" i="5" a="1"/>
  <c r="R8" i="5"/>
  <c r="R9" i="5" a="1"/>
  <c r="R9" i="5"/>
  <c r="R10" i="5" a="1"/>
  <c r="R10" i="5"/>
  <c r="R11" i="5" a="1"/>
  <c r="R11" i="5"/>
  <c r="R12" i="5" a="1"/>
  <c r="R12" i="5"/>
  <c r="R13" i="5" a="1"/>
  <c r="R13" i="5" s="1"/>
  <c r="R14" i="5" a="1"/>
  <c r="R14" i="5" s="1"/>
  <c r="R15" i="5" a="1"/>
  <c r="R15" i="5" s="1"/>
  <c r="R16" i="5" a="1"/>
  <c r="R16" i="5" s="1"/>
  <c r="R17" i="5" a="1"/>
  <c r="R17" i="5" s="1"/>
  <c r="R18" i="5" a="1"/>
  <c r="R18" i="5" s="1"/>
  <c r="R19" i="5" a="1"/>
  <c r="R19" i="5" s="1"/>
  <c r="R20" i="5" a="1"/>
  <c r="R20" i="5" s="1"/>
  <c r="R21" i="5" a="1"/>
  <c r="R21" i="5" s="1"/>
  <c r="R22" i="5" a="1"/>
  <c r="R22" i="5" s="1"/>
  <c r="R23" i="5" a="1"/>
  <c r="R23" i="5" s="1"/>
  <c r="R24" i="5" a="1"/>
  <c r="R24" i="5" s="1"/>
  <c r="R25" i="5" a="1"/>
  <c r="R25" i="5" s="1"/>
  <c r="R26" i="5" a="1"/>
  <c r="R26" i="5" s="1"/>
  <c r="R27" i="5" a="1"/>
  <c r="R27" i="5" s="1"/>
  <c r="R28" i="5" a="1"/>
  <c r="R28" i="5" s="1"/>
  <c r="R29" i="5" a="1"/>
  <c r="R29" i="5" s="1"/>
  <c r="R30" i="5" a="1"/>
  <c r="R30" i="5" s="1"/>
  <c r="R31" i="5" a="1"/>
  <c r="R31" i="5" s="1"/>
  <c r="R32" i="5" a="1"/>
  <c r="R32" i="5" s="1"/>
  <c r="R33" i="5" a="1"/>
  <c r="R33" i="5" s="1"/>
  <c r="R34" i="5" a="1"/>
  <c r="R34" i="5" s="1"/>
  <c r="R35" i="5" a="1"/>
  <c r="R35" i="5" s="1"/>
  <c r="R36" i="5" a="1"/>
  <c r="R36" i="5" s="1"/>
  <c r="R37" i="5" a="1"/>
  <c r="R37" i="5" s="1"/>
  <c r="R38" i="5" a="1"/>
  <c r="R38" i="5" s="1"/>
  <c r="R39" i="5" a="1"/>
  <c r="R39" i="5" s="1"/>
  <c r="R40" i="5" a="1"/>
  <c r="R40" i="5" s="1"/>
  <c r="R41" i="5" a="1"/>
  <c r="R41" i="5" s="1"/>
  <c r="R42" i="5" a="1"/>
  <c r="R42" i="5" s="1"/>
  <c r="R43" i="5" a="1"/>
  <c r="R43" i="5" s="1"/>
  <c r="R44" i="5" a="1"/>
  <c r="R44" i="5" s="1"/>
  <c r="R45" i="5" a="1"/>
  <c r="R45" i="5" s="1"/>
  <c r="R46" i="5" a="1"/>
  <c r="R46" i="5" s="1"/>
  <c r="R47" i="5" a="1"/>
  <c r="R47" i="5" s="1"/>
  <c r="R48" i="5" a="1"/>
  <c r="R48" i="5" s="1"/>
  <c r="R49" i="5" a="1"/>
  <c r="R49" i="5" s="1"/>
  <c r="R50" i="5" a="1"/>
  <c r="R50" i="5" s="1"/>
  <c r="R51" i="5" a="1"/>
  <c r="R51" i="5" s="1"/>
  <c r="R52" i="5" a="1"/>
  <c r="R52" i="5" s="1"/>
  <c r="R53" i="5" a="1"/>
  <c r="R53" i="5" s="1"/>
  <c r="R54" i="5" a="1"/>
  <c r="R54" i="5" s="1"/>
  <c r="R55" i="5" a="1"/>
  <c r="R55" i="5" s="1"/>
  <c r="R56" i="5" a="1"/>
  <c r="R56" i="5" s="1"/>
  <c r="R57" i="5" a="1"/>
  <c r="R57" i="5" s="1"/>
  <c r="R58" i="5" a="1"/>
  <c r="R58" i="5" s="1"/>
  <c r="R59" i="5" a="1"/>
  <c r="R59" i="5" s="1"/>
  <c r="R60" i="5" a="1"/>
  <c r="R60" i="5" s="1"/>
  <c r="R61" i="5" a="1"/>
  <c r="R61" i="5" s="1"/>
  <c r="R62" i="5" a="1"/>
  <c r="R62" i="5" s="1"/>
  <c r="R63" i="5" a="1"/>
  <c r="R63" i="5" s="1"/>
  <c r="R64" i="5" a="1"/>
  <c r="R64" i="5" s="1"/>
  <c r="R65" i="5" a="1"/>
  <c r="R65" i="5" s="1"/>
  <c r="R66" i="5" a="1"/>
  <c r="R66" i="5" s="1"/>
  <c r="R67" i="5" a="1"/>
  <c r="R67" i="5" s="1"/>
  <c r="R68" i="5" a="1"/>
  <c r="R68" i="5" s="1"/>
  <c r="R69" i="5" a="1"/>
  <c r="R69" i="5" s="1"/>
  <c r="R70" i="5" a="1"/>
  <c r="R70" i="5" s="1"/>
  <c r="R71" i="5" a="1"/>
  <c r="R71" i="5" s="1"/>
  <c r="R72" i="5" a="1"/>
  <c r="R72" i="5" s="1"/>
  <c r="R73" i="5" a="1"/>
  <c r="R73" i="5" s="1"/>
  <c r="R74" i="5" a="1"/>
  <c r="R74" i="5" s="1"/>
  <c r="R75" i="5" a="1"/>
  <c r="R75" i="5" s="1"/>
  <c r="R76" i="5" a="1"/>
  <c r="R76" i="5" s="1"/>
  <c r="R77" i="5" a="1"/>
  <c r="R77" i="5" s="1"/>
  <c r="R78" i="5" a="1"/>
  <c r="R78" i="5" s="1"/>
  <c r="R79" i="5" a="1"/>
  <c r="R79" i="5" s="1"/>
  <c r="R80" i="5" a="1"/>
  <c r="R80" i="5" s="1"/>
  <c r="R81" i="5" a="1"/>
  <c r="R81" i="5" s="1"/>
  <c r="R82" i="5" a="1"/>
  <c r="R82" i="5" s="1"/>
  <c r="R83" i="5" a="1"/>
  <c r="R83" i="5" s="1"/>
  <c r="R84" i="5" a="1"/>
  <c r="R84" i="5" s="1"/>
  <c r="R85" i="5" a="1"/>
  <c r="R85" i="5" s="1"/>
  <c r="R86" i="5" a="1"/>
  <c r="R86" i="5" s="1"/>
  <c r="R87" i="5" a="1"/>
  <c r="R87" i="5" s="1"/>
  <c r="R88" i="5" a="1"/>
  <c r="R88" i="5" s="1"/>
  <c r="R89" i="5" a="1"/>
  <c r="R89" i="5" s="1"/>
  <c r="R90" i="5" a="1"/>
  <c r="R90" i="5" s="1"/>
  <c r="R91" i="5" a="1"/>
  <c r="R91" i="5" s="1"/>
  <c r="R92" i="5" a="1"/>
  <c r="R92" i="5" s="1"/>
  <c r="R93" i="5" a="1"/>
  <c r="R93" i="5" s="1"/>
  <c r="R94" i="5" a="1"/>
  <c r="R94" i="5" s="1"/>
  <c r="R95" i="5" a="1"/>
  <c r="R95" i="5" s="1"/>
  <c r="R96" i="5" a="1"/>
  <c r="R96" i="5" s="1"/>
  <c r="R97" i="5" a="1"/>
  <c r="R97" i="5" s="1"/>
  <c r="R98" i="5" a="1"/>
  <c r="R98" i="5" s="1"/>
  <c r="R2" i="5" a="1"/>
  <c r="R2" i="5" s="1"/>
  <c r="K29" i="12" l="1"/>
  <c r="N29" i="12"/>
  <c r="O29" i="12"/>
  <c r="G25" i="12"/>
  <c r="L29" i="12"/>
  <c r="M29" i="12"/>
  <c r="G29" i="12"/>
  <c r="P29" i="12"/>
  <c r="H25" i="12"/>
  <c r="I29" i="12"/>
  <c r="H29" i="12"/>
  <c r="F29" i="12"/>
  <c r="F25" i="12"/>
  <c r="J29" i="12"/>
  <c r="Q29" i="12"/>
  <c r="B27" i="12"/>
  <c r="D26" i="12"/>
  <c r="C26" i="12"/>
  <c r="AA10" i="12"/>
  <c r="AA15" i="12"/>
  <c r="Z10" i="12"/>
  <c r="Z15" i="12"/>
  <c r="Y15" i="12"/>
  <c r="Y10" i="12"/>
  <c r="X10" i="12"/>
  <c r="X15" i="12"/>
  <c r="W10" i="12"/>
  <c r="W15" i="12"/>
  <c r="V10" i="12"/>
  <c r="V15" i="12"/>
  <c r="U10" i="12"/>
  <c r="U15" i="12"/>
  <c r="T15" i="12"/>
  <c r="T10" i="12"/>
  <c r="S15" i="12"/>
  <c r="S24" i="12"/>
  <c r="S10" i="12"/>
  <c r="R24" i="12"/>
  <c r="R10" i="12"/>
  <c r="R15" i="12"/>
  <c r="Q24" i="12"/>
  <c r="Q15" i="12"/>
  <c r="Q10" i="12"/>
  <c r="P24" i="12"/>
  <c r="P15" i="12"/>
  <c r="P10" i="12"/>
  <c r="O15" i="12"/>
  <c r="O24" i="12"/>
  <c r="O10" i="12"/>
  <c r="N15" i="12"/>
  <c r="N10" i="12"/>
  <c r="N24" i="12"/>
  <c r="M15" i="12"/>
  <c r="M24" i="12"/>
  <c r="M10" i="12"/>
  <c r="L15" i="12"/>
  <c r="L24" i="12"/>
  <c r="L10" i="12"/>
  <c r="K15" i="12"/>
  <c r="K24" i="12"/>
  <c r="K10" i="12"/>
  <c r="J15" i="12"/>
  <c r="J24" i="12"/>
  <c r="J10" i="12"/>
  <c r="I15" i="12"/>
  <c r="I24" i="12"/>
  <c r="I10" i="12"/>
  <c r="H24" i="12"/>
  <c r="H10" i="12"/>
  <c r="H15" i="12"/>
  <c r="G15" i="12"/>
  <c r="G24" i="12"/>
  <c r="G10" i="12"/>
  <c r="F15" i="12"/>
  <c r="F24" i="12"/>
  <c r="F10" i="12"/>
  <c r="E24" i="12"/>
  <c r="E10" i="12"/>
  <c r="E15" i="12"/>
  <c r="D24" i="12"/>
  <c r="D10" i="12"/>
  <c r="D15" i="12"/>
  <c r="C24" i="12"/>
  <c r="C10" i="12"/>
  <c r="C15" i="12"/>
  <c r="B15" i="12"/>
  <c r="B24" i="12"/>
  <c r="B10" i="12"/>
  <c r="B24" i="11"/>
  <c r="B23" i="11"/>
  <c r="C24" i="11"/>
  <c r="C23" i="11"/>
  <c r="C21" i="11"/>
  <c r="D24" i="11"/>
  <c r="D23" i="11"/>
  <c r="D21" i="11"/>
  <c r="E24" i="11"/>
  <c r="E23" i="11"/>
  <c r="E21" i="11"/>
  <c r="F24" i="11"/>
  <c r="F23" i="11"/>
  <c r="F21" i="11"/>
  <c r="G24" i="11"/>
  <c r="G21" i="11"/>
  <c r="G23" i="11"/>
  <c r="H21" i="11"/>
  <c r="H24" i="11"/>
  <c r="H23" i="11"/>
  <c r="I24" i="11"/>
  <c r="I21" i="11"/>
  <c r="I23" i="11"/>
  <c r="J21" i="11"/>
  <c r="J24" i="11"/>
  <c r="J23" i="11"/>
  <c r="K24" i="11"/>
  <c r="K21" i="11"/>
  <c r="K23" i="11"/>
  <c r="L23" i="11"/>
  <c r="L21" i="11"/>
  <c r="L24" i="11"/>
  <c r="M23" i="11"/>
  <c r="M21" i="11"/>
  <c r="M24" i="11"/>
  <c r="N24" i="11"/>
  <c r="N21" i="11"/>
  <c r="N23" i="11"/>
  <c r="O24" i="11"/>
  <c r="O23" i="11"/>
  <c r="O21" i="11"/>
  <c r="P24" i="11"/>
  <c r="P21" i="11"/>
  <c r="P23" i="11"/>
  <c r="Q24" i="11"/>
  <c r="Q21" i="11"/>
  <c r="Q23" i="11"/>
  <c r="R24" i="11"/>
  <c r="R21" i="11"/>
  <c r="R23" i="11"/>
  <c r="S24" i="11"/>
  <c r="S21" i="11"/>
  <c r="S23" i="11"/>
  <c r="T24" i="11"/>
  <c r="T21" i="11"/>
  <c r="T23" i="11"/>
  <c r="U24" i="11"/>
  <c r="U21" i="11"/>
  <c r="U23" i="11"/>
  <c r="V23" i="11"/>
  <c r="V21" i="11"/>
  <c r="V24" i="11"/>
  <c r="W24" i="11"/>
  <c r="W23" i="11"/>
  <c r="W21" i="11"/>
  <c r="X24" i="11"/>
  <c r="X23" i="11"/>
  <c r="X21" i="11"/>
  <c r="Y24" i="11"/>
  <c r="Y23" i="11"/>
  <c r="Y21" i="11"/>
  <c r="Z23" i="11"/>
  <c r="Z24" i="11"/>
  <c r="Z21" i="11"/>
  <c r="AA23" i="11"/>
  <c r="AA24" i="11"/>
  <c r="AA21" i="11"/>
  <c r="C28" i="6"/>
  <c r="C17" i="6"/>
  <c r="C6" i="6"/>
  <c r="D22" i="6"/>
  <c r="D9" i="6"/>
  <c r="E5" i="6"/>
  <c r="F11" i="6"/>
  <c r="F8" i="6"/>
  <c r="F7" i="6"/>
  <c r="C24" i="6"/>
  <c r="C20" i="6"/>
  <c r="C12" i="6"/>
  <c r="C7" i="6"/>
  <c r="F3" i="6"/>
  <c r="D24" i="6"/>
  <c r="D18" i="6"/>
  <c r="D13" i="6"/>
  <c r="D7" i="6"/>
  <c r="E27" i="6"/>
  <c r="E23" i="6"/>
  <c r="E20" i="6"/>
  <c r="E16" i="6"/>
  <c r="E13" i="6"/>
  <c r="E7" i="6"/>
  <c r="F27" i="6"/>
  <c r="F26" i="6"/>
  <c r="F23" i="6"/>
  <c r="F22" i="6"/>
  <c r="F20" i="6"/>
  <c r="F17" i="6"/>
  <c r="C26" i="6"/>
  <c r="C21" i="6"/>
  <c r="C14" i="6"/>
  <c r="C8" i="6"/>
  <c r="D3" i="6"/>
  <c r="D25" i="6"/>
  <c r="D20" i="6"/>
  <c r="D16" i="6"/>
  <c r="D10" i="6"/>
  <c r="D4" i="6"/>
  <c r="E25" i="6"/>
  <c r="E21" i="6"/>
  <c r="E17" i="6"/>
  <c r="E14" i="6"/>
  <c r="E8" i="6"/>
  <c r="F24" i="6"/>
  <c r="F19" i="6"/>
  <c r="F15" i="6"/>
  <c r="C25" i="6"/>
  <c r="C19" i="6"/>
  <c r="C9" i="6"/>
  <c r="E3" i="6"/>
  <c r="D23" i="6"/>
  <c r="D17" i="6"/>
  <c r="D11" i="6"/>
  <c r="D6" i="6"/>
  <c r="E26" i="6"/>
  <c r="E22" i="6"/>
  <c r="E18" i="6"/>
  <c r="E15" i="6"/>
  <c r="E11" i="6"/>
  <c r="E4" i="6"/>
  <c r="F25" i="6"/>
  <c r="F18" i="6"/>
  <c r="F13" i="6"/>
  <c r="F16" i="6"/>
  <c r="C3" i="6"/>
  <c r="C23" i="6"/>
  <c r="C16" i="6"/>
  <c r="C11" i="6"/>
  <c r="C5" i="6"/>
  <c r="D27" i="6"/>
  <c r="D21" i="6"/>
  <c r="D12" i="6"/>
  <c r="D5" i="6"/>
  <c r="E10" i="6"/>
  <c r="F14" i="6"/>
  <c r="C27" i="6"/>
  <c r="C22" i="6"/>
  <c r="C15" i="6"/>
  <c r="C10" i="6"/>
  <c r="C4" i="6"/>
  <c r="D26" i="6"/>
  <c r="D19" i="6"/>
  <c r="D14" i="6"/>
  <c r="D8" i="6"/>
  <c r="E28" i="6"/>
  <c r="E24" i="6"/>
  <c r="E19" i="6"/>
  <c r="E12" i="6"/>
  <c r="F21" i="6"/>
  <c r="F12" i="6"/>
  <c r="F9" i="6"/>
  <c r="F6" i="6"/>
  <c r="C13" i="6"/>
  <c r="D28" i="6"/>
  <c r="E6" i="6"/>
  <c r="F5" i="6"/>
  <c r="F10" i="6"/>
  <c r="F4" i="6"/>
  <c r="E9" i="6"/>
  <c r="D15" i="6"/>
  <c r="C18" i="6"/>
  <c r="AA17" i="12" l="1"/>
  <c r="AA20" i="12"/>
  <c r="Z17" i="12"/>
  <c r="Z20" i="12"/>
  <c r="AA19" i="12"/>
  <c r="Y17" i="12"/>
  <c r="Y20" i="12"/>
  <c r="Z19" i="12"/>
  <c r="X17" i="12"/>
  <c r="X20" i="12"/>
  <c r="Y19" i="12"/>
  <c r="W17" i="12"/>
  <c r="W20" i="12"/>
  <c r="X19" i="12"/>
  <c r="V17" i="12"/>
  <c r="V20" i="12"/>
  <c r="W19" i="12"/>
  <c r="U17" i="12"/>
  <c r="U20" i="12"/>
  <c r="V19" i="12"/>
  <c r="T17" i="12"/>
  <c r="T20" i="12"/>
  <c r="U19" i="12"/>
  <c r="S17" i="12"/>
  <c r="S20" i="12"/>
  <c r="T19" i="12"/>
  <c r="R17" i="12"/>
  <c r="R20" i="12"/>
  <c r="S19" i="12"/>
  <c r="Q17" i="12"/>
  <c r="Q20" i="12"/>
  <c r="R19" i="12"/>
  <c r="P17" i="12"/>
  <c r="P20" i="12"/>
  <c r="Q19" i="12"/>
  <c r="O17" i="12"/>
  <c r="O20" i="12"/>
  <c r="P19" i="12"/>
  <c r="N17" i="12"/>
  <c r="N20" i="12"/>
  <c r="O19" i="12"/>
  <c r="M17" i="12"/>
  <c r="M20" i="12"/>
  <c r="N19" i="12"/>
  <c r="L17" i="12"/>
  <c r="L20" i="12"/>
  <c r="M19" i="12"/>
  <c r="K17" i="12"/>
  <c r="K20" i="12"/>
  <c r="L19" i="12"/>
  <c r="J17" i="12"/>
  <c r="J20" i="12"/>
  <c r="K19" i="12"/>
  <c r="I17" i="12"/>
  <c r="I20" i="12"/>
  <c r="J19" i="12"/>
  <c r="H17" i="12"/>
  <c r="H20" i="12"/>
  <c r="I19" i="12"/>
  <c r="G17" i="12"/>
  <c r="G20" i="12"/>
  <c r="H19" i="12"/>
  <c r="F17" i="12"/>
  <c r="F20" i="12"/>
  <c r="G19" i="12"/>
  <c r="E17" i="12"/>
  <c r="E20" i="12"/>
  <c r="F19" i="12"/>
  <c r="D17" i="12"/>
  <c r="D20" i="12"/>
  <c r="E19" i="12"/>
  <c r="C20" i="12"/>
  <c r="D19" i="12"/>
  <c r="C17" i="12"/>
  <c r="C16" i="12"/>
  <c r="B17" i="12"/>
  <c r="B20" i="12"/>
  <c r="C19" i="12"/>
  <c r="G9" i="6"/>
  <c r="G19" i="6"/>
  <c r="G11" i="6"/>
  <c r="G3" i="6"/>
  <c r="H3" i="6" s="1"/>
  <c r="B4" i="6" s="1"/>
  <c r="G5" i="6"/>
  <c r="G23" i="6"/>
  <c r="G16" i="6"/>
  <c r="G28" i="6"/>
  <c r="G17" i="6"/>
  <c r="G6" i="6"/>
  <c r="G8" i="6"/>
  <c r="G24" i="6"/>
  <c r="G20" i="6"/>
  <c r="G12" i="6"/>
  <c r="G7" i="6"/>
  <c r="G25" i="6"/>
  <c r="G27" i="6"/>
  <c r="G22" i="6"/>
  <c r="G15" i="6"/>
  <c r="G10" i="6"/>
  <c r="G26" i="6"/>
  <c r="G4" i="6"/>
  <c r="G18" i="6"/>
  <c r="G14" i="6"/>
  <c r="G13" i="6"/>
  <c r="G21" i="6"/>
  <c r="D16" i="12" l="1"/>
  <c r="E27" i="12"/>
  <c r="C27" i="12"/>
  <c r="D27" i="12"/>
  <c r="H4" i="6"/>
  <c r="B5" i="6" s="1"/>
  <c r="H5" i="6" s="1"/>
  <c r="B6" i="6" s="1"/>
  <c r="H6" i="6" s="1"/>
  <c r="B7" i="6" s="1"/>
  <c r="H7" i="6" s="1"/>
  <c r="B8" i="6" s="1"/>
  <c r="H8" i="6" s="1"/>
  <c r="B9" i="6" s="1"/>
  <c r="H9" i="6" s="1"/>
  <c r="B10" i="6" s="1"/>
  <c r="H10" i="6" s="1"/>
  <c r="B11" i="6" s="1"/>
  <c r="H11" i="6" s="1"/>
  <c r="B12" i="6" s="1"/>
  <c r="H12" i="6" s="1"/>
  <c r="B13" i="6" s="1"/>
  <c r="H13" i="6" s="1"/>
  <c r="B14" i="6" s="1"/>
  <c r="H14" i="6" s="1"/>
  <c r="B15" i="6" s="1"/>
  <c r="H15" i="6" s="1"/>
  <c r="B16" i="6" s="1"/>
  <c r="H16" i="6" s="1"/>
  <c r="B17" i="6" s="1"/>
  <c r="H17" i="6" s="1"/>
  <c r="B18" i="6" s="1"/>
  <c r="H18" i="6" s="1"/>
  <c r="B19" i="6" s="1"/>
  <c r="H19" i="6" s="1"/>
  <c r="B20" i="6" s="1"/>
  <c r="H20" i="6" s="1"/>
  <c r="B21" i="6" s="1"/>
  <c r="H21" i="6" s="1"/>
  <c r="B22" i="6" s="1"/>
  <c r="H22" i="6" s="1"/>
  <c r="B23" i="6" s="1"/>
  <c r="H23" i="6" s="1"/>
  <c r="B24" i="6" s="1"/>
  <c r="H24" i="6" s="1"/>
  <c r="B25" i="6" s="1"/>
  <c r="H25" i="6" s="1"/>
  <c r="B26" i="6" s="1"/>
  <c r="H26" i="6" s="1"/>
  <c r="B27" i="6" s="1"/>
  <c r="H27" i="6" s="1"/>
  <c r="B28" i="6" s="1"/>
  <c r="H28" i="6" s="1"/>
  <c r="B30" i="6" s="1"/>
  <c r="B32" i="6" s="1"/>
  <c r="E16" i="12" l="1"/>
  <c r="F27" i="12"/>
  <c r="F16" i="12" l="1"/>
  <c r="H27" i="12"/>
  <c r="G27" i="12"/>
  <c r="G16" i="12" l="1"/>
  <c r="I27" i="12"/>
  <c r="H16" i="12" l="1"/>
  <c r="J27" i="12"/>
  <c r="I16" i="12" l="1"/>
  <c r="K27" i="12"/>
  <c r="J16" i="12" l="1"/>
  <c r="K16" i="12" l="1"/>
  <c r="L27" i="12"/>
  <c r="L16" i="12" l="1"/>
  <c r="N27" i="12"/>
  <c r="M27" i="12"/>
  <c r="M16" i="12" l="1"/>
  <c r="N16" i="12" l="1"/>
  <c r="P27" i="12"/>
  <c r="O27" i="12"/>
  <c r="O16" i="12" l="1"/>
  <c r="Q27" i="12"/>
  <c r="P16" i="12" l="1"/>
  <c r="R27" i="12"/>
  <c r="Q16" i="12" l="1"/>
  <c r="R16" i="12" l="1"/>
  <c r="S27" i="12"/>
  <c r="S16" i="12" l="1"/>
  <c r="T27" i="12"/>
  <c r="T16" i="12" l="1"/>
  <c r="V27" i="12"/>
  <c r="U27" i="12"/>
  <c r="U16" i="12" l="1"/>
  <c r="V16" i="12" l="1"/>
  <c r="W27" i="12"/>
  <c r="X27" i="12"/>
  <c r="W16" i="12" l="1"/>
  <c r="Y27" i="12"/>
  <c r="X16" i="12" l="1"/>
  <c r="Y16" i="12" l="1"/>
  <c r="Z27" i="12"/>
  <c r="AA27" i="12"/>
  <c r="Z16" i="12" l="1"/>
  <c r="AA16"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16" authorId="0" shapeId="0" xr:uid="{5FC92827-DF8E-4AB0-8B20-3C29F652C43E}">
      <text>
        <r>
          <rPr>
            <b/>
            <sz val="9"/>
            <color indexed="81"/>
            <rFont val="Tahoma"/>
            <charset val="1"/>
          </rPr>
          <t>Michael Bezrukov:</t>
        </r>
        <r>
          <rPr>
            <sz val="9"/>
            <color indexed="81"/>
            <rFont val="Tahoma"/>
            <charset val="1"/>
          </rPr>
          <t xml:space="preserve">
No subscriptions exist before month 1</t>
        </r>
      </text>
    </comment>
    <comment ref="A19" authorId="0" shapeId="0" xr:uid="{41053F38-6C91-4FE0-B87A-E558ED38D2F7}">
      <text>
        <r>
          <rPr>
            <b/>
            <sz val="9"/>
            <color indexed="81"/>
            <rFont val="Tahoma"/>
            <charset val="1"/>
          </rPr>
          <t>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18EB0210-130A-49B0-A1A3-AC6BB8CBEF29}">
      <text>
        <r>
          <rPr>
            <b/>
            <sz val="9"/>
            <color indexed="81"/>
            <rFont val="Tahoma"/>
            <charset val="1"/>
          </rPr>
          <t>No customers exist before month 1</t>
        </r>
      </text>
    </comment>
    <comment ref="A20" authorId="0" shapeId="0" xr:uid="{DE7E13EF-4A52-4B13-9AEC-BE3CCA783FE6}">
      <text>
        <r>
          <rPr>
            <b/>
            <sz val="9"/>
            <color indexed="81"/>
            <rFont val="Tahoma"/>
            <charset val="1"/>
          </rPr>
          <t>Cancellations where the customer had NO remaining active subscriptions. Uses Engine!U (is_logo_churn) helper column. Of 11 total subscription cancellations, only 3 were true logo churns:
- CUST005 Atlantic Media Corp (Nov 2024)
- CUST013 Alberta Tech Innovators (Jan 2025)
- CUST023 Island Media Productions (Jun 2025)</t>
        </r>
      </text>
    </comment>
    <comment ref="L20" authorId="0" shapeId="0" xr:uid="{29DF64E6-F2BB-4050-B2AF-F7D1EC80BAA9}">
      <text>
        <r>
          <rPr>
            <b/>
            <sz val="9"/>
            <color indexed="81"/>
            <rFont val="Tahoma"/>
            <charset val="1"/>
          </rPr>
          <t>Michael Bezrukov:</t>
        </r>
        <r>
          <rPr>
            <sz val="9"/>
            <color indexed="81"/>
            <rFont val="Tahoma"/>
            <charset val="1"/>
          </rPr>
          <t xml:space="preserve">
CUST005 Atlantic Media Corp — sole sub SUB005 cancelled (Price too high)</t>
        </r>
      </text>
    </comment>
    <comment ref="N20" authorId="0" shapeId="0" xr:uid="{417656FE-3F16-45CF-A4C2-7FEACDB1647B}">
      <text>
        <r>
          <rPr>
            <b/>
            <sz val="9"/>
            <color indexed="81"/>
            <rFont val="Tahoma"/>
            <charset val="1"/>
          </rPr>
          <t>Michael Bezrukov:</t>
        </r>
        <r>
          <rPr>
            <sz val="9"/>
            <color indexed="81"/>
            <rFont val="Tahoma"/>
            <charset val="1"/>
          </rPr>
          <t xml:space="preserve">
CUST013 Alberta Tech Innovators — sole sub SUB013 cancelled (Switched to competitor)</t>
        </r>
      </text>
    </comment>
    <comment ref="S20" authorId="0" shapeId="0" xr:uid="{9DA1A00F-17A3-4C34-AEA6-6E506F71FD54}">
      <text>
        <r>
          <rPr>
            <b/>
            <sz val="9"/>
            <color indexed="81"/>
            <rFont val="Tahoma"/>
            <charset val="1"/>
          </rPr>
          <t>Michael Bezrukov:</t>
        </r>
        <r>
          <rPr>
            <sz val="9"/>
            <color indexed="81"/>
            <rFont val="Tahoma"/>
            <charset val="1"/>
          </rPr>
          <t xml:space="preserve">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<sst xmlns="http://schemas.openxmlformats.org/spreadsheetml/2006/main" count="2250" uniqueCount="387">
  <si>
    <t>Monthly</t>
  </si>
  <si>
    <t>Analytics Starter</t>
  </si>
  <si>
    <t>Eastern Canada</t>
  </si>
  <si>
    <t>James Wilson</t>
  </si>
  <si>
    <t>Capital Education Tech</t>
  </si>
  <si>
    <t>CUST017</t>
  </si>
  <si>
    <t>SUB017</t>
  </si>
  <si>
    <t>Western Canada</t>
  </si>
  <si>
    <t>Michael Rodriguez</t>
  </si>
  <si>
    <t>Calgary Tech Partners</t>
  </si>
  <si>
    <t>CUST038</t>
  </si>
  <si>
    <t>SUB038</t>
  </si>
  <si>
    <t>Sarah Chen</t>
  </si>
  <si>
    <t>Montreal Finance Hub</t>
  </si>
  <si>
    <t>CUST010</t>
  </si>
  <si>
    <t>SUB010</t>
  </si>
  <si>
    <t>Central Canada</t>
  </si>
  <si>
    <t>Jennifer Lee</t>
  </si>
  <si>
    <t>Prairie SaaS Innovations</t>
  </si>
  <si>
    <t>CUST028</t>
  </si>
  <si>
    <t>SUB028</t>
  </si>
  <si>
    <t>Quebec Education Platform</t>
  </si>
  <si>
    <t>CUST034</t>
  </si>
  <si>
    <t>SUB034</t>
  </si>
  <si>
    <t>Marketing Pro</t>
  </si>
  <si>
    <t>Island Media Productions</t>
  </si>
  <si>
    <t>CUST023</t>
  </si>
  <si>
    <t>SUB062</t>
  </si>
  <si>
    <t>SUB045</t>
  </si>
  <si>
    <t>Analytics Growth</t>
  </si>
  <si>
    <t>Alberta Tech Innovators</t>
  </si>
  <si>
    <t>CUST013</t>
  </si>
  <si>
    <t>SUB061</t>
  </si>
  <si>
    <t>Ontario Manufacturing Tech</t>
  </si>
  <si>
    <t>CUST007</t>
  </si>
  <si>
    <t>SUB007</t>
  </si>
  <si>
    <t>Ontario Education Connect</t>
  </si>
  <si>
    <t>CUST026</t>
  </si>
  <si>
    <t>SUB026</t>
  </si>
  <si>
    <t>Central Healthcare Partners</t>
  </si>
  <si>
    <t>CUST019</t>
  </si>
  <si>
    <t>SUB019</t>
  </si>
  <si>
    <t>Sales Hub</t>
  </si>
  <si>
    <t>Atlantic SaaS Systems</t>
  </si>
  <si>
    <t>CUST020</t>
  </si>
  <si>
    <t>SUB020</t>
  </si>
  <si>
    <t>Manitoba Finance Group</t>
  </si>
  <si>
    <t>CUST036</t>
  </si>
  <si>
    <t>SUB036</t>
  </si>
  <si>
    <t>BC Education Innovations</t>
  </si>
  <si>
    <t>CUST040</t>
  </si>
  <si>
    <t>SUB040</t>
  </si>
  <si>
    <t>TechVision Solutions</t>
  </si>
  <si>
    <t>CUST001</t>
  </si>
  <si>
    <t>SUB041</t>
  </si>
  <si>
    <t>Halifax Healthcare Tech</t>
  </si>
  <si>
    <t>CUST029</t>
  </si>
  <si>
    <t>SUB029</t>
  </si>
  <si>
    <t>Quantum Education Platform</t>
  </si>
  <si>
    <t>CUST008</t>
  </si>
  <si>
    <t>SUB059</t>
  </si>
  <si>
    <t>Alberta E-commerce Hub</t>
  </si>
  <si>
    <t>CUST030</t>
  </si>
  <si>
    <t>SUB030</t>
  </si>
  <si>
    <t>Maple Healthcare Systems</t>
  </si>
  <si>
    <t>CUST003</t>
  </si>
  <si>
    <t>SUB003</t>
  </si>
  <si>
    <t>Prairie Commerce Group</t>
  </si>
  <si>
    <t>CUST004</t>
  </si>
  <si>
    <t>SUB004</t>
  </si>
  <si>
    <t>Prairie Health Connect</t>
  </si>
  <si>
    <t>CUST011</t>
  </si>
  <si>
    <t>SUB011</t>
  </si>
  <si>
    <t>Annual</t>
  </si>
  <si>
    <t>Pacific Analytics Inc</t>
  </si>
  <si>
    <t>CUST002</t>
  </si>
  <si>
    <t>SUB054</t>
  </si>
  <si>
    <t>SUB042</t>
  </si>
  <si>
    <t>Ottawa Retail Solutions</t>
  </si>
  <si>
    <t>CUST033</t>
  </si>
  <si>
    <t>SUB033</t>
  </si>
  <si>
    <t>Maritime E-commerce</t>
  </si>
  <si>
    <t>CUST012</t>
  </si>
  <si>
    <t>SUB012</t>
  </si>
  <si>
    <t>Vancouver Health Systems</t>
  </si>
  <si>
    <t>CUST035</t>
  </si>
  <si>
    <t>SUB035</t>
  </si>
  <si>
    <t>Toronto Media Group</t>
  </si>
  <si>
    <t>CUST014</t>
  </si>
  <si>
    <t>SUB014</t>
  </si>
  <si>
    <t>Toronto Commerce Cloud</t>
  </si>
  <si>
    <t>CUST039</t>
  </si>
  <si>
    <t>SUB039</t>
  </si>
  <si>
    <t>SUB051</t>
  </si>
  <si>
    <t>Western Retail Group</t>
  </si>
  <si>
    <t>CUST024</t>
  </si>
  <si>
    <t>SUB024</t>
  </si>
  <si>
    <t>Northern Retail Solutions</t>
  </si>
  <si>
    <t>CUST006</t>
  </si>
  <si>
    <t>SUB043</t>
  </si>
  <si>
    <t>Toronto Tech Ventures</t>
  </si>
  <si>
    <t>CUST022</t>
  </si>
  <si>
    <t>SUB047</t>
  </si>
  <si>
    <t>SUB058</t>
  </si>
  <si>
    <t>Vancouver FinTech Labs</t>
  </si>
  <si>
    <t>CUST018</t>
  </si>
  <si>
    <t>SUB052</t>
  </si>
  <si>
    <t>Pacific Finance Corp</t>
  </si>
  <si>
    <t>CUST027</t>
  </si>
  <si>
    <t>SUB027</t>
  </si>
  <si>
    <t>Quebec Manufacturing</t>
  </si>
  <si>
    <t>CUST016</t>
  </si>
  <si>
    <t>SUB056</t>
  </si>
  <si>
    <t>West Coast Logistics</t>
  </si>
  <si>
    <t>CUST009</t>
  </si>
  <si>
    <t>SUB044</t>
  </si>
  <si>
    <t>Analytics Enterprise</t>
  </si>
  <si>
    <t>BC Retail Networks</t>
  </si>
  <si>
    <t>CUST015</t>
  </si>
  <si>
    <t>SUB046</t>
  </si>
  <si>
    <t>Platform Suite</t>
  </si>
  <si>
    <t>SUB002</t>
  </si>
  <si>
    <t>Montreal Manufacturing Pro</t>
  </si>
  <si>
    <t>CUST025</t>
  </si>
  <si>
    <t>SUB048</t>
  </si>
  <si>
    <t>Calgary Commerce Solutions</t>
  </si>
  <si>
    <t>CUST021</t>
  </si>
  <si>
    <t>SUB057</t>
  </si>
  <si>
    <t>BC Manufacturing Systems</t>
  </si>
  <si>
    <t>CUST032</t>
  </si>
  <si>
    <t>SUB032</t>
  </si>
  <si>
    <t>SUB022</t>
  </si>
  <si>
    <t>Maritime SaaS Ventures</t>
  </si>
  <si>
    <t>CUST037</t>
  </si>
  <si>
    <t>SUB037</t>
  </si>
  <si>
    <t>SUB009</t>
  </si>
  <si>
    <t>SUB006</t>
  </si>
  <si>
    <t>SUB053</t>
  </si>
  <si>
    <t>SUB016</t>
  </si>
  <si>
    <t>SUB018</t>
  </si>
  <si>
    <t>Toronto Digital Media</t>
  </si>
  <si>
    <t>CUST031</t>
  </si>
  <si>
    <t>SUB031</t>
  </si>
  <si>
    <t>SUB025</t>
  </si>
  <si>
    <t>mrr</t>
  </si>
  <si>
    <t>billing_cycle</t>
  </si>
  <si>
    <t>plan_name</t>
  </si>
  <si>
    <t>region</t>
  </si>
  <si>
    <t>account_owner</t>
  </si>
  <si>
    <t>company_name</t>
  </si>
  <si>
    <t>customer_id</t>
  </si>
  <si>
    <t>subscription_id</t>
  </si>
  <si>
    <t>Poor support</t>
  </si>
  <si>
    <t>status</t>
  </si>
  <si>
    <t>churned</t>
  </si>
  <si>
    <t>active</t>
  </si>
  <si>
    <t>cancelled</t>
  </si>
  <si>
    <t>SUB050</t>
  </si>
  <si>
    <t>EVT097</t>
  </si>
  <si>
    <t>created</t>
  </si>
  <si>
    <t>EVT096</t>
  </si>
  <si>
    <t>Switched to competitor</t>
  </si>
  <si>
    <t>SUB015</t>
  </si>
  <si>
    <t>EVT095</t>
  </si>
  <si>
    <t>Retention discount - at-risk account escalated</t>
  </si>
  <si>
    <t>discount_percent</t>
  </si>
  <si>
    <t>discount_added</t>
  </si>
  <si>
    <t>EVT094</t>
  </si>
  <si>
    <t>Year-end headcount increase</t>
  </si>
  <si>
    <t>seats</t>
  </si>
  <si>
    <t>seats_change</t>
  </si>
  <si>
    <t>EVT093</t>
  </si>
  <si>
    <t>Restructuring - reduced team size</t>
  </si>
  <si>
    <t>EVT092</t>
  </si>
  <si>
    <t>Retention discount - customer at-risk of churning</t>
  </si>
  <si>
    <t>EVT091</t>
  </si>
  <si>
    <t>Reached Starter usage limits - upgraded</t>
  </si>
  <si>
    <t>plan_upgrade</t>
  </si>
  <si>
    <t>EVT090</t>
  </si>
  <si>
    <t>Returning customer â€” reactivation</t>
  </si>
  <si>
    <t>EVT089</t>
  </si>
  <si>
    <t>New department added - customer success team</t>
  </si>
  <si>
    <t>EVT088</t>
  </si>
  <si>
    <t>Renewal negotiation - loyalty discount applied</t>
  </si>
  <si>
    <t>price_per_seat</t>
  </si>
  <si>
    <t>price_change</t>
  </si>
  <si>
    <t>EVT087</t>
  </si>
  <si>
    <t>Department expansion - data team scaling</t>
  </si>
  <si>
    <t>EVT086</t>
  </si>
  <si>
    <t>Upgraded for advanced analytics and API access</t>
  </si>
  <si>
    <t>EVT085</t>
  </si>
  <si>
    <t>SUB055</t>
  </si>
  <si>
    <t>EVT084</t>
  </si>
  <si>
    <t>Team expansion - ops team grew</t>
  </si>
  <si>
    <t>EVT083</t>
  </si>
  <si>
    <t>Reduced usage - advanced features no longer needed</t>
  </si>
  <si>
    <t>plan_downgrade</t>
  </si>
  <si>
    <t>EVT082</t>
  </si>
  <si>
    <t>Enterprise SSO and audit logs required</t>
  </si>
  <si>
    <t>EVT081</t>
  </si>
  <si>
    <t>Renewal negotiation - competitive pricing match</t>
  </si>
  <si>
    <t>EVT080</t>
  </si>
  <si>
    <t>Team expansion - mid-year headcount increase</t>
  </si>
  <si>
    <t>EVT079</t>
  </si>
  <si>
    <t>Budget cuts</t>
  </si>
  <si>
    <t>SUB060</t>
  </si>
  <si>
    <t>EVT078</t>
  </si>
  <si>
    <t>Annual price increase applied at renewal</t>
  </si>
  <si>
    <t>EVT077</t>
  </si>
  <si>
    <t>Missing features</t>
  </si>
  <si>
    <t>SUB023</t>
  </si>
  <si>
    <t>EVT076</t>
  </si>
  <si>
    <t>EVT075</t>
  </si>
  <si>
    <t>Growing usage - upgraded for advanced features and higher limits</t>
  </si>
  <si>
    <t>EVT074</t>
  </si>
  <si>
    <t>No longer needed</t>
  </si>
  <si>
    <t>SUB049</t>
  </si>
  <si>
    <t>EVT073</t>
  </si>
  <si>
    <t>EVT072</t>
  </si>
  <si>
    <t>EVT071</t>
  </si>
  <si>
    <t>Department growth - added analytics sub-team</t>
  </si>
  <si>
    <t>EVT070</t>
  </si>
  <si>
    <t>EVT069</t>
  </si>
  <si>
    <t>Company downsizing</t>
  </si>
  <si>
    <t>SUB021</t>
  </si>
  <si>
    <t>EVT068</t>
  </si>
  <si>
    <t>EVT067</t>
  </si>
  <si>
    <t>EVT066</t>
  </si>
  <si>
    <t>EVT065</t>
  </si>
  <si>
    <t>Team expansion - 3 new account managers onboarded</t>
  </si>
  <si>
    <t>EVT064</t>
  </si>
  <si>
    <t>EVT063</t>
  </si>
  <si>
    <t>EVT062</t>
  </si>
  <si>
    <t>New hires onboarded - sales team expansion</t>
  </si>
  <si>
    <t>EVT061</t>
  </si>
  <si>
    <t>EVT060</t>
  </si>
  <si>
    <t>EVT059</t>
  </si>
  <si>
    <t>EVT058</t>
  </si>
  <si>
    <t>Headcount reduction - Q1 restructuring</t>
  </si>
  <si>
    <t>EVT057</t>
  </si>
  <si>
    <t>EVT056</t>
  </si>
  <si>
    <t>Annual contract loyalty discount applied</t>
  </si>
  <si>
    <t>EVT055</t>
  </si>
  <si>
    <t>EVT054</t>
  </si>
  <si>
    <t>Cost reduction initiative - downgraded to starter tier</t>
  </si>
  <si>
    <t>EVT053</t>
  </si>
  <si>
    <t>EVT052</t>
  </si>
  <si>
    <t>EVT051</t>
  </si>
  <si>
    <t>EVT050</t>
  </si>
  <si>
    <t>EVT049</t>
  </si>
  <si>
    <t>EVT048</t>
  </si>
  <si>
    <t>EVT047</t>
  </si>
  <si>
    <t>EVT046</t>
  </si>
  <si>
    <t>EVT045</t>
  </si>
  <si>
    <t>EVT044</t>
  </si>
  <si>
    <t>SUB013</t>
  </si>
  <si>
    <t>EVT043</t>
  </si>
  <si>
    <t>EVT042</t>
  </si>
  <si>
    <t>EVT041</t>
  </si>
  <si>
    <t>EVT040</t>
  </si>
  <si>
    <t>Price too high</t>
  </si>
  <si>
    <t>SUB008</t>
  </si>
  <si>
    <t>EVT039</t>
  </si>
  <si>
    <t>EVT038</t>
  </si>
  <si>
    <t>EVT037</t>
  </si>
  <si>
    <t>EVT036</t>
  </si>
  <si>
    <t>EVT035</t>
  </si>
  <si>
    <t>Atlantic Media Corp</t>
  </si>
  <si>
    <t>CUST005</t>
  </si>
  <si>
    <t>SUB005</t>
  </si>
  <si>
    <t>EVT034</t>
  </si>
  <si>
    <t>EVT033</t>
  </si>
  <si>
    <t>EVT032</t>
  </si>
  <si>
    <t>EVT031</t>
  </si>
  <si>
    <t>EVT030</t>
  </si>
  <si>
    <t>EVT029</t>
  </si>
  <si>
    <t>EVT028</t>
  </si>
  <si>
    <t>EVT027</t>
  </si>
  <si>
    <t>EVT026</t>
  </si>
  <si>
    <t>EVT025</t>
  </si>
  <si>
    <t>EVT024</t>
  </si>
  <si>
    <t>SUB001</t>
  </si>
  <si>
    <t>EVT023</t>
  </si>
  <si>
    <t>EVT022</t>
  </si>
  <si>
    <t>EVT021</t>
  </si>
  <si>
    <t>EVT020</t>
  </si>
  <si>
    <t>EVT019</t>
  </si>
  <si>
    <t>EVT018</t>
  </si>
  <si>
    <t>EVT017</t>
  </si>
  <si>
    <t>EVT016</t>
  </si>
  <si>
    <t>EVT015</t>
  </si>
  <si>
    <t>EVT014</t>
  </si>
  <si>
    <t>EVT013</t>
  </si>
  <si>
    <t>EVT012</t>
  </si>
  <si>
    <t>EVT011</t>
  </si>
  <si>
    <t>EVT010</t>
  </si>
  <si>
    <t>EVT009</t>
  </si>
  <si>
    <t>EVT008</t>
  </si>
  <si>
    <t>EVT007</t>
  </si>
  <si>
    <t>EVT006</t>
  </si>
  <si>
    <t>EVT005</t>
  </si>
  <si>
    <t>EVT004</t>
  </si>
  <si>
    <t>EVT003</t>
  </si>
  <si>
    <t>EVT002</t>
  </si>
  <si>
    <t>EVT001</t>
  </si>
  <si>
    <t>reason</t>
  </si>
  <si>
    <t>field_changed</t>
  </si>
  <si>
    <t>new_value</t>
  </si>
  <si>
    <t>old_value</t>
  </si>
  <si>
    <t>event_type</t>
  </si>
  <si>
    <t>event_date</t>
  </si>
  <si>
    <t>month</t>
  </si>
  <si>
    <t>event_id</t>
  </si>
  <si>
    <t>pct_change</t>
  </si>
  <si>
    <t>prior_month_revenue</t>
  </si>
  <si>
    <t>running_total</t>
  </si>
  <si>
    <t>revenue</t>
  </si>
  <si>
    <t>invoice_count</t>
  </si>
  <si>
    <t>monthly_price</t>
  </si>
  <si>
    <t>movement</t>
  </si>
  <si>
    <t>mrr_delta</t>
  </si>
  <si>
    <t>Month</t>
  </si>
  <si>
    <t>Opening</t>
  </si>
  <si>
    <t>New</t>
  </si>
  <si>
    <t>Expansion</t>
  </si>
  <si>
    <t>Contraction</t>
  </si>
  <si>
    <t>Churned</t>
  </si>
  <si>
    <t>Net</t>
  </si>
  <si>
    <t>Closing</t>
  </si>
  <si>
    <t>MRR Waterfall - January 2024 to February 2026</t>
  </si>
  <si>
    <t>Waterfall Closing MRR:</t>
  </si>
  <si>
    <t>Snapshot MRR:</t>
  </si>
  <si>
    <t>Reconciliation Gap:</t>
  </si>
  <si>
    <t>Growth Analysis — January 2024 to February 2026</t>
  </si>
  <si>
    <t>1. MRR &amp; ARR</t>
  </si>
  <si>
    <t>Closing MRR</t>
  </si>
  <si>
    <t>ARR</t>
  </si>
  <si>
    <t>Net New MRR</t>
  </si>
  <si>
    <t>Cumulative Net New MRR</t>
  </si>
  <si>
    <t>2. Growth Rates</t>
  </si>
  <si>
    <t>MoM Growth %</t>
  </si>
  <si>
    <t>YoY Growth %</t>
  </si>
  <si>
    <t>CMGR (6-month)</t>
  </si>
  <si>
    <t>CMGR (12-month)</t>
  </si>
  <si>
    <t>Trailing 3-month avg MoM</t>
  </si>
  <si>
    <t>3. Growth Quality</t>
  </si>
  <si>
    <t>Gains (New + Expansion)</t>
  </si>
  <si>
    <t>Losses (Contraction + Churned)</t>
  </si>
  <si>
    <t>Quick Ratio</t>
  </si>
  <si>
    <t>New as % of gains</t>
  </si>
  <si>
    <t>Expansion as % of gains</t>
  </si>
  <si>
    <t>4. What the Numbers Say</t>
  </si>
  <si>
    <t>The Growth Story</t>
  </si>
  <si>
    <t>The H2 2025 Problem</t>
  </si>
  <si>
    <t>Where the Business Is Headed</t>
  </si>
  <si>
    <t>Retention Analysis — January 2024 to February 2026</t>
  </si>
  <si>
    <t>1. Monthly Retention Rates</t>
  </si>
  <si>
    <t>Opening MRR</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</si>
  <si>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</si>
  <si>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</si>
  <si>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</si>
  <si>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</si>
  <si>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</si>
  <si>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</si>
  <si>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</si>
  <si>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</si>
  <si>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</si>
  <si>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</si>
  <si>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</si>
  <si>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</si>
  <si>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is_new_logo</t>
  </si>
  <si>
    <t>is_logo_churn</t>
  </si>
  <si>
    <t>is_logo_reactivation</t>
  </si>
  <si>
    <t>4. Trailing Averages</t>
  </si>
  <si>
    <t>GRR (Trailing 3-Mo Avg)</t>
  </si>
  <si>
    <t>NRR (Trailing 3-Mo Avg)</t>
  </si>
  <si>
    <t>Logo Churn (Trailing 3-Mo Avg)</t>
  </si>
  <si>
    <t>GRR (Trailing 12-Mo Avg)</t>
  </si>
  <si>
    <t>NRR (Trailing 12-Mo Avg)</t>
  </si>
  <si>
    <t>Logo Churn (Trailing 12-Mo Avg)</t>
  </si>
  <si>
    <t>Subscription Churn vs. Logo Churn</t>
  </si>
  <si>
    <t>iDynamics shows strong and improving retention across the 26-month observation period. The trailing 12-month GRR of 99.1% indicates the company is keeping virtually all of its existing recurring revenue before any expansion activity, well above the roughly 90% median typically observed in early-stage B2B SaaS. Trailing 12-month NRR sits at 99.7%, and while it has dipped modestly below 100% in recent months, the trailing 3-month NRR has held between 99.3% and 100.6% since mid-2025, suggesting that expansion revenue is beginning to offset contraction and churn losses. The weakest stretch was August through October 2025, when trailing 3-month GRR fell to 98.1% after a cluster of cancellation and contraction events. The most recent quarter, however, reflects a clear recovery: trailing 3-month GRR is back to 99.5% and logo churn has gone quiet. Taken together, the existing customer base shows no signs of structural decay. Retention is stabilizing as the company moves past its initial high-growth phase.</t>
  </si>
  <si>
    <t>An important distinction when evaluating iDynamics' churn profile is the difference between subscription-level cancellations and true logo-level attrition. Over the 26-month period, the company recorded 11 subscription cancellations, but only 3 of those were actual logo exits where the customer terminated all active subscriptions and fully left the platform (Atlantic Media Corp, Alberta Tech Innovators, and Island Media Productions). The remaining 8 cancellations involved customers dropping one product while keeping at least one other active subscription. TechVision Solutions, for instance, cancelled Analytics Growth but kept Sales Hub. Maritime E-commerce dropped Analytics Starter but stayed on Analytics Growth. Prairie Commerce Group churned off Analytics Enterprise while remaining on Sales Hub. This pattern points to product-level attrition within multi-subscription accounts as the primary churn dynamic, rather than outright customer abandonment. Notably, two of the three true logo churns later reactivated. The trailing 12-month logo churn rate is roughly 0.2% per month, implying annual logo retention in the 97 to 98% range, which is a strong result for a company at this stage. The principal risk is not customer loss at the front door, but the gradual simplification of product adoption within the existing base.</t>
  </si>
  <si>
    <t>iDynamics scaled from $0 to approximately $152K in MRR over 26 months, but the growth trajectory breaks into two distinct phases. The first 12 months were rapid. The 6-month CMGR peaked at 40.9% in July 2024, and the 12-month CMGR reached 26.9% by January 2025, reflecting a business that more than doubled its revenue base on a quarterly basis. Growth was uneven rather than linear; the strongest individual months were September 2024 ($13.4K net new MRR) and March 2025 ($18.4K net new MRR), while May 2024 contributed only $2.6K. Starting in mid-2025, growth momentum decelerated significantly. The 6-month CMGR compressed from 10.6% in June 2025 to 0.4% by February 2026, and the 12-month CMGR fell from 26.9% to 2.9% over the same window. The business did not contract in any meaningful way; instead, MRR plateaued in the $148K to $153K range for the final eight months of the observation period.</t>
  </si>
  <si>
    <t>A notable inflection occurred in July 2025. Net new MRR turned negative for the first time at negative $1,100, then worsened to negative $2,430 in August 2025. The Quick Ratio captures the severity: it fell to 0.4x in July and 0.5x in August, meaning revenue losses exceeded gains by roughly a factor of two. New customer acquisition was zero in both months. All gains came from expansion activity ($660 and $2,960, respectively), which was not enough to offset churn of $1,760 and combined losses of $5,390 in August. The September through December 2025 period showed a partial but inconsistent recovery. The Quick Ratio swung from 15.2x in September (driven by minimal losses) to 0.0x in November (where both new customer and expansion revenue were zero), then rebounded to infinity in January 2026 with zero losses but also zero gains. The underlying issue is clear: new logo acquisition, which drove 100% of gains for the first 14 months, has effectively stalled.</t>
  </si>
  <si>
    <t>As of February 2026, the business is effectively flat. The trailing 6-month CMGR sits at 0.4%, statistically indistinguishable from zero growth. The 12-month CMGR has fallen to 2.9%, meaning even the longer-term trend has lost nearly all forward momentum. The February 2026 Quick Ratio of 0.0x (losses of $594 against zero gains) confirms that the most recent month contributed no incremental revenue. At the board level, the picture is straightforward: ARR has plateaued at roughly $1.82M, and the growth engine that built it has gone dormant. The most critical metric to monitor going forward is Gains, specifically whether new customer acquisition resumes. Expansion revenue alone cannot sustain or grow the base; it appeared in only 10 of 26 months and never exceeded $3K in a single month. Until new logo MRR returns to the $5K to $10K per month range that characterized 2024, the business is operating on its installed base and remains vulnerable to any acceleration in churn.</t>
  </si>
  <si>
    <t>5. The Retention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</si>
</sst>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164" formatCode="yyyy/mm"/>
    <numFmt numFmtId="165" formatCode="0.0"/>
    <numFmt numFmtId="166" formatCode="_(&quot;$&quot;* #,##0_);_(&quot;$&quot;* \(#,##0\);_(&quot;$&quot;* &quot;-&quot;??_);_(@_)"/>
    <numFmt numFmtId="167" formatCode="0.0%"/>
    <numFmt numFmtId="168" formatCode="0.0\x"/>
    <numFmt numFmtId="169" formatCode="mmm\ yyyy"/>
    <numFmt numFmtId="170" formatCode="&quot;$&quot;#,##0"/>
    <numFmt numFmtId="171" formatCode="0.0%;[Red]\(0.0%\);&quot;-&quot;"/>
  </numFmts>
  <fonts count="1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4"/>
      <color theme="1"/>
      <name val="Aptos Narrow"/>
      <scheme val="minor"/>
    </font>
    <font>
      <b/>
      <sz val="11"/>
      <color rgb="FFFFFFFF"/>
      <name val="Aptos Narrow"/>
      <scheme val="minor"/>
    </font>
    <font>
      <sz val="11"/>
      <color theme="1"/>
      <name val="Aptos Narrow"/>
      <scheme val="minor"/>
    </font>
    <font>
      <b/>
      <sz val="11"/>
      <color theme="1"/>
      <name val="Aptos Narrow"/>
      <scheme val="minor"/>
    </font>
    <font>
      <b/>
      <sz val="11"/>
      <color theme="1"/>
      <name val="Aptos Narrow"/>
      <family val="2"/>
      <scheme val="minor"/>
    </font>
    <font>
      <sz val="9"/>
      <color indexed="81"/>
      <name val="Tahoma"/>
      <charset val="1"/>
    </font>
    <font>
      <b/>
      <sz val="9"/>
      <color indexed="81"/>
      <name val="Tahoma"/>
      <charset val="1"/>
    </font>
    <font>
      <sz val="11"/>
      <color rgb="FF000000"/>
      <name val="Aptos Narrow"/>
      <family val="2"/>
      <scheme val="minor"/>
    </font>
    <font>
      <sz val="10"/>
      <color rgb="FF333333"/>
      <name val="Aptos Narrow"/>
      <family val="2"/>
      <scheme val="minor"/>
    </font>
    <font>
      <b/>
      <sz val="11"/>
      <color rgb="FFFFFFFF"/>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rgb="FFE2EFDA"/>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14" fontId="0" fillId="0" borderId="0" xfId="0" applyNumberFormat="1"/>
    <xf numFmtId="17" fontId="0" fillId="0" borderId="0" xfId="0" applyNumberFormat="1"/>
    <xf numFmtId="164" fontId="0" fillId="0" borderId="0" xfId="0" applyNumberFormat="1"/>
    <xf numFmtId="165" fontId="0" fillId="0" borderId="0" xfId="0" applyNumberFormat="1"/>
    <xf numFmtId="165" fontId="0" fillId="0" borderId="0" xfId="0" applyNumberFormat="1" applyAlignment="1">
      <alignment horizontal="right"/>
    </xf>
    <xf numFmtId="44" fontId="0" fillId="0" borderId="0" xfId="0" applyNumberFormat="1"/>
    <xf numFmtId="44" fontId="0" fillId="0" borderId="0" xfId="1" applyFont="1"/>
    <xf numFmtId="44" fontId="2" fillId="0" borderId="0" xfId="1" applyFont="1"/>
    <xf numFmtId="0" fontId="3" fillId="0" borderId="0" xfId="0" applyFont="1"/>
    <xf numFmtId="0" fontId="4" fillId="2" borderId="0" xfId="0" applyFont="1" applyFill="1"/>
    <xf numFmtId="0" fontId="0" fillId="2" borderId="0" xfId="0" applyFill="1"/>
    <xf numFmtId="0" fontId="5" fillId="0" borderId="0" xfId="0" applyFont="1"/>
    <xf numFmtId="0" fontId="6" fillId="0" borderId="0" xfId="0" applyFont="1"/>
    <xf numFmtId="166" fontId="5" fillId="0" borderId="0" xfId="0" applyNumberFormat="1" applyFont="1"/>
    <xf numFmtId="164" fontId="6" fillId="0" borderId="0" xfId="0" applyNumberFormat="1" applyFont="1"/>
    <xf numFmtId="167" fontId="5" fillId="0" borderId="0" xfId="0" applyNumberFormat="1" applyFont="1"/>
    <xf numFmtId="168" fontId="5" fillId="0" borderId="0" xfId="0" applyNumberFormat="1" applyFont="1"/>
    <xf numFmtId="0" fontId="7" fillId="0" borderId="0" xfId="0" applyFont="1"/>
    <xf numFmtId="169" fontId="7" fillId="0" borderId="0" xfId="0" applyNumberFormat="1" applyFont="1"/>
    <xf numFmtId="170" fontId="0" fillId="0" borderId="0" xfId="0" applyNumberFormat="1"/>
    <xf numFmtId="167" fontId="0" fillId="0" borderId="0" xfId="0" applyNumberFormat="1"/>
    <xf numFmtId="3" fontId="0" fillId="0" borderId="0" xfId="0" applyNumberFormat="1"/>
    <xf numFmtId="0" fontId="7" fillId="3" borderId="0" xfId="0" applyFont="1" applyFill="1"/>
    <xf numFmtId="3" fontId="10" fillId="3" borderId="0" xfId="0" applyNumberFormat="1" applyFont="1" applyFill="1"/>
    <xf numFmtId="0" fontId="11" fillId="0" borderId="0" xfId="0" applyFont="1" applyAlignment="1">
      <alignment vertical="top" wrapText="1"/>
    </xf>
    <xf numFmtId="0" fontId="0" fillId="0" borderId="0" xfId="0"/>
    <xf numFmtId="0" fontId="5" fillId="0" borderId="0" xfId="0" applyFont="1" applyAlignment="1">
      <alignment vertical="top" wrapText="1"/>
    </xf>
    <xf numFmtId="0" fontId="12" fillId="2" borderId="0" xfId="0" applyFont="1" applyFill="1"/>
    <xf numFmtId="0" fontId="10" fillId="2" borderId="0" xfId="0" applyFont="1" applyFill="1"/>
    <xf numFmtId="0" fontId="13" fillId="0" borderId="0" xfId="0" applyFont="1"/>
    <xf numFmtId="171" fontId="0" fillId="0" borderId="0" xfId="0" applyNumberFormat="1"/>
    <xf numFmtId="171" fontId="0" fillId="3" borderId="0" xfId="0" applyNumberFormat="1" applyFill="1"/>
  </cellXfs>
  <cellStyles count="2">
    <cellStyle name="Currency" xfId="1" builtinId="4"/>
    <cellStyle name="Normal" xfId="0" builtinId="0"/>
  </cellStyles>
  <dxfs count="4">
    <dxf>
      <font>
        <color rgb="FF9C0006"/>
      </font>
      <fill>
        <patternFill patternType="solid">
          <fgColor indexed="64"/>
          <bgColor rgb="FFFFC7CE"/>
        </patternFill>
      </fill>
    </dxf>
    <dxf>
      <numFmt numFmtId="165" formatCode="0.0"/>
      <alignment horizontal="right" vertical="bottom" textRotation="0" wrapText="0" indent="0" justifyLastLine="0" shrinkToFit="0" readingOrder="0"/>
    </dxf>
    <dxf>
      <numFmt numFmtId="19" formatCode="yyyy/mm/dd"/>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CMGR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Growth!$A$14</c:f>
              <c:strCache>
                <c:ptCount val="1"/>
                <c:pt idx="0">
                  <c:v>CMGR (6-month)</c:v>
                </c:pt>
              </c:strCache>
            </c:strRef>
          </c:tx>
          <c:spPr>
            <a:ln w="28575" cap="rnd">
              <a:solidFill>
                <a:srgbClr val="2563EB"/>
              </a:solidFill>
              <a:prstDash val="solid"/>
              <a:round/>
            </a:ln>
            <a:effectLst/>
          </c:spPr>
          <c:marker>
            <c:symbol val="circle"/>
            <c:size val="5"/>
            <c:spPr>
              <a:solidFill>
                <a:srgbClr val="2563EB"/>
              </a:solidFill>
              <a:ln w="9525">
                <a:solidFill>
                  <a:srgbClr val="2563EB"/>
                </a:solidFill>
                <a:prstDash val="solid"/>
              </a:ln>
              <a:effectLst/>
            </c:spPr>
          </c:marker>
          <c:cat>
            <c:numRef>
              <c:f>Growth!$B$4:$AA$4</c:f>
              <c:numCache>
                <c:formatCode>yyyy/mm</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Growth!$B$14:$AA$14</c:f>
              <c:numCache>
                <c:formatCode>0.0%</c:formatCode>
                <c:ptCount val="26"/>
                <c:pt idx="6">
                  <c:v>0.40884690544782987</c:v>
                </c:pt>
                <c:pt idx="7">
                  <c:v>0.23154287368284265</c:v>
                </c:pt>
                <c:pt idx="8">
                  <c:v>0.20811767144196236</c:v>
                </c:pt>
                <c:pt idx="9">
                  <c:v>0.16239308723644208</c:v>
                </c:pt>
                <c:pt idx="10">
                  <c:v>0.15783651182127301</c:v>
                </c:pt>
                <c:pt idx="11">
                  <c:v>0.16746383330029158</c:v>
                </c:pt>
                <c:pt idx="12">
                  <c:v>0.14228703661232012</c:v>
                </c:pt>
                <c:pt idx="13">
                  <c:v>0.13612242968021615</c:v>
                </c:pt>
                <c:pt idx="14">
                  <c:v>0.1211699669810884</c:v>
                </c:pt>
                <c:pt idx="15">
                  <c:v>0.10315193112885823</c:v>
                </c:pt>
                <c:pt idx="16">
                  <c:v>0.1057129278252178</c:v>
                </c:pt>
                <c:pt idx="17">
                  <c:v>8.9155871329130276E-2</c:v>
                </c:pt>
                <c:pt idx="18">
                  <c:v>6.9775691876317048E-2</c:v>
                </c:pt>
                <c:pt idx="19">
                  <c:v>5.4350821240941594E-2</c:v>
                </c:pt>
                <c:pt idx="20">
                  <c:v>2.9162910426313804E-2</c:v>
                </c:pt>
                <c:pt idx="21">
                  <c:v>2.310262093949178E-2</c:v>
                </c:pt>
                <c:pt idx="22">
                  <c:v>1.0322918536297632E-2</c:v>
                </c:pt>
                <c:pt idx="23">
                  <c:v>-1.3147301063959338E-3</c:v>
                </c:pt>
                <c:pt idx="24">
                  <c:v>1.7734048751500975E-3</c:v>
                </c:pt>
                <c:pt idx="25">
                  <c:v>3.8329351119641419E-3</c:v>
                </c:pt>
              </c:numCache>
            </c:numRef>
          </c:val>
          <c:smooth val="0"/>
          <c:extLst>
            <c:ext xmlns:c16="http://schemas.microsoft.com/office/drawing/2014/chart" uri="{C3380CC4-5D6E-409C-BE32-E72D297353CC}">
              <c16:uniqueId val="{00000000-A583-43BC-8EF4-2724DFFFA895}"/>
            </c:ext>
          </c:extLst>
        </c:ser>
        <c:ser>
          <c:idx val="1"/>
          <c:order val="1"/>
          <c:tx>
            <c:strRef>
              <c:f>Growth!$A$15</c:f>
              <c:strCache>
                <c:ptCount val="1"/>
                <c:pt idx="0">
                  <c:v>CMGR (12-month)</c:v>
                </c:pt>
              </c:strCache>
            </c:strRef>
          </c:tx>
          <c:spPr>
            <a:ln w="28575" cap="rnd">
              <a:solidFill>
                <a:srgbClr val="DC2626"/>
              </a:solidFill>
              <a:prstDash val="solid"/>
              <a:round/>
            </a:ln>
            <a:effectLst/>
          </c:spPr>
          <c:marker>
            <c:symbol val="circle"/>
            <c:size val="5"/>
            <c:spPr>
              <a:solidFill>
                <a:srgbClr val="DC2626"/>
              </a:solidFill>
              <a:ln w="9525">
                <a:solidFill>
                  <a:srgbClr val="DC2626"/>
                </a:solidFill>
                <a:prstDash val="solid"/>
              </a:ln>
              <a:effectLst/>
            </c:spPr>
          </c:marker>
          <c:cat>
            <c:numRef>
              <c:f>Growth!$B$4:$AA$4</c:f>
              <c:numCache>
                <c:formatCode>yyyy/mm</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Growth!$B$15:$AA$15</c:f>
              <c:numCache>
                <c:formatCode>0.0%</c:formatCode>
                <c:ptCount val="26"/>
                <c:pt idx="12">
                  <c:v>0.26858486380077817</c:v>
                </c:pt>
                <c:pt idx="13">
                  <c:v>0.18287086442430667</c:v>
                </c:pt>
                <c:pt idx="14">
                  <c:v>0.16383213987235035</c:v>
                </c:pt>
                <c:pt idx="15">
                  <c:v>0.13238517250788662</c:v>
                </c:pt>
                <c:pt idx="16">
                  <c:v>0.13147461280792205</c:v>
                </c:pt>
                <c:pt idx="17">
                  <c:v>0.12763029783853597</c:v>
                </c:pt>
                <c:pt idx="18">
                  <c:v>0.10543697464545332</c:v>
                </c:pt>
                <c:pt idx="19">
                  <c:v>9.447321427415023E-2</c:v>
                </c:pt>
                <c:pt idx="20">
                  <c:v>7.4181803188283046E-2</c:v>
                </c:pt>
                <c:pt idx="21">
                  <c:v>6.2373584024187023E-2</c:v>
                </c:pt>
                <c:pt idx="22">
                  <c:v>5.6942341049732281E-2</c:v>
                </c:pt>
                <c:pt idx="23">
                  <c:v>4.2940039175088929E-2</c:v>
                </c:pt>
                <c:pt idx="24">
                  <c:v>3.5216323916700709E-2</c:v>
                </c:pt>
                <c:pt idx="25">
                  <c:v>2.8781842532227042E-2</c:v>
                </c:pt>
              </c:numCache>
            </c:numRef>
          </c:val>
          <c:smooth val="0"/>
          <c:extLst>
            <c:ext xmlns:c16="http://schemas.microsoft.com/office/drawing/2014/chart" uri="{C3380CC4-5D6E-409C-BE32-E72D297353CC}">
              <c16:uniqueId val="{00000001-A583-43BC-8EF4-2724DFFFA895}"/>
            </c:ext>
          </c:extLst>
        </c:ser>
        <c:ser>
          <c:idx val="2"/>
          <c:order val="2"/>
          <c:tx>
            <c:strRef>
              <c:f>Growth!$A$16</c:f>
              <c:strCache>
                <c:ptCount val="1"/>
                <c:pt idx="0">
                  <c:v>Trailing 3-month avg MoM</c:v>
                </c:pt>
              </c:strCache>
            </c:strRef>
          </c:tx>
          <c:spPr>
            <a:ln w="28575" cap="rnd">
              <a:solidFill>
                <a:srgbClr val="16A34A"/>
              </a:solidFill>
              <a:prstDash val="solid"/>
              <a:round/>
            </a:ln>
            <a:effectLst/>
          </c:spPr>
          <c:marker>
            <c:symbol val="circle"/>
            <c:size val="5"/>
            <c:spPr>
              <a:solidFill>
                <a:srgbClr val="16A34A"/>
              </a:solidFill>
              <a:ln w="9525">
                <a:solidFill>
                  <a:srgbClr val="16A34A"/>
                </a:solidFill>
                <a:prstDash val="solid"/>
              </a:ln>
              <a:effectLst/>
            </c:spPr>
          </c:marker>
          <c:cat>
            <c:numRef>
              <c:f>Growth!$B$4:$AA$4</c:f>
              <c:numCache>
                <c:formatCode>yyyy/mm</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Growth!$B$16:$AA$16</c:f>
              <c:numCache>
                <c:formatCode>0.0%</c:formatCode>
                <c:ptCount val="26"/>
                <c:pt idx="3">
                  <c:v>0.7892295305438024</c:v>
                </c:pt>
                <c:pt idx="4">
                  <c:v>0.32267742625920398</c:v>
                </c:pt>
                <c:pt idx="5">
                  <c:v>0.21799473141452577</c:v>
                </c:pt>
                <c:pt idx="6">
                  <c:v>0.15109364709779383</c:v>
                </c:pt>
                <c:pt idx="7">
                  <c:v>0.15883818682154599</c:v>
                </c:pt>
                <c:pt idx="8">
                  <c:v>0.21195363689080135</c:v>
                </c:pt>
                <c:pt idx="9">
                  <c:v>0.1782206246558026</c:v>
                </c:pt>
                <c:pt idx="10">
                  <c:v>0.16204727794080531</c:v>
                </c:pt>
                <c:pt idx="11">
                  <c:v>0.12773460176455279</c:v>
                </c:pt>
                <c:pt idx="12">
                  <c:v>0.10996152469042891</c:v>
                </c:pt>
                <c:pt idx="13">
                  <c:v>0.11432610722292839</c:v>
                </c:pt>
                <c:pt idx="14">
                  <c:v>0.1163739020941927</c:v>
                </c:pt>
                <c:pt idx="15">
                  <c:v>9.8359806783737805E-2</c:v>
                </c:pt>
                <c:pt idx="16">
                  <c:v>9.8947391581345578E-2</c:v>
                </c:pt>
                <c:pt idx="17">
                  <c:v>6.3324987181216277E-2</c:v>
                </c:pt>
                <c:pt idx="18">
                  <c:v>4.3699871232668643E-2</c:v>
                </c:pt>
                <c:pt idx="19">
                  <c:v>1.3249949298600456E-2</c:v>
                </c:pt>
                <c:pt idx="20">
                  <c:v>-3.792166821408247E-3</c:v>
                </c:pt>
                <c:pt idx="21">
                  <c:v>3.6285125108491394E-3</c:v>
                </c:pt>
                <c:pt idx="22">
                  <c:v>8.0410686344886424E-3</c:v>
                </c:pt>
                <c:pt idx="23">
                  <c:v>1.2871832968572642E-3</c:v>
                </c:pt>
                <c:pt idx="24">
                  <c:v>5.3841836482262005E-5</c:v>
                </c:pt>
                <c:pt idx="25">
                  <c:v>-2.9225848441643301E-4</c:v>
                </c:pt>
              </c:numCache>
            </c:numRef>
          </c:val>
          <c:smooth val="0"/>
          <c:extLst>
            <c:ext xmlns:c16="http://schemas.microsoft.com/office/drawing/2014/chart" uri="{C3380CC4-5D6E-409C-BE32-E72D297353CC}">
              <c16:uniqueId val="{00000002-A583-43BC-8EF4-2724DFFFA895}"/>
            </c:ext>
          </c:extLst>
        </c:ser>
        <c:dLbls>
          <c:showLegendKey val="0"/>
          <c:showVal val="0"/>
          <c:showCatName val="0"/>
          <c:showSerName val="0"/>
          <c:showPercent val="0"/>
          <c:showBubbleSize val="0"/>
        </c:dLbls>
        <c:marker val="1"/>
        <c:smooth val="0"/>
        <c:axId val="530860880"/>
        <c:axId val="530859440"/>
      </c:lineChart>
      <c:dateAx>
        <c:axId val="530860880"/>
        <c:scaling>
          <c:orientation val="minMax"/>
        </c:scaling>
        <c:delete val="0"/>
        <c:axPos val="b"/>
        <c:numFmt formatCode="yyyy/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59440"/>
        <c:crosses val="autoZero"/>
        <c:auto val="1"/>
        <c:lblOffset val="100"/>
        <c:baseTimeUnit val="months"/>
      </c:dateAx>
      <c:valAx>
        <c:axId val="53085944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6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 &amp; YoY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Growth!$A$11</c:f>
              <c:strCache>
                <c:ptCount val="1"/>
                <c:pt idx="0">
                  <c:v>MoM Growth %</c:v>
                </c:pt>
              </c:strCache>
            </c:strRef>
          </c:tx>
          <c:spPr>
            <a:ln w="28575" cap="rnd">
              <a:solidFill>
                <a:srgbClr val="F59E0B"/>
              </a:solidFill>
              <a:prstDash val="solid"/>
              <a:round/>
            </a:ln>
            <a:effectLst/>
          </c:spPr>
          <c:marker>
            <c:symbol val="circle"/>
            <c:size val="5"/>
            <c:spPr>
              <a:solidFill>
                <a:srgbClr val="F59E0B"/>
              </a:solidFill>
              <a:ln w="9525">
                <a:solidFill>
                  <a:srgbClr val="F59E0B"/>
                </a:solidFill>
                <a:prstDash val="solid"/>
              </a:ln>
              <a:effectLst/>
            </c:spPr>
          </c:marker>
          <c:cat>
            <c:numRef>
              <c:f>Growth!$B$4:$AA$4</c:f>
              <c:numCache>
                <c:formatCode>yyyy/mm</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Growth!$B$11:$AA$11</c:f>
              <c:numCache>
                <c:formatCode>0.0%</c:formatCode>
                <c:ptCount val="26"/>
                <c:pt idx="1">
                  <c:v>1.4853448275862069</c:v>
                </c:pt>
                <c:pt idx="2">
                  <c:v>0.4214360041623309</c:v>
                </c:pt>
                <c:pt idx="3">
                  <c:v>0.46090775988286969</c:v>
                </c:pt>
                <c:pt idx="4">
                  <c:v>8.5688514732411306E-2</c:v>
                </c:pt>
                <c:pt idx="5">
                  <c:v>0.10738791962829626</c:v>
                </c:pt>
                <c:pt idx="6">
                  <c:v>0.26020450693267388</c:v>
                </c:pt>
                <c:pt idx="7">
                  <c:v>0.10892213390366785</c:v>
                </c:pt>
                <c:pt idx="8">
                  <c:v>0.2667342698360623</c:v>
                </c:pt>
                <c:pt idx="9">
                  <c:v>0.15900547022767764</c:v>
                </c:pt>
                <c:pt idx="10">
                  <c:v>6.0402093758676029E-2</c:v>
                </c:pt>
                <c:pt idx="11">
                  <c:v>0.16379624130730475</c:v>
                </c:pt>
                <c:pt idx="12">
                  <c:v>0.10568623900530598</c:v>
                </c:pt>
                <c:pt idx="13">
                  <c:v>7.3495841356174443E-2</c:v>
                </c:pt>
                <c:pt idx="14">
                  <c:v>0.16993962592109765</c:v>
                </c:pt>
                <c:pt idx="15">
                  <c:v>5.1643953073941339E-2</c:v>
                </c:pt>
                <c:pt idx="16">
                  <c:v>7.5258595748997736E-2</c:v>
                </c:pt>
                <c:pt idx="17">
                  <c:v>6.3072412720709764E-2</c:v>
                </c:pt>
                <c:pt idx="18">
                  <c:v>-7.2313947717015797E-3</c:v>
                </c:pt>
                <c:pt idx="19">
                  <c:v>-1.6091170053206812E-2</c:v>
                </c:pt>
                <c:pt idx="20">
                  <c:v>1.1946064360683651E-2</c:v>
                </c:pt>
                <c:pt idx="21">
                  <c:v>1.503064322507058E-2</c:v>
                </c:pt>
                <c:pt idx="22">
                  <c:v>-2.8535016822883053E-3</c:v>
                </c:pt>
                <c:pt idx="23">
                  <c:v>-8.3155916522104825E-3</c:v>
                </c:pt>
                <c:pt idx="24">
                  <c:v>1.1330618843945574E-2</c:v>
                </c:pt>
                <c:pt idx="25">
                  <c:v>-3.8918026449843903E-3</c:v>
                </c:pt>
              </c:numCache>
            </c:numRef>
          </c:val>
          <c:smooth val="0"/>
          <c:extLst>
            <c:ext xmlns:c16="http://schemas.microsoft.com/office/drawing/2014/chart" uri="{C3380CC4-5D6E-409C-BE32-E72D297353CC}">
              <c16:uniqueId val="{00000000-7CFC-427E-91DA-B268B0803B11}"/>
            </c:ext>
          </c:extLst>
        </c:ser>
        <c:ser>
          <c:idx val="1"/>
          <c:order val="1"/>
          <c:tx>
            <c:strRef>
              <c:f>Growth!$A$12</c:f>
              <c:strCache>
                <c:ptCount val="1"/>
                <c:pt idx="0">
                  <c:v>YoY Growth %</c:v>
                </c:pt>
              </c:strCache>
            </c:strRef>
          </c:tx>
          <c:spPr>
            <a:ln w="28575" cap="rnd">
              <a:solidFill>
                <a:srgbClr val="7C3AED"/>
              </a:solidFill>
              <a:prstDash val="solid"/>
              <a:round/>
            </a:ln>
            <a:effectLst/>
          </c:spPr>
          <c:marker>
            <c:symbol val="circle"/>
            <c:size val="5"/>
            <c:spPr>
              <a:solidFill>
                <a:srgbClr val="7C3AED"/>
              </a:solidFill>
              <a:ln w="9525">
                <a:solidFill>
                  <a:srgbClr val="7C3AED"/>
                </a:solidFill>
                <a:prstDash val="solid"/>
              </a:ln>
              <a:effectLst/>
            </c:spPr>
          </c:marker>
          <c:cat>
            <c:numRef>
              <c:f>Growth!$B$4:$AA$4</c:f>
              <c:numCache>
                <c:formatCode>yyyy/mm</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Growth!$B$12:$AA$12</c:f>
              <c:numCache>
                <c:formatCode>0.0%</c:formatCode>
                <c:ptCount val="26"/>
                <c:pt idx="12">
                  <c:v>16.371379310344828</c:v>
                </c:pt>
                <c:pt idx="13">
                  <c:v>6.5032258064516126</c:v>
                </c:pt>
                <c:pt idx="14">
                  <c:v>5.1756710590531965</c:v>
                </c:pt>
                <c:pt idx="15">
                  <c:v>3.4455969800227169</c:v>
                </c:pt>
                <c:pt idx="16">
                  <c:v>3.4028893196713743</c:v>
                </c:pt>
                <c:pt idx="17">
                  <c:v>3.2266942676929062</c:v>
                </c:pt>
                <c:pt idx="18">
                  <c:v>2.329720969715678</c:v>
                </c:pt>
                <c:pt idx="19">
                  <c:v>1.9543479773728216</c:v>
                </c:pt>
                <c:pt idx="20">
                  <c:v>1.3601167819050832</c:v>
                </c:pt>
                <c:pt idx="21">
                  <c:v>1.0669366252022996</c:v>
                </c:pt>
                <c:pt idx="22">
                  <c:v>0.94363876702618821</c:v>
                </c:pt>
                <c:pt idx="23">
                  <c:v>0.65619735852990724</c:v>
                </c:pt>
                <c:pt idx="24">
                  <c:v>0.5148629334815491</c:v>
                </c:pt>
                <c:pt idx="25">
                  <c:v>0.40565741177340769</c:v>
                </c:pt>
              </c:numCache>
            </c:numRef>
          </c:val>
          <c:smooth val="0"/>
          <c:extLst>
            <c:ext xmlns:c16="http://schemas.microsoft.com/office/drawing/2014/chart" uri="{C3380CC4-5D6E-409C-BE32-E72D297353CC}">
              <c16:uniqueId val="{00000001-7CFC-427E-91DA-B268B0803B11}"/>
            </c:ext>
          </c:extLst>
        </c:ser>
        <c:dLbls>
          <c:showLegendKey val="0"/>
          <c:showVal val="0"/>
          <c:showCatName val="0"/>
          <c:showSerName val="0"/>
          <c:showPercent val="0"/>
          <c:showBubbleSize val="0"/>
        </c:dLbls>
        <c:marker val="1"/>
        <c:smooth val="0"/>
        <c:axId val="528873344"/>
        <c:axId val="528874304"/>
      </c:lineChart>
      <c:dateAx>
        <c:axId val="528873344"/>
        <c:scaling>
          <c:orientation val="minMax"/>
        </c:scaling>
        <c:delete val="0"/>
        <c:axPos val="b"/>
        <c:numFmt formatCode="yyyy/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74304"/>
        <c:crosses val="autoZero"/>
        <c:auto val="1"/>
        <c:lblOffset val="100"/>
        <c:baseTimeUnit val="months"/>
      </c:dateAx>
      <c:valAx>
        <c:axId val="52887430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7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42</xdr:row>
      <xdr:rowOff>0</xdr:rowOff>
    </xdr:from>
    <xdr:to>
      <xdr:col>12</xdr:col>
      <xdr:colOff>279400</xdr:colOff>
      <xdr:row>62</xdr:row>
      <xdr:rowOff>127000</xdr:rowOff>
    </xdr:to>
    <xdr:graphicFrame macro="">
      <xdr:nvGraphicFramePr>
        <xdr:cNvPr id="4" name="Chart 3">
          <a:extLst>
            <a:ext uri="{FF2B5EF4-FFF2-40B4-BE49-F238E27FC236}">
              <a16:creationId xmlns:a16="http://schemas.microsoft.com/office/drawing/2014/main" id="{6D0CD59C-A5D3-721D-3934-9160F8A47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2108200</xdr:colOff>
      <xdr:row>63</xdr:row>
      <xdr:rowOff>69850</xdr:rowOff>
    </xdr:from>
    <xdr:to>
      <xdr:col>12</xdr:col>
      <xdr:colOff>228600</xdr:colOff>
      <xdr:row>84</xdr:row>
      <xdr:rowOff>12700</xdr:rowOff>
    </xdr:to>
    <xdr:graphicFrame macro="">
      <xdr:nvGraphicFramePr>
        <xdr:cNvPr id="5" name="Chart 4">
          <a:extLst>
            <a:ext uri="{FF2B5EF4-FFF2-40B4-BE49-F238E27FC236}">
              <a16:creationId xmlns:a16="http://schemas.microsoft.com/office/drawing/2014/main" id="{EE39040A-67D2-F902-4DE5-594EB67FE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0CD488-A2A9-4594-92D1-28BF2D26397C}" name="Table1" displayName="Table1" ref="A1:S98" totalsRowShown="0">
  <autoFilter ref="A1:S98" xr:uid="{4D0CD488-A2A9-4594-92D1-28BF2D26397C}"/>
  <tableColumns count="19">
    <tableColumn id="1" xr3:uid="{DDD6128B-1A22-4D0E-A5E4-6C1186E068D3}" name="event_id"/>
    <tableColumn id="2" xr3:uid="{7E503140-2172-44C1-8495-EC49CB05E7F9}" name="subscription_id"/>
    <tableColumn id="3" xr3:uid="{29D60F45-CD26-4463-BCE7-85A40B1FB101}" name="customer_id"/>
    <tableColumn id="4" xr3:uid="{CBB36BB2-16F2-4128-B670-673C53E81301}" name="company_name"/>
    <tableColumn id="5" xr3:uid="{F72DC213-8F27-4095-8B0A-46BFA4144CB0}" name="region"/>
    <tableColumn id="6" xr3:uid="{E806E2FB-9408-4E92-8362-1BF5A02EE428}" name="month" dataDxfId="3"/>
    <tableColumn id="7" xr3:uid="{C8796CA6-7E30-4E85-8CA3-EA0DE3834553}" name="event_date" dataDxfId="2"/>
    <tableColumn id="8" xr3:uid="{59EC1976-9299-4B77-8A09-745C78AB7346}" name="event_type"/>
    <tableColumn id="9" xr3:uid="{CD1F2F07-F43E-49D5-B20C-ED54E97D8C70}" name="old_value"/>
    <tableColumn id="10" xr3:uid="{3C34A22C-D0F9-4ADE-98E8-AD179EECD3A3}" name="new_value"/>
    <tableColumn id="11" xr3:uid="{02ABE898-A40D-4BB5-86D1-2A3B4B6B3ECA}" name="field_changed"/>
    <tableColumn id="12" xr3:uid="{16221619-1146-4566-B6B5-688354B0327C}" name="reason"/>
    <tableColumn id="13" xr3:uid="{C6716080-B21B-432F-B2A0-76404D3E3D13}" name="plan_name"/>
    <tableColumn id="14" xr3:uid="{BE836B37-B440-4665-86C5-FA83CE89DB1C}" name="billing_cycle"/>
    <tableColumn id="15" xr3:uid="{B33D19A0-E30C-4A7C-B4C7-B78D2687643F}" name="seats"/>
    <tableColumn id="16" xr3:uid="{4EA55239-D41A-4047-A534-A9A139EF0FBF}" name="price_per_seat"/>
    <tableColumn id="17" xr3:uid="{882DE2BD-1135-4597-BED7-AF92A1E6C4FB}" name="discount_percent"/>
    <tableColumn id="18" xr3:uid="{B1693C78-EFC5-40A3-A8F6-34E68B2CC787}" name="movement">
      <calculatedColumnFormula array="1">_xlfn.IFS(H2="created", "New", H2="cancelled", "Churned", AND(H2="seats_change", J2 &gt; I2), "Expansion", AND(H2="seats_change", J2 &lt; I2), "Contraction", AND(H2="price_change", J2 &gt; I2), "Expansion", AND(H2="price_change", J2 &lt; I2), "Contraction", H2="plan_upgrade", "Expansion", H2="plan_downgrade", "Contraction", H2="discount_added", "Contraction")</calculatedColumnFormula>
    </tableColumn>
    <tableColumn id="19" xr3:uid="{CE231CA8-021E-458F-A8AA-BBE9C812C0DB}" name="mrr_delta" dataDxfId="1">
      <calculatedColumnFormula array="1">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EA4DFE2-ACD5-4EE7-8A3C-275A1A41BE9F}">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66E88-9E79-43C6-BAD5-2E449624F434}">
  <dimension ref="A1:H52"/>
  <sheetViews>
    <sheetView workbookViewId="0">
      <selection activeCell="J2" sqref="J2"/>
    </sheetView>
  </sheetViews>
  <sheetFormatPr defaultRowHeight="14.5" x14ac:dyDescent="0.35"/>
  <cols>
    <col min="1" max="1" width="13.1796875" bestFit="1" customWidth="1"/>
    <col min="2" max="2" width="10.81640625" bestFit="1" customWidth="1"/>
    <col min="3" max="3" width="24.36328125" bestFit="1" customWidth="1"/>
    <col min="4" max="4" width="15.54296875" bestFit="1" customWidth="1"/>
    <col min="5" max="5" width="14.36328125" bestFit="1" customWidth="1"/>
    <col min="6" max="6" width="17" bestFit="1" customWidth="1"/>
    <col min="7" max="7" width="10.6328125" bestFit="1" customWidth="1"/>
    <col min="8" max="8" width="6.81640625" bestFit="1" customWidth="1"/>
  </cols>
  <sheetData>
    <row r="1" spans="1:8" x14ac:dyDescent="0.35">
      <c r="A1" t="s">
        <v>151</v>
      </c>
      <c r="B1" t="s">
        <v>150</v>
      </c>
      <c r="C1" t="s">
        <v>149</v>
      </c>
      <c r="D1" t="s">
        <v>148</v>
      </c>
      <c r="E1" t="s">
        <v>147</v>
      </c>
      <c r="F1" t="s">
        <v>146</v>
      </c>
      <c r="G1" t="s">
        <v>145</v>
      </c>
      <c r="H1" t="s">
        <v>144</v>
      </c>
    </row>
    <row r="2" spans="1:8" x14ac:dyDescent="0.35">
      <c r="A2" t="s">
        <v>143</v>
      </c>
      <c r="B2" t="s">
        <v>123</v>
      </c>
      <c r="C2" t="s">
        <v>122</v>
      </c>
      <c r="D2" t="s">
        <v>12</v>
      </c>
      <c r="E2" t="s">
        <v>2</v>
      </c>
      <c r="F2" t="s">
        <v>116</v>
      </c>
      <c r="G2" t="s">
        <v>73</v>
      </c>
      <c r="H2">
        <v>6840</v>
      </c>
    </row>
    <row r="3" spans="1:8" x14ac:dyDescent="0.35">
      <c r="A3" t="s">
        <v>142</v>
      </c>
      <c r="B3" t="s">
        <v>141</v>
      </c>
      <c r="C3" t="s">
        <v>140</v>
      </c>
      <c r="D3" t="s">
        <v>3</v>
      </c>
      <c r="E3" t="s">
        <v>2</v>
      </c>
      <c r="F3" t="s">
        <v>120</v>
      </c>
      <c r="G3" t="s">
        <v>73</v>
      </c>
      <c r="H3">
        <v>6750</v>
      </c>
    </row>
    <row r="4" spans="1:8" x14ac:dyDescent="0.35">
      <c r="A4" t="s">
        <v>139</v>
      </c>
      <c r="B4" t="s">
        <v>105</v>
      </c>
      <c r="C4" t="s">
        <v>104</v>
      </c>
      <c r="D4" t="s">
        <v>8</v>
      </c>
      <c r="E4" t="s">
        <v>7</v>
      </c>
      <c r="F4" t="s">
        <v>116</v>
      </c>
      <c r="G4" t="s">
        <v>0</v>
      </c>
      <c r="H4">
        <v>6300</v>
      </c>
    </row>
    <row r="5" spans="1:8" x14ac:dyDescent="0.35">
      <c r="A5" t="s">
        <v>138</v>
      </c>
      <c r="B5" t="s">
        <v>111</v>
      </c>
      <c r="C5" t="s">
        <v>110</v>
      </c>
      <c r="D5" t="s">
        <v>12</v>
      </c>
      <c r="E5" t="s">
        <v>2</v>
      </c>
      <c r="F5" t="s">
        <v>120</v>
      </c>
      <c r="G5" t="s">
        <v>73</v>
      </c>
      <c r="H5">
        <v>6300</v>
      </c>
    </row>
    <row r="6" spans="1:8" x14ac:dyDescent="0.35">
      <c r="A6" t="s">
        <v>137</v>
      </c>
      <c r="B6" t="s">
        <v>108</v>
      </c>
      <c r="C6" t="s">
        <v>107</v>
      </c>
      <c r="D6" t="s">
        <v>8</v>
      </c>
      <c r="E6" t="s">
        <v>7</v>
      </c>
      <c r="F6" t="s">
        <v>116</v>
      </c>
      <c r="G6" t="s">
        <v>0</v>
      </c>
      <c r="H6">
        <v>5580</v>
      </c>
    </row>
    <row r="7" spans="1:8" x14ac:dyDescent="0.35">
      <c r="A7" t="s">
        <v>136</v>
      </c>
      <c r="B7" t="s">
        <v>98</v>
      </c>
      <c r="C7" t="s">
        <v>97</v>
      </c>
      <c r="D7" t="s">
        <v>8</v>
      </c>
      <c r="E7" t="s">
        <v>7</v>
      </c>
      <c r="F7" t="s">
        <v>116</v>
      </c>
      <c r="G7" t="s">
        <v>73</v>
      </c>
      <c r="H7">
        <v>5580</v>
      </c>
    </row>
    <row r="8" spans="1:8" x14ac:dyDescent="0.35">
      <c r="A8" t="s">
        <v>135</v>
      </c>
      <c r="B8" t="s">
        <v>114</v>
      </c>
      <c r="C8" t="s">
        <v>113</v>
      </c>
      <c r="D8" t="s">
        <v>8</v>
      </c>
      <c r="E8" t="s">
        <v>7</v>
      </c>
      <c r="F8" t="s">
        <v>120</v>
      </c>
      <c r="G8" t="s">
        <v>73</v>
      </c>
      <c r="H8">
        <v>5400</v>
      </c>
    </row>
    <row r="9" spans="1:8" x14ac:dyDescent="0.35">
      <c r="A9" t="s">
        <v>134</v>
      </c>
      <c r="B9" t="s">
        <v>133</v>
      </c>
      <c r="C9" t="s">
        <v>132</v>
      </c>
      <c r="D9" t="s">
        <v>12</v>
      </c>
      <c r="E9" t="s">
        <v>2</v>
      </c>
      <c r="F9" t="s">
        <v>120</v>
      </c>
      <c r="G9" t="s">
        <v>0</v>
      </c>
      <c r="H9">
        <v>5250</v>
      </c>
    </row>
    <row r="10" spans="1:8" x14ac:dyDescent="0.35">
      <c r="A10" t="s">
        <v>131</v>
      </c>
      <c r="B10" t="s">
        <v>101</v>
      </c>
      <c r="C10" t="s">
        <v>100</v>
      </c>
      <c r="D10" t="s">
        <v>3</v>
      </c>
      <c r="E10" t="s">
        <v>2</v>
      </c>
      <c r="F10" t="s">
        <v>120</v>
      </c>
      <c r="G10" t="s">
        <v>0</v>
      </c>
      <c r="H10">
        <v>4950</v>
      </c>
    </row>
    <row r="11" spans="1:8" x14ac:dyDescent="0.35">
      <c r="A11" t="s">
        <v>130</v>
      </c>
      <c r="B11" t="s">
        <v>129</v>
      </c>
      <c r="C11" t="s">
        <v>128</v>
      </c>
      <c r="D11" t="s">
        <v>8</v>
      </c>
      <c r="E11" t="s">
        <v>7</v>
      </c>
      <c r="F11" t="s">
        <v>116</v>
      </c>
      <c r="G11" t="s">
        <v>0</v>
      </c>
      <c r="H11">
        <v>4680</v>
      </c>
    </row>
    <row r="12" spans="1:8" x14ac:dyDescent="0.35">
      <c r="A12" t="s">
        <v>127</v>
      </c>
      <c r="B12" t="s">
        <v>126</v>
      </c>
      <c r="C12" t="s">
        <v>125</v>
      </c>
      <c r="D12" t="s">
        <v>8</v>
      </c>
      <c r="E12" t="s">
        <v>7</v>
      </c>
      <c r="F12" t="s">
        <v>120</v>
      </c>
      <c r="G12" t="s">
        <v>0</v>
      </c>
      <c r="H12">
        <v>4200</v>
      </c>
    </row>
    <row r="13" spans="1:8" x14ac:dyDescent="0.35">
      <c r="A13" t="s">
        <v>124</v>
      </c>
      <c r="B13" t="s">
        <v>123</v>
      </c>
      <c r="C13" t="s">
        <v>122</v>
      </c>
      <c r="D13" t="s">
        <v>12</v>
      </c>
      <c r="E13" t="s">
        <v>2</v>
      </c>
      <c r="F13" t="s">
        <v>42</v>
      </c>
      <c r="G13" t="s">
        <v>0</v>
      </c>
      <c r="H13">
        <v>3960</v>
      </c>
    </row>
    <row r="14" spans="1:8" x14ac:dyDescent="0.35">
      <c r="A14" t="s">
        <v>121</v>
      </c>
      <c r="B14" t="s">
        <v>75</v>
      </c>
      <c r="C14" t="s">
        <v>74</v>
      </c>
      <c r="D14" t="s">
        <v>8</v>
      </c>
      <c r="E14" t="s">
        <v>7</v>
      </c>
      <c r="F14" t="s">
        <v>120</v>
      </c>
      <c r="G14" t="s">
        <v>73</v>
      </c>
      <c r="H14">
        <v>3900</v>
      </c>
    </row>
    <row r="15" spans="1:8" x14ac:dyDescent="0.35">
      <c r="A15" t="s">
        <v>119</v>
      </c>
      <c r="B15" t="s">
        <v>118</v>
      </c>
      <c r="C15" t="s">
        <v>117</v>
      </c>
      <c r="D15" t="s">
        <v>8</v>
      </c>
      <c r="E15" t="s">
        <v>7</v>
      </c>
      <c r="F15" t="s">
        <v>116</v>
      </c>
      <c r="G15" t="s">
        <v>0</v>
      </c>
      <c r="H15">
        <v>3600</v>
      </c>
    </row>
    <row r="16" spans="1:8" x14ac:dyDescent="0.35">
      <c r="A16" t="s">
        <v>115</v>
      </c>
      <c r="B16" t="s">
        <v>114</v>
      </c>
      <c r="C16" t="s">
        <v>113</v>
      </c>
      <c r="D16" t="s">
        <v>8</v>
      </c>
      <c r="E16" t="s">
        <v>7</v>
      </c>
      <c r="F16" t="s">
        <v>29</v>
      </c>
      <c r="G16" t="s">
        <v>0</v>
      </c>
      <c r="H16">
        <v>3325</v>
      </c>
    </row>
    <row r="17" spans="1:8" x14ac:dyDescent="0.35">
      <c r="A17" t="s">
        <v>112</v>
      </c>
      <c r="B17" t="s">
        <v>111</v>
      </c>
      <c r="C17" t="s">
        <v>110</v>
      </c>
      <c r="D17" t="s">
        <v>12</v>
      </c>
      <c r="E17" t="s">
        <v>2</v>
      </c>
      <c r="F17" t="s">
        <v>24</v>
      </c>
      <c r="G17" t="s">
        <v>0</v>
      </c>
      <c r="H17">
        <v>3230</v>
      </c>
    </row>
    <row r="18" spans="1:8" x14ac:dyDescent="0.35">
      <c r="A18" t="s">
        <v>109</v>
      </c>
      <c r="B18" t="s">
        <v>108</v>
      </c>
      <c r="C18" t="s">
        <v>107</v>
      </c>
      <c r="D18" t="s">
        <v>8</v>
      </c>
      <c r="E18" t="s">
        <v>7</v>
      </c>
      <c r="F18" t="s">
        <v>42</v>
      </c>
      <c r="G18" t="s">
        <v>0</v>
      </c>
      <c r="H18">
        <v>3080</v>
      </c>
    </row>
    <row r="19" spans="1:8" x14ac:dyDescent="0.35">
      <c r="A19" t="s">
        <v>106</v>
      </c>
      <c r="B19" t="s">
        <v>105</v>
      </c>
      <c r="C19" t="s">
        <v>104</v>
      </c>
      <c r="D19" t="s">
        <v>8</v>
      </c>
      <c r="E19" t="s">
        <v>7</v>
      </c>
      <c r="F19" t="s">
        <v>24</v>
      </c>
      <c r="G19" t="s">
        <v>0</v>
      </c>
      <c r="H19">
        <v>2975</v>
      </c>
    </row>
    <row r="20" spans="1:8" x14ac:dyDescent="0.35">
      <c r="A20" t="s">
        <v>103</v>
      </c>
      <c r="B20" t="s">
        <v>95</v>
      </c>
      <c r="C20" t="s">
        <v>94</v>
      </c>
      <c r="D20" t="s">
        <v>8</v>
      </c>
      <c r="E20" t="s">
        <v>7</v>
      </c>
      <c r="F20" t="s">
        <v>42</v>
      </c>
      <c r="G20" t="s">
        <v>0</v>
      </c>
      <c r="H20">
        <v>2860</v>
      </c>
    </row>
    <row r="21" spans="1:8" x14ac:dyDescent="0.35">
      <c r="A21" t="s">
        <v>102</v>
      </c>
      <c r="B21" t="s">
        <v>101</v>
      </c>
      <c r="C21" t="s">
        <v>100</v>
      </c>
      <c r="D21" t="s">
        <v>3</v>
      </c>
      <c r="E21" t="s">
        <v>2</v>
      </c>
      <c r="F21" t="s">
        <v>42</v>
      </c>
      <c r="G21" t="s">
        <v>0</v>
      </c>
      <c r="H21">
        <v>2860</v>
      </c>
    </row>
    <row r="22" spans="1:8" x14ac:dyDescent="0.35">
      <c r="A22" t="s">
        <v>99</v>
      </c>
      <c r="B22" t="s">
        <v>98</v>
      </c>
      <c r="C22" t="s">
        <v>97</v>
      </c>
      <c r="D22" t="s">
        <v>8</v>
      </c>
      <c r="E22" t="s">
        <v>7</v>
      </c>
      <c r="F22" t="s">
        <v>24</v>
      </c>
      <c r="G22" t="s">
        <v>0</v>
      </c>
      <c r="H22">
        <v>2805</v>
      </c>
    </row>
    <row r="23" spans="1:8" x14ac:dyDescent="0.35">
      <c r="A23" t="s">
        <v>96</v>
      </c>
      <c r="B23" t="s">
        <v>95</v>
      </c>
      <c r="C23" t="s">
        <v>94</v>
      </c>
      <c r="D23" t="s">
        <v>8</v>
      </c>
      <c r="E23" t="s">
        <v>7</v>
      </c>
      <c r="F23" t="s">
        <v>24</v>
      </c>
      <c r="G23" t="s">
        <v>0</v>
      </c>
      <c r="H23">
        <v>2635</v>
      </c>
    </row>
    <row r="24" spans="1:8" x14ac:dyDescent="0.35">
      <c r="A24" t="s">
        <v>93</v>
      </c>
      <c r="B24" t="s">
        <v>88</v>
      </c>
      <c r="C24" t="s">
        <v>87</v>
      </c>
      <c r="D24" t="s">
        <v>3</v>
      </c>
      <c r="E24" t="s">
        <v>2</v>
      </c>
      <c r="F24" t="s">
        <v>42</v>
      </c>
      <c r="G24" t="s">
        <v>0</v>
      </c>
      <c r="H24">
        <v>2530</v>
      </c>
    </row>
    <row r="25" spans="1:8" x14ac:dyDescent="0.35">
      <c r="A25" t="s">
        <v>92</v>
      </c>
      <c r="B25" t="s">
        <v>91</v>
      </c>
      <c r="C25" t="s">
        <v>90</v>
      </c>
      <c r="D25" t="s">
        <v>3</v>
      </c>
      <c r="E25" t="s">
        <v>2</v>
      </c>
      <c r="F25" t="s">
        <v>24</v>
      </c>
      <c r="G25" t="s">
        <v>0</v>
      </c>
      <c r="H25">
        <v>2465</v>
      </c>
    </row>
    <row r="26" spans="1:8" x14ac:dyDescent="0.35">
      <c r="A26" t="s">
        <v>89</v>
      </c>
      <c r="B26" t="s">
        <v>88</v>
      </c>
      <c r="C26" t="s">
        <v>87</v>
      </c>
      <c r="D26" t="s">
        <v>3</v>
      </c>
      <c r="E26" t="s">
        <v>2</v>
      </c>
      <c r="F26" t="s">
        <v>24</v>
      </c>
      <c r="G26" t="s">
        <v>0</v>
      </c>
      <c r="H26">
        <v>2380</v>
      </c>
    </row>
    <row r="27" spans="1:8" x14ac:dyDescent="0.35">
      <c r="A27" t="s">
        <v>86</v>
      </c>
      <c r="B27" t="s">
        <v>85</v>
      </c>
      <c r="C27" t="s">
        <v>84</v>
      </c>
      <c r="D27" t="s">
        <v>8</v>
      </c>
      <c r="E27" t="s">
        <v>7</v>
      </c>
      <c r="F27" t="s">
        <v>42</v>
      </c>
      <c r="G27" t="s">
        <v>0</v>
      </c>
      <c r="H27">
        <v>2200</v>
      </c>
    </row>
    <row r="28" spans="1:8" x14ac:dyDescent="0.35">
      <c r="A28" t="s">
        <v>83</v>
      </c>
      <c r="B28" t="s">
        <v>82</v>
      </c>
      <c r="C28" t="s">
        <v>81</v>
      </c>
      <c r="D28" t="s">
        <v>12</v>
      </c>
      <c r="E28" t="s">
        <v>2</v>
      </c>
      <c r="F28" t="s">
        <v>29</v>
      </c>
      <c r="G28" t="s">
        <v>0</v>
      </c>
      <c r="H28">
        <v>2185</v>
      </c>
    </row>
    <row r="29" spans="1:8" x14ac:dyDescent="0.35">
      <c r="A29" t="s">
        <v>80</v>
      </c>
      <c r="B29" t="s">
        <v>79</v>
      </c>
      <c r="C29" t="s">
        <v>78</v>
      </c>
      <c r="D29" t="s">
        <v>3</v>
      </c>
      <c r="E29" t="s">
        <v>2</v>
      </c>
      <c r="F29" t="s">
        <v>24</v>
      </c>
      <c r="G29" t="s">
        <v>0</v>
      </c>
      <c r="H29">
        <v>2125</v>
      </c>
    </row>
    <row r="30" spans="1:8" x14ac:dyDescent="0.35">
      <c r="A30" t="s">
        <v>77</v>
      </c>
      <c r="B30" t="s">
        <v>65</v>
      </c>
      <c r="C30" t="s">
        <v>64</v>
      </c>
      <c r="D30" t="s">
        <v>12</v>
      </c>
      <c r="E30" t="s">
        <v>2</v>
      </c>
      <c r="F30" t="s">
        <v>42</v>
      </c>
      <c r="G30" t="s">
        <v>0</v>
      </c>
      <c r="H30">
        <v>2090</v>
      </c>
    </row>
    <row r="31" spans="1:8" x14ac:dyDescent="0.35">
      <c r="A31" t="s">
        <v>76</v>
      </c>
      <c r="B31" t="s">
        <v>75</v>
      </c>
      <c r="C31" t="s">
        <v>74</v>
      </c>
      <c r="D31" t="s">
        <v>8</v>
      </c>
      <c r="E31" t="s">
        <v>7</v>
      </c>
      <c r="F31" t="s">
        <v>29</v>
      </c>
      <c r="G31" t="s">
        <v>73</v>
      </c>
      <c r="H31">
        <v>1985.5</v>
      </c>
    </row>
    <row r="32" spans="1:8" x14ac:dyDescent="0.35">
      <c r="A32" t="s">
        <v>72</v>
      </c>
      <c r="B32" t="s">
        <v>71</v>
      </c>
      <c r="C32" t="s">
        <v>70</v>
      </c>
      <c r="D32" t="s">
        <v>17</v>
      </c>
      <c r="E32" t="s">
        <v>16</v>
      </c>
      <c r="F32" t="s">
        <v>42</v>
      </c>
      <c r="G32" t="s">
        <v>0</v>
      </c>
      <c r="H32">
        <v>1980</v>
      </c>
    </row>
    <row r="33" spans="1:8" x14ac:dyDescent="0.35">
      <c r="A33" t="s">
        <v>69</v>
      </c>
      <c r="B33" t="s">
        <v>68</v>
      </c>
      <c r="C33" t="s">
        <v>67</v>
      </c>
      <c r="D33" t="s">
        <v>3</v>
      </c>
      <c r="E33" t="s">
        <v>7</v>
      </c>
      <c r="F33" t="s">
        <v>42</v>
      </c>
      <c r="G33" t="s">
        <v>0</v>
      </c>
      <c r="H33">
        <v>1980</v>
      </c>
    </row>
    <row r="34" spans="1:8" x14ac:dyDescent="0.35">
      <c r="A34" t="s">
        <v>66</v>
      </c>
      <c r="B34" t="s">
        <v>65</v>
      </c>
      <c r="C34" t="s">
        <v>64</v>
      </c>
      <c r="D34" t="s">
        <v>12</v>
      </c>
      <c r="E34" t="s">
        <v>2</v>
      </c>
      <c r="F34" t="s">
        <v>24</v>
      </c>
      <c r="G34" t="s">
        <v>0</v>
      </c>
      <c r="H34">
        <v>1955</v>
      </c>
    </row>
    <row r="35" spans="1:8" x14ac:dyDescent="0.35">
      <c r="A35" t="s">
        <v>63</v>
      </c>
      <c r="B35" t="s">
        <v>62</v>
      </c>
      <c r="C35" t="s">
        <v>61</v>
      </c>
      <c r="D35" t="s">
        <v>8</v>
      </c>
      <c r="E35" t="s">
        <v>7</v>
      </c>
      <c r="F35" t="s">
        <v>29</v>
      </c>
      <c r="G35" t="s">
        <v>0</v>
      </c>
      <c r="H35">
        <v>1900</v>
      </c>
    </row>
    <row r="36" spans="1:8" x14ac:dyDescent="0.35">
      <c r="A36" t="s">
        <v>60</v>
      </c>
      <c r="B36" t="s">
        <v>59</v>
      </c>
      <c r="C36" t="s">
        <v>58</v>
      </c>
      <c r="D36" t="s">
        <v>12</v>
      </c>
      <c r="E36" t="s">
        <v>2</v>
      </c>
      <c r="F36" t="s">
        <v>24</v>
      </c>
      <c r="G36" t="s">
        <v>0</v>
      </c>
      <c r="H36">
        <v>1870</v>
      </c>
    </row>
    <row r="37" spans="1:8" x14ac:dyDescent="0.35">
      <c r="A37" t="s">
        <v>57</v>
      </c>
      <c r="B37" t="s">
        <v>56</v>
      </c>
      <c r="C37" t="s">
        <v>55</v>
      </c>
      <c r="D37" t="s">
        <v>12</v>
      </c>
      <c r="E37" t="s">
        <v>2</v>
      </c>
      <c r="F37" t="s">
        <v>24</v>
      </c>
      <c r="G37" t="s">
        <v>0</v>
      </c>
      <c r="H37">
        <v>1870</v>
      </c>
    </row>
    <row r="38" spans="1:8" x14ac:dyDescent="0.35">
      <c r="A38" t="s">
        <v>54</v>
      </c>
      <c r="B38" t="s">
        <v>53</v>
      </c>
      <c r="C38" t="s">
        <v>52</v>
      </c>
      <c r="D38" t="s">
        <v>12</v>
      </c>
      <c r="E38" t="s">
        <v>2</v>
      </c>
      <c r="F38" t="s">
        <v>42</v>
      </c>
      <c r="G38" t="s">
        <v>0</v>
      </c>
      <c r="H38">
        <v>1760</v>
      </c>
    </row>
    <row r="39" spans="1:8" x14ac:dyDescent="0.35">
      <c r="A39" t="s">
        <v>51</v>
      </c>
      <c r="B39" t="s">
        <v>50</v>
      </c>
      <c r="C39" t="s">
        <v>49</v>
      </c>
      <c r="D39" t="s">
        <v>8</v>
      </c>
      <c r="E39" t="s">
        <v>7</v>
      </c>
      <c r="F39" t="s">
        <v>29</v>
      </c>
      <c r="G39" t="s">
        <v>0</v>
      </c>
      <c r="H39">
        <v>1710</v>
      </c>
    </row>
    <row r="40" spans="1:8" x14ac:dyDescent="0.35">
      <c r="A40" t="s">
        <v>48</v>
      </c>
      <c r="B40" t="s">
        <v>47</v>
      </c>
      <c r="C40" t="s">
        <v>46</v>
      </c>
      <c r="D40" t="s">
        <v>17</v>
      </c>
      <c r="E40" t="s">
        <v>16</v>
      </c>
      <c r="F40" t="s">
        <v>29</v>
      </c>
      <c r="G40" t="s">
        <v>0</v>
      </c>
      <c r="H40">
        <v>1710</v>
      </c>
    </row>
    <row r="41" spans="1:8" x14ac:dyDescent="0.35">
      <c r="A41" t="s">
        <v>45</v>
      </c>
      <c r="B41" t="s">
        <v>44</v>
      </c>
      <c r="C41" t="s">
        <v>43</v>
      </c>
      <c r="D41" t="s">
        <v>12</v>
      </c>
      <c r="E41" t="s">
        <v>2</v>
      </c>
      <c r="F41" t="s">
        <v>42</v>
      </c>
      <c r="G41" t="s">
        <v>0</v>
      </c>
      <c r="H41">
        <v>1650</v>
      </c>
    </row>
    <row r="42" spans="1:8" x14ac:dyDescent="0.35">
      <c r="A42" t="s">
        <v>41</v>
      </c>
      <c r="B42" t="s">
        <v>40</v>
      </c>
      <c r="C42" t="s">
        <v>39</v>
      </c>
      <c r="D42" t="s">
        <v>17</v>
      </c>
      <c r="E42" t="s">
        <v>16</v>
      </c>
      <c r="F42" t="s">
        <v>24</v>
      </c>
      <c r="G42" t="s">
        <v>0</v>
      </c>
      <c r="H42">
        <v>1615</v>
      </c>
    </row>
    <row r="43" spans="1:8" x14ac:dyDescent="0.35">
      <c r="A43" t="s">
        <v>38</v>
      </c>
      <c r="B43" t="s">
        <v>37</v>
      </c>
      <c r="C43" t="s">
        <v>36</v>
      </c>
      <c r="D43" t="s">
        <v>3</v>
      </c>
      <c r="E43" t="s">
        <v>2</v>
      </c>
      <c r="F43" t="s">
        <v>29</v>
      </c>
      <c r="G43" t="s">
        <v>0</v>
      </c>
      <c r="H43">
        <v>1520</v>
      </c>
    </row>
    <row r="44" spans="1:8" x14ac:dyDescent="0.35">
      <c r="A44" t="s">
        <v>35</v>
      </c>
      <c r="B44" t="s">
        <v>34</v>
      </c>
      <c r="C44" t="s">
        <v>33</v>
      </c>
      <c r="D44" t="s">
        <v>3</v>
      </c>
      <c r="E44" t="s">
        <v>2</v>
      </c>
      <c r="F44" t="s">
        <v>24</v>
      </c>
      <c r="G44" t="s">
        <v>0</v>
      </c>
      <c r="H44">
        <v>1360</v>
      </c>
    </row>
    <row r="45" spans="1:8" x14ac:dyDescent="0.35">
      <c r="A45" t="s">
        <v>32</v>
      </c>
      <c r="B45" t="s">
        <v>31</v>
      </c>
      <c r="C45" t="s">
        <v>30</v>
      </c>
      <c r="D45" t="s">
        <v>8</v>
      </c>
      <c r="E45" t="s">
        <v>7</v>
      </c>
      <c r="F45" t="s">
        <v>29</v>
      </c>
      <c r="G45" t="s">
        <v>0</v>
      </c>
      <c r="H45">
        <v>1140</v>
      </c>
    </row>
    <row r="46" spans="1:8" x14ac:dyDescent="0.35">
      <c r="A46" t="s">
        <v>28</v>
      </c>
      <c r="B46" t="s">
        <v>14</v>
      </c>
      <c r="C46" t="s">
        <v>13</v>
      </c>
      <c r="D46" t="s">
        <v>12</v>
      </c>
      <c r="E46" t="s">
        <v>2</v>
      </c>
      <c r="F46" t="s">
        <v>24</v>
      </c>
      <c r="G46" t="s">
        <v>0</v>
      </c>
      <c r="H46">
        <v>1105</v>
      </c>
    </row>
    <row r="47" spans="1:8" x14ac:dyDescent="0.35">
      <c r="A47" t="s">
        <v>27</v>
      </c>
      <c r="B47" t="s">
        <v>26</v>
      </c>
      <c r="C47" t="s">
        <v>25</v>
      </c>
      <c r="D47" t="s">
        <v>12</v>
      </c>
      <c r="E47" t="s">
        <v>2</v>
      </c>
      <c r="F47" t="s">
        <v>24</v>
      </c>
      <c r="G47" t="s">
        <v>0</v>
      </c>
      <c r="H47">
        <v>935</v>
      </c>
    </row>
    <row r="48" spans="1:8" x14ac:dyDescent="0.35">
      <c r="A48" t="s">
        <v>23</v>
      </c>
      <c r="B48" t="s">
        <v>22</v>
      </c>
      <c r="C48" t="s">
        <v>21</v>
      </c>
      <c r="D48" t="s">
        <v>12</v>
      </c>
      <c r="E48" t="s">
        <v>2</v>
      </c>
      <c r="F48" t="s">
        <v>1</v>
      </c>
      <c r="G48" t="s">
        <v>0</v>
      </c>
      <c r="H48">
        <v>720</v>
      </c>
    </row>
    <row r="49" spans="1:8" x14ac:dyDescent="0.35">
      <c r="A49" t="s">
        <v>20</v>
      </c>
      <c r="B49" t="s">
        <v>19</v>
      </c>
      <c r="C49" t="s">
        <v>18</v>
      </c>
      <c r="D49" t="s">
        <v>17</v>
      </c>
      <c r="E49" t="s">
        <v>16</v>
      </c>
      <c r="F49" t="s">
        <v>1</v>
      </c>
      <c r="G49" t="s">
        <v>0</v>
      </c>
      <c r="H49">
        <v>675</v>
      </c>
    </row>
    <row r="50" spans="1:8" x14ac:dyDescent="0.35">
      <c r="A50" t="s">
        <v>15</v>
      </c>
      <c r="B50" t="s">
        <v>14</v>
      </c>
      <c r="C50" t="s">
        <v>13</v>
      </c>
      <c r="D50" t="s">
        <v>12</v>
      </c>
      <c r="E50" t="s">
        <v>2</v>
      </c>
      <c r="F50" t="s">
        <v>1</v>
      </c>
      <c r="G50" t="s">
        <v>0</v>
      </c>
      <c r="H50">
        <v>585</v>
      </c>
    </row>
    <row r="51" spans="1:8" x14ac:dyDescent="0.35">
      <c r="A51" t="s">
        <v>11</v>
      </c>
      <c r="B51" t="s">
        <v>10</v>
      </c>
      <c r="C51" t="s">
        <v>9</v>
      </c>
      <c r="D51" t="s">
        <v>8</v>
      </c>
      <c r="E51" t="s">
        <v>7</v>
      </c>
      <c r="F51" t="s">
        <v>1</v>
      </c>
      <c r="G51" t="s">
        <v>0</v>
      </c>
      <c r="H51">
        <v>585</v>
      </c>
    </row>
    <row r="52" spans="1:8" x14ac:dyDescent="0.35">
      <c r="A52" t="s">
        <v>6</v>
      </c>
      <c r="B52" t="s">
        <v>5</v>
      </c>
      <c r="C52" t="s">
        <v>4</v>
      </c>
      <c r="D52" t="s">
        <v>3</v>
      </c>
      <c r="E52" t="s">
        <v>2</v>
      </c>
      <c r="F52" t="s">
        <v>1</v>
      </c>
      <c r="G52" t="s">
        <v>0</v>
      </c>
      <c r="H52">
        <v>540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60B75-D7F2-431F-B042-2B626EBE5185}">
  <dimension ref="A1:Q98"/>
  <sheetViews>
    <sheetView workbookViewId="0">
      <selection activeCell="I89" sqref="I89"/>
    </sheetView>
  </sheetViews>
  <sheetFormatPr defaultRowHeight="14.5" x14ac:dyDescent="0.35"/>
  <cols>
    <col min="1" max="1" width="7.54296875" bestFit="1" customWidth="1"/>
    <col min="2" max="2" width="13.1796875" bestFit="1" customWidth="1"/>
    <col min="3" max="3" width="10.81640625" bestFit="1" customWidth="1"/>
    <col min="4" max="4" width="24.36328125" bestFit="1" customWidth="1"/>
    <col min="5" max="5" width="14.36328125" bestFit="1" customWidth="1"/>
    <col min="6" max="6" width="6.7265625" bestFit="1" customWidth="1"/>
    <col min="7" max="8" width="10.08984375" bestFit="1" customWidth="1"/>
    <col min="9" max="9" width="14" bestFit="1" customWidth="1"/>
    <col min="10" max="10" width="14.453125" bestFit="1" customWidth="1"/>
    <col min="11" max="11" width="17" bestFit="1" customWidth="1"/>
    <col min="12" max="12" width="15" bestFit="1" customWidth="1"/>
    <col min="13" max="13" width="53.81640625" bestFit="1" customWidth="1"/>
    <col min="14" max="14" width="17" bestFit="1" customWidth="1"/>
    <col min="15" max="15" width="10.6328125" bestFit="1" customWidth="1"/>
    <col min="16" max="16" width="12.7265625" bestFit="1" customWidth="1"/>
    <col min="17" max="17" width="15" bestFit="1" customWidth="1"/>
  </cols>
  <sheetData>
    <row r="1" spans="1:17" x14ac:dyDescent="0.35">
      <c r="A1" t="s">
        <v>312</v>
      </c>
      <c r="B1" t="s">
        <v>151</v>
      </c>
      <c r="C1" t="s">
        <v>150</v>
      </c>
      <c r="D1" t="s">
        <v>149</v>
      </c>
      <c r="E1" t="s">
        <v>147</v>
      </c>
      <c r="F1" t="s">
        <v>311</v>
      </c>
      <c r="G1" t="s">
        <v>310</v>
      </c>
      <c r="H1" t="s">
        <v>310</v>
      </c>
      <c r="I1" t="s">
        <v>309</v>
      </c>
      <c r="J1" t="s">
        <v>308</v>
      </c>
      <c r="K1" t="s">
        <v>307</v>
      </c>
      <c r="L1" t="s">
        <v>306</v>
      </c>
      <c r="M1" t="s">
        <v>305</v>
      </c>
      <c r="N1" t="s">
        <v>146</v>
      </c>
      <c r="O1" t="s">
        <v>145</v>
      </c>
      <c r="P1" t="s">
        <v>184</v>
      </c>
      <c r="Q1" t="s">
        <v>165</v>
      </c>
    </row>
    <row r="2" spans="1:17" x14ac:dyDescent="0.35">
      <c r="A2" t="s">
        <v>304</v>
      </c>
      <c r="B2" t="s">
        <v>281</v>
      </c>
      <c r="C2" t="s">
        <v>53</v>
      </c>
      <c r="D2" t="s">
        <v>52</v>
      </c>
      <c r="E2" t="s">
        <v>2</v>
      </c>
      <c r="F2" s="2">
        <v>45292</v>
      </c>
      <c r="G2" s="1">
        <v>45299</v>
      </c>
      <c r="H2" s="1">
        <v>45299</v>
      </c>
      <c r="I2" t="s">
        <v>159</v>
      </c>
      <c r="N2" t="s">
        <v>29</v>
      </c>
      <c r="O2" t="s">
        <v>0</v>
      </c>
      <c r="P2">
        <v>95</v>
      </c>
      <c r="Q2">
        <v>0</v>
      </c>
    </row>
    <row r="3" spans="1:17" x14ac:dyDescent="0.35">
      <c r="A3" t="s">
        <v>303</v>
      </c>
      <c r="B3" t="s">
        <v>121</v>
      </c>
      <c r="C3" t="s">
        <v>75</v>
      </c>
      <c r="D3" t="s">
        <v>74</v>
      </c>
      <c r="E3" t="s">
        <v>7</v>
      </c>
      <c r="F3" s="2">
        <v>45292</v>
      </c>
      <c r="G3" s="1">
        <v>45313</v>
      </c>
      <c r="H3" s="1">
        <v>45313</v>
      </c>
      <c r="I3" t="s">
        <v>159</v>
      </c>
      <c r="N3" t="s">
        <v>120</v>
      </c>
      <c r="O3" t="s">
        <v>73</v>
      </c>
      <c r="P3">
        <v>1800</v>
      </c>
      <c r="Q3">
        <v>0</v>
      </c>
    </row>
    <row r="4" spans="1:17" x14ac:dyDescent="0.35">
      <c r="A4" t="s">
        <v>302</v>
      </c>
      <c r="B4" t="s">
        <v>66</v>
      </c>
      <c r="C4" t="s">
        <v>65</v>
      </c>
      <c r="D4" t="s">
        <v>64</v>
      </c>
      <c r="E4" t="s">
        <v>2</v>
      </c>
      <c r="F4" s="2">
        <v>45323</v>
      </c>
      <c r="G4" s="1">
        <v>45327</v>
      </c>
      <c r="H4" s="1">
        <v>45327</v>
      </c>
      <c r="I4" t="s">
        <v>159</v>
      </c>
      <c r="N4" t="s">
        <v>24</v>
      </c>
      <c r="O4" t="s">
        <v>0</v>
      </c>
      <c r="P4">
        <v>85</v>
      </c>
      <c r="Q4">
        <v>0</v>
      </c>
    </row>
    <row r="5" spans="1:17" x14ac:dyDescent="0.35">
      <c r="A5" t="s">
        <v>301</v>
      </c>
      <c r="B5" t="s">
        <v>69</v>
      </c>
      <c r="C5" t="s">
        <v>68</v>
      </c>
      <c r="D5" t="s">
        <v>67</v>
      </c>
      <c r="E5" t="s">
        <v>7</v>
      </c>
      <c r="F5" s="2">
        <v>45323</v>
      </c>
      <c r="G5" s="1">
        <v>45341</v>
      </c>
      <c r="H5" s="1">
        <v>45341</v>
      </c>
      <c r="I5" t="s">
        <v>159</v>
      </c>
      <c r="N5" t="s">
        <v>42</v>
      </c>
      <c r="O5" t="s">
        <v>0</v>
      </c>
      <c r="P5">
        <v>110</v>
      </c>
      <c r="Q5">
        <v>0</v>
      </c>
    </row>
    <row r="6" spans="1:17" x14ac:dyDescent="0.35">
      <c r="A6" t="s">
        <v>300</v>
      </c>
      <c r="B6" t="s">
        <v>191</v>
      </c>
      <c r="C6" t="s">
        <v>68</v>
      </c>
      <c r="D6" t="s">
        <v>67</v>
      </c>
      <c r="E6" t="s">
        <v>7</v>
      </c>
      <c r="F6" s="2">
        <v>45323</v>
      </c>
      <c r="G6" s="1">
        <v>45341</v>
      </c>
      <c r="H6" s="1">
        <v>45341</v>
      </c>
      <c r="I6" t="s">
        <v>159</v>
      </c>
      <c r="N6" t="s">
        <v>116</v>
      </c>
      <c r="O6" t="s">
        <v>0</v>
      </c>
      <c r="P6">
        <v>180</v>
      </c>
      <c r="Q6">
        <v>0</v>
      </c>
    </row>
    <row r="7" spans="1:17" x14ac:dyDescent="0.35">
      <c r="A7" t="s">
        <v>299</v>
      </c>
      <c r="B7" t="s">
        <v>269</v>
      </c>
      <c r="C7" t="s">
        <v>268</v>
      </c>
      <c r="D7" t="s">
        <v>267</v>
      </c>
      <c r="E7" t="s">
        <v>2</v>
      </c>
      <c r="F7" s="2">
        <v>45352</v>
      </c>
      <c r="G7" s="1">
        <v>45355</v>
      </c>
      <c r="H7" s="1">
        <v>45355</v>
      </c>
      <c r="I7" t="s">
        <v>159</v>
      </c>
      <c r="N7" t="s">
        <v>1</v>
      </c>
      <c r="O7" t="s">
        <v>0</v>
      </c>
      <c r="P7">
        <v>45</v>
      </c>
      <c r="Q7">
        <v>0</v>
      </c>
    </row>
    <row r="8" spans="1:17" x14ac:dyDescent="0.35">
      <c r="A8" t="s">
        <v>298</v>
      </c>
      <c r="B8" t="s">
        <v>136</v>
      </c>
      <c r="C8" t="s">
        <v>98</v>
      </c>
      <c r="D8" t="s">
        <v>97</v>
      </c>
      <c r="E8" t="s">
        <v>7</v>
      </c>
      <c r="F8" s="2">
        <v>45352</v>
      </c>
      <c r="G8" s="1">
        <v>45369</v>
      </c>
      <c r="H8" s="1">
        <v>45369</v>
      </c>
      <c r="I8" t="s">
        <v>159</v>
      </c>
      <c r="N8" t="s">
        <v>116</v>
      </c>
      <c r="O8" t="s">
        <v>73</v>
      </c>
      <c r="P8">
        <v>2160</v>
      </c>
      <c r="Q8">
        <v>0</v>
      </c>
    </row>
    <row r="9" spans="1:17" x14ac:dyDescent="0.35">
      <c r="A9" t="s">
        <v>297</v>
      </c>
      <c r="B9" t="s">
        <v>35</v>
      </c>
      <c r="C9" t="s">
        <v>34</v>
      </c>
      <c r="D9" t="s">
        <v>33</v>
      </c>
      <c r="E9" t="s">
        <v>2</v>
      </c>
      <c r="F9" s="2">
        <v>45383</v>
      </c>
      <c r="G9" s="1">
        <v>45383</v>
      </c>
      <c r="H9" s="1">
        <v>45383</v>
      </c>
      <c r="I9" t="s">
        <v>159</v>
      </c>
      <c r="N9" t="s">
        <v>24</v>
      </c>
      <c r="O9" t="s">
        <v>0</v>
      </c>
      <c r="P9">
        <v>85</v>
      </c>
      <c r="Q9">
        <v>0</v>
      </c>
    </row>
    <row r="10" spans="1:17" x14ac:dyDescent="0.35">
      <c r="A10" t="s">
        <v>296</v>
      </c>
      <c r="B10" t="s">
        <v>157</v>
      </c>
      <c r="C10" t="s">
        <v>34</v>
      </c>
      <c r="D10" t="s">
        <v>33</v>
      </c>
      <c r="E10" t="s">
        <v>2</v>
      </c>
      <c r="F10" s="2">
        <v>45383</v>
      </c>
      <c r="G10" s="1">
        <v>45383</v>
      </c>
      <c r="H10" s="1">
        <v>45383</v>
      </c>
      <c r="I10" t="s">
        <v>159</v>
      </c>
      <c r="N10" t="s">
        <v>1</v>
      </c>
      <c r="O10" t="s">
        <v>0</v>
      </c>
      <c r="P10">
        <v>45</v>
      </c>
      <c r="Q10">
        <v>12</v>
      </c>
    </row>
    <row r="11" spans="1:17" x14ac:dyDescent="0.35">
      <c r="A11" t="s">
        <v>295</v>
      </c>
      <c r="B11" t="s">
        <v>261</v>
      </c>
      <c r="C11" t="s">
        <v>59</v>
      </c>
      <c r="D11" t="s">
        <v>58</v>
      </c>
      <c r="E11" t="s">
        <v>2</v>
      </c>
      <c r="F11" s="2">
        <v>45383</v>
      </c>
      <c r="G11" s="1">
        <v>45397</v>
      </c>
      <c r="H11" s="1">
        <v>45397</v>
      </c>
      <c r="I11" t="s">
        <v>159</v>
      </c>
      <c r="N11" t="s">
        <v>29</v>
      </c>
      <c r="O11" t="s">
        <v>0</v>
      </c>
      <c r="P11">
        <v>95</v>
      </c>
      <c r="Q11">
        <v>0</v>
      </c>
    </row>
    <row r="12" spans="1:17" x14ac:dyDescent="0.35">
      <c r="A12" t="s">
        <v>294</v>
      </c>
      <c r="B12" t="s">
        <v>135</v>
      </c>
      <c r="C12" t="s">
        <v>114</v>
      </c>
      <c r="D12" t="s">
        <v>113</v>
      </c>
      <c r="E12" t="s">
        <v>7</v>
      </c>
      <c r="F12" s="2">
        <v>45383</v>
      </c>
      <c r="G12" s="1">
        <v>45411</v>
      </c>
      <c r="H12" s="1">
        <v>45411</v>
      </c>
      <c r="I12" t="s">
        <v>159</v>
      </c>
      <c r="N12" t="s">
        <v>120</v>
      </c>
      <c r="O12" t="s">
        <v>73</v>
      </c>
      <c r="P12">
        <v>1800</v>
      </c>
      <c r="Q12">
        <v>0</v>
      </c>
    </row>
    <row r="13" spans="1:17" x14ac:dyDescent="0.35">
      <c r="A13" t="s">
        <v>293</v>
      </c>
      <c r="B13" t="s">
        <v>15</v>
      </c>
      <c r="C13" t="s">
        <v>14</v>
      </c>
      <c r="D13" t="s">
        <v>13</v>
      </c>
      <c r="E13" t="s">
        <v>2</v>
      </c>
      <c r="F13" s="2">
        <v>45413</v>
      </c>
      <c r="G13" s="1">
        <v>45425</v>
      </c>
      <c r="H13" s="1">
        <v>45425</v>
      </c>
      <c r="I13" t="s">
        <v>159</v>
      </c>
      <c r="N13" t="s">
        <v>1</v>
      </c>
      <c r="O13" t="s">
        <v>0</v>
      </c>
      <c r="P13">
        <v>45</v>
      </c>
      <c r="Q13">
        <v>0</v>
      </c>
    </row>
    <row r="14" spans="1:17" x14ac:dyDescent="0.35">
      <c r="A14" t="s">
        <v>292</v>
      </c>
      <c r="B14" t="s">
        <v>72</v>
      </c>
      <c r="C14" t="s">
        <v>71</v>
      </c>
      <c r="D14" t="s">
        <v>70</v>
      </c>
      <c r="E14" t="s">
        <v>16</v>
      </c>
      <c r="F14" s="2">
        <v>45413</v>
      </c>
      <c r="G14" s="1">
        <v>45439</v>
      </c>
      <c r="H14" s="1">
        <v>45439</v>
      </c>
      <c r="I14" t="s">
        <v>159</v>
      </c>
      <c r="N14" t="s">
        <v>42</v>
      </c>
      <c r="O14" t="s">
        <v>0</v>
      </c>
      <c r="P14">
        <v>110</v>
      </c>
      <c r="Q14">
        <v>0</v>
      </c>
    </row>
    <row r="15" spans="1:17" x14ac:dyDescent="0.35">
      <c r="A15" t="s">
        <v>291</v>
      </c>
      <c r="B15" t="s">
        <v>83</v>
      </c>
      <c r="C15" t="s">
        <v>82</v>
      </c>
      <c r="D15" t="s">
        <v>81</v>
      </c>
      <c r="E15" t="s">
        <v>2</v>
      </c>
      <c r="F15" s="2">
        <v>45444</v>
      </c>
      <c r="G15" s="1">
        <v>45453</v>
      </c>
      <c r="H15" s="1">
        <v>45453</v>
      </c>
      <c r="I15" t="s">
        <v>159</v>
      </c>
      <c r="N15" t="s">
        <v>29</v>
      </c>
      <c r="O15" t="s">
        <v>0</v>
      </c>
      <c r="P15">
        <v>95</v>
      </c>
      <c r="Q15">
        <v>0</v>
      </c>
    </row>
    <row r="16" spans="1:17" x14ac:dyDescent="0.35">
      <c r="A16" t="s">
        <v>290</v>
      </c>
      <c r="B16" t="s">
        <v>216</v>
      </c>
      <c r="C16" t="s">
        <v>82</v>
      </c>
      <c r="D16" t="s">
        <v>81</v>
      </c>
      <c r="E16" t="s">
        <v>2</v>
      </c>
      <c r="F16" s="2">
        <v>45444</v>
      </c>
      <c r="G16" s="1">
        <v>45453</v>
      </c>
      <c r="H16" s="1">
        <v>45453</v>
      </c>
      <c r="I16" t="s">
        <v>159</v>
      </c>
      <c r="N16" t="s">
        <v>1</v>
      </c>
      <c r="O16" t="s">
        <v>0</v>
      </c>
      <c r="P16">
        <v>45</v>
      </c>
      <c r="Q16">
        <v>0</v>
      </c>
    </row>
    <row r="17" spans="1:17" x14ac:dyDescent="0.35">
      <c r="A17" t="s">
        <v>289</v>
      </c>
      <c r="B17" t="s">
        <v>255</v>
      </c>
      <c r="C17" t="s">
        <v>31</v>
      </c>
      <c r="D17" t="s">
        <v>30</v>
      </c>
      <c r="E17" t="s">
        <v>7</v>
      </c>
      <c r="F17" s="2">
        <v>45444</v>
      </c>
      <c r="G17" s="1">
        <v>45467</v>
      </c>
      <c r="H17" s="1">
        <v>45467</v>
      </c>
      <c r="I17" t="s">
        <v>159</v>
      </c>
      <c r="N17" t="s">
        <v>1</v>
      </c>
      <c r="O17" t="s">
        <v>0</v>
      </c>
      <c r="P17">
        <v>45</v>
      </c>
      <c r="Q17">
        <v>0</v>
      </c>
    </row>
    <row r="18" spans="1:17" x14ac:dyDescent="0.35">
      <c r="A18" t="s">
        <v>288</v>
      </c>
      <c r="B18" t="s">
        <v>89</v>
      </c>
      <c r="C18" t="s">
        <v>88</v>
      </c>
      <c r="D18" t="s">
        <v>87</v>
      </c>
      <c r="E18" t="s">
        <v>2</v>
      </c>
      <c r="F18" s="2">
        <v>45474</v>
      </c>
      <c r="G18" s="1">
        <v>45481</v>
      </c>
      <c r="H18" s="1">
        <v>45481</v>
      </c>
      <c r="I18" t="s">
        <v>159</v>
      </c>
      <c r="N18" t="s">
        <v>24</v>
      </c>
      <c r="O18" t="s">
        <v>0</v>
      </c>
      <c r="P18">
        <v>85</v>
      </c>
      <c r="Q18">
        <v>0</v>
      </c>
    </row>
    <row r="19" spans="1:17" x14ac:dyDescent="0.35">
      <c r="A19" t="s">
        <v>287</v>
      </c>
      <c r="B19" t="s">
        <v>54</v>
      </c>
      <c r="C19" t="s">
        <v>53</v>
      </c>
      <c r="D19" t="s">
        <v>52</v>
      </c>
      <c r="E19" t="s">
        <v>2</v>
      </c>
      <c r="F19" s="2">
        <v>45474</v>
      </c>
      <c r="G19" s="1">
        <v>45488</v>
      </c>
      <c r="H19" s="1">
        <v>45488</v>
      </c>
      <c r="I19" t="s">
        <v>159</v>
      </c>
      <c r="N19" t="s">
        <v>42</v>
      </c>
      <c r="O19" t="s">
        <v>0</v>
      </c>
      <c r="P19">
        <v>110</v>
      </c>
      <c r="Q19">
        <v>0</v>
      </c>
    </row>
    <row r="20" spans="1:17" x14ac:dyDescent="0.35">
      <c r="A20" t="s">
        <v>286</v>
      </c>
      <c r="B20" t="s">
        <v>162</v>
      </c>
      <c r="C20" t="s">
        <v>118</v>
      </c>
      <c r="D20" t="s">
        <v>117</v>
      </c>
      <c r="E20" t="s">
        <v>7</v>
      </c>
      <c r="F20" s="2">
        <v>45474</v>
      </c>
      <c r="G20" s="1">
        <v>45495</v>
      </c>
      <c r="H20" s="1">
        <v>45495</v>
      </c>
      <c r="I20" t="s">
        <v>159</v>
      </c>
      <c r="N20" t="s">
        <v>29</v>
      </c>
      <c r="O20" t="s">
        <v>0</v>
      </c>
      <c r="P20">
        <v>95</v>
      </c>
      <c r="Q20">
        <v>10</v>
      </c>
    </row>
    <row r="21" spans="1:17" x14ac:dyDescent="0.35">
      <c r="A21" t="s">
        <v>285</v>
      </c>
      <c r="B21" t="s">
        <v>119</v>
      </c>
      <c r="C21" t="s">
        <v>118</v>
      </c>
      <c r="D21" t="s">
        <v>117</v>
      </c>
      <c r="E21" t="s">
        <v>7</v>
      </c>
      <c r="F21" s="2">
        <v>45474</v>
      </c>
      <c r="G21" s="1">
        <v>45495</v>
      </c>
      <c r="H21" s="1">
        <v>45495</v>
      </c>
      <c r="I21" t="s">
        <v>159</v>
      </c>
      <c r="N21" t="s">
        <v>116</v>
      </c>
      <c r="O21" t="s">
        <v>0</v>
      </c>
      <c r="P21">
        <v>180</v>
      </c>
      <c r="Q21">
        <v>0</v>
      </c>
    </row>
    <row r="22" spans="1:17" x14ac:dyDescent="0.35">
      <c r="A22" t="s">
        <v>284</v>
      </c>
      <c r="B22" t="s">
        <v>138</v>
      </c>
      <c r="C22" t="s">
        <v>111</v>
      </c>
      <c r="D22" t="s">
        <v>110</v>
      </c>
      <c r="E22" t="s">
        <v>2</v>
      </c>
      <c r="F22" s="2">
        <v>45505</v>
      </c>
      <c r="G22" s="1">
        <v>45509</v>
      </c>
      <c r="H22" s="1">
        <v>45509</v>
      </c>
      <c r="I22" t="s">
        <v>159</v>
      </c>
      <c r="N22" t="s">
        <v>120</v>
      </c>
      <c r="O22" t="s">
        <v>73</v>
      </c>
      <c r="P22">
        <v>1800</v>
      </c>
      <c r="Q22">
        <v>0</v>
      </c>
    </row>
    <row r="23" spans="1:17" x14ac:dyDescent="0.35">
      <c r="A23" t="s">
        <v>283</v>
      </c>
      <c r="B23" t="s">
        <v>6</v>
      </c>
      <c r="C23" t="s">
        <v>5</v>
      </c>
      <c r="D23" t="s">
        <v>4</v>
      </c>
      <c r="E23" t="s">
        <v>2</v>
      </c>
      <c r="F23" s="2">
        <v>45505</v>
      </c>
      <c r="G23" s="1">
        <v>45523</v>
      </c>
      <c r="H23" s="1">
        <v>45523</v>
      </c>
      <c r="I23" t="s">
        <v>159</v>
      </c>
      <c r="N23" t="s">
        <v>1</v>
      </c>
      <c r="O23" t="s">
        <v>0</v>
      </c>
      <c r="P23">
        <v>45</v>
      </c>
      <c r="Q23">
        <v>0</v>
      </c>
    </row>
    <row r="24" spans="1:17" x14ac:dyDescent="0.35">
      <c r="A24" t="s">
        <v>282</v>
      </c>
      <c r="B24" t="s">
        <v>281</v>
      </c>
      <c r="C24" t="s">
        <v>53</v>
      </c>
      <c r="D24" t="s">
        <v>52</v>
      </c>
      <c r="E24" t="s">
        <v>2</v>
      </c>
      <c r="F24" s="2">
        <v>45505</v>
      </c>
      <c r="G24" s="1">
        <v>45531</v>
      </c>
      <c r="H24" s="1">
        <v>45531</v>
      </c>
      <c r="I24" t="s">
        <v>156</v>
      </c>
      <c r="J24" t="s">
        <v>155</v>
      </c>
      <c r="K24" t="s">
        <v>154</v>
      </c>
      <c r="L24" t="s">
        <v>153</v>
      </c>
      <c r="M24" t="s">
        <v>209</v>
      </c>
      <c r="N24" t="s">
        <v>29</v>
      </c>
      <c r="O24" t="s">
        <v>0</v>
      </c>
      <c r="P24">
        <v>95</v>
      </c>
      <c r="Q24">
        <v>0</v>
      </c>
    </row>
    <row r="25" spans="1:17" x14ac:dyDescent="0.35">
      <c r="A25" t="s">
        <v>280</v>
      </c>
      <c r="B25" t="s">
        <v>139</v>
      </c>
      <c r="C25" t="s">
        <v>105</v>
      </c>
      <c r="D25" t="s">
        <v>104</v>
      </c>
      <c r="E25" t="s">
        <v>7</v>
      </c>
      <c r="F25" s="2">
        <v>45536</v>
      </c>
      <c r="G25" s="1">
        <v>45537</v>
      </c>
      <c r="H25" s="1">
        <v>45537</v>
      </c>
      <c r="I25" t="s">
        <v>159</v>
      </c>
      <c r="N25" t="s">
        <v>116</v>
      </c>
      <c r="O25" t="s">
        <v>0</v>
      </c>
      <c r="P25">
        <v>180</v>
      </c>
      <c r="Q25">
        <v>0</v>
      </c>
    </row>
    <row r="26" spans="1:17" x14ac:dyDescent="0.35">
      <c r="A26" t="s">
        <v>279</v>
      </c>
      <c r="B26" t="s">
        <v>77</v>
      </c>
      <c r="C26" t="s">
        <v>65</v>
      </c>
      <c r="D26" t="s">
        <v>64</v>
      </c>
      <c r="E26" t="s">
        <v>2</v>
      </c>
      <c r="F26" s="2">
        <v>45536</v>
      </c>
      <c r="G26" s="1">
        <v>45545</v>
      </c>
      <c r="H26" s="1">
        <v>45545</v>
      </c>
      <c r="I26" t="s">
        <v>159</v>
      </c>
      <c r="N26" t="s">
        <v>42</v>
      </c>
      <c r="O26" t="s">
        <v>0</v>
      </c>
      <c r="P26">
        <v>110</v>
      </c>
      <c r="Q26">
        <v>0</v>
      </c>
    </row>
    <row r="27" spans="1:17" x14ac:dyDescent="0.35">
      <c r="A27" t="s">
        <v>278</v>
      </c>
      <c r="B27" t="s">
        <v>41</v>
      </c>
      <c r="C27" t="s">
        <v>40</v>
      </c>
      <c r="D27" t="s">
        <v>39</v>
      </c>
      <c r="E27" t="s">
        <v>16</v>
      </c>
      <c r="F27" s="2">
        <v>45536</v>
      </c>
      <c r="G27" s="1">
        <v>45551</v>
      </c>
      <c r="H27" s="1">
        <v>45551</v>
      </c>
      <c r="I27" t="s">
        <v>159</v>
      </c>
      <c r="N27" t="s">
        <v>24</v>
      </c>
      <c r="O27" t="s">
        <v>0</v>
      </c>
      <c r="P27">
        <v>85</v>
      </c>
      <c r="Q27">
        <v>0</v>
      </c>
    </row>
    <row r="28" spans="1:17" x14ac:dyDescent="0.35">
      <c r="A28" t="s">
        <v>277</v>
      </c>
      <c r="B28" t="s">
        <v>205</v>
      </c>
      <c r="C28" t="s">
        <v>40</v>
      </c>
      <c r="D28" t="s">
        <v>39</v>
      </c>
      <c r="E28" t="s">
        <v>16</v>
      </c>
      <c r="F28" s="2">
        <v>45536</v>
      </c>
      <c r="G28" s="1">
        <v>45551</v>
      </c>
      <c r="H28" s="1">
        <v>45551</v>
      </c>
      <c r="I28" t="s">
        <v>159</v>
      </c>
      <c r="N28" t="s">
        <v>42</v>
      </c>
      <c r="O28" t="s">
        <v>0</v>
      </c>
      <c r="P28">
        <v>110</v>
      </c>
      <c r="Q28">
        <v>0</v>
      </c>
    </row>
    <row r="29" spans="1:17" x14ac:dyDescent="0.35">
      <c r="A29" t="s">
        <v>276</v>
      </c>
      <c r="B29" t="s">
        <v>45</v>
      </c>
      <c r="C29" t="s">
        <v>44</v>
      </c>
      <c r="D29" t="s">
        <v>43</v>
      </c>
      <c r="E29" t="s">
        <v>2</v>
      </c>
      <c r="F29" s="2">
        <v>45536</v>
      </c>
      <c r="G29" s="1">
        <v>45565</v>
      </c>
      <c r="H29" s="1">
        <v>45565</v>
      </c>
      <c r="I29" t="s">
        <v>159</v>
      </c>
      <c r="N29" t="s">
        <v>42</v>
      </c>
      <c r="O29" t="s">
        <v>0</v>
      </c>
      <c r="P29">
        <v>110</v>
      </c>
      <c r="Q29">
        <v>0</v>
      </c>
    </row>
    <row r="30" spans="1:17" x14ac:dyDescent="0.35">
      <c r="A30" t="s">
        <v>275</v>
      </c>
      <c r="B30" t="s">
        <v>99</v>
      </c>
      <c r="C30" t="s">
        <v>98</v>
      </c>
      <c r="D30" t="s">
        <v>97</v>
      </c>
      <c r="E30" t="s">
        <v>7</v>
      </c>
      <c r="F30" s="2">
        <v>45566</v>
      </c>
      <c r="G30" s="1">
        <v>45570</v>
      </c>
      <c r="H30" s="1">
        <v>45570</v>
      </c>
      <c r="I30" t="s">
        <v>159</v>
      </c>
      <c r="N30" t="s">
        <v>24</v>
      </c>
      <c r="O30" t="s">
        <v>0</v>
      </c>
      <c r="P30">
        <v>85</v>
      </c>
      <c r="Q30">
        <v>0</v>
      </c>
    </row>
    <row r="31" spans="1:17" x14ac:dyDescent="0.35">
      <c r="A31" t="s">
        <v>274</v>
      </c>
      <c r="B31" t="s">
        <v>224</v>
      </c>
      <c r="C31" t="s">
        <v>126</v>
      </c>
      <c r="D31" t="s">
        <v>125</v>
      </c>
      <c r="E31" t="s">
        <v>7</v>
      </c>
      <c r="F31" s="2">
        <v>45566</v>
      </c>
      <c r="G31" s="1">
        <v>45579</v>
      </c>
      <c r="H31" s="1">
        <v>45579</v>
      </c>
      <c r="I31" t="s">
        <v>159</v>
      </c>
      <c r="N31" t="s">
        <v>29</v>
      </c>
      <c r="O31" t="s">
        <v>0</v>
      </c>
      <c r="P31">
        <v>95</v>
      </c>
      <c r="Q31">
        <v>0</v>
      </c>
    </row>
    <row r="32" spans="1:17" x14ac:dyDescent="0.35">
      <c r="A32" t="s">
        <v>273</v>
      </c>
      <c r="B32" t="s">
        <v>131</v>
      </c>
      <c r="C32" t="s">
        <v>101</v>
      </c>
      <c r="D32" t="s">
        <v>100</v>
      </c>
      <c r="E32" t="s">
        <v>2</v>
      </c>
      <c r="F32" s="2">
        <v>45566</v>
      </c>
      <c r="G32" s="1">
        <v>45593</v>
      </c>
      <c r="H32" s="1">
        <v>45593</v>
      </c>
      <c r="I32" t="s">
        <v>159</v>
      </c>
      <c r="N32" t="s">
        <v>120</v>
      </c>
      <c r="O32" t="s">
        <v>0</v>
      </c>
      <c r="P32">
        <v>150</v>
      </c>
      <c r="Q32">
        <v>0</v>
      </c>
    </row>
    <row r="33" spans="1:17" x14ac:dyDescent="0.35">
      <c r="A33" t="s">
        <v>272</v>
      </c>
      <c r="B33" t="s">
        <v>60</v>
      </c>
      <c r="C33" t="s">
        <v>59</v>
      </c>
      <c r="D33" t="s">
        <v>58</v>
      </c>
      <c r="E33" t="s">
        <v>2</v>
      </c>
      <c r="F33" s="2">
        <v>45597</v>
      </c>
      <c r="G33" s="1">
        <v>45601</v>
      </c>
      <c r="H33" s="1">
        <v>45601</v>
      </c>
      <c r="I33" t="s">
        <v>159</v>
      </c>
      <c r="N33" t="s">
        <v>24</v>
      </c>
      <c r="O33" t="s">
        <v>0</v>
      </c>
      <c r="P33">
        <v>85</v>
      </c>
      <c r="Q33">
        <v>0</v>
      </c>
    </row>
    <row r="34" spans="1:17" x14ac:dyDescent="0.35">
      <c r="A34" t="s">
        <v>271</v>
      </c>
      <c r="B34" t="s">
        <v>210</v>
      </c>
      <c r="C34" t="s">
        <v>26</v>
      </c>
      <c r="D34" t="s">
        <v>25</v>
      </c>
      <c r="E34" t="s">
        <v>2</v>
      </c>
      <c r="F34" s="2">
        <v>45597</v>
      </c>
      <c r="G34" s="1">
        <v>45607</v>
      </c>
      <c r="H34" s="1">
        <v>45607</v>
      </c>
      <c r="I34" t="s">
        <v>159</v>
      </c>
      <c r="N34" t="s">
        <v>1</v>
      </c>
      <c r="O34" t="s">
        <v>0</v>
      </c>
      <c r="P34">
        <v>45</v>
      </c>
      <c r="Q34">
        <v>0</v>
      </c>
    </row>
    <row r="35" spans="1:17" x14ac:dyDescent="0.35">
      <c r="A35" t="s">
        <v>270</v>
      </c>
      <c r="B35" t="s">
        <v>269</v>
      </c>
      <c r="C35" t="s">
        <v>268</v>
      </c>
      <c r="D35" t="s">
        <v>267</v>
      </c>
      <c r="E35" t="s">
        <v>2</v>
      </c>
      <c r="F35" s="2">
        <v>45597</v>
      </c>
      <c r="G35" s="1">
        <v>45616</v>
      </c>
      <c r="H35" s="1">
        <v>45616</v>
      </c>
      <c r="I35" t="s">
        <v>156</v>
      </c>
      <c r="J35" t="s">
        <v>155</v>
      </c>
      <c r="K35" t="s">
        <v>154</v>
      </c>
      <c r="L35" t="s">
        <v>153</v>
      </c>
      <c r="M35" t="s">
        <v>260</v>
      </c>
      <c r="N35" t="s">
        <v>1</v>
      </c>
      <c r="O35" t="s">
        <v>0</v>
      </c>
      <c r="P35">
        <v>45</v>
      </c>
      <c r="Q35">
        <v>0</v>
      </c>
    </row>
    <row r="36" spans="1:17" x14ac:dyDescent="0.35">
      <c r="A36" t="s">
        <v>266</v>
      </c>
      <c r="B36" t="s">
        <v>96</v>
      </c>
      <c r="C36" t="s">
        <v>95</v>
      </c>
      <c r="D36" t="s">
        <v>94</v>
      </c>
      <c r="E36" t="s">
        <v>7</v>
      </c>
      <c r="F36" s="2">
        <v>45597</v>
      </c>
      <c r="G36" s="1">
        <v>45621</v>
      </c>
      <c r="H36" s="1">
        <v>45621</v>
      </c>
      <c r="I36" t="s">
        <v>159</v>
      </c>
      <c r="N36" t="s">
        <v>24</v>
      </c>
      <c r="O36" t="s">
        <v>0</v>
      </c>
      <c r="P36">
        <v>85</v>
      </c>
      <c r="Q36">
        <v>0</v>
      </c>
    </row>
    <row r="37" spans="1:17" x14ac:dyDescent="0.35">
      <c r="A37" t="s">
        <v>265</v>
      </c>
      <c r="B37" t="s">
        <v>143</v>
      </c>
      <c r="C37" t="s">
        <v>123</v>
      </c>
      <c r="D37" t="s">
        <v>122</v>
      </c>
      <c r="E37" t="s">
        <v>2</v>
      </c>
      <c r="F37" s="2">
        <v>45627</v>
      </c>
      <c r="G37" s="1">
        <v>45635</v>
      </c>
      <c r="H37" s="1">
        <v>45635</v>
      </c>
      <c r="I37" t="s">
        <v>159</v>
      </c>
      <c r="N37" t="s">
        <v>116</v>
      </c>
      <c r="O37" t="s">
        <v>73</v>
      </c>
      <c r="P37">
        <v>2160</v>
      </c>
      <c r="Q37">
        <v>0</v>
      </c>
    </row>
    <row r="38" spans="1:17" x14ac:dyDescent="0.35">
      <c r="A38" t="s">
        <v>264</v>
      </c>
      <c r="B38" t="s">
        <v>112</v>
      </c>
      <c r="C38" t="s">
        <v>111</v>
      </c>
      <c r="D38" t="s">
        <v>110</v>
      </c>
      <c r="E38" t="s">
        <v>2</v>
      </c>
      <c r="F38" s="2">
        <v>45627</v>
      </c>
      <c r="G38" s="1">
        <v>45638</v>
      </c>
      <c r="H38" s="1">
        <v>45638</v>
      </c>
      <c r="I38" t="s">
        <v>159</v>
      </c>
      <c r="N38" t="s">
        <v>24</v>
      </c>
      <c r="O38" t="s">
        <v>0</v>
      </c>
      <c r="P38">
        <v>85</v>
      </c>
      <c r="Q38">
        <v>0</v>
      </c>
    </row>
    <row r="39" spans="1:17" x14ac:dyDescent="0.35">
      <c r="A39" t="s">
        <v>263</v>
      </c>
      <c r="B39" t="s">
        <v>115</v>
      </c>
      <c r="C39" t="s">
        <v>114</v>
      </c>
      <c r="D39" t="s">
        <v>113</v>
      </c>
      <c r="E39" t="s">
        <v>7</v>
      </c>
      <c r="F39" s="2">
        <v>45627</v>
      </c>
      <c r="G39" s="1">
        <v>45646</v>
      </c>
      <c r="H39" s="1">
        <v>45646</v>
      </c>
      <c r="I39" t="s">
        <v>159</v>
      </c>
      <c r="N39" t="s">
        <v>29</v>
      </c>
      <c r="O39" t="s">
        <v>0</v>
      </c>
      <c r="P39">
        <v>95</v>
      </c>
      <c r="Q39">
        <v>0</v>
      </c>
    </row>
    <row r="40" spans="1:17" x14ac:dyDescent="0.35">
      <c r="A40" t="s">
        <v>262</v>
      </c>
      <c r="B40" t="s">
        <v>261</v>
      </c>
      <c r="C40" t="s">
        <v>59</v>
      </c>
      <c r="D40" t="s">
        <v>58</v>
      </c>
      <c r="E40" t="s">
        <v>2</v>
      </c>
      <c r="F40" s="2">
        <v>45627</v>
      </c>
      <c r="G40" s="1">
        <v>45648</v>
      </c>
      <c r="H40" s="1">
        <v>45648</v>
      </c>
      <c r="I40" t="s">
        <v>156</v>
      </c>
      <c r="J40" t="s">
        <v>155</v>
      </c>
      <c r="K40" t="s">
        <v>154</v>
      </c>
      <c r="L40" t="s">
        <v>153</v>
      </c>
      <c r="M40" t="s">
        <v>260</v>
      </c>
      <c r="N40" t="s">
        <v>29</v>
      </c>
      <c r="O40" t="s">
        <v>0</v>
      </c>
      <c r="P40">
        <v>95</v>
      </c>
      <c r="Q40">
        <v>0</v>
      </c>
    </row>
    <row r="41" spans="1:17" x14ac:dyDescent="0.35">
      <c r="A41" t="s">
        <v>259</v>
      </c>
      <c r="B41" t="s">
        <v>38</v>
      </c>
      <c r="C41" t="s">
        <v>37</v>
      </c>
      <c r="D41" t="s">
        <v>36</v>
      </c>
      <c r="E41" t="s">
        <v>2</v>
      </c>
      <c r="F41" s="2">
        <v>45627</v>
      </c>
      <c r="G41" s="1">
        <v>45649</v>
      </c>
      <c r="H41" s="1">
        <v>45649</v>
      </c>
      <c r="I41" t="s">
        <v>159</v>
      </c>
      <c r="N41" t="s">
        <v>29</v>
      </c>
      <c r="O41" t="s">
        <v>0</v>
      </c>
      <c r="P41">
        <v>95</v>
      </c>
      <c r="Q41">
        <v>0</v>
      </c>
    </row>
    <row r="42" spans="1:17" x14ac:dyDescent="0.35">
      <c r="A42" t="s">
        <v>258</v>
      </c>
      <c r="B42" t="s">
        <v>109</v>
      </c>
      <c r="C42" t="s">
        <v>108</v>
      </c>
      <c r="D42" t="s">
        <v>107</v>
      </c>
      <c r="E42" t="s">
        <v>7</v>
      </c>
      <c r="F42" s="2">
        <v>45658</v>
      </c>
      <c r="G42" s="1">
        <v>45663</v>
      </c>
      <c r="H42" s="1">
        <v>45663</v>
      </c>
      <c r="I42" t="s">
        <v>159</v>
      </c>
      <c r="N42" t="s">
        <v>42</v>
      </c>
      <c r="O42" t="s">
        <v>0</v>
      </c>
      <c r="P42">
        <v>110</v>
      </c>
      <c r="Q42">
        <v>0</v>
      </c>
    </row>
    <row r="43" spans="1:17" x14ac:dyDescent="0.35">
      <c r="A43" t="s">
        <v>257</v>
      </c>
      <c r="B43" t="s">
        <v>89</v>
      </c>
      <c r="C43" t="s">
        <v>88</v>
      </c>
      <c r="D43" t="s">
        <v>87</v>
      </c>
      <c r="E43" t="s">
        <v>2</v>
      </c>
      <c r="F43" s="2">
        <v>45658</v>
      </c>
      <c r="G43" s="1">
        <v>45665</v>
      </c>
      <c r="H43" s="1">
        <v>45665</v>
      </c>
      <c r="I43" t="s">
        <v>185</v>
      </c>
      <c r="J43">
        <v>80</v>
      </c>
      <c r="K43">
        <v>85</v>
      </c>
      <c r="L43" t="s">
        <v>184</v>
      </c>
      <c r="M43" t="s">
        <v>207</v>
      </c>
      <c r="N43" t="s">
        <v>24</v>
      </c>
      <c r="O43" t="s">
        <v>0</v>
      </c>
      <c r="P43">
        <v>85</v>
      </c>
      <c r="Q43">
        <v>0</v>
      </c>
    </row>
    <row r="44" spans="1:17" x14ac:dyDescent="0.35">
      <c r="A44" t="s">
        <v>256</v>
      </c>
      <c r="B44" t="s">
        <v>255</v>
      </c>
      <c r="C44" t="s">
        <v>31</v>
      </c>
      <c r="D44" t="s">
        <v>30</v>
      </c>
      <c r="E44" t="s">
        <v>7</v>
      </c>
      <c r="F44" s="2">
        <v>45658</v>
      </c>
      <c r="G44" s="1">
        <v>45672</v>
      </c>
      <c r="H44" s="1">
        <v>45672</v>
      </c>
      <c r="I44" t="s">
        <v>156</v>
      </c>
      <c r="J44" t="s">
        <v>155</v>
      </c>
      <c r="K44" t="s">
        <v>154</v>
      </c>
      <c r="L44" t="s">
        <v>153</v>
      </c>
      <c r="M44" t="s">
        <v>161</v>
      </c>
      <c r="N44" t="s">
        <v>1</v>
      </c>
      <c r="O44" t="s">
        <v>0</v>
      </c>
      <c r="P44">
        <v>45</v>
      </c>
      <c r="Q44">
        <v>0</v>
      </c>
    </row>
    <row r="45" spans="1:17" x14ac:dyDescent="0.35">
      <c r="A45" t="s">
        <v>254</v>
      </c>
      <c r="B45" t="s">
        <v>20</v>
      </c>
      <c r="C45" t="s">
        <v>19</v>
      </c>
      <c r="D45" t="s">
        <v>18</v>
      </c>
      <c r="E45" t="s">
        <v>16</v>
      </c>
      <c r="F45" s="2">
        <v>45658</v>
      </c>
      <c r="G45" s="1">
        <v>45677</v>
      </c>
      <c r="H45" s="1">
        <v>45677</v>
      </c>
      <c r="I45" t="s">
        <v>159</v>
      </c>
      <c r="N45" t="s">
        <v>1</v>
      </c>
      <c r="O45" t="s">
        <v>0</v>
      </c>
      <c r="P45">
        <v>45</v>
      </c>
      <c r="Q45">
        <v>0</v>
      </c>
    </row>
    <row r="46" spans="1:17" x14ac:dyDescent="0.35">
      <c r="A46" t="s">
        <v>253</v>
      </c>
      <c r="B46" t="s">
        <v>76</v>
      </c>
      <c r="C46" t="s">
        <v>75</v>
      </c>
      <c r="D46" t="s">
        <v>74</v>
      </c>
      <c r="E46" t="s">
        <v>7</v>
      </c>
      <c r="F46" s="2">
        <v>45658</v>
      </c>
      <c r="G46" s="1">
        <v>45679</v>
      </c>
      <c r="H46" s="1">
        <v>45679</v>
      </c>
      <c r="I46" t="s">
        <v>159</v>
      </c>
      <c r="N46" t="s">
        <v>29</v>
      </c>
      <c r="O46" t="s">
        <v>73</v>
      </c>
      <c r="P46">
        <v>1140</v>
      </c>
      <c r="Q46">
        <v>5</v>
      </c>
    </row>
    <row r="47" spans="1:17" x14ac:dyDescent="0.35">
      <c r="A47" t="s">
        <v>252</v>
      </c>
      <c r="B47" t="s">
        <v>127</v>
      </c>
      <c r="C47" t="s">
        <v>126</v>
      </c>
      <c r="D47" t="s">
        <v>125</v>
      </c>
      <c r="E47" t="s">
        <v>7</v>
      </c>
      <c r="F47" s="2">
        <v>45658</v>
      </c>
      <c r="G47" s="1">
        <v>45685</v>
      </c>
      <c r="H47" s="1">
        <v>45685</v>
      </c>
      <c r="I47" t="s">
        <v>159</v>
      </c>
      <c r="N47" t="s">
        <v>120</v>
      </c>
      <c r="O47" t="s">
        <v>0</v>
      </c>
      <c r="P47">
        <v>150</v>
      </c>
      <c r="Q47">
        <v>0</v>
      </c>
    </row>
    <row r="48" spans="1:17" x14ac:dyDescent="0.35">
      <c r="A48" t="s">
        <v>251</v>
      </c>
      <c r="B48" t="s">
        <v>57</v>
      </c>
      <c r="C48" t="s">
        <v>56</v>
      </c>
      <c r="D48" t="s">
        <v>55</v>
      </c>
      <c r="E48" t="s">
        <v>2</v>
      </c>
      <c r="F48" s="2">
        <v>45689</v>
      </c>
      <c r="G48" s="1">
        <v>45691</v>
      </c>
      <c r="H48" s="1">
        <v>45691</v>
      </c>
      <c r="I48" t="s">
        <v>159</v>
      </c>
      <c r="N48" t="s">
        <v>24</v>
      </c>
      <c r="O48" t="s">
        <v>0</v>
      </c>
      <c r="P48">
        <v>85</v>
      </c>
      <c r="Q48">
        <v>0</v>
      </c>
    </row>
    <row r="49" spans="1:17" x14ac:dyDescent="0.35">
      <c r="A49" t="s">
        <v>250</v>
      </c>
      <c r="B49" t="s">
        <v>28</v>
      </c>
      <c r="C49" t="s">
        <v>14</v>
      </c>
      <c r="D49" t="s">
        <v>13</v>
      </c>
      <c r="E49" t="s">
        <v>2</v>
      </c>
      <c r="F49" s="2">
        <v>45689</v>
      </c>
      <c r="G49" s="1">
        <v>45696</v>
      </c>
      <c r="H49" s="1">
        <v>45696</v>
      </c>
      <c r="I49" t="s">
        <v>159</v>
      </c>
      <c r="N49" t="s">
        <v>24</v>
      </c>
      <c r="O49" t="s">
        <v>0</v>
      </c>
      <c r="P49">
        <v>85</v>
      </c>
      <c r="Q49">
        <v>0</v>
      </c>
    </row>
    <row r="50" spans="1:17" x14ac:dyDescent="0.35">
      <c r="A50" t="s">
        <v>249</v>
      </c>
      <c r="B50" t="s">
        <v>93</v>
      </c>
      <c r="C50" t="s">
        <v>88</v>
      </c>
      <c r="D50" t="s">
        <v>87</v>
      </c>
      <c r="E50" t="s">
        <v>2</v>
      </c>
      <c r="F50" s="2">
        <v>45689</v>
      </c>
      <c r="G50" s="1">
        <v>45698</v>
      </c>
      <c r="H50" s="1">
        <v>45698</v>
      </c>
      <c r="I50" t="s">
        <v>159</v>
      </c>
      <c r="N50" t="s">
        <v>42</v>
      </c>
      <c r="O50" t="s">
        <v>0</v>
      </c>
      <c r="P50">
        <v>110</v>
      </c>
      <c r="Q50">
        <v>0</v>
      </c>
    </row>
    <row r="51" spans="1:17" x14ac:dyDescent="0.35">
      <c r="A51" t="s">
        <v>248</v>
      </c>
      <c r="B51" t="s">
        <v>63</v>
      </c>
      <c r="C51" t="s">
        <v>62</v>
      </c>
      <c r="D51" t="s">
        <v>61</v>
      </c>
      <c r="E51" t="s">
        <v>7</v>
      </c>
      <c r="F51" s="2">
        <v>45689</v>
      </c>
      <c r="G51" s="1">
        <v>45705</v>
      </c>
      <c r="H51" s="1">
        <v>45705</v>
      </c>
      <c r="I51" t="s">
        <v>159</v>
      </c>
      <c r="N51" t="s">
        <v>29</v>
      </c>
      <c r="O51" t="s">
        <v>0</v>
      </c>
      <c r="P51">
        <v>95</v>
      </c>
      <c r="Q51">
        <v>0</v>
      </c>
    </row>
    <row r="52" spans="1:17" x14ac:dyDescent="0.35">
      <c r="A52" t="s">
        <v>247</v>
      </c>
      <c r="B52" t="s">
        <v>142</v>
      </c>
      <c r="C52" t="s">
        <v>141</v>
      </c>
      <c r="D52" t="s">
        <v>140</v>
      </c>
      <c r="E52" t="s">
        <v>2</v>
      </c>
      <c r="F52" s="2">
        <v>45717</v>
      </c>
      <c r="G52" s="1">
        <v>45719</v>
      </c>
      <c r="H52" s="1">
        <v>45719</v>
      </c>
      <c r="I52" t="s">
        <v>159</v>
      </c>
      <c r="N52" t="s">
        <v>120</v>
      </c>
      <c r="O52" t="s">
        <v>73</v>
      </c>
      <c r="P52">
        <v>1800</v>
      </c>
      <c r="Q52">
        <v>0</v>
      </c>
    </row>
    <row r="53" spans="1:17" x14ac:dyDescent="0.35">
      <c r="A53" t="s">
        <v>246</v>
      </c>
      <c r="B53" t="s">
        <v>103</v>
      </c>
      <c r="C53" t="s">
        <v>95</v>
      </c>
      <c r="D53" t="s">
        <v>94</v>
      </c>
      <c r="E53" t="s">
        <v>7</v>
      </c>
      <c r="F53" s="2">
        <v>45717</v>
      </c>
      <c r="G53" s="1">
        <v>45724</v>
      </c>
      <c r="H53" s="1">
        <v>45724</v>
      </c>
      <c r="I53" t="s">
        <v>159</v>
      </c>
      <c r="N53" t="s">
        <v>42</v>
      </c>
      <c r="O53" t="s">
        <v>0</v>
      </c>
      <c r="P53">
        <v>110</v>
      </c>
      <c r="Q53">
        <v>0</v>
      </c>
    </row>
    <row r="54" spans="1:17" x14ac:dyDescent="0.35">
      <c r="A54" t="s">
        <v>245</v>
      </c>
      <c r="B54" t="s">
        <v>15</v>
      </c>
      <c r="C54" t="s">
        <v>14</v>
      </c>
      <c r="D54" t="s">
        <v>13</v>
      </c>
      <c r="E54" t="s">
        <v>2</v>
      </c>
      <c r="F54" s="2">
        <v>45717</v>
      </c>
      <c r="G54" s="1">
        <v>45729</v>
      </c>
      <c r="H54" s="1">
        <v>45729</v>
      </c>
      <c r="I54" t="s">
        <v>196</v>
      </c>
      <c r="J54" t="s">
        <v>29</v>
      </c>
      <c r="K54" t="s">
        <v>1</v>
      </c>
      <c r="L54" t="s">
        <v>146</v>
      </c>
      <c r="M54" t="s">
        <v>244</v>
      </c>
      <c r="N54" t="s">
        <v>1</v>
      </c>
      <c r="O54" t="s">
        <v>0</v>
      </c>
      <c r="P54">
        <v>45</v>
      </c>
      <c r="Q54">
        <v>0</v>
      </c>
    </row>
    <row r="55" spans="1:17" x14ac:dyDescent="0.35">
      <c r="A55" t="s">
        <v>243</v>
      </c>
      <c r="B55" t="s">
        <v>106</v>
      </c>
      <c r="C55" t="s">
        <v>105</v>
      </c>
      <c r="D55" t="s">
        <v>104</v>
      </c>
      <c r="E55" t="s">
        <v>7</v>
      </c>
      <c r="F55" s="2">
        <v>45717</v>
      </c>
      <c r="G55" s="1">
        <v>45731</v>
      </c>
      <c r="H55" s="1">
        <v>45731</v>
      </c>
      <c r="I55" t="s">
        <v>159</v>
      </c>
      <c r="N55" t="s">
        <v>24</v>
      </c>
      <c r="O55" t="s">
        <v>0</v>
      </c>
      <c r="P55">
        <v>85</v>
      </c>
      <c r="Q55">
        <v>0</v>
      </c>
    </row>
    <row r="56" spans="1:17" x14ac:dyDescent="0.35">
      <c r="A56" t="s">
        <v>242</v>
      </c>
      <c r="B56" t="s">
        <v>76</v>
      </c>
      <c r="C56" t="s">
        <v>75</v>
      </c>
      <c r="D56" t="s">
        <v>74</v>
      </c>
      <c r="E56" t="s">
        <v>7</v>
      </c>
      <c r="F56" s="2">
        <v>45717</v>
      </c>
      <c r="G56" s="1">
        <v>45731</v>
      </c>
      <c r="H56" s="1">
        <v>45731</v>
      </c>
      <c r="I56" t="s">
        <v>166</v>
      </c>
      <c r="J56">
        <v>0</v>
      </c>
      <c r="K56">
        <v>5</v>
      </c>
      <c r="L56" t="s">
        <v>165</v>
      </c>
      <c r="M56" t="s">
        <v>241</v>
      </c>
      <c r="N56" t="s">
        <v>29</v>
      </c>
      <c r="O56" t="s">
        <v>73</v>
      </c>
      <c r="P56">
        <v>1140</v>
      </c>
      <c r="Q56">
        <v>5</v>
      </c>
    </row>
    <row r="57" spans="1:17" x14ac:dyDescent="0.35">
      <c r="A57" t="s">
        <v>240</v>
      </c>
      <c r="B57" t="s">
        <v>130</v>
      </c>
      <c r="C57" t="s">
        <v>129</v>
      </c>
      <c r="D57" t="s">
        <v>128</v>
      </c>
      <c r="E57" t="s">
        <v>7</v>
      </c>
      <c r="F57" s="2">
        <v>45717</v>
      </c>
      <c r="G57" s="1">
        <v>45733</v>
      </c>
      <c r="H57" s="1">
        <v>45733</v>
      </c>
      <c r="I57" t="s">
        <v>159</v>
      </c>
      <c r="N57" t="s">
        <v>116</v>
      </c>
      <c r="O57" t="s">
        <v>0</v>
      </c>
      <c r="P57">
        <v>180</v>
      </c>
      <c r="Q57">
        <v>0</v>
      </c>
    </row>
    <row r="58" spans="1:17" x14ac:dyDescent="0.35">
      <c r="A58" t="s">
        <v>239</v>
      </c>
      <c r="B58" t="s">
        <v>41</v>
      </c>
      <c r="C58" t="s">
        <v>40</v>
      </c>
      <c r="D58" t="s">
        <v>39</v>
      </c>
      <c r="E58" t="s">
        <v>16</v>
      </c>
      <c r="F58" s="2">
        <v>45717</v>
      </c>
      <c r="G58" s="1">
        <v>45736</v>
      </c>
      <c r="H58" s="1">
        <v>45736</v>
      </c>
      <c r="I58" t="s">
        <v>170</v>
      </c>
      <c r="J58">
        <v>22</v>
      </c>
      <c r="K58">
        <v>19</v>
      </c>
      <c r="L58" t="s">
        <v>169</v>
      </c>
      <c r="M58" t="s">
        <v>238</v>
      </c>
      <c r="N58" t="s">
        <v>24</v>
      </c>
      <c r="O58" t="s">
        <v>0</v>
      </c>
      <c r="P58">
        <v>85</v>
      </c>
      <c r="Q58">
        <v>0</v>
      </c>
    </row>
    <row r="59" spans="1:17" x14ac:dyDescent="0.35">
      <c r="A59" t="s">
        <v>237</v>
      </c>
      <c r="B59" t="s">
        <v>80</v>
      </c>
      <c r="C59" t="s">
        <v>79</v>
      </c>
      <c r="D59" t="s">
        <v>78</v>
      </c>
      <c r="E59" t="s">
        <v>2</v>
      </c>
      <c r="F59" s="2">
        <v>45717</v>
      </c>
      <c r="G59" s="1">
        <v>45747</v>
      </c>
      <c r="H59" s="1">
        <v>45747</v>
      </c>
      <c r="I59" t="s">
        <v>159</v>
      </c>
      <c r="N59" t="s">
        <v>24</v>
      </c>
      <c r="O59" t="s">
        <v>0</v>
      </c>
      <c r="P59">
        <v>85</v>
      </c>
      <c r="Q59">
        <v>0</v>
      </c>
    </row>
    <row r="60" spans="1:17" x14ac:dyDescent="0.35">
      <c r="A60" t="s">
        <v>236</v>
      </c>
      <c r="B60" t="s">
        <v>109</v>
      </c>
      <c r="C60" t="s">
        <v>108</v>
      </c>
      <c r="D60" t="s">
        <v>107</v>
      </c>
      <c r="E60" t="s">
        <v>7</v>
      </c>
      <c r="F60" s="2">
        <v>45748</v>
      </c>
      <c r="G60" s="1">
        <v>45753</v>
      </c>
      <c r="H60" s="1">
        <v>45753</v>
      </c>
      <c r="I60" t="s">
        <v>185</v>
      </c>
      <c r="J60">
        <v>100</v>
      </c>
      <c r="K60">
        <v>110</v>
      </c>
      <c r="L60" t="s">
        <v>184</v>
      </c>
      <c r="M60" t="s">
        <v>207</v>
      </c>
      <c r="N60" t="s">
        <v>42</v>
      </c>
      <c r="O60" t="s">
        <v>0</v>
      </c>
      <c r="P60">
        <v>110</v>
      </c>
      <c r="Q60">
        <v>0</v>
      </c>
    </row>
    <row r="61" spans="1:17" x14ac:dyDescent="0.35">
      <c r="A61" t="s">
        <v>235</v>
      </c>
      <c r="B61" t="s">
        <v>23</v>
      </c>
      <c r="C61" t="s">
        <v>22</v>
      </c>
      <c r="D61" t="s">
        <v>21</v>
      </c>
      <c r="E61" t="s">
        <v>2</v>
      </c>
      <c r="F61" s="2">
        <v>45748</v>
      </c>
      <c r="G61" s="1">
        <v>45761</v>
      </c>
      <c r="H61" s="1">
        <v>45761</v>
      </c>
      <c r="I61" t="s">
        <v>159</v>
      </c>
      <c r="N61" t="s">
        <v>1</v>
      </c>
      <c r="O61" t="s">
        <v>0</v>
      </c>
      <c r="P61">
        <v>45</v>
      </c>
      <c r="Q61">
        <v>0</v>
      </c>
    </row>
    <row r="62" spans="1:17" x14ac:dyDescent="0.35">
      <c r="A62" t="s">
        <v>234</v>
      </c>
      <c r="B62" t="s">
        <v>83</v>
      </c>
      <c r="C62" t="s">
        <v>82</v>
      </c>
      <c r="D62" t="s">
        <v>81</v>
      </c>
      <c r="E62" t="s">
        <v>2</v>
      </c>
      <c r="F62" s="2">
        <v>45748</v>
      </c>
      <c r="G62" s="1">
        <v>45762</v>
      </c>
      <c r="H62" s="1">
        <v>45762</v>
      </c>
      <c r="I62" t="s">
        <v>170</v>
      </c>
      <c r="J62">
        <v>18</v>
      </c>
      <c r="K62">
        <v>23</v>
      </c>
      <c r="L62" t="s">
        <v>169</v>
      </c>
      <c r="M62" t="s">
        <v>233</v>
      </c>
      <c r="N62" t="s">
        <v>29</v>
      </c>
      <c r="O62" t="s">
        <v>0</v>
      </c>
      <c r="P62">
        <v>95</v>
      </c>
      <c r="Q62">
        <v>0</v>
      </c>
    </row>
    <row r="63" spans="1:17" x14ac:dyDescent="0.35">
      <c r="A63" t="s">
        <v>232</v>
      </c>
      <c r="B63" t="s">
        <v>102</v>
      </c>
      <c r="C63" t="s">
        <v>101</v>
      </c>
      <c r="D63" t="s">
        <v>100</v>
      </c>
      <c r="E63" t="s">
        <v>2</v>
      </c>
      <c r="F63" s="2">
        <v>45748</v>
      </c>
      <c r="G63" s="1">
        <v>45765</v>
      </c>
      <c r="H63" s="1">
        <v>45765</v>
      </c>
      <c r="I63" t="s">
        <v>159</v>
      </c>
      <c r="N63" t="s">
        <v>42</v>
      </c>
      <c r="O63" t="s">
        <v>0</v>
      </c>
      <c r="P63">
        <v>110</v>
      </c>
      <c r="Q63">
        <v>0</v>
      </c>
    </row>
    <row r="64" spans="1:17" x14ac:dyDescent="0.35">
      <c r="A64" t="s">
        <v>231</v>
      </c>
      <c r="B64" t="s">
        <v>86</v>
      </c>
      <c r="C64" t="s">
        <v>85</v>
      </c>
      <c r="D64" t="s">
        <v>84</v>
      </c>
      <c r="E64" t="s">
        <v>7</v>
      </c>
      <c r="F64" s="2">
        <v>45748</v>
      </c>
      <c r="G64" s="1">
        <v>45775</v>
      </c>
      <c r="H64" s="1">
        <v>45775</v>
      </c>
      <c r="I64" t="s">
        <v>159</v>
      </c>
      <c r="N64" t="s">
        <v>42</v>
      </c>
      <c r="O64" t="s">
        <v>0</v>
      </c>
      <c r="P64">
        <v>110</v>
      </c>
      <c r="Q64">
        <v>0</v>
      </c>
    </row>
    <row r="65" spans="1:17" x14ac:dyDescent="0.35">
      <c r="A65" t="s">
        <v>230</v>
      </c>
      <c r="B65" t="s">
        <v>69</v>
      </c>
      <c r="C65" t="s">
        <v>68</v>
      </c>
      <c r="D65" t="s">
        <v>67</v>
      </c>
      <c r="E65" t="s">
        <v>7</v>
      </c>
      <c r="F65" s="2">
        <v>45778</v>
      </c>
      <c r="G65" s="1">
        <v>45787</v>
      </c>
      <c r="H65" s="1">
        <v>45787</v>
      </c>
      <c r="I65" t="s">
        <v>170</v>
      </c>
      <c r="J65">
        <v>15</v>
      </c>
      <c r="K65">
        <v>18</v>
      </c>
      <c r="L65" t="s">
        <v>169</v>
      </c>
      <c r="M65" t="s">
        <v>229</v>
      </c>
      <c r="N65" t="s">
        <v>42</v>
      </c>
      <c r="O65" t="s">
        <v>0</v>
      </c>
      <c r="P65">
        <v>110</v>
      </c>
      <c r="Q65">
        <v>0</v>
      </c>
    </row>
    <row r="66" spans="1:17" x14ac:dyDescent="0.35">
      <c r="A66" t="s">
        <v>228</v>
      </c>
      <c r="B66" t="s">
        <v>48</v>
      </c>
      <c r="C66" t="s">
        <v>47</v>
      </c>
      <c r="D66" t="s">
        <v>46</v>
      </c>
      <c r="E66" t="s">
        <v>16</v>
      </c>
      <c r="F66" s="2">
        <v>45778</v>
      </c>
      <c r="G66" s="1">
        <v>45789</v>
      </c>
      <c r="H66" s="1">
        <v>45789</v>
      </c>
      <c r="I66" t="s">
        <v>159</v>
      </c>
      <c r="N66" t="s">
        <v>29</v>
      </c>
      <c r="O66" t="s">
        <v>0</v>
      </c>
      <c r="P66">
        <v>95</v>
      </c>
      <c r="Q66">
        <v>0</v>
      </c>
    </row>
    <row r="67" spans="1:17" x14ac:dyDescent="0.35">
      <c r="A67" t="s">
        <v>227</v>
      </c>
      <c r="B67" t="s">
        <v>32</v>
      </c>
      <c r="C67" t="s">
        <v>31</v>
      </c>
      <c r="D67" t="s">
        <v>30</v>
      </c>
      <c r="E67" t="s">
        <v>7</v>
      </c>
      <c r="F67" s="2">
        <v>45778</v>
      </c>
      <c r="G67" s="1">
        <v>45797</v>
      </c>
      <c r="H67" s="1">
        <v>45797</v>
      </c>
      <c r="I67" t="s">
        <v>159</v>
      </c>
      <c r="M67" t="s">
        <v>179</v>
      </c>
      <c r="N67" t="s">
        <v>29</v>
      </c>
      <c r="O67" t="s">
        <v>0</v>
      </c>
      <c r="P67">
        <v>95</v>
      </c>
      <c r="Q67">
        <v>0</v>
      </c>
    </row>
    <row r="68" spans="1:17" x14ac:dyDescent="0.35">
      <c r="A68" t="s">
        <v>226</v>
      </c>
      <c r="B68" t="s">
        <v>124</v>
      </c>
      <c r="C68" t="s">
        <v>123</v>
      </c>
      <c r="D68" t="s">
        <v>122</v>
      </c>
      <c r="E68" t="s">
        <v>2</v>
      </c>
      <c r="F68" s="2">
        <v>45778</v>
      </c>
      <c r="G68" s="1">
        <v>45799</v>
      </c>
      <c r="H68" s="1">
        <v>45799</v>
      </c>
      <c r="I68" t="s">
        <v>159</v>
      </c>
      <c r="N68" t="s">
        <v>42</v>
      </c>
      <c r="O68" t="s">
        <v>0</v>
      </c>
      <c r="P68">
        <v>110</v>
      </c>
      <c r="Q68">
        <v>0</v>
      </c>
    </row>
    <row r="69" spans="1:17" x14ac:dyDescent="0.35">
      <c r="A69" t="s">
        <v>225</v>
      </c>
      <c r="B69" t="s">
        <v>224</v>
      </c>
      <c r="C69" t="s">
        <v>126</v>
      </c>
      <c r="D69" t="s">
        <v>125</v>
      </c>
      <c r="E69" t="s">
        <v>7</v>
      </c>
      <c r="F69" s="2">
        <v>45778</v>
      </c>
      <c r="G69" s="1">
        <v>45803</v>
      </c>
      <c r="H69" s="1">
        <v>45803</v>
      </c>
      <c r="I69" t="s">
        <v>156</v>
      </c>
      <c r="J69" t="s">
        <v>155</v>
      </c>
      <c r="K69" t="s">
        <v>154</v>
      </c>
      <c r="L69" t="s">
        <v>153</v>
      </c>
      <c r="M69" t="s">
        <v>223</v>
      </c>
      <c r="N69" t="s">
        <v>29</v>
      </c>
      <c r="O69" t="s">
        <v>0</v>
      </c>
      <c r="P69">
        <v>95</v>
      </c>
      <c r="Q69">
        <v>0</v>
      </c>
    </row>
    <row r="70" spans="1:17" x14ac:dyDescent="0.35">
      <c r="A70" t="s">
        <v>222</v>
      </c>
      <c r="B70" t="s">
        <v>134</v>
      </c>
      <c r="C70" t="s">
        <v>133</v>
      </c>
      <c r="D70" t="s">
        <v>132</v>
      </c>
      <c r="E70" t="s">
        <v>2</v>
      </c>
      <c r="F70" s="2">
        <v>45778</v>
      </c>
      <c r="G70" s="1">
        <v>45803</v>
      </c>
      <c r="H70" s="1">
        <v>45803</v>
      </c>
      <c r="I70" t="s">
        <v>159</v>
      </c>
      <c r="N70" t="s">
        <v>120</v>
      </c>
      <c r="O70" t="s">
        <v>0</v>
      </c>
      <c r="P70">
        <v>150</v>
      </c>
      <c r="Q70">
        <v>0</v>
      </c>
    </row>
    <row r="71" spans="1:17" x14ac:dyDescent="0.35">
      <c r="A71" t="s">
        <v>221</v>
      </c>
      <c r="B71" t="s">
        <v>139</v>
      </c>
      <c r="C71" t="s">
        <v>105</v>
      </c>
      <c r="D71" t="s">
        <v>104</v>
      </c>
      <c r="E71" t="s">
        <v>7</v>
      </c>
      <c r="F71" s="2">
        <v>45809</v>
      </c>
      <c r="G71" s="1">
        <v>45809</v>
      </c>
      <c r="H71" s="1">
        <v>45809</v>
      </c>
      <c r="I71" t="s">
        <v>170</v>
      </c>
      <c r="J71">
        <v>30</v>
      </c>
      <c r="K71">
        <v>35</v>
      </c>
      <c r="L71" t="s">
        <v>169</v>
      </c>
      <c r="M71" t="s">
        <v>220</v>
      </c>
      <c r="N71" t="s">
        <v>116</v>
      </c>
      <c r="O71" t="s">
        <v>0</v>
      </c>
      <c r="P71">
        <v>180</v>
      </c>
      <c r="Q71">
        <v>0</v>
      </c>
    </row>
    <row r="72" spans="1:17" x14ac:dyDescent="0.35">
      <c r="A72" t="s">
        <v>219</v>
      </c>
      <c r="B72" t="s">
        <v>137</v>
      </c>
      <c r="C72" t="s">
        <v>108</v>
      </c>
      <c r="D72" t="s">
        <v>107</v>
      </c>
      <c r="E72" t="s">
        <v>7</v>
      </c>
      <c r="F72" s="2">
        <v>45809</v>
      </c>
      <c r="G72" s="1">
        <v>45813</v>
      </c>
      <c r="H72" s="1">
        <v>45813</v>
      </c>
      <c r="I72" t="s">
        <v>159</v>
      </c>
      <c r="N72" t="s">
        <v>116</v>
      </c>
      <c r="O72" t="s">
        <v>0</v>
      </c>
      <c r="P72">
        <v>180</v>
      </c>
      <c r="Q72">
        <v>0</v>
      </c>
    </row>
    <row r="73" spans="1:17" x14ac:dyDescent="0.35">
      <c r="A73" t="s">
        <v>218</v>
      </c>
      <c r="B73" t="s">
        <v>11</v>
      </c>
      <c r="C73" t="s">
        <v>10</v>
      </c>
      <c r="D73" t="s">
        <v>9</v>
      </c>
      <c r="E73" t="s">
        <v>7</v>
      </c>
      <c r="F73" s="2">
        <v>45809</v>
      </c>
      <c r="G73" s="1">
        <v>45817</v>
      </c>
      <c r="H73" s="1">
        <v>45817</v>
      </c>
      <c r="I73" t="s">
        <v>159</v>
      </c>
      <c r="N73" t="s">
        <v>1</v>
      </c>
      <c r="O73" t="s">
        <v>0</v>
      </c>
      <c r="P73">
        <v>45</v>
      </c>
      <c r="Q73">
        <v>0</v>
      </c>
    </row>
    <row r="74" spans="1:17" x14ac:dyDescent="0.35">
      <c r="A74" t="s">
        <v>217</v>
      </c>
      <c r="B74" t="s">
        <v>216</v>
      </c>
      <c r="C74" t="s">
        <v>82</v>
      </c>
      <c r="D74" t="s">
        <v>81</v>
      </c>
      <c r="E74" t="s">
        <v>2</v>
      </c>
      <c r="F74" s="2">
        <v>45809</v>
      </c>
      <c r="G74" s="1">
        <v>45818</v>
      </c>
      <c r="H74" s="1">
        <v>45818</v>
      </c>
      <c r="I74" t="s">
        <v>156</v>
      </c>
      <c r="J74" t="s">
        <v>155</v>
      </c>
      <c r="K74" t="s">
        <v>156</v>
      </c>
      <c r="L74" t="s">
        <v>153</v>
      </c>
      <c r="M74" t="s">
        <v>215</v>
      </c>
      <c r="N74" t="s">
        <v>1</v>
      </c>
      <c r="O74" t="s">
        <v>0</v>
      </c>
      <c r="P74">
        <v>45</v>
      </c>
      <c r="Q74">
        <v>0</v>
      </c>
    </row>
    <row r="75" spans="1:17" x14ac:dyDescent="0.35">
      <c r="A75" t="s">
        <v>214</v>
      </c>
      <c r="B75" t="s">
        <v>38</v>
      </c>
      <c r="C75" t="s">
        <v>37</v>
      </c>
      <c r="D75" t="s">
        <v>36</v>
      </c>
      <c r="E75" t="s">
        <v>2</v>
      </c>
      <c r="F75" s="2">
        <v>45809</v>
      </c>
      <c r="G75" s="1">
        <v>45823</v>
      </c>
      <c r="H75" s="1">
        <v>45823</v>
      </c>
      <c r="I75" t="s">
        <v>177</v>
      </c>
      <c r="J75" t="s">
        <v>1</v>
      </c>
      <c r="K75" t="s">
        <v>29</v>
      </c>
      <c r="L75" t="s">
        <v>146</v>
      </c>
      <c r="M75" t="s">
        <v>213</v>
      </c>
      <c r="N75" t="s">
        <v>29</v>
      </c>
      <c r="O75" t="s">
        <v>0</v>
      </c>
      <c r="P75">
        <v>95</v>
      </c>
      <c r="Q75">
        <v>0</v>
      </c>
    </row>
    <row r="76" spans="1:17" x14ac:dyDescent="0.35">
      <c r="A76" t="s">
        <v>212</v>
      </c>
      <c r="B76" t="s">
        <v>92</v>
      </c>
      <c r="C76" t="s">
        <v>91</v>
      </c>
      <c r="D76" t="s">
        <v>90</v>
      </c>
      <c r="E76" t="s">
        <v>2</v>
      </c>
      <c r="F76" s="2">
        <v>45809</v>
      </c>
      <c r="G76" s="1">
        <v>45831</v>
      </c>
      <c r="H76" s="1">
        <v>45831</v>
      </c>
      <c r="I76" t="s">
        <v>159</v>
      </c>
      <c r="N76" t="s">
        <v>24</v>
      </c>
      <c r="O76" t="s">
        <v>0</v>
      </c>
      <c r="P76">
        <v>85</v>
      </c>
      <c r="Q76">
        <v>0</v>
      </c>
    </row>
    <row r="77" spans="1:17" x14ac:dyDescent="0.35">
      <c r="A77" t="s">
        <v>211</v>
      </c>
      <c r="B77" t="s">
        <v>210</v>
      </c>
      <c r="C77" t="s">
        <v>26</v>
      </c>
      <c r="D77" t="s">
        <v>25</v>
      </c>
      <c r="E77" t="s">
        <v>2</v>
      </c>
      <c r="F77" s="2">
        <v>45809</v>
      </c>
      <c r="G77" s="1">
        <v>45833</v>
      </c>
      <c r="H77" s="1">
        <v>45833</v>
      </c>
      <c r="I77" t="s">
        <v>156</v>
      </c>
      <c r="J77" t="s">
        <v>155</v>
      </c>
      <c r="K77" t="s">
        <v>154</v>
      </c>
      <c r="L77" t="s">
        <v>153</v>
      </c>
      <c r="M77" t="s">
        <v>209</v>
      </c>
      <c r="N77" t="s">
        <v>1</v>
      </c>
      <c r="O77" t="s">
        <v>0</v>
      </c>
      <c r="P77">
        <v>45</v>
      </c>
      <c r="Q77">
        <v>0</v>
      </c>
    </row>
    <row r="78" spans="1:17" x14ac:dyDescent="0.35">
      <c r="A78" t="s">
        <v>208</v>
      </c>
      <c r="B78" t="s">
        <v>60</v>
      </c>
      <c r="C78" t="s">
        <v>59</v>
      </c>
      <c r="D78" t="s">
        <v>58</v>
      </c>
      <c r="E78" t="s">
        <v>2</v>
      </c>
      <c r="F78" s="2">
        <v>45839</v>
      </c>
      <c r="G78" s="1">
        <v>45843</v>
      </c>
      <c r="H78" s="1">
        <v>45843</v>
      </c>
      <c r="I78" t="s">
        <v>185</v>
      </c>
      <c r="J78">
        <v>75</v>
      </c>
      <c r="K78">
        <v>85</v>
      </c>
      <c r="L78" t="s">
        <v>184</v>
      </c>
      <c r="M78" t="s">
        <v>207</v>
      </c>
      <c r="N78" t="s">
        <v>24</v>
      </c>
      <c r="O78" t="s">
        <v>0</v>
      </c>
      <c r="P78">
        <v>85</v>
      </c>
      <c r="Q78">
        <v>0</v>
      </c>
    </row>
    <row r="79" spans="1:17" x14ac:dyDescent="0.35">
      <c r="A79" t="s">
        <v>206</v>
      </c>
      <c r="B79" t="s">
        <v>205</v>
      </c>
      <c r="C79" t="s">
        <v>40</v>
      </c>
      <c r="D79" t="s">
        <v>39</v>
      </c>
      <c r="E79" t="s">
        <v>16</v>
      </c>
      <c r="F79" s="2">
        <v>45839</v>
      </c>
      <c r="G79" s="1">
        <v>45858</v>
      </c>
      <c r="H79" s="1">
        <v>45858</v>
      </c>
      <c r="I79" t="s">
        <v>156</v>
      </c>
      <c r="J79" t="s">
        <v>155</v>
      </c>
      <c r="K79" t="s">
        <v>156</v>
      </c>
      <c r="L79" t="s">
        <v>153</v>
      </c>
      <c r="M79" t="s">
        <v>204</v>
      </c>
      <c r="N79" t="s">
        <v>42</v>
      </c>
      <c r="O79" t="s">
        <v>0</v>
      </c>
      <c r="P79">
        <v>110</v>
      </c>
      <c r="Q79">
        <v>0</v>
      </c>
    </row>
    <row r="80" spans="1:17" x14ac:dyDescent="0.35">
      <c r="A80" t="s">
        <v>203</v>
      </c>
      <c r="B80" t="s">
        <v>72</v>
      </c>
      <c r="C80" t="s">
        <v>71</v>
      </c>
      <c r="D80" t="s">
        <v>70</v>
      </c>
      <c r="E80" t="s">
        <v>16</v>
      </c>
      <c r="F80" s="2">
        <v>45839</v>
      </c>
      <c r="G80" s="1">
        <v>45860</v>
      </c>
      <c r="H80" s="1">
        <v>45860</v>
      </c>
      <c r="I80" t="s">
        <v>170</v>
      </c>
      <c r="J80">
        <v>14</v>
      </c>
      <c r="K80">
        <v>18</v>
      </c>
      <c r="L80" t="s">
        <v>169</v>
      </c>
      <c r="M80" t="s">
        <v>202</v>
      </c>
      <c r="N80" t="s">
        <v>42</v>
      </c>
      <c r="O80" t="s">
        <v>0</v>
      </c>
      <c r="P80">
        <v>110</v>
      </c>
      <c r="Q80">
        <v>0</v>
      </c>
    </row>
    <row r="81" spans="1:17" x14ac:dyDescent="0.35">
      <c r="A81" t="s">
        <v>201</v>
      </c>
      <c r="B81" t="s">
        <v>57</v>
      </c>
      <c r="C81" t="s">
        <v>56</v>
      </c>
      <c r="D81" t="s">
        <v>55</v>
      </c>
      <c r="E81" t="s">
        <v>2</v>
      </c>
      <c r="F81" s="2">
        <v>45870</v>
      </c>
      <c r="G81" s="1">
        <v>45872</v>
      </c>
      <c r="H81" s="1">
        <v>45872</v>
      </c>
      <c r="I81" t="s">
        <v>185</v>
      </c>
      <c r="J81">
        <v>90</v>
      </c>
      <c r="K81">
        <v>85</v>
      </c>
      <c r="L81" t="s">
        <v>184</v>
      </c>
      <c r="M81" t="s">
        <v>200</v>
      </c>
      <c r="N81" t="s">
        <v>24</v>
      </c>
      <c r="O81" t="s">
        <v>0</v>
      </c>
      <c r="P81">
        <v>85</v>
      </c>
      <c r="Q81">
        <v>0</v>
      </c>
    </row>
    <row r="82" spans="1:17" x14ac:dyDescent="0.35">
      <c r="A82" t="s">
        <v>199</v>
      </c>
      <c r="B82" t="s">
        <v>130</v>
      </c>
      <c r="C82" t="s">
        <v>129</v>
      </c>
      <c r="D82" t="s">
        <v>128</v>
      </c>
      <c r="E82" t="s">
        <v>7</v>
      </c>
      <c r="F82" s="2">
        <v>45870</v>
      </c>
      <c r="G82" s="1">
        <v>45881</v>
      </c>
      <c r="H82" s="1">
        <v>45881</v>
      </c>
      <c r="I82" t="s">
        <v>177</v>
      </c>
      <c r="J82" t="s">
        <v>29</v>
      </c>
      <c r="K82" t="s">
        <v>116</v>
      </c>
      <c r="L82" t="s">
        <v>146</v>
      </c>
      <c r="M82" t="s">
        <v>198</v>
      </c>
      <c r="N82" t="s">
        <v>116</v>
      </c>
      <c r="O82" t="s">
        <v>0</v>
      </c>
      <c r="P82">
        <v>180</v>
      </c>
      <c r="Q82">
        <v>0</v>
      </c>
    </row>
    <row r="83" spans="1:17" x14ac:dyDescent="0.35">
      <c r="A83" t="s">
        <v>197</v>
      </c>
      <c r="B83" t="s">
        <v>6</v>
      </c>
      <c r="C83" t="s">
        <v>5</v>
      </c>
      <c r="D83" t="s">
        <v>4</v>
      </c>
      <c r="E83" t="s">
        <v>2</v>
      </c>
      <c r="F83" s="2">
        <v>45870</v>
      </c>
      <c r="G83" s="1">
        <v>45888</v>
      </c>
      <c r="H83" s="1">
        <v>45888</v>
      </c>
      <c r="I83" t="s">
        <v>196</v>
      </c>
      <c r="J83" t="s">
        <v>29</v>
      </c>
      <c r="K83" t="s">
        <v>1</v>
      </c>
      <c r="L83" t="s">
        <v>146</v>
      </c>
      <c r="M83" t="s">
        <v>195</v>
      </c>
      <c r="N83" t="s">
        <v>1</v>
      </c>
      <c r="O83" t="s">
        <v>0</v>
      </c>
      <c r="P83">
        <v>45</v>
      </c>
      <c r="Q83">
        <v>0</v>
      </c>
    </row>
    <row r="84" spans="1:17" x14ac:dyDescent="0.35">
      <c r="A84" t="s">
        <v>194</v>
      </c>
      <c r="B84" t="s">
        <v>131</v>
      </c>
      <c r="C84" t="s">
        <v>101</v>
      </c>
      <c r="D84" t="s">
        <v>100</v>
      </c>
      <c r="E84" t="s">
        <v>2</v>
      </c>
      <c r="F84" s="2">
        <v>45870</v>
      </c>
      <c r="G84" s="1">
        <v>45889</v>
      </c>
      <c r="H84" s="1">
        <v>45889</v>
      </c>
      <c r="I84" t="s">
        <v>170</v>
      </c>
      <c r="J84">
        <v>28</v>
      </c>
      <c r="K84">
        <v>33</v>
      </c>
      <c r="L84" t="s">
        <v>169</v>
      </c>
      <c r="M84" t="s">
        <v>193</v>
      </c>
      <c r="N84" t="s">
        <v>120</v>
      </c>
      <c r="O84" t="s">
        <v>0</v>
      </c>
      <c r="P84">
        <v>150</v>
      </c>
      <c r="Q84">
        <v>0</v>
      </c>
    </row>
    <row r="85" spans="1:17" x14ac:dyDescent="0.35">
      <c r="A85" t="s">
        <v>192</v>
      </c>
      <c r="B85" t="s">
        <v>191</v>
      </c>
      <c r="C85" t="s">
        <v>68</v>
      </c>
      <c r="D85" t="s">
        <v>67</v>
      </c>
      <c r="E85" t="s">
        <v>7</v>
      </c>
      <c r="F85" s="2">
        <v>45870</v>
      </c>
      <c r="G85" s="1">
        <v>45899</v>
      </c>
      <c r="H85" s="1">
        <v>45899</v>
      </c>
      <c r="I85" t="s">
        <v>156</v>
      </c>
      <c r="J85" t="s">
        <v>155</v>
      </c>
      <c r="K85" t="s">
        <v>154</v>
      </c>
      <c r="L85" t="s">
        <v>153</v>
      </c>
      <c r="M85" t="s">
        <v>161</v>
      </c>
      <c r="N85" t="s">
        <v>116</v>
      </c>
      <c r="O85" t="s">
        <v>0</v>
      </c>
      <c r="P85">
        <v>180</v>
      </c>
      <c r="Q85">
        <v>0</v>
      </c>
    </row>
    <row r="86" spans="1:17" x14ac:dyDescent="0.35">
      <c r="A86" t="s">
        <v>190</v>
      </c>
      <c r="B86" t="s">
        <v>63</v>
      </c>
      <c r="C86" t="s">
        <v>62</v>
      </c>
      <c r="D86" t="s">
        <v>61</v>
      </c>
      <c r="E86" t="s">
        <v>7</v>
      </c>
      <c r="F86" s="2">
        <v>45901</v>
      </c>
      <c r="G86" s="1">
        <v>45905</v>
      </c>
      <c r="H86" s="1">
        <v>45905</v>
      </c>
      <c r="I86" t="s">
        <v>177</v>
      </c>
      <c r="J86" t="s">
        <v>1</v>
      </c>
      <c r="K86" t="s">
        <v>29</v>
      </c>
      <c r="L86" t="s">
        <v>146</v>
      </c>
      <c r="M86" t="s">
        <v>189</v>
      </c>
      <c r="N86" t="s">
        <v>29</v>
      </c>
      <c r="O86" t="s">
        <v>0</v>
      </c>
      <c r="P86">
        <v>95</v>
      </c>
      <c r="Q86">
        <v>0</v>
      </c>
    </row>
    <row r="87" spans="1:17" x14ac:dyDescent="0.35">
      <c r="A87" t="s">
        <v>188</v>
      </c>
      <c r="B87" t="s">
        <v>137</v>
      </c>
      <c r="C87" t="s">
        <v>108</v>
      </c>
      <c r="D87" t="s">
        <v>107</v>
      </c>
      <c r="E87" t="s">
        <v>7</v>
      </c>
      <c r="F87" s="2">
        <v>45901</v>
      </c>
      <c r="G87" s="1">
        <v>45910</v>
      </c>
      <c r="H87" s="1">
        <v>45910</v>
      </c>
      <c r="I87" t="s">
        <v>170</v>
      </c>
      <c r="J87">
        <v>26</v>
      </c>
      <c r="K87">
        <v>31</v>
      </c>
      <c r="L87" t="s">
        <v>169</v>
      </c>
      <c r="M87" t="s">
        <v>187</v>
      </c>
      <c r="N87" t="s">
        <v>116</v>
      </c>
      <c r="O87" t="s">
        <v>0</v>
      </c>
      <c r="P87">
        <v>180</v>
      </c>
      <c r="Q87">
        <v>0</v>
      </c>
    </row>
    <row r="88" spans="1:17" x14ac:dyDescent="0.35">
      <c r="A88" t="s">
        <v>186</v>
      </c>
      <c r="B88" t="s">
        <v>80</v>
      </c>
      <c r="C88" t="s">
        <v>79</v>
      </c>
      <c r="D88" t="s">
        <v>78</v>
      </c>
      <c r="E88" t="s">
        <v>2</v>
      </c>
      <c r="F88" s="2">
        <v>45901</v>
      </c>
      <c r="G88" s="1">
        <v>45930</v>
      </c>
      <c r="H88" s="1">
        <v>45930</v>
      </c>
      <c r="I88" t="s">
        <v>185</v>
      </c>
      <c r="J88">
        <v>90</v>
      </c>
      <c r="K88">
        <v>85</v>
      </c>
      <c r="L88" t="s">
        <v>184</v>
      </c>
      <c r="M88" t="s">
        <v>183</v>
      </c>
      <c r="N88" t="s">
        <v>24</v>
      </c>
      <c r="O88" t="s">
        <v>0</v>
      </c>
      <c r="P88">
        <v>85</v>
      </c>
      <c r="Q88">
        <v>0</v>
      </c>
    </row>
    <row r="89" spans="1:17" x14ac:dyDescent="0.35">
      <c r="A89" t="s">
        <v>182</v>
      </c>
      <c r="B89" t="s">
        <v>96</v>
      </c>
      <c r="C89" t="s">
        <v>95</v>
      </c>
      <c r="D89" t="s">
        <v>94</v>
      </c>
      <c r="E89" t="s">
        <v>7</v>
      </c>
      <c r="F89" s="2">
        <v>45931</v>
      </c>
      <c r="G89" s="1">
        <v>45935</v>
      </c>
      <c r="H89" s="1">
        <v>45935</v>
      </c>
      <c r="I89" t="s">
        <v>170</v>
      </c>
      <c r="J89">
        <v>26</v>
      </c>
      <c r="K89">
        <v>31</v>
      </c>
      <c r="L89" t="s">
        <v>169</v>
      </c>
      <c r="M89" t="s">
        <v>181</v>
      </c>
      <c r="N89" t="s">
        <v>24</v>
      </c>
      <c r="O89" t="s">
        <v>0</v>
      </c>
      <c r="P89">
        <v>85</v>
      </c>
      <c r="Q89">
        <v>0</v>
      </c>
    </row>
    <row r="90" spans="1:17" x14ac:dyDescent="0.35">
      <c r="A90" t="s">
        <v>180</v>
      </c>
      <c r="B90" t="s">
        <v>27</v>
      </c>
      <c r="C90" t="s">
        <v>26</v>
      </c>
      <c r="D90" t="s">
        <v>25</v>
      </c>
      <c r="E90" t="s">
        <v>2</v>
      </c>
      <c r="F90" s="2">
        <v>45931</v>
      </c>
      <c r="G90" s="1">
        <v>45945</v>
      </c>
      <c r="H90" s="1">
        <v>45945</v>
      </c>
      <c r="I90" t="s">
        <v>159</v>
      </c>
      <c r="M90" t="s">
        <v>179</v>
      </c>
      <c r="N90" t="s">
        <v>24</v>
      </c>
      <c r="O90" t="s">
        <v>0</v>
      </c>
      <c r="P90">
        <v>85</v>
      </c>
      <c r="Q90">
        <v>0</v>
      </c>
    </row>
    <row r="91" spans="1:17" x14ac:dyDescent="0.35">
      <c r="A91" t="s">
        <v>178</v>
      </c>
      <c r="B91" t="s">
        <v>48</v>
      </c>
      <c r="C91" t="s">
        <v>47</v>
      </c>
      <c r="D91" t="s">
        <v>46</v>
      </c>
      <c r="E91" t="s">
        <v>16</v>
      </c>
      <c r="F91" s="2">
        <v>45931</v>
      </c>
      <c r="G91" s="1">
        <v>45950</v>
      </c>
      <c r="H91" s="1">
        <v>45950</v>
      </c>
      <c r="I91" t="s">
        <v>177</v>
      </c>
      <c r="J91" t="s">
        <v>1</v>
      </c>
      <c r="K91" t="s">
        <v>29</v>
      </c>
      <c r="L91" t="s">
        <v>146</v>
      </c>
      <c r="M91" t="s">
        <v>176</v>
      </c>
      <c r="N91" t="s">
        <v>29</v>
      </c>
      <c r="O91" t="s">
        <v>0</v>
      </c>
      <c r="P91">
        <v>95</v>
      </c>
      <c r="Q91">
        <v>0</v>
      </c>
    </row>
    <row r="92" spans="1:17" x14ac:dyDescent="0.35">
      <c r="A92" t="s">
        <v>175</v>
      </c>
      <c r="B92" t="s">
        <v>162</v>
      </c>
      <c r="C92" t="s">
        <v>118</v>
      </c>
      <c r="D92" t="s">
        <v>117</v>
      </c>
      <c r="E92" t="s">
        <v>7</v>
      </c>
      <c r="F92" s="2">
        <v>45962</v>
      </c>
      <c r="G92" s="1">
        <v>45962</v>
      </c>
      <c r="H92" s="1">
        <v>45962</v>
      </c>
      <c r="I92" t="s">
        <v>166</v>
      </c>
      <c r="J92">
        <v>0</v>
      </c>
      <c r="K92">
        <v>10</v>
      </c>
      <c r="L92" t="s">
        <v>165</v>
      </c>
      <c r="M92" t="s">
        <v>174</v>
      </c>
      <c r="N92" t="s">
        <v>29</v>
      </c>
      <c r="O92" t="s">
        <v>0</v>
      </c>
      <c r="P92">
        <v>95</v>
      </c>
      <c r="Q92">
        <v>10</v>
      </c>
    </row>
    <row r="93" spans="1:17" x14ac:dyDescent="0.35">
      <c r="A93" t="s">
        <v>173</v>
      </c>
      <c r="B93" t="s">
        <v>92</v>
      </c>
      <c r="C93" t="s">
        <v>91</v>
      </c>
      <c r="D93" t="s">
        <v>90</v>
      </c>
      <c r="E93" t="s">
        <v>2</v>
      </c>
      <c r="F93" s="2">
        <v>45962</v>
      </c>
      <c r="G93" s="1">
        <v>45976</v>
      </c>
      <c r="H93" s="1">
        <v>45976</v>
      </c>
      <c r="I93" t="s">
        <v>170</v>
      </c>
      <c r="J93">
        <v>32</v>
      </c>
      <c r="K93">
        <v>29</v>
      </c>
      <c r="L93" t="s">
        <v>169</v>
      </c>
      <c r="M93" t="s">
        <v>172</v>
      </c>
      <c r="N93" t="s">
        <v>24</v>
      </c>
      <c r="O93" t="s">
        <v>0</v>
      </c>
      <c r="P93">
        <v>85</v>
      </c>
      <c r="Q93">
        <v>0</v>
      </c>
    </row>
    <row r="94" spans="1:17" x14ac:dyDescent="0.35">
      <c r="A94" t="s">
        <v>171</v>
      </c>
      <c r="B94" t="s">
        <v>102</v>
      </c>
      <c r="C94" t="s">
        <v>101</v>
      </c>
      <c r="D94" t="s">
        <v>100</v>
      </c>
      <c r="E94" t="s">
        <v>2</v>
      </c>
      <c r="F94" s="2">
        <v>45992</v>
      </c>
      <c r="G94" s="1">
        <v>45999</v>
      </c>
      <c r="H94" s="1">
        <v>45999</v>
      </c>
      <c r="I94" t="s">
        <v>170</v>
      </c>
      <c r="J94">
        <v>22</v>
      </c>
      <c r="K94">
        <v>26</v>
      </c>
      <c r="L94" t="s">
        <v>169</v>
      </c>
      <c r="M94" t="s">
        <v>168</v>
      </c>
      <c r="N94" t="s">
        <v>42</v>
      </c>
      <c r="O94" t="s">
        <v>0</v>
      </c>
      <c r="P94">
        <v>110</v>
      </c>
      <c r="Q94">
        <v>0</v>
      </c>
    </row>
    <row r="95" spans="1:17" x14ac:dyDescent="0.35">
      <c r="A95" t="s">
        <v>167</v>
      </c>
      <c r="B95" t="s">
        <v>157</v>
      </c>
      <c r="C95" t="s">
        <v>34</v>
      </c>
      <c r="D95" t="s">
        <v>33</v>
      </c>
      <c r="E95" t="s">
        <v>2</v>
      </c>
      <c r="F95" s="2">
        <v>45992</v>
      </c>
      <c r="G95" s="1">
        <v>46006</v>
      </c>
      <c r="H95" s="1">
        <v>46006</v>
      </c>
      <c r="I95" t="s">
        <v>166</v>
      </c>
      <c r="J95">
        <v>0</v>
      </c>
      <c r="K95">
        <v>12</v>
      </c>
      <c r="L95" t="s">
        <v>165</v>
      </c>
      <c r="M95" t="s">
        <v>164</v>
      </c>
      <c r="N95" t="s">
        <v>1</v>
      </c>
      <c r="O95" t="s">
        <v>0</v>
      </c>
      <c r="P95">
        <v>45</v>
      </c>
      <c r="Q95">
        <v>12</v>
      </c>
    </row>
    <row r="96" spans="1:17" x14ac:dyDescent="0.35">
      <c r="A96" t="s">
        <v>163</v>
      </c>
      <c r="B96" t="s">
        <v>162</v>
      </c>
      <c r="C96" t="s">
        <v>118</v>
      </c>
      <c r="D96" t="s">
        <v>117</v>
      </c>
      <c r="E96" t="s">
        <v>7</v>
      </c>
      <c r="F96" s="2">
        <v>45992</v>
      </c>
      <c r="G96" s="1">
        <v>46021</v>
      </c>
      <c r="H96" s="1">
        <v>46021</v>
      </c>
      <c r="I96" t="s">
        <v>156</v>
      </c>
      <c r="J96" t="s">
        <v>155</v>
      </c>
      <c r="K96" t="s">
        <v>154</v>
      </c>
      <c r="L96" t="s">
        <v>153</v>
      </c>
      <c r="M96" t="s">
        <v>161</v>
      </c>
      <c r="N96" t="s">
        <v>29</v>
      </c>
      <c r="O96" t="s">
        <v>0</v>
      </c>
      <c r="P96">
        <v>95</v>
      </c>
      <c r="Q96">
        <v>10</v>
      </c>
    </row>
    <row r="97" spans="1:17" x14ac:dyDescent="0.35">
      <c r="A97" t="s">
        <v>160</v>
      </c>
      <c r="B97" t="s">
        <v>51</v>
      </c>
      <c r="C97" t="s">
        <v>50</v>
      </c>
      <c r="D97" t="s">
        <v>49</v>
      </c>
      <c r="E97" t="s">
        <v>7</v>
      </c>
      <c r="F97" s="2">
        <v>46023</v>
      </c>
      <c r="G97" s="1">
        <v>46048</v>
      </c>
      <c r="H97" s="1">
        <v>46048</v>
      </c>
      <c r="I97" t="s">
        <v>159</v>
      </c>
      <c r="N97" t="s">
        <v>29</v>
      </c>
      <c r="O97" t="s">
        <v>0</v>
      </c>
      <c r="P97">
        <v>95</v>
      </c>
      <c r="Q97">
        <v>0</v>
      </c>
    </row>
    <row r="98" spans="1:17" x14ac:dyDescent="0.35">
      <c r="A98" t="s">
        <v>158</v>
      </c>
      <c r="B98" t="s">
        <v>157</v>
      </c>
      <c r="C98" t="s">
        <v>34</v>
      </c>
      <c r="D98" t="s">
        <v>33</v>
      </c>
      <c r="E98" t="s">
        <v>2</v>
      </c>
      <c r="F98" s="2">
        <v>46054</v>
      </c>
      <c r="G98" s="1">
        <v>46073</v>
      </c>
      <c r="H98" s="1">
        <v>46073</v>
      </c>
      <c r="I98" t="s">
        <v>156</v>
      </c>
      <c r="J98" t="s">
        <v>155</v>
      </c>
      <c r="K98" t="s">
        <v>154</v>
      </c>
      <c r="L98" t="s">
        <v>153</v>
      </c>
      <c r="M98" t="s">
        <v>152</v>
      </c>
      <c r="N98" t="s">
        <v>1</v>
      </c>
      <c r="O98" t="s">
        <v>0</v>
      </c>
      <c r="P98">
        <v>45</v>
      </c>
      <c r="Q98">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8F65-15EB-4CAC-9E2C-7FB67D89F5C4}">
  <dimension ref="A1:F27"/>
  <sheetViews>
    <sheetView workbookViewId="0">
      <selection activeCell="U37" sqref="U37"/>
    </sheetView>
  </sheetViews>
  <sheetFormatPr defaultRowHeight="14.5" x14ac:dyDescent="0.35"/>
  <sheetData>
    <row r="1" spans="1:6" x14ac:dyDescent="0.35">
      <c r="A1" t="s">
        <v>311</v>
      </c>
      <c r="B1" t="s">
        <v>317</v>
      </c>
      <c r="C1" t="s">
        <v>316</v>
      </c>
      <c r="D1" t="s">
        <v>315</v>
      </c>
      <c r="E1" t="s">
        <v>314</v>
      </c>
      <c r="F1" t="s">
        <v>313</v>
      </c>
    </row>
    <row r="2" spans="1:6" x14ac:dyDescent="0.35">
      <c r="A2" s="2">
        <v>45292</v>
      </c>
      <c r="B2">
        <v>2</v>
      </c>
      <c r="C2">
        <v>48700</v>
      </c>
      <c r="D2">
        <v>48700</v>
      </c>
    </row>
    <row r="3" spans="1:6" x14ac:dyDescent="0.35">
      <c r="A3" s="2">
        <v>45323</v>
      </c>
      <c r="B3">
        <v>4</v>
      </c>
      <c r="C3">
        <v>10185</v>
      </c>
      <c r="D3">
        <v>58885</v>
      </c>
      <c r="E3">
        <v>48700</v>
      </c>
      <c r="F3">
        <v>-79.099999999999994</v>
      </c>
    </row>
    <row r="4" spans="1:6" x14ac:dyDescent="0.35">
      <c r="A4" s="2">
        <v>45352</v>
      </c>
      <c r="B4">
        <v>6</v>
      </c>
      <c r="C4">
        <v>77640</v>
      </c>
      <c r="D4">
        <v>136525</v>
      </c>
      <c r="E4">
        <v>10185</v>
      </c>
      <c r="F4">
        <v>662.3</v>
      </c>
    </row>
    <row r="5" spans="1:6" x14ac:dyDescent="0.35">
      <c r="A5" s="2">
        <v>45383</v>
      </c>
      <c r="B5">
        <v>8</v>
      </c>
      <c r="C5">
        <v>78930</v>
      </c>
      <c r="D5">
        <v>215455</v>
      </c>
      <c r="E5">
        <v>77640</v>
      </c>
      <c r="F5">
        <v>1.7</v>
      </c>
    </row>
    <row r="6" spans="1:6" x14ac:dyDescent="0.35">
      <c r="A6" s="2">
        <v>45413</v>
      </c>
      <c r="B6">
        <v>10</v>
      </c>
      <c r="C6">
        <v>17580</v>
      </c>
      <c r="D6">
        <v>233035</v>
      </c>
      <c r="E6">
        <v>78930</v>
      </c>
      <c r="F6">
        <v>-77.7</v>
      </c>
    </row>
    <row r="7" spans="1:6" x14ac:dyDescent="0.35">
      <c r="A7" s="2">
        <v>45444</v>
      </c>
      <c r="B7">
        <v>13</v>
      </c>
      <c r="C7">
        <v>20595</v>
      </c>
      <c r="D7">
        <v>253630</v>
      </c>
      <c r="E7">
        <v>17580</v>
      </c>
      <c r="F7">
        <v>17.2</v>
      </c>
    </row>
    <row r="8" spans="1:6" x14ac:dyDescent="0.35">
      <c r="A8" s="2">
        <v>45474</v>
      </c>
      <c r="B8">
        <v>16</v>
      </c>
      <c r="C8">
        <v>26400</v>
      </c>
      <c r="D8">
        <v>280030</v>
      </c>
      <c r="E8">
        <v>20595</v>
      </c>
      <c r="F8">
        <v>28.2</v>
      </c>
    </row>
    <row r="9" spans="1:6" x14ac:dyDescent="0.35">
      <c r="A9" s="2">
        <v>45505</v>
      </c>
      <c r="B9">
        <v>19</v>
      </c>
      <c r="C9">
        <v>106740</v>
      </c>
      <c r="D9">
        <v>386770</v>
      </c>
      <c r="E9">
        <v>26400</v>
      </c>
      <c r="F9">
        <v>304.3</v>
      </c>
    </row>
    <row r="10" spans="1:6" x14ac:dyDescent="0.35">
      <c r="A10" s="2">
        <v>45536</v>
      </c>
      <c r="B10">
        <v>22</v>
      </c>
      <c r="C10">
        <v>42010</v>
      </c>
      <c r="D10">
        <v>428780</v>
      </c>
      <c r="E10">
        <v>106740</v>
      </c>
      <c r="F10">
        <v>-60.6</v>
      </c>
    </row>
    <row r="11" spans="1:6" x14ac:dyDescent="0.35">
      <c r="A11" s="2">
        <v>45566</v>
      </c>
      <c r="B11">
        <v>25</v>
      </c>
      <c r="C11">
        <v>51390</v>
      </c>
      <c r="D11">
        <v>480170</v>
      </c>
      <c r="E11">
        <v>42010</v>
      </c>
      <c r="F11">
        <v>22.3</v>
      </c>
    </row>
    <row r="12" spans="1:6" x14ac:dyDescent="0.35">
      <c r="A12" s="2">
        <v>45597</v>
      </c>
      <c r="B12">
        <v>28</v>
      </c>
      <c r="C12">
        <v>55700</v>
      </c>
      <c r="D12">
        <v>535870</v>
      </c>
      <c r="E12">
        <v>51390</v>
      </c>
      <c r="F12">
        <v>8.4</v>
      </c>
    </row>
    <row r="13" spans="1:6" x14ac:dyDescent="0.35">
      <c r="A13" s="2">
        <v>45627</v>
      </c>
      <c r="B13">
        <v>31</v>
      </c>
      <c r="C13">
        <v>144560</v>
      </c>
      <c r="D13">
        <v>680430</v>
      </c>
      <c r="E13">
        <v>55700</v>
      </c>
      <c r="F13">
        <v>159.5</v>
      </c>
    </row>
    <row r="14" spans="1:6" x14ac:dyDescent="0.35">
      <c r="A14" s="2">
        <v>45658</v>
      </c>
      <c r="B14">
        <v>33</v>
      </c>
      <c r="C14">
        <v>139635</v>
      </c>
      <c r="D14">
        <v>820065</v>
      </c>
      <c r="E14">
        <v>144560</v>
      </c>
      <c r="F14">
        <v>-3.4</v>
      </c>
    </row>
    <row r="15" spans="1:6" x14ac:dyDescent="0.35">
      <c r="A15" s="2">
        <v>45689</v>
      </c>
      <c r="B15">
        <v>35</v>
      </c>
      <c r="C15">
        <v>74270</v>
      </c>
      <c r="D15">
        <v>894335</v>
      </c>
      <c r="E15">
        <v>139635</v>
      </c>
      <c r="F15">
        <v>-46.8</v>
      </c>
    </row>
    <row r="16" spans="1:6" x14ac:dyDescent="0.35">
      <c r="A16" s="2">
        <v>45717</v>
      </c>
      <c r="B16">
        <v>41</v>
      </c>
      <c r="C16">
        <v>232135</v>
      </c>
      <c r="D16">
        <v>1126470</v>
      </c>
      <c r="E16">
        <v>74270</v>
      </c>
      <c r="F16">
        <v>212.6</v>
      </c>
    </row>
    <row r="17" spans="1:6" x14ac:dyDescent="0.35">
      <c r="A17" s="2">
        <v>45748</v>
      </c>
      <c r="B17">
        <v>43</v>
      </c>
      <c r="C17">
        <v>154340</v>
      </c>
      <c r="D17">
        <v>1280810</v>
      </c>
      <c r="E17">
        <v>232135</v>
      </c>
      <c r="F17">
        <v>-33.5</v>
      </c>
    </row>
    <row r="18" spans="1:6" x14ac:dyDescent="0.35">
      <c r="A18" s="2">
        <v>45778</v>
      </c>
      <c r="B18">
        <v>46</v>
      </c>
      <c r="C18">
        <v>101505</v>
      </c>
      <c r="D18">
        <v>1382315</v>
      </c>
      <c r="E18">
        <v>154340</v>
      </c>
      <c r="F18">
        <v>-34.200000000000003</v>
      </c>
    </row>
    <row r="19" spans="1:6" x14ac:dyDescent="0.35">
      <c r="A19" s="2">
        <v>45809</v>
      </c>
      <c r="B19">
        <v>48</v>
      </c>
      <c r="C19">
        <v>108815</v>
      </c>
      <c r="D19">
        <v>1491130</v>
      </c>
      <c r="E19">
        <v>101505</v>
      </c>
      <c r="F19">
        <v>7.2</v>
      </c>
    </row>
    <row r="20" spans="1:6" x14ac:dyDescent="0.35">
      <c r="A20" s="2">
        <v>45839</v>
      </c>
      <c r="B20">
        <v>46</v>
      </c>
      <c r="C20">
        <v>108170</v>
      </c>
      <c r="D20">
        <v>1599300</v>
      </c>
      <c r="E20">
        <v>108815</v>
      </c>
      <c r="F20">
        <v>-0.6</v>
      </c>
    </row>
    <row r="21" spans="1:6" x14ac:dyDescent="0.35">
      <c r="A21" s="2">
        <v>45870</v>
      </c>
      <c r="B21">
        <v>46</v>
      </c>
      <c r="C21">
        <v>184260</v>
      </c>
      <c r="D21">
        <v>1783560</v>
      </c>
      <c r="E21">
        <v>108170</v>
      </c>
      <c r="F21">
        <v>70.3</v>
      </c>
    </row>
    <row r="22" spans="1:6" x14ac:dyDescent="0.35">
      <c r="A22" s="2">
        <v>45901</v>
      </c>
      <c r="B22">
        <v>44</v>
      </c>
      <c r="C22">
        <v>104855</v>
      </c>
      <c r="D22">
        <v>1888415</v>
      </c>
      <c r="E22">
        <v>184260</v>
      </c>
      <c r="F22">
        <v>-43.1</v>
      </c>
    </row>
    <row r="23" spans="1:6" x14ac:dyDescent="0.35">
      <c r="A23" s="2">
        <v>45931</v>
      </c>
      <c r="B23">
        <v>45</v>
      </c>
      <c r="C23">
        <v>107115</v>
      </c>
      <c r="D23">
        <v>1995530</v>
      </c>
      <c r="E23">
        <v>104855</v>
      </c>
      <c r="F23">
        <v>2.2000000000000002</v>
      </c>
    </row>
    <row r="24" spans="1:6" x14ac:dyDescent="0.35">
      <c r="A24" s="2">
        <v>45962</v>
      </c>
      <c r="B24">
        <v>45</v>
      </c>
      <c r="C24">
        <v>107760</v>
      </c>
      <c r="D24">
        <v>2103290</v>
      </c>
      <c r="E24">
        <v>107115</v>
      </c>
      <c r="F24">
        <v>0.6</v>
      </c>
    </row>
    <row r="25" spans="1:6" x14ac:dyDescent="0.35">
      <c r="A25" s="2">
        <v>45992</v>
      </c>
      <c r="B25">
        <v>46</v>
      </c>
      <c r="C25">
        <v>190280</v>
      </c>
      <c r="D25">
        <v>2293570</v>
      </c>
      <c r="E25">
        <v>107760</v>
      </c>
      <c r="F25">
        <v>76.599999999999994</v>
      </c>
    </row>
    <row r="26" spans="1:6" x14ac:dyDescent="0.35">
      <c r="A26" s="2">
        <v>46023</v>
      </c>
      <c r="B26">
        <v>47</v>
      </c>
      <c r="C26">
        <v>179985</v>
      </c>
      <c r="D26">
        <v>2473555</v>
      </c>
      <c r="E26">
        <v>190280</v>
      </c>
      <c r="F26">
        <v>-5.4</v>
      </c>
    </row>
    <row r="27" spans="1:6" x14ac:dyDescent="0.35">
      <c r="A27" s="2">
        <v>46054</v>
      </c>
      <c r="B27">
        <v>2</v>
      </c>
      <c r="C27">
        <v>2075</v>
      </c>
      <c r="D27">
        <v>2475630</v>
      </c>
      <c r="E27">
        <v>179985</v>
      </c>
      <c r="F27">
        <v>-98.8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7F91-137F-413D-A412-6FCCF6EC5331}">
  <dimension ref="A1:B7"/>
  <sheetViews>
    <sheetView workbookViewId="0">
      <selection activeCell="G30" sqref="G30"/>
    </sheetView>
  </sheetViews>
  <sheetFormatPr defaultRowHeight="14.5" x14ac:dyDescent="0.35"/>
  <cols>
    <col min="1" max="1" width="17" bestFit="1" customWidth="1"/>
    <col min="2" max="2" width="12.1796875" bestFit="1" customWidth="1"/>
  </cols>
  <sheetData>
    <row r="1" spans="1:2" x14ac:dyDescent="0.35">
      <c r="A1" t="s">
        <v>146</v>
      </c>
      <c r="B1" t="s">
        <v>318</v>
      </c>
    </row>
    <row r="2" spans="1:2" x14ac:dyDescent="0.35">
      <c r="A2" t="s">
        <v>1</v>
      </c>
      <c r="B2">
        <v>45</v>
      </c>
    </row>
    <row r="3" spans="1:2" x14ac:dyDescent="0.35">
      <c r="A3" t="s">
        <v>29</v>
      </c>
      <c r="B3">
        <v>95</v>
      </c>
    </row>
    <row r="4" spans="1:2" x14ac:dyDescent="0.35">
      <c r="A4" t="s">
        <v>116</v>
      </c>
      <c r="B4">
        <v>180</v>
      </c>
    </row>
    <row r="5" spans="1:2" x14ac:dyDescent="0.35">
      <c r="A5" t="s">
        <v>24</v>
      </c>
      <c r="B5">
        <v>85</v>
      </c>
    </row>
    <row r="6" spans="1:2" x14ac:dyDescent="0.35">
      <c r="A6" t="s">
        <v>42</v>
      </c>
      <c r="B6">
        <v>110</v>
      </c>
    </row>
    <row r="7" spans="1:2" x14ac:dyDescent="0.35">
      <c r="A7" t="s">
        <v>120</v>
      </c>
      <c r="B7">
        <v>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B8476-86C9-4499-91B7-D0622595FAF9}">
  <dimension ref="A1:V98"/>
  <sheetViews>
    <sheetView topLeftCell="G64" workbookViewId="0">
      <selection activeCell="T23" sqref="T23"/>
    </sheetView>
  </sheetViews>
  <sheetFormatPr defaultRowHeight="14.5" x14ac:dyDescent="0.35"/>
  <cols>
    <col min="1" max="1" width="9.90625" customWidth="1"/>
    <col min="2" max="2" width="15.81640625" customWidth="1"/>
    <col min="3" max="3" width="13.1796875" customWidth="1"/>
    <col min="4" max="4" width="24.36328125" bestFit="1" customWidth="1"/>
    <col min="5" max="5" width="14.36328125" bestFit="1" customWidth="1"/>
    <col min="6" max="6" width="8.26953125" customWidth="1"/>
    <col min="7" max="7" width="12" customWidth="1"/>
    <col min="8" max="8" width="14" bestFit="1" customWidth="1"/>
    <col min="9" max="9" width="14.453125" bestFit="1" customWidth="1"/>
    <col min="10" max="10" width="17" bestFit="1" customWidth="1"/>
    <col min="11" max="11" width="15" bestFit="1" customWidth="1"/>
    <col min="12" max="12" width="53.81640625" bestFit="1" customWidth="1"/>
    <col min="13" max="13" width="17" bestFit="1" customWidth="1"/>
    <col min="14" max="14" width="13.36328125" customWidth="1"/>
    <col min="15" max="15" width="7.26953125" customWidth="1"/>
    <col min="16" max="16" width="15" customWidth="1"/>
    <col min="17" max="17" width="17.453125" customWidth="1"/>
    <col min="18" max="18" width="11.7265625" customWidth="1"/>
    <col min="19" max="19" width="10.81640625" style="4" customWidth="1"/>
    <col min="20" max="20" width="10.81640625" bestFit="1" customWidth="1"/>
    <col min="21" max="21" width="12.26953125" bestFit="1" customWidth="1"/>
    <col min="22" max="22" width="17.54296875" bestFit="1" customWidth="1"/>
  </cols>
  <sheetData>
    <row r="1" spans="1:22" x14ac:dyDescent="0.35">
      <c r="A1" t="s">
        <v>312</v>
      </c>
      <c r="B1" t="s">
        <v>151</v>
      </c>
      <c r="C1" t="s">
        <v>150</v>
      </c>
      <c r="D1" t="s">
        <v>149</v>
      </c>
      <c r="E1" t="s">
        <v>147</v>
      </c>
      <c r="F1" t="s">
        <v>311</v>
      </c>
      <c r="G1" t="s">
        <v>310</v>
      </c>
      <c r="H1" t="s">
        <v>309</v>
      </c>
      <c r="I1" t="s">
        <v>308</v>
      </c>
      <c r="J1" t="s">
        <v>307</v>
      </c>
      <c r="K1" t="s">
        <v>306</v>
      </c>
      <c r="L1" t="s">
        <v>305</v>
      </c>
      <c r="M1" t="s">
        <v>146</v>
      </c>
      <c r="N1" t="s">
        <v>145</v>
      </c>
      <c r="O1" t="s">
        <v>169</v>
      </c>
      <c r="P1" t="s">
        <v>184</v>
      </c>
      <c r="Q1" t="s">
        <v>165</v>
      </c>
      <c r="R1" t="s">
        <v>319</v>
      </c>
      <c r="S1" s="4" t="s">
        <v>320</v>
      </c>
      <c r="T1" s="18" t="s">
        <v>370</v>
      </c>
      <c r="U1" s="18" t="s">
        <v>371</v>
      </c>
      <c r="V1" s="18" t="s">
        <v>372</v>
      </c>
    </row>
    <row r="2" spans="1:22" x14ac:dyDescent="0.35">
      <c r="A2" t="s">
        <v>304</v>
      </c>
      <c r="B2" t="s">
        <v>281</v>
      </c>
      <c r="C2" t="s">
        <v>53</v>
      </c>
      <c r="D2" t="s">
        <v>52</v>
      </c>
      <c r="E2" t="s">
        <v>2</v>
      </c>
      <c r="F2" s="2">
        <v>45292</v>
      </c>
      <c r="G2" s="1">
        <v>45299</v>
      </c>
      <c r="H2" t="s">
        <v>159</v>
      </c>
      <c r="M2" t="s">
        <v>29</v>
      </c>
      <c r="N2" t="s">
        <v>0</v>
      </c>
      <c r="O2">
        <v>20</v>
      </c>
      <c r="P2">
        <v>95</v>
      </c>
      <c r="Q2">
        <v>0</v>
      </c>
      <c r="R2"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5"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f>IF(H2&lt;&gt;"created",0,IF(COUNTIFS($C$1:C1,$C2,$H$1:H1,"created")=0,1,0))</f>
        <v>1</v>
      </c>
      <c r="U2">
        <f>IF(H2&lt;&gt;"cancelled",0,IF(COUNTIFS($C$2:$C$98,$C2,$H$2:$H$98,"created",$F$2:$F$98,"&lt;="&amp;F2)-COUNTIFS($C$2:$C$98,$C2,$H$2:$H$98,"cancelled",$F$2:$F$98,"&lt;="&amp;F2)=0,1,0))</f>
        <v>0</v>
      </c>
      <c r="V2">
        <f>IF(AND(H2="created",T2=0,COUNTIFS($C$2:$C$98,$C2,$H$2:$H$98,"cancelled",$F$2:$F$98,"&lt;"&amp;F2)&gt;0,COUNTIFS($C$2:$C$98,$C2,$H$2:$H$98,"created",$F$2:$F$98,"&lt;"&amp;F2)-COUNTIFS($C$2:$C$98,$C2,$H$2:$H$98,"cancelled",$F$2:$F$98,"&lt;"&amp;F2)=0),1,0)</f>
        <v>0</v>
      </c>
    </row>
    <row r="3" spans="1:22" x14ac:dyDescent="0.35">
      <c r="A3" t="s">
        <v>303</v>
      </c>
      <c r="B3" t="s">
        <v>121</v>
      </c>
      <c r="C3" t="s">
        <v>75</v>
      </c>
      <c r="D3" t="s">
        <v>74</v>
      </c>
      <c r="E3" t="s">
        <v>7</v>
      </c>
      <c r="F3" s="2">
        <v>45292</v>
      </c>
      <c r="G3" s="1">
        <v>45313</v>
      </c>
      <c r="H3" t="s">
        <v>159</v>
      </c>
      <c r="M3" t="s">
        <v>120</v>
      </c>
      <c r="N3" t="s">
        <v>73</v>
      </c>
      <c r="O3">
        <v>26</v>
      </c>
      <c r="P3">
        <v>1800</v>
      </c>
      <c r="Q3">
        <v>0</v>
      </c>
      <c r="R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5"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f>IF(H3&lt;&gt;"created",0,IF(COUNTIFS($C$1:C2,$C3,$H$1:H2,"created")=0,1,0))</f>
        <v>1</v>
      </c>
      <c r="U3">
        <f t="shared" ref="U3:U66" si="0">IF(H3&lt;&gt;"cancelled",0,IF(COUNTIFS($C$2:$C$98,$C3,$H$2:$H$98,"created",$F$2:$F$98,"&lt;="&amp;F3)-COUNTIFS($C$2:$C$98,$C3,$H$2:$H$98,"cancelled",$F$2:$F$98,"&lt;="&amp;F3)=0,1,0))</f>
        <v>0</v>
      </c>
      <c r="V3">
        <f t="shared" ref="V3:V66" si="1">IF(AND(H3="created",T3=0,COUNTIFS($C$2:$C$98,$C3,$H$2:$H$98,"cancelled",$F$2:$F$98,"&lt;"&amp;F3)&gt;0,COUNTIFS($C$2:$C$98,$C3,$H$2:$H$98,"created",$F$2:$F$98,"&lt;"&amp;F3)-COUNTIFS($C$2:$C$98,$C3,$H$2:$H$98,"cancelled",$F$2:$F$98,"&lt;"&amp;F3)=0),1,0)</f>
        <v>0</v>
      </c>
    </row>
    <row r="4" spans="1:22" x14ac:dyDescent="0.35">
      <c r="A4" t="s">
        <v>302</v>
      </c>
      <c r="B4" t="s">
        <v>66</v>
      </c>
      <c r="C4" t="s">
        <v>65</v>
      </c>
      <c r="D4" t="s">
        <v>64</v>
      </c>
      <c r="E4" t="s">
        <v>2</v>
      </c>
      <c r="F4" s="2">
        <v>45323</v>
      </c>
      <c r="G4" s="1">
        <v>45327</v>
      </c>
      <c r="H4" t="s">
        <v>159</v>
      </c>
      <c r="M4" t="s">
        <v>24</v>
      </c>
      <c r="N4" t="s">
        <v>0</v>
      </c>
      <c r="O4">
        <v>23</v>
      </c>
      <c r="P4">
        <v>85</v>
      </c>
      <c r="Q4">
        <v>0</v>
      </c>
      <c r="R4"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5"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f>IF(H4&lt;&gt;"created",0,IF(COUNTIFS($C$1:C3,$C4,$H$1:H3,"created")=0,1,0))</f>
        <v>1</v>
      </c>
      <c r="U4">
        <f t="shared" si="0"/>
        <v>0</v>
      </c>
      <c r="V4">
        <f t="shared" si="1"/>
        <v>0</v>
      </c>
    </row>
    <row r="5" spans="1:22" x14ac:dyDescent="0.35">
      <c r="A5" t="s">
        <v>301</v>
      </c>
      <c r="B5" t="s">
        <v>69</v>
      </c>
      <c r="C5" t="s">
        <v>68</v>
      </c>
      <c r="D5" t="s">
        <v>67</v>
      </c>
      <c r="E5" t="s">
        <v>7</v>
      </c>
      <c r="F5" s="2">
        <v>45323</v>
      </c>
      <c r="G5" s="1">
        <v>45341</v>
      </c>
      <c r="H5" t="s">
        <v>159</v>
      </c>
      <c r="M5" t="s">
        <v>42</v>
      </c>
      <c r="N5" t="s">
        <v>0</v>
      </c>
      <c r="O5">
        <v>18</v>
      </c>
      <c r="P5">
        <v>110</v>
      </c>
      <c r="Q5">
        <v>0</v>
      </c>
      <c r="R5"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5"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f>IF(H5&lt;&gt;"created",0,IF(COUNTIFS($C$1:C4,$C5,$H$1:H4,"created")=0,1,0))</f>
        <v>1</v>
      </c>
      <c r="U5">
        <f t="shared" si="0"/>
        <v>0</v>
      </c>
      <c r="V5">
        <f t="shared" si="1"/>
        <v>0</v>
      </c>
    </row>
    <row r="6" spans="1:22" x14ac:dyDescent="0.35">
      <c r="A6" t="s">
        <v>300</v>
      </c>
      <c r="B6" t="s">
        <v>191</v>
      </c>
      <c r="C6" t="s">
        <v>68</v>
      </c>
      <c r="D6" t="s">
        <v>67</v>
      </c>
      <c r="E6" t="s">
        <v>7</v>
      </c>
      <c r="F6" s="2">
        <v>45323</v>
      </c>
      <c r="G6" s="1">
        <v>45341</v>
      </c>
      <c r="H6" t="s">
        <v>159</v>
      </c>
      <c r="M6" t="s">
        <v>116</v>
      </c>
      <c r="N6" t="s">
        <v>0</v>
      </c>
      <c r="O6">
        <v>26</v>
      </c>
      <c r="P6">
        <v>180</v>
      </c>
      <c r="Q6">
        <v>0</v>
      </c>
      <c r="R6"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5"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f>IF(H6&lt;&gt;"created",0,IF(COUNTIFS($C$1:C5,$C6,$H$1:H5,"created")=0,1,0))</f>
        <v>0</v>
      </c>
      <c r="U6">
        <f t="shared" si="0"/>
        <v>0</v>
      </c>
      <c r="V6">
        <f t="shared" si="1"/>
        <v>0</v>
      </c>
    </row>
    <row r="7" spans="1:22" x14ac:dyDescent="0.35">
      <c r="A7" t="s">
        <v>299</v>
      </c>
      <c r="B7" t="s">
        <v>269</v>
      </c>
      <c r="C7" t="s">
        <v>268</v>
      </c>
      <c r="D7" t="s">
        <v>267</v>
      </c>
      <c r="E7" t="s">
        <v>2</v>
      </c>
      <c r="F7" s="2">
        <v>45352</v>
      </c>
      <c r="G7" s="1">
        <v>45355</v>
      </c>
      <c r="H7" t="s">
        <v>159</v>
      </c>
      <c r="M7" t="s">
        <v>1</v>
      </c>
      <c r="N7" t="s">
        <v>0</v>
      </c>
      <c r="O7">
        <v>11</v>
      </c>
      <c r="P7">
        <v>45</v>
      </c>
      <c r="Q7">
        <v>0</v>
      </c>
      <c r="R7"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5"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f>IF(H7&lt;&gt;"created",0,IF(COUNTIFS($C$1:C6,$C7,$H$1:H6,"created")=0,1,0))</f>
        <v>1</v>
      </c>
      <c r="U7">
        <f t="shared" si="0"/>
        <v>0</v>
      </c>
      <c r="V7">
        <f t="shared" si="1"/>
        <v>0</v>
      </c>
    </row>
    <row r="8" spans="1:22" x14ac:dyDescent="0.35">
      <c r="A8" t="s">
        <v>298</v>
      </c>
      <c r="B8" t="s">
        <v>136</v>
      </c>
      <c r="C8" t="s">
        <v>98</v>
      </c>
      <c r="D8" t="s">
        <v>97</v>
      </c>
      <c r="E8" t="s">
        <v>7</v>
      </c>
      <c r="F8" s="2">
        <v>45352</v>
      </c>
      <c r="G8" s="1">
        <v>45369</v>
      </c>
      <c r="H8" t="s">
        <v>159</v>
      </c>
      <c r="M8" t="s">
        <v>116</v>
      </c>
      <c r="N8" t="s">
        <v>73</v>
      </c>
      <c r="O8">
        <v>31</v>
      </c>
      <c r="P8">
        <v>2160</v>
      </c>
      <c r="Q8">
        <v>0</v>
      </c>
      <c r="R8"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5"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f>IF(H8&lt;&gt;"created",0,IF(COUNTIFS($C$1:C7,$C8,$H$1:H7,"created")=0,1,0))</f>
        <v>1</v>
      </c>
      <c r="U8">
        <f t="shared" si="0"/>
        <v>0</v>
      </c>
      <c r="V8">
        <f t="shared" si="1"/>
        <v>0</v>
      </c>
    </row>
    <row r="9" spans="1:22" x14ac:dyDescent="0.35">
      <c r="A9" t="s">
        <v>297</v>
      </c>
      <c r="B9" t="s">
        <v>35</v>
      </c>
      <c r="C9" t="s">
        <v>34</v>
      </c>
      <c r="D9" t="s">
        <v>33</v>
      </c>
      <c r="E9" t="s">
        <v>2</v>
      </c>
      <c r="F9" s="2">
        <v>45383</v>
      </c>
      <c r="G9" s="1">
        <v>45383</v>
      </c>
      <c r="H9" t="s">
        <v>159</v>
      </c>
      <c r="M9" t="s">
        <v>24</v>
      </c>
      <c r="N9" t="s">
        <v>0</v>
      </c>
      <c r="O9">
        <v>16</v>
      </c>
      <c r="P9">
        <v>85</v>
      </c>
      <c r="Q9">
        <v>0</v>
      </c>
      <c r="R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5"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f>IF(H9&lt;&gt;"created",0,IF(COUNTIFS($C$1:C8,$C9,$H$1:H8,"created")=0,1,0))</f>
        <v>1</v>
      </c>
      <c r="U9">
        <f t="shared" si="0"/>
        <v>0</v>
      </c>
      <c r="V9">
        <f t="shared" si="1"/>
        <v>0</v>
      </c>
    </row>
    <row r="10" spans="1:22" x14ac:dyDescent="0.35">
      <c r="A10" t="s">
        <v>296</v>
      </c>
      <c r="B10" t="s">
        <v>157</v>
      </c>
      <c r="C10" t="s">
        <v>34</v>
      </c>
      <c r="D10" t="s">
        <v>33</v>
      </c>
      <c r="E10" t="s">
        <v>2</v>
      </c>
      <c r="F10" s="2">
        <v>45383</v>
      </c>
      <c r="G10" s="1">
        <v>45383</v>
      </c>
      <c r="H10" t="s">
        <v>159</v>
      </c>
      <c r="M10" t="s">
        <v>1</v>
      </c>
      <c r="N10" t="s">
        <v>0</v>
      </c>
      <c r="O10">
        <v>15</v>
      </c>
      <c r="P10">
        <v>45</v>
      </c>
      <c r="Q10">
        <v>12</v>
      </c>
      <c r="R10"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5"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f>IF(H10&lt;&gt;"created",0,IF(COUNTIFS($C$1:C9,$C10,$H$1:H9,"created")=0,1,0))</f>
        <v>0</v>
      </c>
      <c r="U10">
        <f t="shared" si="0"/>
        <v>0</v>
      </c>
      <c r="V10">
        <f t="shared" si="1"/>
        <v>0</v>
      </c>
    </row>
    <row r="11" spans="1:22" x14ac:dyDescent="0.35">
      <c r="A11" t="s">
        <v>295</v>
      </c>
      <c r="B11" t="s">
        <v>261</v>
      </c>
      <c r="C11" t="s">
        <v>59</v>
      </c>
      <c r="D11" t="s">
        <v>58</v>
      </c>
      <c r="E11" t="s">
        <v>2</v>
      </c>
      <c r="F11" s="2">
        <v>45383</v>
      </c>
      <c r="G11" s="1">
        <v>45397</v>
      </c>
      <c r="H11" t="s">
        <v>159</v>
      </c>
      <c r="M11" t="s">
        <v>29</v>
      </c>
      <c r="N11" t="s">
        <v>0</v>
      </c>
      <c r="O11">
        <v>22</v>
      </c>
      <c r="P11">
        <v>95</v>
      </c>
      <c r="Q11">
        <v>0</v>
      </c>
      <c r="R11"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5"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f>IF(H11&lt;&gt;"created",0,IF(COUNTIFS($C$1:C10,$C11,$H$1:H10,"created")=0,1,0))</f>
        <v>1</v>
      </c>
      <c r="U11">
        <f t="shared" si="0"/>
        <v>0</v>
      </c>
      <c r="V11">
        <f t="shared" si="1"/>
        <v>0</v>
      </c>
    </row>
    <row r="12" spans="1:22" x14ac:dyDescent="0.35">
      <c r="A12" t="s">
        <v>294</v>
      </c>
      <c r="B12" t="s">
        <v>135</v>
      </c>
      <c r="C12" t="s">
        <v>114</v>
      </c>
      <c r="D12" t="s">
        <v>113</v>
      </c>
      <c r="E12" t="s">
        <v>7</v>
      </c>
      <c r="F12" s="2">
        <v>45383</v>
      </c>
      <c r="G12" s="1">
        <v>45411</v>
      </c>
      <c r="H12" t="s">
        <v>159</v>
      </c>
      <c r="M12" t="s">
        <v>120</v>
      </c>
      <c r="N12" t="s">
        <v>73</v>
      </c>
      <c r="O12">
        <v>36</v>
      </c>
      <c r="P12">
        <v>1800</v>
      </c>
      <c r="Q12">
        <v>0</v>
      </c>
      <c r="R12"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5"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f>IF(H12&lt;&gt;"created",0,IF(COUNTIFS($C$1:C11,$C12,$H$1:H11,"created")=0,1,0))</f>
        <v>1</v>
      </c>
      <c r="U12">
        <f t="shared" si="0"/>
        <v>0</v>
      </c>
      <c r="V12">
        <f t="shared" si="1"/>
        <v>0</v>
      </c>
    </row>
    <row r="13" spans="1:22" x14ac:dyDescent="0.35">
      <c r="A13" t="s">
        <v>293</v>
      </c>
      <c r="B13" t="s">
        <v>15</v>
      </c>
      <c r="C13" t="s">
        <v>14</v>
      </c>
      <c r="D13" t="s">
        <v>13</v>
      </c>
      <c r="E13" t="s">
        <v>2</v>
      </c>
      <c r="F13" s="2">
        <v>45413</v>
      </c>
      <c r="G13" s="1">
        <v>45425</v>
      </c>
      <c r="H13" t="s">
        <v>159</v>
      </c>
      <c r="M13" t="s">
        <v>1</v>
      </c>
      <c r="N13" t="s">
        <v>0</v>
      </c>
      <c r="O13">
        <v>13</v>
      </c>
      <c r="P13">
        <v>45</v>
      </c>
      <c r="Q13">
        <v>0</v>
      </c>
      <c r="R1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5"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f>IF(H13&lt;&gt;"created",0,IF(COUNTIFS($C$1:C12,$C13,$H$1:H12,"created")=0,1,0))</f>
        <v>1</v>
      </c>
      <c r="U13">
        <f t="shared" si="0"/>
        <v>0</v>
      </c>
      <c r="V13">
        <f t="shared" si="1"/>
        <v>0</v>
      </c>
    </row>
    <row r="14" spans="1:22" x14ac:dyDescent="0.35">
      <c r="A14" t="s">
        <v>292</v>
      </c>
      <c r="B14" t="s">
        <v>72</v>
      </c>
      <c r="C14" t="s">
        <v>71</v>
      </c>
      <c r="D14" t="s">
        <v>70</v>
      </c>
      <c r="E14" t="s">
        <v>16</v>
      </c>
      <c r="F14" s="2">
        <v>45413</v>
      </c>
      <c r="G14" s="1">
        <v>45439</v>
      </c>
      <c r="H14" t="s">
        <v>159</v>
      </c>
      <c r="M14" t="s">
        <v>42</v>
      </c>
      <c r="N14" t="s">
        <v>0</v>
      </c>
      <c r="O14">
        <v>18</v>
      </c>
      <c r="P14">
        <v>110</v>
      </c>
      <c r="Q14">
        <v>0</v>
      </c>
      <c r="R14"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5"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f>IF(H14&lt;&gt;"created",0,IF(COUNTIFS($C$1:C13,$C14,$H$1:H13,"created")=0,1,0))</f>
        <v>1</v>
      </c>
      <c r="U14">
        <f t="shared" si="0"/>
        <v>0</v>
      </c>
      <c r="V14">
        <f t="shared" si="1"/>
        <v>0</v>
      </c>
    </row>
    <row r="15" spans="1:22" x14ac:dyDescent="0.35">
      <c r="A15" t="s">
        <v>291</v>
      </c>
      <c r="B15" t="s">
        <v>83</v>
      </c>
      <c r="C15" t="s">
        <v>82</v>
      </c>
      <c r="D15" t="s">
        <v>81</v>
      </c>
      <c r="E15" t="s">
        <v>2</v>
      </c>
      <c r="F15" s="2">
        <v>45444</v>
      </c>
      <c r="G15" s="1">
        <v>45453</v>
      </c>
      <c r="H15" t="s">
        <v>159</v>
      </c>
      <c r="M15" t="s">
        <v>29</v>
      </c>
      <c r="N15" t="s">
        <v>0</v>
      </c>
      <c r="O15">
        <v>23</v>
      </c>
      <c r="P15">
        <v>95</v>
      </c>
      <c r="Q15">
        <v>0</v>
      </c>
      <c r="R15"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5"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f>IF(H15&lt;&gt;"created",0,IF(COUNTIFS($C$1:C14,$C15,$H$1:H14,"created")=0,1,0))</f>
        <v>1</v>
      </c>
      <c r="U15">
        <f t="shared" si="0"/>
        <v>0</v>
      </c>
      <c r="V15">
        <f t="shared" si="1"/>
        <v>0</v>
      </c>
    </row>
    <row r="16" spans="1:22" x14ac:dyDescent="0.35">
      <c r="A16" t="s">
        <v>290</v>
      </c>
      <c r="B16" t="s">
        <v>216</v>
      </c>
      <c r="C16" t="s">
        <v>82</v>
      </c>
      <c r="D16" t="s">
        <v>81</v>
      </c>
      <c r="E16" t="s">
        <v>2</v>
      </c>
      <c r="F16" s="2">
        <v>45444</v>
      </c>
      <c r="G16" s="1">
        <v>45453</v>
      </c>
      <c r="H16" t="s">
        <v>159</v>
      </c>
      <c r="M16" t="s">
        <v>1</v>
      </c>
      <c r="N16" t="s">
        <v>0</v>
      </c>
      <c r="O16">
        <v>19</v>
      </c>
      <c r="P16">
        <v>45</v>
      </c>
      <c r="Q16">
        <v>0</v>
      </c>
      <c r="R16"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5"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f>IF(H16&lt;&gt;"created",0,IF(COUNTIFS($C$1:C15,$C16,$H$1:H15,"created")=0,1,0))</f>
        <v>0</v>
      </c>
      <c r="U16">
        <f t="shared" si="0"/>
        <v>0</v>
      </c>
      <c r="V16">
        <f t="shared" si="1"/>
        <v>0</v>
      </c>
    </row>
    <row r="17" spans="1:22" x14ac:dyDescent="0.35">
      <c r="A17" t="s">
        <v>289</v>
      </c>
      <c r="B17" t="s">
        <v>255</v>
      </c>
      <c r="C17" t="s">
        <v>31</v>
      </c>
      <c r="D17" t="s">
        <v>30</v>
      </c>
      <c r="E17" t="s">
        <v>7</v>
      </c>
      <c r="F17" s="2">
        <v>45444</v>
      </c>
      <c r="G17" s="1">
        <v>45467</v>
      </c>
      <c r="H17" t="s">
        <v>159</v>
      </c>
      <c r="M17" t="s">
        <v>1</v>
      </c>
      <c r="N17" t="s">
        <v>0</v>
      </c>
      <c r="O17">
        <v>10</v>
      </c>
      <c r="P17">
        <v>45</v>
      </c>
      <c r="Q17">
        <v>0</v>
      </c>
      <c r="R17"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5"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f>IF(H17&lt;&gt;"created",0,IF(COUNTIFS($C$1:C16,$C17,$H$1:H16,"created")=0,1,0))</f>
        <v>1</v>
      </c>
      <c r="U17">
        <f t="shared" si="0"/>
        <v>0</v>
      </c>
      <c r="V17">
        <f t="shared" si="1"/>
        <v>0</v>
      </c>
    </row>
    <row r="18" spans="1:22" x14ac:dyDescent="0.35">
      <c r="A18" t="s">
        <v>288</v>
      </c>
      <c r="B18" t="s">
        <v>89</v>
      </c>
      <c r="C18" t="s">
        <v>88</v>
      </c>
      <c r="D18" t="s">
        <v>87</v>
      </c>
      <c r="E18" t="s">
        <v>2</v>
      </c>
      <c r="F18" s="2">
        <v>45474</v>
      </c>
      <c r="G18" s="1">
        <v>45481</v>
      </c>
      <c r="H18" t="s">
        <v>159</v>
      </c>
      <c r="M18" t="s">
        <v>24</v>
      </c>
      <c r="N18" t="s">
        <v>0</v>
      </c>
      <c r="O18">
        <v>28</v>
      </c>
      <c r="P18">
        <v>85</v>
      </c>
      <c r="Q18">
        <v>0</v>
      </c>
      <c r="R18"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5"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f>IF(H18&lt;&gt;"created",0,IF(COUNTIFS($C$1:C17,$C18,$H$1:H17,"created")=0,1,0))</f>
        <v>1</v>
      </c>
      <c r="U18">
        <f t="shared" si="0"/>
        <v>0</v>
      </c>
      <c r="V18">
        <f t="shared" si="1"/>
        <v>0</v>
      </c>
    </row>
    <row r="19" spans="1:22" x14ac:dyDescent="0.35">
      <c r="A19" t="s">
        <v>287</v>
      </c>
      <c r="B19" t="s">
        <v>54</v>
      </c>
      <c r="C19" t="s">
        <v>53</v>
      </c>
      <c r="D19" t="s">
        <v>52</v>
      </c>
      <c r="E19" t="s">
        <v>2</v>
      </c>
      <c r="F19" s="2">
        <v>45474</v>
      </c>
      <c r="G19" s="1">
        <v>45488</v>
      </c>
      <c r="H19" t="s">
        <v>159</v>
      </c>
      <c r="M19" t="s">
        <v>42</v>
      </c>
      <c r="N19" t="s">
        <v>0</v>
      </c>
      <c r="O19">
        <v>16</v>
      </c>
      <c r="P19">
        <v>110</v>
      </c>
      <c r="Q19">
        <v>0</v>
      </c>
      <c r="R1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5"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f>IF(H19&lt;&gt;"created",0,IF(COUNTIFS($C$1:C18,$C19,$H$1:H18,"created")=0,1,0))</f>
        <v>0</v>
      </c>
      <c r="U19">
        <f t="shared" si="0"/>
        <v>0</v>
      </c>
      <c r="V19">
        <f t="shared" si="1"/>
        <v>0</v>
      </c>
    </row>
    <row r="20" spans="1:22" x14ac:dyDescent="0.35">
      <c r="A20" t="s">
        <v>286</v>
      </c>
      <c r="B20" t="s">
        <v>162</v>
      </c>
      <c r="C20" t="s">
        <v>118</v>
      </c>
      <c r="D20" t="s">
        <v>117</v>
      </c>
      <c r="E20" t="s">
        <v>7</v>
      </c>
      <c r="F20" s="2">
        <v>45474</v>
      </c>
      <c r="G20" s="1">
        <v>45495</v>
      </c>
      <c r="H20" t="s">
        <v>159</v>
      </c>
      <c r="M20" t="s">
        <v>29</v>
      </c>
      <c r="N20" t="s">
        <v>0</v>
      </c>
      <c r="O20">
        <v>19</v>
      </c>
      <c r="P20">
        <v>95</v>
      </c>
      <c r="Q20">
        <v>10</v>
      </c>
      <c r="R20"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5"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f>IF(H20&lt;&gt;"created",0,IF(COUNTIFS($C$1:C19,$C20,$H$1:H19,"created")=0,1,0))</f>
        <v>1</v>
      </c>
      <c r="U20">
        <f t="shared" si="0"/>
        <v>0</v>
      </c>
      <c r="V20">
        <f t="shared" si="1"/>
        <v>0</v>
      </c>
    </row>
    <row r="21" spans="1:22" x14ac:dyDescent="0.35">
      <c r="A21" t="s">
        <v>285</v>
      </c>
      <c r="B21" t="s">
        <v>119</v>
      </c>
      <c r="C21" t="s">
        <v>118</v>
      </c>
      <c r="D21" t="s">
        <v>117</v>
      </c>
      <c r="E21" t="s">
        <v>7</v>
      </c>
      <c r="F21" s="2">
        <v>45474</v>
      </c>
      <c r="G21" s="1">
        <v>45495</v>
      </c>
      <c r="H21" t="s">
        <v>159</v>
      </c>
      <c r="M21" t="s">
        <v>116</v>
      </c>
      <c r="N21" t="s">
        <v>0</v>
      </c>
      <c r="O21">
        <v>20</v>
      </c>
      <c r="P21">
        <v>180</v>
      </c>
      <c r="Q21">
        <v>0</v>
      </c>
      <c r="R21"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5"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f>IF(H21&lt;&gt;"created",0,IF(COUNTIFS($C$1:C20,$C21,$H$1:H20,"created")=0,1,0))</f>
        <v>0</v>
      </c>
      <c r="U21">
        <f t="shared" si="0"/>
        <v>0</v>
      </c>
      <c r="V21">
        <f t="shared" si="1"/>
        <v>0</v>
      </c>
    </row>
    <row r="22" spans="1:22" x14ac:dyDescent="0.35">
      <c r="A22" t="s">
        <v>284</v>
      </c>
      <c r="B22" t="s">
        <v>138</v>
      </c>
      <c r="C22" t="s">
        <v>111</v>
      </c>
      <c r="D22" t="s">
        <v>110</v>
      </c>
      <c r="E22" t="s">
        <v>2</v>
      </c>
      <c r="F22" s="2">
        <v>45505</v>
      </c>
      <c r="G22" s="1">
        <v>45509</v>
      </c>
      <c r="H22" t="s">
        <v>159</v>
      </c>
      <c r="M22" t="s">
        <v>120</v>
      </c>
      <c r="N22" t="s">
        <v>73</v>
      </c>
      <c r="O22">
        <v>42</v>
      </c>
      <c r="P22">
        <v>1800</v>
      </c>
      <c r="Q22">
        <v>0</v>
      </c>
      <c r="R22"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5"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f>IF(H22&lt;&gt;"created",0,IF(COUNTIFS($C$1:C21,$C22,$H$1:H21,"created")=0,1,0))</f>
        <v>1</v>
      </c>
      <c r="U22">
        <f t="shared" si="0"/>
        <v>0</v>
      </c>
      <c r="V22">
        <f t="shared" si="1"/>
        <v>0</v>
      </c>
    </row>
    <row r="23" spans="1:22" x14ac:dyDescent="0.35">
      <c r="A23" t="s">
        <v>283</v>
      </c>
      <c r="B23" t="s">
        <v>6</v>
      </c>
      <c r="C23" t="s">
        <v>5</v>
      </c>
      <c r="D23" t="s">
        <v>4</v>
      </c>
      <c r="E23" t="s">
        <v>2</v>
      </c>
      <c r="F23" s="2">
        <v>45505</v>
      </c>
      <c r="G23" s="1">
        <v>45523</v>
      </c>
      <c r="H23" t="s">
        <v>159</v>
      </c>
      <c r="M23" t="s">
        <v>1</v>
      </c>
      <c r="N23" t="s">
        <v>0</v>
      </c>
      <c r="O23">
        <v>12</v>
      </c>
      <c r="P23">
        <v>45</v>
      </c>
      <c r="Q23">
        <v>0</v>
      </c>
      <c r="R2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5"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f>IF(H23&lt;&gt;"created",0,IF(COUNTIFS($C$1:C22,$C23,$H$1:H22,"created")=0,1,0))</f>
        <v>1</v>
      </c>
      <c r="U23">
        <f t="shared" si="0"/>
        <v>0</v>
      </c>
      <c r="V23">
        <f t="shared" si="1"/>
        <v>0</v>
      </c>
    </row>
    <row r="24" spans="1:22" x14ac:dyDescent="0.35">
      <c r="A24" t="s">
        <v>282</v>
      </c>
      <c r="B24" t="s">
        <v>281</v>
      </c>
      <c r="C24" t="s">
        <v>53</v>
      </c>
      <c r="D24" t="s">
        <v>52</v>
      </c>
      <c r="E24" t="s">
        <v>2</v>
      </c>
      <c r="F24" s="2">
        <v>45505</v>
      </c>
      <c r="G24" s="1">
        <v>45531</v>
      </c>
      <c r="H24" t="s">
        <v>156</v>
      </c>
      <c r="I24" t="s">
        <v>155</v>
      </c>
      <c r="J24" t="s">
        <v>154</v>
      </c>
      <c r="K24" t="s">
        <v>153</v>
      </c>
      <c r="L24" t="s">
        <v>209</v>
      </c>
      <c r="M24" t="s">
        <v>29</v>
      </c>
      <c r="N24" t="s">
        <v>0</v>
      </c>
      <c r="O24">
        <v>20</v>
      </c>
      <c r="P24">
        <v>95</v>
      </c>
      <c r="Q24">
        <v>0</v>
      </c>
      <c r="R24"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5"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f>IF(H24&lt;&gt;"created",0,IF(COUNTIFS($C$1:C23,$C24,$H$1:H23,"created")=0,1,0))</f>
        <v>0</v>
      </c>
      <c r="U24">
        <f t="shared" si="0"/>
        <v>0</v>
      </c>
      <c r="V24">
        <f t="shared" si="1"/>
        <v>0</v>
      </c>
    </row>
    <row r="25" spans="1:22" x14ac:dyDescent="0.35">
      <c r="A25" t="s">
        <v>280</v>
      </c>
      <c r="B25" t="s">
        <v>139</v>
      </c>
      <c r="C25" t="s">
        <v>105</v>
      </c>
      <c r="D25" t="s">
        <v>104</v>
      </c>
      <c r="E25" t="s">
        <v>7</v>
      </c>
      <c r="F25" s="2">
        <v>45536</v>
      </c>
      <c r="G25" s="1">
        <v>45537</v>
      </c>
      <c r="H25" t="s">
        <v>159</v>
      </c>
      <c r="M25" t="s">
        <v>116</v>
      </c>
      <c r="N25" t="s">
        <v>0</v>
      </c>
      <c r="O25">
        <v>35</v>
      </c>
      <c r="P25">
        <v>180</v>
      </c>
      <c r="Q25">
        <v>0</v>
      </c>
      <c r="R25"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5"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f>IF(H25&lt;&gt;"created",0,IF(COUNTIFS($C$1:C24,$C25,$H$1:H24,"created")=0,1,0))</f>
        <v>1</v>
      </c>
      <c r="U25">
        <f t="shared" si="0"/>
        <v>0</v>
      </c>
      <c r="V25">
        <f t="shared" si="1"/>
        <v>0</v>
      </c>
    </row>
    <row r="26" spans="1:22" x14ac:dyDescent="0.35">
      <c r="A26" t="s">
        <v>279</v>
      </c>
      <c r="B26" t="s">
        <v>77</v>
      </c>
      <c r="C26" t="s">
        <v>65</v>
      </c>
      <c r="D26" t="s">
        <v>64</v>
      </c>
      <c r="E26" t="s">
        <v>2</v>
      </c>
      <c r="F26" s="2">
        <v>45536</v>
      </c>
      <c r="G26" s="1">
        <v>45545</v>
      </c>
      <c r="H26" t="s">
        <v>159</v>
      </c>
      <c r="M26" t="s">
        <v>42</v>
      </c>
      <c r="N26" t="s">
        <v>0</v>
      </c>
      <c r="O26">
        <v>19</v>
      </c>
      <c r="P26">
        <v>110</v>
      </c>
      <c r="Q26">
        <v>0</v>
      </c>
      <c r="R26"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5"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f>IF(H26&lt;&gt;"created",0,IF(COUNTIFS($C$1:C25,$C26,$H$1:H25,"created")=0,1,0))</f>
        <v>0</v>
      </c>
      <c r="U26">
        <f t="shared" si="0"/>
        <v>0</v>
      </c>
      <c r="V26">
        <f t="shared" si="1"/>
        <v>0</v>
      </c>
    </row>
    <row r="27" spans="1:22" x14ac:dyDescent="0.35">
      <c r="A27" t="s">
        <v>278</v>
      </c>
      <c r="B27" t="s">
        <v>41</v>
      </c>
      <c r="C27" t="s">
        <v>40</v>
      </c>
      <c r="D27" t="s">
        <v>39</v>
      </c>
      <c r="E27" t="s">
        <v>16</v>
      </c>
      <c r="F27" s="2">
        <v>45536</v>
      </c>
      <c r="G27" s="1">
        <v>45551</v>
      </c>
      <c r="H27" t="s">
        <v>159</v>
      </c>
      <c r="M27" t="s">
        <v>24</v>
      </c>
      <c r="N27" t="s">
        <v>0</v>
      </c>
      <c r="O27">
        <v>19</v>
      </c>
      <c r="P27">
        <v>85</v>
      </c>
      <c r="Q27">
        <v>0</v>
      </c>
      <c r="R27"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5"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f>IF(H27&lt;&gt;"created",0,IF(COUNTIFS($C$1:C26,$C27,$H$1:H26,"created")=0,1,0))</f>
        <v>1</v>
      </c>
      <c r="U27">
        <f t="shared" si="0"/>
        <v>0</v>
      </c>
      <c r="V27">
        <f t="shared" si="1"/>
        <v>0</v>
      </c>
    </row>
    <row r="28" spans="1:22" x14ac:dyDescent="0.35">
      <c r="A28" t="s">
        <v>277</v>
      </c>
      <c r="B28" t="s">
        <v>205</v>
      </c>
      <c r="C28" t="s">
        <v>40</v>
      </c>
      <c r="D28" t="s">
        <v>39</v>
      </c>
      <c r="E28" t="s">
        <v>16</v>
      </c>
      <c r="F28" s="2">
        <v>45536</v>
      </c>
      <c r="G28" s="1">
        <v>45551</v>
      </c>
      <c r="H28" t="s">
        <v>159</v>
      </c>
      <c r="M28" t="s">
        <v>42</v>
      </c>
      <c r="N28" t="s">
        <v>0</v>
      </c>
      <c r="O28">
        <v>16</v>
      </c>
      <c r="P28">
        <v>110</v>
      </c>
      <c r="Q28">
        <v>0</v>
      </c>
      <c r="R28"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5"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f>IF(H28&lt;&gt;"created",0,IF(COUNTIFS($C$1:C27,$C28,$H$1:H27,"created")=0,1,0))</f>
        <v>0</v>
      </c>
      <c r="U28">
        <f t="shared" si="0"/>
        <v>0</v>
      </c>
      <c r="V28">
        <f t="shared" si="1"/>
        <v>0</v>
      </c>
    </row>
    <row r="29" spans="1:22" x14ac:dyDescent="0.35">
      <c r="A29" t="s">
        <v>276</v>
      </c>
      <c r="B29" t="s">
        <v>45</v>
      </c>
      <c r="C29" t="s">
        <v>44</v>
      </c>
      <c r="D29" t="s">
        <v>43</v>
      </c>
      <c r="E29" t="s">
        <v>2</v>
      </c>
      <c r="F29" s="2">
        <v>45536</v>
      </c>
      <c r="G29" s="1">
        <v>45565</v>
      </c>
      <c r="H29" t="s">
        <v>159</v>
      </c>
      <c r="M29" t="s">
        <v>42</v>
      </c>
      <c r="N29" t="s">
        <v>0</v>
      </c>
      <c r="O29">
        <v>15</v>
      </c>
      <c r="P29">
        <v>110</v>
      </c>
      <c r="Q29">
        <v>0</v>
      </c>
      <c r="R2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5"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f>IF(H29&lt;&gt;"created",0,IF(COUNTIFS($C$1:C28,$C29,$H$1:H28,"created")=0,1,0))</f>
        <v>1</v>
      </c>
      <c r="U29">
        <f t="shared" si="0"/>
        <v>0</v>
      </c>
      <c r="V29">
        <f t="shared" si="1"/>
        <v>0</v>
      </c>
    </row>
    <row r="30" spans="1:22" x14ac:dyDescent="0.35">
      <c r="A30" t="s">
        <v>275</v>
      </c>
      <c r="B30" t="s">
        <v>99</v>
      </c>
      <c r="C30" t="s">
        <v>98</v>
      </c>
      <c r="D30" t="s">
        <v>97</v>
      </c>
      <c r="E30" t="s">
        <v>7</v>
      </c>
      <c r="F30" s="2">
        <v>45566</v>
      </c>
      <c r="G30" s="1">
        <v>45570</v>
      </c>
      <c r="H30" t="s">
        <v>159</v>
      </c>
      <c r="M30" t="s">
        <v>24</v>
      </c>
      <c r="N30" t="s">
        <v>0</v>
      </c>
      <c r="O30">
        <v>33</v>
      </c>
      <c r="P30">
        <v>85</v>
      </c>
      <c r="Q30">
        <v>0</v>
      </c>
      <c r="R30"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5"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f>IF(H30&lt;&gt;"created",0,IF(COUNTIFS($C$1:C29,$C30,$H$1:H29,"created")=0,1,0))</f>
        <v>0</v>
      </c>
      <c r="U30">
        <f t="shared" si="0"/>
        <v>0</v>
      </c>
      <c r="V30">
        <f t="shared" si="1"/>
        <v>0</v>
      </c>
    </row>
    <row r="31" spans="1:22" x14ac:dyDescent="0.35">
      <c r="A31" t="s">
        <v>274</v>
      </c>
      <c r="B31" t="s">
        <v>224</v>
      </c>
      <c r="C31" t="s">
        <v>126</v>
      </c>
      <c r="D31" t="s">
        <v>125</v>
      </c>
      <c r="E31" t="s">
        <v>7</v>
      </c>
      <c r="F31" s="2">
        <v>45566</v>
      </c>
      <c r="G31" s="1">
        <v>45579</v>
      </c>
      <c r="H31" t="s">
        <v>159</v>
      </c>
      <c r="M31" t="s">
        <v>29</v>
      </c>
      <c r="N31" t="s">
        <v>0</v>
      </c>
      <c r="O31">
        <v>25</v>
      </c>
      <c r="P31">
        <v>95</v>
      </c>
      <c r="Q31">
        <v>0</v>
      </c>
      <c r="R31"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5"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f>IF(H31&lt;&gt;"created",0,IF(COUNTIFS($C$1:C30,$C31,$H$1:H30,"created")=0,1,0))</f>
        <v>1</v>
      </c>
      <c r="U31">
        <f t="shared" si="0"/>
        <v>0</v>
      </c>
      <c r="V31">
        <f t="shared" si="1"/>
        <v>0</v>
      </c>
    </row>
    <row r="32" spans="1:22" x14ac:dyDescent="0.35">
      <c r="A32" t="s">
        <v>273</v>
      </c>
      <c r="B32" t="s">
        <v>131</v>
      </c>
      <c r="C32" t="s">
        <v>101</v>
      </c>
      <c r="D32" t="s">
        <v>100</v>
      </c>
      <c r="E32" t="s">
        <v>2</v>
      </c>
      <c r="F32" s="2">
        <v>45566</v>
      </c>
      <c r="G32" s="1">
        <v>45593</v>
      </c>
      <c r="H32" t="s">
        <v>159</v>
      </c>
      <c r="M32" t="s">
        <v>120</v>
      </c>
      <c r="N32" t="s">
        <v>0</v>
      </c>
      <c r="O32">
        <v>33</v>
      </c>
      <c r="P32">
        <v>150</v>
      </c>
      <c r="Q32">
        <v>0</v>
      </c>
      <c r="R32"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5"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f>IF(H32&lt;&gt;"created",0,IF(COUNTIFS($C$1:C31,$C32,$H$1:H31,"created")=0,1,0))</f>
        <v>1</v>
      </c>
      <c r="U32">
        <f t="shared" si="0"/>
        <v>0</v>
      </c>
      <c r="V32">
        <f t="shared" si="1"/>
        <v>0</v>
      </c>
    </row>
    <row r="33" spans="1:22" x14ac:dyDescent="0.35">
      <c r="A33" t="s">
        <v>272</v>
      </c>
      <c r="B33" t="s">
        <v>60</v>
      </c>
      <c r="C33" t="s">
        <v>59</v>
      </c>
      <c r="D33" t="s">
        <v>58</v>
      </c>
      <c r="E33" t="s">
        <v>2</v>
      </c>
      <c r="F33" s="2">
        <v>45597</v>
      </c>
      <c r="G33" s="1">
        <v>45601</v>
      </c>
      <c r="H33" t="s">
        <v>159</v>
      </c>
      <c r="M33" t="s">
        <v>24</v>
      </c>
      <c r="N33" t="s">
        <v>0</v>
      </c>
      <c r="O33">
        <v>22</v>
      </c>
      <c r="P33">
        <v>85</v>
      </c>
      <c r="Q33">
        <v>0</v>
      </c>
      <c r="R3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5"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f>IF(H33&lt;&gt;"created",0,IF(COUNTIFS($C$1:C32,$C33,$H$1:H32,"created")=0,1,0))</f>
        <v>0</v>
      </c>
      <c r="U33">
        <f t="shared" si="0"/>
        <v>0</v>
      </c>
      <c r="V33">
        <f t="shared" si="1"/>
        <v>0</v>
      </c>
    </row>
    <row r="34" spans="1:22" x14ac:dyDescent="0.35">
      <c r="A34" t="s">
        <v>271</v>
      </c>
      <c r="B34" t="s">
        <v>210</v>
      </c>
      <c r="C34" t="s">
        <v>26</v>
      </c>
      <c r="D34" t="s">
        <v>25</v>
      </c>
      <c r="E34" t="s">
        <v>2</v>
      </c>
      <c r="F34" s="2">
        <v>45597</v>
      </c>
      <c r="G34" s="1">
        <v>45607</v>
      </c>
      <c r="H34" t="s">
        <v>159</v>
      </c>
      <c r="M34" t="s">
        <v>1</v>
      </c>
      <c r="N34" t="s">
        <v>0</v>
      </c>
      <c r="O34">
        <v>10</v>
      </c>
      <c r="P34">
        <v>45</v>
      </c>
      <c r="Q34">
        <v>0</v>
      </c>
      <c r="R34"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5"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f>IF(H34&lt;&gt;"created",0,IF(COUNTIFS($C$1:C33,$C34,$H$1:H33,"created")=0,1,0))</f>
        <v>1</v>
      </c>
      <c r="U34">
        <f t="shared" si="0"/>
        <v>0</v>
      </c>
      <c r="V34">
        <f t="shared" si="1"/>
        <v>0</v>
      </c>
    </row>
    <row r="35" spans="1:22" x14ac:dyDescent="0.35">
      <c r="A35" t="s">
        <v>270</v>
      </c>
      <c r="B35" t="s">
        <v>269</v>
      </c>
      <c r="C35" t="s">
        <v>268</v>
      </c>
      <c r="D35" t="s">
        <v>267</v>
      </c>
      <c r="E35" t="s">
        <v>2</v>
      </c>
      <c r="F35" s="2">
        <v>45597</v>
      </c>
      <c r="G35" s="1">
        <v>45616</v>
      </c>
      <c r="H35" t="s">
        <v>156</v>
      </c>
      <c r="I35" t="s">
        <v>155</v>
      </c>
      <c r="J35" t="s">
        <v>154</v>
      </c>
      <c r="K35" t="s">
        <v>153</v>
      </c>
      <c r="L35" t="s">
        <v>260</v>
      </c>
      <c r="M35" t="s">
        <v>1</v>
      </c>
      <c r="N35" t="s">
        <v>0</v>
      </c>
      <c r="O35">
        <v>11</v>
      </c>
      <c r="P35">
        <v>45</v>
      </c>
      <c r="Q35">
        <v>0</v>
      </c>
      <c r="R35"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5"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f>IF(H35&lt;&gt;"created",0,IF(COUNTIFS($C$1:C34,$C35,$H$1:H34,"created")=0,1,0))</f>
        <v>0</v>
      </c>
      <c r="U35">
        <f t="shared" si="0"/>
        <v>1</v>
      </c>
      <c r="V35">
        <f t="shared" si="1"/>
        <v>0</v>
      </c>
    </row>
    <row r="36" spans="1:22" x14ac:dyDescent="0.35">
      <c r="A36" t="s">
        <v>266</v>
      </c>
      <c r="B36" t="s">
        <v>96</v>
      </c>
      <c r="C36" t="s">
        <v>95</v>
      </c>
      <c r="D36" t="s">
        <v>94</v>
      </c>
      <c r="E36" t="s">
        <v>7</v>
      </c>
      <c r="F36" s="2">
        <v>45597</v>
      </c>
      <c r="G36" s="1">
        <v>45621</v>
      </c>
      <c r="H36" t="s">
        <v>159</v>
      </c>
      <c r="M36" t="s">
        <v>24</v>
      </c>
      <c r="N36" t="s">
        <v>0</v>
      </c>
      <c r="O36">
        <v>31</v>
      </c>
      <c r="P36">
        <v>85</v>
      </c>
      <c r="Q36">
        <v>0</v>
      </c>
      <c r="R36"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5"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f>IF(H36&lt;&gt;"created",0,IF(COUNTIFS($C$1:C35,$C36,$H$1:H35,"created")=0,1,0))</f>
        <v>1</v>
      </c>
      <c r="U36">
        <f t="shared" si="0"/>
        <v>0</v>
      </c>
      <c r="V36">
        <f t="shared" si="1"/>
        <v>0</v>
      </c>
    </row>
    <row r="37" spans="1:22" x14ac:dyDescent="0.35">
      <c r="A37" t="s">
        <v>265</v>
      </c>
      <c r="B37" t="s">
        <v>143</v>
      </c>
      <c r="C37" t="s">
        <v>123</v>
      </c>
      <c r="D37" t="s">
        <v>122</v>
      </c>
      <c r="E37" t="s">
        <v>2</v>
      </c>
      <c r="F37" s="2">
        <v>45627</v>
      </c>
      <c r="G37" s="1">
        <v>45635</v>
      </c>
      <c r="H37" t="s">
        <v>159</v>
      </c>
      <c r="M37" t="s">
        <v>116</v>
      </c>
      <c r="N37" t="s">
        <v>73</v>
      </c>
      <c r="O37">
        <v>38</v>
      </c>
      <c r="P37">
        <v>2160</v>
      </c>
      <c r="Q37">
        <v>0</v>
      </c>
      <c r="R37"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5"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f>IF(H37&lt;&gt;"created",0,IF(COUNTIFS($C$1:C36,$C37,$H$1:H36,"created")=0,1,0))</f>
        <v>1</v>
      </c>
      <c r="U37">
        <f t="shared" si="0"/>
        <v>0</v>
      </c>
      <c r="V37">
        <f t="shared" si="1"/>
        <v>0</v>
      </c>
    </row>
    <row r="38" spans="1:22" x14ac:dyDescent="0.35">
      <c r="A38" t="s">
        <v>264</v>
      </c>
      <c r="B38" t="s">
        <v>112</v>
      </c>
      <c r="C38" t="s">
        <v>111</v>
      </c>
      <c r="D38" t="s">
        <v>110</v>
      </c>
      <c r="E38" t="s">
        <v>2</v>
      </c>
      <c r="F38" s="2">
        <v>45627</v>
      </c>
      <c r="G38" s="1">
        <v>45638</v>
      </c>
      <c r="H38" t="s">
        <v>159</v>
      </c>
      <c r="M38" t="s">
        <v>24</v>
      </c>
      <c r="N38" t="s">
        <v>0</v>
      </c>
      <c r="O38">
        <v>38</v>
      </c>
      <c r="P38">
        <v>85</v>
      </c>
      <c r="Q38">
        <v>0</v>
      </c>
      <c r="R38"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5"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f>IF(H38&lt;&gt;"created",0,IF(COUNTIFS($C$1:C37,$C38,$H$1:H37,"created")=0,1,0))</f>
        <v>0</v>
      </c>
      <c r="U38">
        <f t="shared" si="0"/>
        <v>0</v>
      </c>
      <c r="V38">
        <f t="shared" si="1"/>
        <v>0</v>
      </c>
    </row>
    <row r="39" spans="1:22" x14ac:dyDescent="0.35">
      <c r="A39" t="s">
        <v>263</v>
      </c>
      <c r="B39" t="s">
        <v>115</v>
      </c>
      <c r="C39" t="s">
        <v>114</v>
      </c>
      <c r="D39" t="s">
        <v>113</v>
      </c>
      <c r="E39" t="s">
        <v>7</v>
      </c>
      <c r="F39" s="2">
        <v>45627</v>
      </c>
      <c r="G39" s="1">
        <v>45646</v>
      </c>
      <c r="H39" t="s">
        <v>159</v>
      </c>
      <c r="M39" t="s">
        <v>29</v>
      </c>
      <c r="N39" t="s">
        <v>0</v>
      </c>
      <c r="O39">
        <v>35</v>
      </c>
      <c r="P39">
        <v>95</v>
      </c>
      <c r="Q39">
        <v>0</v>
      </c>
      <c r="R3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5"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f>IF(H39&lt;&gt;"created",0,IF(COUNTIFS($C$1:C38,$C39,$H$1:H38,"created")=0,1,0))</f>
        <v>0</v>
      </c>
      <c r="U39">
        <f t="shared" si="0"/>
        <v>0</v>
      </c>
      <c r="V39">
        <f t="shared" si="1"/>
        <v>0</v>
      </c>
    </row>
    <row r="40" spans="1:22" x14ac:dyDescent="0.35">
      <c r="A40" t="s">
        <v>262</v>
      </c>
      <c r="B40" t="s">
        <v>261</v>
      </c>
      <c r="C40" t="s">
        <v>59</v>
      </c>
      <c r="D40" t="s">
        <v>58</v>
      </c>
      <c r="E40" t="s">
        <v>2</v>
      </c>
      <c r="F40" s="2">
        <v>45627</v>
      </c>
      <c r="G40" s="1">
        <v>45648</v>
      </c>
      <c r="H40" t="s">
        <v>156</v>
      </c>
      <c r="I40" t="s">
        <v>155</v>
      </c>
      <c r="J40" t="s">
        <v>154</v>
      </c>
      <c r="K40" t="s">
        <v>153</v>
      </c>
      <c r="L40" t="s">
        <v>260</v>
      </c>
      <c r="M40" t="s">
        <v>29</v>
      </c>
      <c r="N40" t="s">
        <v>0</v>
      </c>
      <c r="O40">
        <v>22</v>
      </c>
      <c r="P40">
        <v>95</v>
      </c>
      <c r="Q40">
        <v>0</v>
      </c>
      <c r="R40"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5"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f>IF(H40&lt;&gt;"created",0,IF(COUNTIFS($C$1:C39,$C40,$H$1:H39,"created")=0,1,0))</f>
        <v>0</v>
      </c>
      <c r="U40">
        <f t="shared" si="0"/>
        <v>0</v>
      </c>
      <c r="V40">
        <f t="shared" si="1"/>
        <v>0</v>
      </c>
    </row>
    <row r="41" spans="1:22" x14ac:dyDescent="0.35">
      <c r="A41" t="s">
        <v>259</v>
      </c>
      <c r="B41" t="s">
        <v>38</v>
      </c>
      <c r="C41" t="s">
        <v>37</v>
      </c>
      <c r="D41" t="s">
        <v>36</v>
      </c>
      <c r="E41" t="s">
        <v>2</v>
      </c>
      <c r="F41" s="2">
        <v>45627</v>
      </c>
      <c r="G41" s="1">
        <v>45649</v>
      </c>
      <c r="H41" t="s">
        <v>159</v>
      </c>
      <c r="M41" t="s">
        <v>29</v>
      </c>
      <c r="N41" t="s">
        <v>0</v>
      </c>
      <c r="O41">
        <v>16</v>
      </c>
      <c r="P41">
        <v>95</v>
      </c>
      <c r="Q41">
        <v>0</v>
      </c>
      <c r="R41"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5"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f>IF(H41&lt;&gt;"created",0,IF(COUNTIFS($C$1:C40,$C41,$H$1:H40,"created")=0,1,0))</f>
        <v>1</v>
      </c>
      <c r="U41">
        <f t="shared" si="0"/>
        <v>0</v>
      </c>
      <c r="V41">
        <f t="shared" si="1"/>
        <v>0</v>
      </c>
    </row>
    <row r="42" spans="1:22" x14ac:dyDescent="0.35">
      <c r="A42" t="s">
        <v>258</v>
      </c>
      <c r="B42" t="s">
        <v>109</v>
      </c>
      <c r="C42" t="s">
        <v>108</v>
      </c>
      <c r="D42" t="s">
        <v>107</v>
      </c>
      <c r="E42" t="s">
        <v>7</v>
      </c>
      <c r="F42" s="2">
        <v>45658</v>
      </c>
      <c r="G42" s="1">
        <v>45663</v>
      </c>
      <c r="H42" t="s">
        <v>159</v>
      </c>
      <c r="M42" t="s">
        <v>42</v>
      </c>
      <c r="N42" t="s">
        <v>0</v>
      </c>
      <c r="O42">
        <v>28</v>
      </c>
      <c r="P42">
        <v>110</v>
      </c>
      <c r="Q42">
        <v>0</v>
      </c>
      <c r="R42"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5"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f>IF(H42&lt;&gt;"created",0,IF(COUNTIFS($C$1:C41,$C42,$H$1:H41,"created")=0,1,0))</f>
        <v>1</v>
      </c>
      <c r="U42">
        <f t="shared" si="0"/>
        <v>0</v>
      </c>
      <c r="V42">
        <f t="shared" si="1"/>
        <v>0</v>
      </c>
    </row>
    <row r="43" spans="1:22" x14ac:dyDescent="0.35">
      <c r="A43" t="s">
        <v>257</v>
      </c>
      <c r="B43" t="s">
        <v>89</v>
      </c>
      <c r="C43" t="s">
        <v>88</v>
      </c>
      <c r="D43" t="s">
        <v>87</v>
      </c>
      <c r="E43" t="s">
        <v>2</v>
      </c>
      <c r="F43" s="2">
        <v>45658</v>
      </c>
      <c r="G43" s="1">
        <v>45665</v>
      </c>
      <c r="H43" t="s">
        <v>185</v>
      </c>
      <c r="I43">
        <v>80</v>
      </c>
      <c r="J43">
        <v>85</v>
      </c>
      <c r="K43" t="s">
        <v>184</v>
      </c>
      <c r="L43" t="s">
        <v>207</v>
      </c>
      <c r="M43" t="s">
        <v>24</v>
      </c>
      <c r="N43" t="s">
        <v>0</v>
      </c>
      <c r="O43">
        <v>28</v>
      </c>
      <c r="P43">
        <v>85</v>
      </c>
      <c r="Q43">
        <v>0</v>
      </c>
      <c r="R4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5"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f>IF(H43&lt;&gt;"created",0,IF(COUNTIFS($C$1:C42,$C43,$H$1:H42,"created")=0,1,0))</f>
        <v>0</v>
      </c>
      <c r="U43">
        <f t="shared" si="0"/>
        <v>0</v>
      </c>
      <c r="V43">
        <f t="shared" si="1"/>
        <v>0</v>
      </c>
    </row>
    <row r="44" spans="1:22" x14ac:dyDescent="0.35">
      <c r="A44" t="s">
        <v>256</v>
      </c>
      <c r="B44" t="s">
        <v>255</v>
      </c>
      <c r="C44" t="s">
        <v>31</v>
      </c>
      <c r="D44" t="s">
        <v>30</v>
      </c>
      <c r="E44" t="s">
        <v>7</v>
      </c>
      <c r="F44" s="2">
        <v>45658</v>
      </c>
      <c r="G44" s="1">
        <v>45672</v>
      </c>
      <c r="H44" t="s">
        <v>156</v>
      </c>
      <c r="I44" t="s">
        <v>155</v>
      </c>
      <c r="J44" t="s">
        <v>154</v>
      </c>
      <c r="K44" t="s">
        <v>153</v>
      </c>
      <c r="L44" t="s">
        <v>161</v>
      </c>
      <c r="M44" t="s">
        <v>1</v>
      </c>
      <c r="N44" t="s">
        <v>0</v>
      </c>
      <c r="O44">
        <v>10</v>
      </c>
      <c r="P44">
        <v>45</v>
      </c>
      <c r="Q44">
        <v>0</v>
      </c>
      <c r="R44"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5"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f>IF(H44&lt;&gt;"created",0,IF(COUNTIFS($C$1:C43,$C44,$H$1:H43,"created")=0,1,0))</f>
        <v>0</v>
      </c>
      <c r="U44">
        <f t="shared" si="0"/>
        <v>1</v>
      </c>
      <c r="V44">
        <f t="shared" si="1"/>
        <v>0</v>
      </c>
    </row>
    <row r="45" spans="1:22" x14ac:dyDescent="0.35">
      <c r="A45" t="s">
        <v>254</v>
      </c>
      <c r="B45" t="s">
        <v>20</v>
      </c>
      <c r="C45" t="s">
        <v>19</v>
      </c>
      <c r="D45" t="s">
        <v>18</v>
      </c>
      <c r="E45" t="s">
        <v>16</v>
      </c>
      <c r="F45" s="2">
        <v>45658</v>
      </c>
      <c r="G45" s="1">
        <v>45677</v>
      </c>
      <c r="H45" t="s">
        <v>159</v>
      </c>
      <c r="M45" t="s">
        <v>1</v>
      </c>
      <c r="N45" t="s">
        <v>0</v>
      </c>
      <c r="O45">
        <v>15</v>
      </c>
      <c r="P45">
        <v>45</v>
      </c>
      <c r="Q45">
        <v>0</v>
      </c>
      <c r="R45"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5"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f>IF(H45&lt;&gt;"created",0,IF(COUNTIFS($C$1:C44,$C45,$H$1:H44,"created")=0,1,0))</f>
        <v>1</v>
      </c>
      <c r="U45">
        <f t="shared" si="0"/>
        <v>0</v>
      </c>
      <c r="V45">
        <f t="shared" si="1"/>
        <v>0</v>
      </c>
    </row>
    <row r="46" spans="1:22" x14ac:dyDescent="0.35">
      <c r="A46" t="s">
        <v>253</v>
      </c>
      <c r="B46" t="s">
        <v>76</v>
      </c>
      <c r="C46" t="s">
        <v>75</v>
      </c>
      <c r="D46" t="s">
        <v>74</v>
      </c>
      <c r="E46" t="s">
        <v>7</v>
      </c>
      <c r="F46" s="2">
        <v>45658</v>
      </c>
      <c r="G46" s="1">
        <v>45679</v>
      </c>
      <c r="H46" t="s">
        <v>159</v>
      </c>
      <c r="M46" t="s">
        <v>29</v>
      </c>
      <c r="N46" t="s">
        <v>73</v>
      </c>
      <c r="O46">
        <v>22</v>
      </c>
      <c r="P46">
        <v>1140</v>
      </c>
      <c r="Q46">
        <v>5</v>
      </c>
      <c r="R46"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5"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f>IF(H46&lt;&gt;"created",0,IF(COUNTIFS($C$1:C45,$C46,$H$1:H45,"created")=0,1,0))</f>
        <v>0</v>
      </c>
      <c r="U46">
        <f t="shared" si="0"/>
        <v>0</v>
      </c>
      <c r="V46">
        <f t="shared" si="1"/>
        <v>0</v>
      </c>
    </row>
    <row r="47" spans="1:22" x14ac:dyDescent="0.35">
      <c r="A47" t="s">
        <v>252</v>
      </c>
      <c r="B47" t="s">
        <v>127</v>
      </c>
      <c r="C47" t="s">
        <v>126</v>
      </c>
      <c r="D47" t="s">
        <v>125</v>
      </c>
      <c r="E47" t="s">
        <v>7</v>
      </c>
      <c r="F47" s="2">
        <v>45658</v>
      </c>
      <c r="G47" s="1">
        <v>45685</v>
      </c>
      <c r="H47" t="s">
        <v>159</v>
      </c>
      <c r="M47" t="s">
        <v>120</v>
      </c>
      <c r="N47" t="s">
        <v>0</v>
      </c>
      <c r="O47">
        <v>28</v>
      </c>
      <c r="P47">
        <v>150</v>
      </c>
      <c r="Q47">
        <v>0</v>
      </c>
      <c r="R47"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5"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f>IF(H47&lt;&gt;"created",0,IF(COUNTIFS($C$1:C46,$C47,$H$1:H46,"created")=0,1,0))</f>
        <v>0</v>
      </c>
      <c r="U47">
        <f t="shared" si="0"/>
        <v>0</v>
      </c>
      <c r="V47">
        <f t="shared" si="1"/>
        <v>0</v>
      </c>
    </row>
    <row r="48" spans="1:22" x14ac:dyDescent="0.35">
      <c r="A48" t="s">
        <v>251</v>
      </c>
      <c r="B48" t="s">
        <v>57</v>
      </c>
      <c r="C48" t="s">
        <v>56</v>
      </c>
      <c r="D48" t="s">
        <v>55</v>
      </c>
      <c r="E48" t="s">
        <v>2</v>
      </c>
      <c r="F48" s="2">
        <v>45689</v>
      </c>
      <c r="G48" s="1">
        <v>45691</v>
      </c>
      <c r="H48" t="s">
        <v>159</v>
      </c>
      <c r="M48" t="s">
        <v>24</v>
      </c>
      <c r="N48" t="s">
        <v>0</v>
      </c>
      <c r="O48">
        <v>22</v>
      </c>
      <c r="P48">
        <v>85</v>
      </c>
      <c r="Q48">
        <v>0</v>
      </c>
      <c r="R48"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5"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f>IF(H48&lt;&gt;"created",0,IF(COUNTIFS($C$1:C47,$C48,$H$1:H47,"created")=0,1,0))</f>
        <v>1</v>
      </c>
      <c r="U48">
        <f t="shared" si="0"/>
        <v>0</v>
      </c>
      <c r="V48">
        <f t="shared" si="1"/>
        <v>0</v>
      </c>
    </row>
    <row r="49" spans="1:22" x14ac:dyDescent="0.35">
      <c r="A49" t="s">
        <v>250</v>
      </c>
      <c r="B49" t="s">
        <v>28</v>
      </c>
      <c r="C49" t="s">
        <v>14</v>
      </c>
      <c r="D49" t="s">
        <v>13</v>
      </c>
      <c r="E49" t="s">
        <v>2</v>
      </c>
      <c r="F49" s="2">
        <v>45689</v>
      </c>
      <c r="G49" s="1">
        <v>45696</v>
      </c>
      <c r="H49" t="s">
        <v>159</v>
      </c>
      <c r="M49" t="s">
        <v>24</v>
      </c>
      <c r="N49" t="s">
        <v>0</v>
      </c>
      <c r="O49">
        <v>13</v>
      </c>
      <c r="P49">
        <v>85</v>
      </c>
      <c r="Q49">
        <v>0</v>
      </c>
      <c r="R4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5"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f>IF(H49&lt;&gt;"created",0,IF(COUNTIFS($C$1:C48,$C49,$H$1:H48,"created")=0,1,0))</f>
        <v>0</v>
      </c>
      <c r="U49">
        <f t="shared" si="0"/>
        <v>0</v>
      </c>
      <c r="V49">
        <f t="shared" si="1"/>
        <v>0</v>
      </c>
    </row>
    <row r="50" spans="1:22" x14ac:dyDescent="0.35">
      <c r="A50" t="s">
        <v>249</v>
      </c>
      <c r="B50" t="s">
        <v>93</v>
      </c>
      <c r="C50" t="s">
        <v>88</v>
      </c>
      <c r="D50" t="s">
        <v>87</v>
      </c>
      <c r="E50" t="s">
        <v>2</v>
      </c>
      <c r="F50" s="2">
        <v>45689</v>
      </c>
      <c r="G50" s="1">
        <v>45698</v>
      </c>
      <c r="H50" t="s">
        <v>159</v>
      </c>
      <c r="M50" t="s">
        <v>42</v>
      </c>
      <c r="N50" t="s">
        <v>0</v>
      </c>
      <c r="O50">
        <v>23</v>
      </c>
      <c r="P50">
        <v>110</v>
      </c>
      <c r="Q50">
        <v>0</v>
      </c>
      <c r="R50"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5"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f>IF(H50&lt;&gt;"created",0,IF(COUNTIFS($C$1:C49,$C50,$H$1:H49,"created")=0,1,0))</f>
        <v>0</v>
      </c>
      <c r="U50">
        <f t="shared" si="0"/>
        <v>0</v>
      </c>
      <c r="V50">
        <f t="shared" si="1"/>
        <v>0</v>
      </c>
    </row>
    <row r="51" spans="1:22" x14ac:dyDescent="0.35">
      <c r="A51" t="s">
        <v>248</v>
      </c>
      <c r="B51" t="s">
        <v>63</v>
      </c>
      <c r="C51" t="s">
        <v>62</v>
      </c>
      <c r="D51" t="s">
        <v>61</v>
      </c>
      <c r="E51" t="s">
        <v>7</v>
      </c>
      <c r="F51" s="2">
        <v>45689</v>
      </c>
      <c r="G51" s="1">
        <v>45705</v>
      </c>
      <c r="H51" t="s">
        <v>159</v>
      </c>
      <c r="M51" t="s">
        <v>29</v>
      </c>
      <c r="N51" t="s">
        <v>0</v>
      </c>
      <c r="O51">
        <v>20</v>
      </c>
      <c r="P51">
        <v>95</v>
      </c>
      <c r="Q51">
        <v>0</v>
      </c>
      <c r="R51"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5"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f>IF(H51&lt;&gt;"created",0,IF(COUNTIFS($C$1:C50,$C51,$H$1:H50,"created")=0,1,0))</f>
        <v>1</v>
      </c>
      <c r="U51">
        <f t="shared" si="0"/>
        <v>0</v>
      </c>
      <c r="V51">
        <f t="shared" si="1"/>
        <v>0</v>
      </c>
    </row>
    <row r="52" spans="1:22" x14ac:dyDescent="0.35">
      <c r="A52" t="s">
        <v>247</v>
      </c>
      <c r="B52" t="s">
        <v>142</v>
      </c>
      <c r="C52" t="s">
        <v>141</v>
      </c>
      <c r="D52" t="s">
        <v>140</v>
      </c>
      <c r="E52" t="s">
        <v>2</v>
      </c>
      <c r="F52" s="2">
        <v>45717</v>
      </c>
      <c r="G52" s="1">
        <v>45719</v>
      </c>
      <c r="H52" t="s">
        <v>159</v>
      </c>
      <c r="M52" t="s">
        <v>120</v>
      </c>
      <c r="N52" t="s">
        <v>73</v>
      </c>
      <c r="O52">
        <v>45</v>
      </c>
      <c r="P52">
        <v>1800</v>
      </c>
      <c r="Q52">
        <v>0</v>
      </c>
      <c r="R52"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5"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f>IF(H52&lt;&gt;"created",0,IF(COUNTIFS($C$1:C51,$C52,$H$1:H51,"created")=0,1,0))</f>
        <v>1</v>
      </c>
      <c r="U52">
        <f t="shared" si="0"/>
        <v>0</v>
      </c>
      <c r="V52">
        <f t="shared" si="1"/>
        <v>0</v>
      </c>
    </row>
    <row r="53" spans="1:22" x14ac:dyDescent="0.35">
      <c r="A53" t="s">
        <v>246</v>
      </c>
      <c r="B53" t="s">
        <v>103</v>
      </c>
      <c r="C53" t="s">
        <v>95</v>
      </c>
      <c r="D53" t="s">
        <v>94</v>
      </c>
      <c r="E53" t="s">
        <v>7</v>
      </c>
      <c r="F53" s="2">
        <v>45717</v>
      </c>
      <c r="G53" s="1">
        <v>45724</v>
      </c>
      <c r="H53" t="s">
        <v>159</v>
      </c>
      <c r="M53" t="s">
        <v>42</v>
      </c>
      <c r="N53" t="s">
        <v>0</v>
      </c>
      <c r="O53">
        <v>26</v>
      </c>
      <c r="P53">
        <v>110</v>
      </c>
      <c r="Q53">
        <v>0</v>
      </c>
      <c r="R5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5"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f>IF(H53&lt;&gt;"created",0,IF(COUNTIFS($C$1:C52,$C53,$H$1:H52,"created")=0,1,0))</f>
        <v>0</v>
      </c>
      <c r="U53">
        <f t="shared" si="0"/>
        <v>0</v>
      </c>
      <c r="V53">
        <f t="shared" si="1"/>
        <v>0</v>
      </c>
    </row>
    <row r="54" spans="1:22" x14ac:dyDescent="0.35">
      <c r="A54" t="s">
        <v>245</v>
      </c>
      <c r="B54" t="s">
        <v>15</v>
      </c>
      <c r="C54" t="s">
        <v>14</v>
      </c>
      <c r="D54" t="s">
        <v>13</v>
      </c>
      <c r="E54" t="s">
        <v>2</v>
      </c>
      <c r="F54" s="2">
        <v>45717</v>
      </c>
      <c r="G54" s="1">
        <v>45729</v>
      </c>
      <c r="H54" t="s">
        <v>196</v>
      </c>
      <c r="I54" t="s">
        <v>29</v>
      </c>
      <c r="J54" t="s">
        <v>1</v>
      </c>
      <c r="K54" t="s">
        <v>146</v>
      </c>
      <c r="L54" t="s">
        <v>244</v>
      </c>
      <c r="M54" t="s">
        <v>1</v>
      </c>
      <c r="N54" t="s">
        <v>0</v>
      </c>
      <c r="O54">
        <v>13</v>
      </c>
      <c r="P54">
        <v>45</v>
      </c>
      <c r="Q54">
        <v>0</v>
      </c>
      <c r="R54"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5"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f>IF(H54&lt;&gt;"created",0,IF(COUNTIFS($C$1:C53,$C54,$H$1:H53,"created")=0,1,0))</f>
        <v>0</v>
      </c>
      <c r="U54">
        <f t="shared" si="0"/>
        <v>0</v>
      </c>
      <c r="V54">
        <f t="shared" si="1"/>
        <v>0</v>
      </c>
    </row>
    <row r="55" spans="1:22" x14ac:dyDescent="0.35">
      <c r="A55" t="s">
        <v>243</v>
      </c>
      <c r="B55" t="s">
        <v>106</v>
      </c>
      <c r="C55" t="s">
        <v>105</v>
      </c>
      <c r="D55" t="s">
        <v>104</v>
      </c>
      <c r="E55" t="s">
        <v>7</v>
      </c>
      <c r="F55" s="2">
        <v>45717</v>
      </c>
      <c r="G55" s="1">
        <v>45731</v>
      </c>
      <c r="H55" t="s">
        <v>159</v>
      </c>
      <c r="M55" t="s">
        <v>24</v>
      </c>
      <c r="N55" t="s">
        <v>0</v>
      </c>
      <c r="O55">
        <v>35</v>
      </c>
      <c r="P55">
        <v>85</v>
      </c>
      <c r="Q55">
        <v>0</v>
      </c>
      <c r="R55"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5"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f>IF(H55&lt;&gt;"created",0,IF(COUNTIFS($C$1:C54,$C55,$H$1:H54,"created")=0,1,0))</f>
        <v>0</v>
      </c>
      <c r="U55">
        <f t="shared" si="0"/>
        <v>0</v>
      </c>
      <c r="V55">
        <f t="shared" si="1"/>
        <v>0</v>
      </c>
    </row>
    <row r="56" spans="1:22" x14ac:dyDescent="0.35">
      <c r="A56" t="s">
        <v>242</v>
      </c>
      <c r="B56" t="s">
        <v>76</v>
      </c>
      <c r="C56" t="s">
        <v>75</v>
      </c>
      <c r="D56" t="s">
        <v>74</v>
      </c>
      <c r="E56" t="s">
        <v>7</v>
      </c>
      <c r="F56" s="2">
        <v>45717</v>
      </c>
      <c r="G56" s="1">
        <v>45731</v>
      </c>
      <c r="H56" t="s">
        <v>166</v>
      </c>
      <c r="I56">
        <v>0</v>
      </c>
      <c r="J56">
        <v>5</v>
      </c>
      <c r="K56" t="s">
        <v>165</v>
      </c>
      <c r="L56" t="s">
        <v>241</v>
      </c>
      <c r="M56" t="s">
        <v>29</v>
      </c>
      <c r="N56" t="s">
        <v>73</v>
      </c>
      <c r="O56">
        <v>22</v>
      </c>
      <c r="P56">
        <v>1140</v>
      </c>
      <c r="Q56">
        <v>5</v>
      </c>
      <c r="R56"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5"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f>IF(H56&lt;&gt;"created",0,IF(COUNTIFS($C$1:C55,$C56,$H$1:H55,"created")=0,1,0))</f>
        <v>0</v>
      </c>
      <c r="U56">
        <f t="shared" si="0"/>
        <v>0</v>
      </c>
      <c r="V56">
        <f t="shared" si="1"/>
        <v>0</v>
      </c>
    </row>
    <row r="57" spans="1:22" x14ac:dyDescent="0.35">
      <c r="A57" t="s">
        <v>240</v>
      </c>
      <c r="B57" t="s">
        <v>130</v>
      </c>
      <c r="C57" t="s">
        <v>129</v>
      </c>
      <c r="D57" t="s">
        <v>128</v>
      </c>
      <c r="E57" t="s">
        <v>7</v>
      </c>
      <c r="F57" s="2">
        <v>45717</v>
      </c>
      <c r="G57" s="1">
        <v>45733</v>
      </c>
      <c r="H57" t="s">
        <v>159</v>
      </c>
      <c r="M57" t="s">
        <v>116</v>
      </c>
      <c r="N57" t="s">
        <v>0</v>
      </c>
      <c r="O57">
        <v>26</v>
      </c>
      <c r="P57">
        <v>180</v>
      </c>
      <c r="Q57">
        <v>0</v>
      </c>
      <c r="R57"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5"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f>IF(H57&lt;&gt;"created",0,IF(COUNTIFS($C$1:C56,$C57,$H$1:H56,"created")=0,1,0))</f>
        <v>1</v>
      </c>
      <c r="U57">
        <f t="shared" si="0"/>
        <v>0</v>
      </c>
      <c r="V57">
        <f t="shared" si="1"/>
        <v>0</v>
      </c>
    </row>
    <row r="58" spans="1:22" x14ac:dyDescent="0.35">
      <c r="A58" t="s">
        <v>239</v>
      </c>
      <c r="B58" t="s">
        <v>41</v>
      </c>
      <c r="C58" t="s">
        <v>40</v>
      </c>
      <c r="D58" t="s">
        <v>39</v>
      </c>
      <c r="E58" t="s">
        <v>16</v>
      </c>
      <c r="F58" s="2">
        <v>45717</v>
      </c>
      <c r="G58" s="1">
        <v>45736</v>
      </c>
      <c r="H58" t="s">
        <v>170</v>
      </c>
      <c r="I58">
        <v>22</v>
      </c>
      <c r="J58">
        <v>19</v>
      </c>
      <c r="K58" t="s">
        <v>169</v>
      </c>
      <c r="L58" t="s">
        <v>238</v>
      </c>
      <c r="M58" t="s">
        <v>24</v>
      </c>
      <c r="N58" t="s">
        <v>0</v>
      </c>
      <c r="O58">
        <v>19</v>
      </c>
      <c r="P58">
        <v>85</v>
      </c>
      <c r="Q58">
        <v>0</v>
      </c>
      <c r="R58"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5"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f>IF(H58&lt;&gt;"created",0,IF(COUNTIFS($C$1:C57,$C58,$H$1:H57,"created")=0,1,0))</f>
        <v>0</v>
      </c>
      <c r="U58">
        <f t="shared" si="0"/>
        <v>0</v>
      </c>
      <c r="V58">
        <f t="shared" si="1"/>
        <v>0</v>
      </c>
    </row>
    <row r="59" spans="1:22" x14ac:dyDescent="0.35">
      <c r="A59" t="s">
        <v>237</v>
      </c>
      <c r="B59" t="s">
        <v>80</v>
      </c>
      <c r="C59" t="s">
        <v>79</v>
      </c>
      <c r="D59" t="s">
        <v>78</v>
      </c>
      <c r="E59" t="s">
        <v>2</v>
      </c>
      <c r="F59" s="2">
        <v>45717</v>
      </c>
      <c r="G59" s="1">
        <v>45747</v>
      </c>
      <c r="H59" t="s">
        <v>159</v>
      </c>
      <c r="M59" t="s">
        <v>24</v>
      </c>
      <c r="N59" t="s">
        <v>0</v>
      </c>
      <c r="O59">
        <v>25</v>
      </c>
      <c r="P59">
        <v>85</v>
      </c>
      <c r="Q59">
        <v>0</v>
      </c>
      <c r="R5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5"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f>IF(H59&lt;&gt;"created",0,IF(COUNTIFS($C$1:C58,$C59,$H$1:H58,"created")=0,1,0))</f>
        <v>1</v>
      </c>
      <c r="U59">
        <f t="shared" si="0"/>
        <v>0</v>
      </c>
      <c r="V59">
        <f t="shared" si="1"/>
        <v>0</v>
      </c>
    </row>
    <row r="60" spans="1:22" x14ac:dyDescent="0.35">
      <c r="A60" t="s">
        <v>236</v>
      </c>
      <c r="B60" t="s">
        <v>109</v>
      </c>
      <c r="C60" t="s">
        <v>108</v>
      </c>
      <c r="D60" t="s">
        <v>107</v>
      </c>
      <c r="E60" t="s">
        <v>7</v>
      </c>
      <c r="F60" s="2">
        <v>45748</v>
      </c>
      <c r="G60" s="1">
        <v>45753</v>
      </c>
      <c r="H60" t="s">
        <v>185</v>
      </c>
      <c r="I60">
        <v>100</v>
      </c>
      <c r="J60">
        <v>110</v>
      </c>
      <c r="K60" t="s">
        <v>184</v>
      </c>
      <c r="L60" t="s">
        <v>207</v>
      </c>
      <c r="M60" t="s">
        <v>42</v>
      </c>
      <c r="N60" t="s">
        <v>0</v>
      </c>
      <c r="O60">
        <v>28</v>
      </c>
      <c r="P60">
        <v>110</v>
      </c>
      <c r="Q60">
        <v>0</v>
      </c>
      <c r="R60"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5"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f>IF(H60&lt;&gt;"created",0,IF(COUNTIFS($C$1:C59,$C60,$H$1:H59,"created")=0,1,0))</f>
        <v>0</v>
      </c>
      <c r="U60">
        <f t="shared" si="0"/>
        <v>0</v>
      </c>
      <c r="V60">
        <f t="shared" si="1"/>
        <v>0</v>
      </c>
    </row>
    <row r="61" spans="1:22" x14ac:dyDescent="0.35">
      <c r="A61" t="s">
        <v>235</v>
      </c>
      <c r="B61" t="s">
        <v>23</v>
      </c>
      <c r="C61" t="s">
        <v>22</v>
      </c>
      <c r="D61" t="s">
        <v>21</v>
      </c>
      <c r="E61" t="s">
        <v>2</v>
      </c>
      <c r="F61" s="2">
        <v>45748</v>
      </c>
      <c r="G61" s="1">
        <v>45761</v>
      </c>
      <c r="H61" t="s">
        <v>159</v>
      </c>
      <c r="M61" t="s">
        <v>1</v>
      </c>
      <c r="N61" t="s">
        <v>0</v>
      </c>
      <c r="O61">
        <v>16</v>
      </c>
      <c r="P61">
        <v>45</v>
      </c>
      <c r="Q61">
        <v>0</v>
      </c>
      <c r="R61"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5"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f>IF(H61&lt;&gt;"created",0,IF(COUNTIFS($C$1:C60,$C61,$H$1:H60,"created")=0,1,0))</f>
        <v>1</v>
      </c>
      <c r="U61">
        <f t="shared" si="0"/>
        <v>0</v>
      </c>
      <c r="V61">
        <f t="shared" si="1"/>
        <v>0</v>
      </c>
    </row>
    <row r="62" spans="1:22" x14ac:dyDescent="0.35">
      <c r="A62" t="s">
        <v>234</v>
      </c>
      <c r="B62" t="s">
        <v>83</v>
      </c>
      <c r="C62" t="s">
        <v>82</v>
      </c>
      <c r="D62" t="s">
        <v>81</v>
      </c>
      <c r="E62" t="s">
        <v>2</v>
      </c>
      <c r="F62" s="2">
        <v>45748</v>
      </c>
      <c r="G62" s="1">
        <v>45762</v>
      </c>
      <c r="H62" t="s">
        <v>170</v>
      </c>
      <c r="I62">
        <v>18</v>
      </c>
      <c r="J62">
        <v>23</v>
      </c>
      <c r="K62" t="s">
        <v>169</v>
      </c>
      <c r="L62" t="s">
        <v>233</v>
      </c>
      <c r="M62" t="s">
        <v>29</v>
      </c>
      <c r="N62" t="s">
        <v>0</v>
      </c>
      <c r="O62">
        <v>23</v>
      </c>
      <c r="P62">
        <v>95</v>
      </c>
      <c r="Q62">
        <v>0</v>
      </c>
      <c r="R62"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5"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f>IF(H62&lt;&gt;"created",0,IF(COUNTIFS($C$1:C61,$C62,$H$1:H61,"created")=0,1,0))</f>
        <v>0</v>
      </c>
      <c r="U62">
        <f t="shared" si="0"/>
        <v>0</v>
      </c>
      <c r="V62">
        <f t="shared" si="1"/>
        <v>0</v>
      </c>
    </row>
    <row r="63" spans="1:22" x14ac:dyDescent="0.35">
      <c r="A63" t="s">
        <v>232</v>
      </c>
      <c r="B63" t="s">
        <v>102</v>
      </c>
      <c r="C63" t="s">
        <v>101</v>
      </c>
      <c r="D63" t="s">
        <v>100</v>
      </c>
      <c r="E63" t="s">
        <v>2</v>
      </c>
      <c r="F63" s="2">
        <v>45748</v>
      </c>
      <c r="G63" s="1">
        <v>45765</v>
      </c>
      <c r="H63" t="s">
        <v>159</v>
      </c>
      <c r="M63" t="s">
        <v>42</v>
      </c>
      <c r="N63" t="s">
        <v>0</v>
      </c>
      <c r="O63">
        <v>26</v>
      </c>
      <c r="P63">
        <v>110</v>
      </c>
      <c r="Q63">
        <v>0</v>
      </c>
      <c r="R6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5"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f>IF(H63&lt;&gt;"created",0,IF(COUNTIFS($C$1:C62,$C63,$H$1:H62,"created")=0,1,0))</f>
        <v>0</v>
      </c>
      <c r="U63">
        <f t="shared" si="0"/>
        <v>0</v>
      </c>
      <c r="V63">
        <f t="shared" si="1"/>
        <v>0</v>
      </c>
    </row>
    <row r="64" spans="1:22" x14ac:dyDescent="0.35">
      <c r="A64" t="s">
        <v>231</v>
      </c>
      <c r="B64" t="s">
        <v>86</v>
      </c>
      <c r="C64" t="s">
        <v>85</v>
      </c>
      <c r="D64" t="s">
        <v>84</v>
      </c>
      <c r="E64" t="s">
        <v>7</v>
      </c>
      <c r="F64" s="2">
        <v>45748</v>
      </c>
      <c r="G64" s="1">
        <v>45775</v>
      </c>
      <c r="H64" t="s">
        <v>159</v>
      </c>
      <c r="M64" t="s">
        <v>42</v>
      </c>
      <c r="N64" t="s">
        <v>0</v>
      </c>
      <c r="O64">
        <v>20</v>
      </c>
      <c r="P64">
        <v>110</v>
      </c>
      <c r="Q64">
        <v>0</v>
      </c>
      <c r="R64"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5"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f>IF(H64&lt;&gt;"created",0,IF(COUNTIFS($C$1:C63,$C64,$H$1:H63,"created")=0,1,0))</f>
        <v>1</v>
      </c>
      <c r="U64">
        <f t="shared" si="0"/>
        <v>0</v>
      </c>
      <c r="V64">
        <f t="shared" si="1"/>
        <v>0</v>
      </c>
    </row>
    <row r="65" spans="1:22" x14ac:dyDescent="0.35">
      <c r="A65" t="s">
        <v>230</v>
      </c>
      <c r="B65" t="s">
        <v>69</v>
      </c>
      <c r="C65" t="s">
        <v>68</v>
      </c>
      <c r="D65" t="s">
        <v>67</v>
      </c>
      <c r="E65" t="s">
        <v>7</v>
      </c>
      <c r="F65" s="2">
        <v>45778</v>
      </c>
      <c r="G65" s="1">
        <v>45787</v>
      </c>
      <c r="H65" t="s">
        <v>170</v>
      </c>
      <c r="I65">
        <v>15</v>
      </c>
      <c r="J65">
        <v>18</v>
      </c>
      <c r="K65" t="s">
        <v>169</v>
      </c>
      <c r="L65" t="s">
        <v>229</v>
      </c>
      <c r="M65" t="s">
        <v>42</v>
      </c>
      <c r="N65" t="s">
        <v>0</v>
      </c>
      <c r="O65">
        <v>18</v>
      </c>
      <c r="P65">
        <v>110</v>
      </c>
      <c r="Q65">
        <v>0</v>
      </c>
      <c r="R65"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5"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f>IF(H65&lt;&gt;"created",0,IF(COUNTIFS($C$1:C64,$C65,$H$1:H64,"created")=0,1,0))</f>
        <v>0</v>
      </c>
      <c r="U65">
        <f t="shared" si="0"/>
        <v>0</v>
      </c>
      <c r="V65">
        <f t="shared" si="1"/>
        <v>0</v>
      </c>
    </row>
    <row r="66" spans="1:22" x14ac:dyDescent="0.35">
      <c r="A66" t="s">
        <v>228</v>
      </c>
      <c r="B66" t="s">
        <v>48</v>
      </c>
      <c r="C66" t="s">
        <v>47</v>
      </c>
      <c r="D66" t="s">
        <v>46</v>
      </c>
      <c r="E66" t="s">
        <v>16</v>
      </c>
      <c r="F66" s="2">
        <v>45778</v>
      </c>
      <c r="G66" s="1">
        <v>45789</v>
      </c>
      <c r="H66" t="s">
        <v>159</v>
      </c>
      <c r="M66" t="s">
        <v>29</v>
      </c>
      <c r="N66" t="s">
        <v>0</v>
      </c>
      <c r="O66">
        <v>18</v>
      </c>
      <c r="P66">
        <v>95</v>
      </c>
      <c r="Q66">
        <v>0</v>
      </c>
      <c r="R66"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5"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f>IF(H66&lt;&gt;"created",0,IF(COUNTIFS($C$1:C65,$C66,$H$1:H65,"created")=0,1,0))</f>
        <v>1</v>
      </c>
      <c r="U66">
        <f t="shared" si="0"/>
        <v>0</v>
      </c>
      <c r="V66">
        <f t="shared" si="1"/>
        <v>0</v>
      </c>
    </row>
    <row r="67" spans="1:22" x14ac:dyDescent="0.35">
      <c r="A67" t="s">
        <v>227</v>
      </c>
      <c r="B67" t="s">
        <v>32</v>
      </c>
      <c r="C67" t="s">
        <v>31</v>
      </c>
      <c r="D67" t="s">
        <v>30</v>
      </c>
      <c r="E67" t="s">
        <v>7</v>
      </c>
      <c r="F67" s="2">
        <v>45778</v>
      </c>
      <c r="G67" s="1">
        <v>45797</v>
      </c>
      <c r="H67" t="s">
        <v>159</v>
      </c>
      <c r="L67" t="s">
        <v>179</v>
      </c>
      <c r="M67" t="s">
        <v>29</v>
      </c>
      <c r="N67" t="s">
        <v>0</v>
      </c>
      <c r="O67">
        <v>12</v>
      </c>
      <c r="P67">
        <v>95</v>
      </c>
      <c r="Q67">
        <v>0</v>
      </c>
      <c r="R67"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5"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f>IF(H67&lt;&gt;"created",0,IF(COUNTIFS($C$1:C66,$C67,$H$1:H66,"created")=0,1,0))</f>
        <v>0</v>
      </c>
      <c r="U67">
        <f t="shared" ref="U67:U98" si="2">IF(H67&lt;&gt;"cancelled",0,IF(COUNTIFS($C$2:$C$98,$C67,$H$2:$H$98,"created",$F$2:$F$98,"&lt;="&amp;F67)-COUNTIFS($C$2:$C$98,$C67,$H$2:$H$98,"cancelled",$F$2:$F$98,"&lt;="&amp;F67)=0,1,0))</f>
        <v>0</v>
      </c>
      <c r="V67">
        <f t="shared" ref="V67:V98" si="3">IF(AND(H67="created",T67=0,COUNTIFS($C$2:$C$98,$C67,$H$2:$H$98,"cancelled",$F$2:$F$98,"&lt;"&amp;F67)&gt;0,COUNTIFS($C$2:$C$98,$C67,$H$2:$H$98,"created",$F$2:$F$98,"&lt;"&amp;F67)-COUNTIFS($C$2:$C$98,$C67,$H$2:$H$98,"cancelled",$F$2:$F$98,"&lt;"&amp;F67)=0),1,0)</f>
        <v>1</v>
      </c>
    </row>
    <row r="68" spans="1:22" x14ac:dyDescent="0.35">
      <c r="A68" t="s">
        <v>226</v>
      </c>
      <c r="B68" t="s">
        <v>124</v>
      </c>
      <c r="C68" t="s">
        <v>123</v>
      </c>
      <c r="D68" t="s">
        <v>122</v>
      </c>
      <c r="E68" t="s">
        <v>2</v>
      </c>
      <c r="F68" s="2">
        <v>45778</v>
      </c>
      <c r="G68" s="1">
        <v>45799</v>
      </c>
      <c r="H68" t="s">
        <v>159</v>
      </c>
      <c r="M68" t="s">
        <v>42</v>
      </c>
      <c r="N68" t="s">
        <v>0</v>
      </c>
      <c r="O68">
        <v>36</v>
      </c>
      <c r="P68">
        <v>110</v>
      </c>
      <c r="Q68">
        <v>0</v>
      </c>
      <c r="R68"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5"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f>IF(H68&lt;&gt;"created",0,IF(COUNTIFS($C$1:C67,$C68,$H$1:H67,"created")=0,1,0))</f>
        <v>0</v>
      </c>
      <c r="U68">
        <f t="shared" si="2"/>
        <v>0</v>
      </c>
      <c r="V68">
        <f t="shared" si="3"/>
        <v>0</v>
      </c>
    </row>
    <row r="69" spans="1:22" x14ac:dyDescent="0.35">
      <c r="A69" t="s">
        <v>225</v>
      </c>
      <c r="B69" t="s">
        <v>224</v>
      </c>
      <c r="C69" t="s">
        <v>126</v>
      </c>
      <c r="D69" t="s">
        <v>125</v>
      </c>
      <c r="E69" t="s">
        <v>7</v>
      </c>
      <c r="F69" s="2">
        <v>45778</v>
      </c>
      <c r="G69" s="1">
        <v>45803</v>
      </c>
      <c r="H69" t="s">
        <v>156</v>
      </c>
      <c r="I69" t="s">
        <v>155</v>
      </c>
      <c r="J69" t="s">
        <v>154</v>
      </c>
      <c r="K69" t="s">
        <v>153</v>
      </c>
      <c r="L69" t="s">
        <v>223</v>
      </c>
      <c r="M69" t="s">
        <v>29</v>
      </c>
      <c r="N69" t="s">
        <v>0</v>
      </c>
      <c r="O69">
        <v>25</v>
      </c>
      <c r="P69">
        <v>95</v>
      </c>
      <c r="Q69">
        <v>0</v>
      </c>
      <c r="R6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5"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f>IF(H69&lt;&gt;"created",0,IF(COUNTIFS($C$1:C68,$C69,$H$1:H68,"created")=0,1,0))</f>
        <v>0</v>
      </c>
      <c r="U69">
        <f t="shared" si="2"/>
        <v>0</v>
      </c>
      <c r="V69">
        <f t="shared" si="3"/>
        <v>0</v>
      </c>
    </row>
    <row r="70" spans="1:22" x14ac:dyDescent="0.35">
      <c r="A70" t="s">
        <v>222</v>
      </c>
      <c r="B70" t="s">
        <v>134</v>
      </c>
      <c r="C70" t="s">
        <v>133</v>
      </c>
      <c r="D70" t="s">
        <v>132</v>
      </c>
      <c r="E70" t="s">
        <v>2</v>
      </c>
      <c r="F70" s="2">
        <v>45778</v>
      </c>
      <c r="G70" s="1">
        <v>45803</v>
      </c>
      <c r="H70" t="s">
        <v>159</v>
      </c>
      <c r="M70" t="s">
        <v>120</v>
      </c>
      <c r="N70" t="s">
        <v>0</v>
      </c>
      <c r="O70">
        <v>35</v>
      </c>
      <c r="P70">
        <v>150</v>
      </c>
      <c r="Q70">
        <v>0</v>
      </c>
      <c r="R70"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5"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f>IF(H70&lt;&gt;"created",0,IF(COUNTIFS($C$1:C69,$C70,$H$1:H69,"created")=0,1,0))</f>
        <v>1</v>
      </c>
      <c r="U70">
        <f t="shared" si="2"/>
        <v>0</v>
      </c>
      <c r="V70">
        <f t="shared" si="3"/>
        <v>0</v>
      </c>
    </row>
    <row r="71" spans="1:22" x14ac:dyDescent="0.35">
      <c r="A71" t="s">
        <v>221</v>
      </c>
      <c r="B71" t="s">
        <v>139</v>
      </c>
      <c r="C71" t="s">
        <v>105</v>
      </c>
      <c r="D71" t="s">
        <v>104</v>
      </c>
      <c r="E71" t="s">
        <v>7</v>
      </c>
      <c r="F71" s="2">
        <v>45809</v>
      </c>
      <c r="G71" s="1">
        <v>45809</v>
      </c>
      <c r="H71" t="s">
        <v>170</v>
      </c>
      <c r="I71">
        <v>30</v>
      </c>
      <c r="J71">
        <v>35</v>
      </c>
      <c r="K71" t="s">
        <v>169</v>
      </c>
      <c r="L71" t="s">
        <v>220</v>
      </c>
      <c r="M71" t="s">
        <v>116</v>
      </c>
      <c r="N71" t="s">
        <v>0</v>
      </c>
      <c r="O71">
        <v>35</v>
      </c>
      <c r="P71">
        <v>180</v>
      </c>
      <c r="Q71">
        <v>0</v>
      </c>
      <c r="R71"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5"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f>IF(H71&lt;&gt;"created",0,IF(COUNTIFS($C$1:C70,$C71,$H$1:H70,"created")=0,1,0))</f>
        <v>0</v>
      </c>
      <c r="U71">
        <f t="shared" si="2"/>
        <v>0</v>
      </c>
      <c r="V71">
        <f t="shared" si="3"/>
        <v>0</v>
      </c>
    </row>
    <row r="72" spans="1:22" x14ac:dyDescent="0.35">
      <c r="A72" t="s">
        <v>219</v>
      </c>
      <c r="B72" t="s">
        <v>137</v>
      </c>
      <c r="C72" t="s">
        <v>108</v>
      </c>
      <c r="D72" t="s">
        <v>107</v>
      </c>
      <c r="E72" t="s">
        <v>7</v>
      </c>
      <c r="F72" s="2">
        <v>45809</v>
      </c>
      <c r="G72" s="1">
        <v>45813</v>
      </c>
      <c r="H72" t="s">
        <v>159</v>
      </c>
      <c r="M72" t="s">
        <v>116</v>
      </c>
      <c r="N72" t="s">
        <v>0</v>
      </c>
      <c r="O72">
        <v>31</v>
      </c>
      <c r="P72">
        <v>180</v>
      </c>
      <c r="Q72">
        <v>0</v>
      </c>
      <c r="R72"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5"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f>IF(H72&lt;&gt;"created",0,IF(COUNTIFS($C$1:C71,$C72,$H$1:H71,"created")=0,1,0))</f>
        <v>0</v>
      </c>
      <c r="U72">
        <f t="shared" si="2"/>
        <v>0</v>
      </c>
      <c r="V72">
        <f t="shared" si="3"/>
        <v>0</v>
      </c>
    </row>
    <row r="73" spans="1:22" x14ac:dyDescent="0.35">
      <c r="A73" t="s">
        <v>218</v>
      </c>
      <c r="B73" t="s">
        <v>11</v>
      </c>
      <c r="C73" t="s">
        <v>10</v>
      </c>
      <c r="D73" t="s">
        <v>9</v>
      </c>
      <c r="E73" t="s">
        <v>7</v>
      </c>
      <c r="F73" s="2">
        <v>45809</v>
      </c>
      <c r="G73" s="1">
        <v>45817</v>
      </c>
      <c r="H73" t="s">
        <v>159</v>
      </c>
      <c r="M73" t="s">
        <v>1</v>
      </c>
      <c r="N73" t="s">
        <v>0</v>
      </c>
      <c r="O73">
        <v>13</v>
      </c>
      <c r="P73">
        <v>45</v>
      </c>
      <c r="Q73">
        <v>0</v>
      </c>
      <c r="R7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5"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f>IF(H73&lt;&gt;"created",0,IF(COUNTIFS($C$1:C72,$C73,$H$1:H72,"created")=0,1,0))</f>
        <v>1</v>
      </c>
      <c r="U73">
        <f t="shared" si="2"/>
        <v>0</v>
      </c>
      <c r="V73">
        <f t="shared" si="3"/>
        <v>0</v>
      </c>
    </row>
    <row r="74" spans="1:22" x14ac:dyDescent="0.35">
      <c r="A74" t="s">
        <v>217</v>
      </c>
      <c r="B74" t="s">
        <v>216</v>
      </c>
      <c r="C74" t="s">
        <v>82</v>
      </c>
      <c r="D74" t="s">
        <v>81</v>
      </c>
      <c r="E74" t="s">
        <v>2</v>
      </c>
      <c r="F74" s="2">
        <v>45809</v>
      </c>
      <c r="G74" s="1">
        <v>45818</v>
      </c>
      <c r="H74" t="s">
        <v>156</v>
      </c>
      <c r="I74" t="s">
        <v>155</v>
      </c>
      <c r="J74" t="s">
        <v>156</v>
      </c>
      <c r="K74" t="s">
        <v>153</v>
      </c>
      <c r="L74" t="s">
        <v>215</v>
      </c>
      <c r="M74" t="s">
        <v>1</v>
      </c>
      <c r="N74" t="s">
        <v>0</v>
      </c>
      <c r="O74">
        <v>19</v>
      </c>
      <c r="P74">
        <v>45</v>
      </c>
      <c r="Q74">
        <v>0</v>
      </c>
      <c r="R74"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5"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f>IF(H74&lt;&gt;"created",0,IF(COUNTIFS($C$1:C73,$C74,$H$1:H73,"created")=0,1,0))</f>
        <v>0</v>
      </c>
      <c r="U74">
        <f t="shared" si="2"/>
        <v>0</v>
      </c>
      <c r="V74">
        <f t="shared" si="3"/>
        <v>0</v>
      </c>
    </row>
    <row r="75" spans="1:22" x14ac:dyDescent="0.35">
      <c r="A75" t="s">
        <v>214</v>
      </c>
      <c r="B75" t="s">
        <v>38</v>
      </c>
      <c r="C75" t="s">
        <v>37</v>
      </c>
      <c r="D75" t="s">
        <v>36</v>
      </c>
      <c r="E75" t="s">
        <v>2</v>
      </c>
      <c r="F75" s="2">
        <v>45809</v>
      </c>
      <c r="G75" s="1">
        <v>45823</v>
      </c>
      <c r="H75" t="s">
        <v>177</v>
      </c>
      <c r="I75" t="s">
        <v>1</v>
      </c>
      <c r="J75" t="s">
        <v>29</v>
      </c>
      <c r="K75" t="s">
        <v>146</v>
      </c>
      <c r="L75" t="s">
        <v>213</v>
      </c>
      <c r="M75" t="s">
        <v>29</v>
      </c>
      <c r="N75" t="s">
        <v>0</v>
      </c>
      <c r="O75">
        <v>16</v>
      </c>
      <c r="P75">
        <v>95</v>
      </c>
      <c r="Q75">
        <v>0</v>
      </c>
      <c r="R75"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5"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f>IF(H75&lt;&gt;"created",0,IF(COUNTIFS($C$1:C74,$C75,$H$1:H74,"created")=0,1,0))</f>
        <v>0</v>
      </c>
      <c r="U75">
        <f t="shared" si="2"/>
        <v>0</v>
      </c>
      <c r="V75">
        <f t="shared" si="3"/>
        <v>0</v>
      </c>
    </row>
    <row r="76" spans="1:22" x14ac:dyDescent="0.35">
      <c r="A76" t="s">
        <v>212</v>
      </c>
      <c r="B76" t="s">
        <v>92</v>
      </c>
      <c r="C76" t="s">
        <v>91</v>
      </c>
      <c r="D76" t="s">
        <v>90</v>
      </c>
      <c r="E76" t="s">
        <v>2</v>
      </c>
      <c r="F76" s="2">
        <v>45809</v>
      </c>
      <c r="G76" s="1">
        <v>45831</v>
      </c>
      <c r="H76" t="s">
        <v>159</v>
      </c>
      <c r="M76" t="s">
        <v>24</v>
      </c>
      <c r="N76" t="s">
        <v>0</v>
      </c>
      <c r="O76">
        <v>29</v>
      </c>
      <c r="P76">
        <v>85</v>
      </c>
      <c r="Q76">
        <v>0</v>
      </c>
      <c r="R76"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5"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f>IF(H76&lt;&gt;"created",0,IF(COUNTIFS($C$1:C75,$C76,$H$1:H75,"created")=0,1,0))</f>
        <v>1</v>
      </c>
      <c r="U76">
        <f t="shared" si="2"/>
        <v>0</v>
      </c>
      <c r="V76">
        <f t="shared" si="3"/>
        <v>0</v>
      </c>
    </row>
    <row r="77" spans="1:22" x14ac:dyDescent="0.35">
      <c r="A77" t="s">
        <v>211</v>
      </c>
      <c r="B77" t="s">
        <v>210</v>
      </c>
      <c r="C77" t="s">
        <v>26</v>
      </c>
      <c r="D77" t="s">
        <v>25</v>
      </c>
      <c r="E77" t="s">
        <v>2</v>
      </c>
      <c r="F77" s="2">
        <v>45809</v>
      </c>
      <c r="G77" s="1">
        <v>45833</v>
      </c>
      <c r="H77" t="s">
        <v>156</v>
      </c>
      <c r="I77" t="s">
        <v>155</v>
      </c>
      <c r="J77" t="s">
        <v>154</v>
      </c>
      <c r="K77" t="s">
        <v>153</v>
      </c>
      <c r="L77" t="s">
        <v>209</v>
      </c>
      <c r="M77" t="s">
        <v>1</v>
      </c>
      <c r="N77" t="s">
        <v>0</v>
      </c>
      <c r="O77">
        <v>10</v>
      </c>
      <c r="P77">
        <v>45</v>
      </c>
      <c r="Q77">
        <v>0</v>
      </c>
      <c r="R77"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5"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f>IF(H77&lt;&gt;"created",0,IF(COUNTIFS($C$1:C76,$C77,$H$1:H76,"created")=0,1,0))</f>
        <v>0</v>
      </c>
      <c r="U77">
        <f t="shared" si="2"/>
        <v>1</v>
      </c>
      <c r="V77">
        <f t="shared" si="3"/>
        <v>0</v>
      </c>
    </row>
    <row r="78" spans="1:22" x14ac:dyDescent="0.35">
      <c r="A78" t="s">
        <v>208</v>
      </c>
      <c r="B78" t="s">
        <v>60</v>
      </c>
      <c r="C78" t="s">
        <v>59</v>
      </c>
      <c r="D78" t="s">
        <v>58</v>
      </c>
      <c r="E78" t="s">
        <v>2</v>
      </c>
      <c r="F78" s="2">
        <v>45839</v>
      </c>
      <c r="G78" s="1">
        <v>45843</v>
      </c>
      <c r="H78" t="s">
        <v>185</v>
      </c>
      <c r="I78">
        <v>75</v>
      </c>
      <c r="J78">
        <v>85</v>
      </c>
      <c r="K78" t="s">
        <v>184</v>
      </c>
      <c r="L78" t="s">
        <v>207</v>
      </c>
      <c r="M78" t="s">
        <v>24</v>
      </c>
      <c r="N78" t="s">
        <v>0</v>
      </c>
      <c r="O78">
        <v>22</v>
      </c>
      <c r="P78">
        <v>85</v>
      </c>
      <c r="Q78">
        <v>0</v>
      </c>
      <c r="R78"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5"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f>IF(H78&lt;&gt;"created",0,IF(COUNTIFS($C$1:C77,$C78,$H$1:H77,"created")=0,1,0))</f>
        <v>0</v>
      </c>
      <c r="U78">
        <f t="shared" si="2"/>
        <v>0</v>
      </c>
      <c r="V78">
        <f t="shared" si="3"/>
        <v>0</v>
      </c>
    </row>
    <row r="79" spans="1:22" x14ac:dyDescent="0.35">
      <c r="A79" t="s">
        <v>206</v>
      </c>
      <c r="B79" t="s">
        <v>205</v>
      </c>
      <c r="C79" t="s">
        <v>40</v>
      </c>
      <c r="D79" t="s">
        <v>39</v>
      </c>
      <c r="E79" t="s">
        <v>16</v>
      </c>
      <c r="F79" s="2">
        <v>45839</v>
      </c>
      <c r="G79" s="1">
        <v>45858</v>
      </c>
      <c r="H79" t="s">
        <v>156</v>
      </c>
      <c r="I79" t="s">
        <v>155</v>
      </c>
      <c r="J79" t="s">
        <v>156</v>
      </c>
      <c r="K79" t="s">
        <v>153</v>
      </c>
      <c r="L79" t="s">
        <v>204</v>
      </c>
      <c r="M79" t="s">
        <v>42</v>
      </c>
      <c r="N79" t="s">
        <v>0</v>
      </c>
      <c r="O79">
        <v>16</v>
      </c>
      <c r="P79">
        <v>110</v>
      </c>
      <c r="Q79">
        <v>0</v>
      </c>
      <c r="R7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5"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f>IF(H79&lt;&gt;"created",0,IF(COUNTIFS($C$1:C78,$C79,$H$1:H78,"created")=0,1,0))</f>
        <v>0</v>
      </c>
      <c r="U79">
        <f t="shared" si="2"/>
        <v>0</v>
      </c>
      <c r="V79">
        <f t="shared" si="3"/>
        <v>0</v>
      </c>
    </row>
    <row r="80" spans="1:22" x14ac:dyDescent="0.35">
      <c r="A80" t="s">
        <v>203</v>
      </c>
      <c r="B80" t="s">
        <v>72</v>
      </c>
      <c r="C80" t="s">
        <v>71</v>
      </c>
      <c r="D80" t="s">
        <v>70</v>
      </c>
      <c r="E80" t="s">
        <v>16</v>
      </c>
      <c r="F80" s="2">
        <v>45839</v>
      </c>
      <c r="G80" s="1">
        <v>45860</v>
      </c>
      <c r="H80" t="s">
        <v>170</v>
      </c>
      <c r="I80">
        <v>14</v>
      </c>
      <c r="J80">
        <v>18</v>
      </c>
      <c r="K80" t="s">
        <v>169</v>
      </c>
      <c r="L80" t="s">
        <v>202</v>
      </c>
      <c r="M80" t="s">
        <v>42</v>
      </c>
      <c r="N80" t="s">
        <v>0</v>
      </c>
      <c r="O80">
        <v>18</v>
      </c>
      <c r="P80">
        <v>110</v>
      </c>
      <c r="Q80">
        <v>0</v>
      </c>
      <c r="R80"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5"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f>IF(H80&lt;&gt;"created",0,IF(COUNTIFS($C$1:C79,$C80,$H$1:H79,"created")=0,1,0))</f>
        <v>0</v>
      </c>
      <c r="U80">
        <f t="shared" si="2"/>
        <v>0</v>
      </c>
      <c r="V80">
        <f t="shared" si="3"/>
        <v>0</v>
      </c>
    </row>
    <row r="81" spans="1:22" x14ac:dyDescent="0.35">
      <c r="A81" t="s">
        <v>201</v>
      </c>
      <c r="B81" t="s">
        <v>57</v>
      </c>
      <c r="C81" t="s">
        <v>56</v>
      </c>
      <c r="D81" t="s">
        <v>55</v>
      </c>
      <c r="E81" t="s">
        <v>2</v>
      </c>
      <c r="F81" s="2">
        <v>45870</v>
      </c>
      <c r="G81" s="1">
        <v>45872</v>
      </c>
      <c r="H81" t="s">
        <v>185</v>
      </c>
      <c r="I81">
        <v>90</v>
      </c>
      <c r="J81">
        <v>85</v>
      </c>
      <c r="K81" t="s">
        <v>184</v>
      </c>
      <c r="L81" t="s">
        <v>200</v>
      </c>
      <c r="M81" t="s">
        <v>24</v>
      </c>
      <c r="N81" t="s">
        <v>0</v>
      </c>
      <c r="O81">
        <v>22</v>
      </c>
      <c r="P81">
        <v>85</v>
      </c>
      <c r="Q81">
        <v>0</v>
      </c>
      <c r="R81"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5"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f>IF(H81&lt;&gt;"created",0,IF(COUNTIFS($C$1:C80,$C81,$H$1:H80,"created")=0,1,0))</f>
        <v>0</v>
      </c>
      <c r="U81">
        <f t="shared" si="2"/>
        <v>0</v>
      </c>
      <c r="V81">
        <f t="shared" si="3"/>
        <v>0</v>
      </c>
    </row>
    <row r="82" spans="1:22" x14ac:dyDescent="0.35">
      <c r="A82" t="s">
        <v>199</v>
      </c>
      <c r="B82" t="s">
        <v>130</v>
      </c>
      <c r="C82" t="s">
        <v>129</v>
      </c>
      <c r="D82" t="s">
        <v>128</v>
      </c>
      <c r="E82" t="s">
        <v>7</v>
      </c>
      <c r="F82" s="2">
        <v>45870</v>
      </c>
      <c r="G82" s="1">
        <v>45881</v>
      </c>
      <c r="H82" t="s">
        <v>177</v>
      </c>
      <c r="I82" t="s">
        <v>29</v>
      </c>
      <c r="J82" t="s">
        <v>116</v>
      </c>
      <c r="K82" t="s">
        <v>146</v>
      </c>
      <c r="L82" t="s">
        <v>198</v>
      </c>
      <c r="M82" t="s">
        <v>116</v>
      </c>
      <c r="N82" t="s">
        <v>0</v>
      </c>
      <c r="O82">
        <v>26</v>
      </c>
      <c r="P82">
        <v>180</v>
      </c>
      <c r="Q82">
        <v>0</v>
      </c>
      <c r="R82"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5"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f>IF(H82&lt;&gt;"created",0,IF(COUNTIFS($C$1:C81,$C82,$H$1:H81,"created")=0,1,0))</f>
        <v>0</v>
      </c>
      <c r="U82">
        <f t="shared" si="2"/>
        <v>0</v>
      </c>
      <c r="V82">
        <f t="shared" si="3"/>
        <v>0</v>
      </c>
    </row>
    <row r="83" spans="1:22" x14ac:dyDescent="0.35">
      <c r="A83" t="s">
        <v>197</v>
      </c>
      <c r="B83" t="s">
        <v>6</v>
      </c>
      <c r="C83" t="s">
        <v>5</v>
      </c>
      <c r="D83" t="s">
        <v>4</v>
      </c>
      <c r="E83" t="s">
        <v>2</v>
      </c>
      <c r="F83" s="2">
        <v>45870</v>
      </c>
      <c r="G83" s="1">
        <v>45888</v>
      </c>
      <c r="H83" t="s">
        <v>196</v>
      </c>
      <c r="I83" t="s">
        <v>29</v>
      </c>
      <c r="J83" t="s">
        <v>1</v>
      </c>
      <c r="K83" t="s">
        <v>146</v>
      </c>
      <c r="L83" t="s">
        <v>195</v>
      </c>
      <c r="M83" t="s">
        <v>1</v>
      </c>
      <c r="N83" t="s">
        <v>0</v>
      </c>
      <c r="O83">
        <v>12</v>
      </c>
      <c r="P83">
        <v>45</v>
      </c>
      <c r="Q83">
        <v>0</v>
      </c>
      <c r="R8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5"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f>IF(H83&lt;&gt;"created",0,IF(COUNTIFS($C$1:C82,$C83,$H$1:H82,"created")=0,1,0))</f>
        <v>0</v>
      </c>
      <c r="U83">
        <f t="shared" si="2"/>
        <v>0</v>
      </c>
      <c r="V83">
        <f t="shared" si="3"/>
        <v>0</v>
      </c>
    </row>
    <row r="84" spans="1:22" x14ac:dyDescent="0.35">
      <c r="A84" t="s">
        <v>194</v>
      </c>
      <c r="B84" t="s">
        <v>131</v>
      </c>
      <c r="C84" t="s">
        <v>101</v>
      </c>
      <c r="D84" t="s">
        <v>100</v>
      </c>
      <c r="E84" t="s">
        <v>2</v>
      </c>
      <c r="F84" s="2">
        <v>45870</v>
      </c>
      <c r="G84" s="1">
        <v>45889</v>
      </c>
      <c r="H84" t="s">
        <v>170</v>
      </c>
      <c r="I84">
        <v>28</v>
      </c>
      <c r="J84">
        <v>33</v>
      </c>
      <c r="K84" t="s">
        <v>169</v>
      </c>
      <c r="L84" t="s">
        <v>193</v>
      </c>
      <c r="M84" t="s">
        <v>120</v>
      </c>
      <c r="N84" t="s">
        <v>0</v>
      </c>
      <c r="O84">
        <v>33</v>
      </c>
      <c r="P84">
        <v>150</v>
      </c>
      <c r="Q84">
        <v>0</v>
      </c>
      <c r="R84"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5"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f>IF(H84&lt;&gt;"created",0,IF(COUNTIFS($C$1:C83,$C84,$H$1:H83,"created")=0,1,0))</f>
        <v>0</v>
      </c>
      <c r="U84">
        <f t="shared" si="2"/>
        <v>0</v>
      </c>
      <c r="V84">
        <f t="shared" si="3"/>
        <v>0</v>
      </c>
    </row>
    <row r="85" spans="1:22" x14ac:dyDescent="0.35">
      <c r="A85" t="s">
        <v>192</v>
      </c>
      <c r="B85" t="s">
        <v>191</v>
      </c>
      <c r="C85" t="s">
        <v>68</v>
      </c>
      <c r="D85" t="s">
        <v>67</v>
      </c>
      <c r="E85" t="s">
        <v>7</v>
      </c>
      <c r="F85" s="2">
        <v>45870</v>
      </c>
      <c r="G85" s="1">
        <v>45899</v>
      </c>
      <c r="H85" t="s">
        <v>156</v>
      </c>
      <c r="I85" t="s">
        <v>155</v>
      </c>
      <c r="J85" t="s">
        <v>154</v>
      </c>
      <c r="K85" t="s">
        <v>153</v>
      </c>
      <c r="L85" t="s">
        <v>161</v>
      </c>
      <c r="M85" t="s">
        <v>116</v>
      </c>
      <c r="N85" t="s">
        <v>0</v>
      </c>
      <c r="O85">
        <v>26</v>
      </c>
      <c r="P85">
        <v>180</v>
      </c>
      <c r="Q85">
        <v>0</v>
      </c>
      <c r="R85"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5"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f>IF(H85&lt;&gt;"created",0,IF(COUNTIFS($C$1:C84,$C85,$H$1:H84,"created")=0,1,0))</f>
        <v>0</v>
      </c>
      <c r="U85">
        <f t="shared" si="2"/>
        <v>0</v>
      </c>
      <c r="V85">
        <f t="shared" si="3"/>
        <v>0</v>
      </c>
    </row>
    <row r="86" spans="1:22" x14ac:dyDescent="0.35">
      <c r="A86" t="s">
        <v>190</v>
      </c>
      <c r="B86" t="s">
        <v>63</v>
      </c>
      <c r="C86" t="s">
        <v>62</v>
      </c>
      <c r="D86" t="s">
        <v>61</v>
      </c>
      <c r="E86" t="s">
        <v>7</v>
      </c>
      <c r="F86" s="2">
        <v>45901</v>
      </c>
      <c r="G86" s="1">
        <v>45905</v>
      </c>
      <c r="H86" t="s">
        <v>177</v>
      </c>
      <c r="I86" t="s">
        <v>1</v>
      </c>
      <c r="J86" t="s">
        <v>29</v>
      </c>
      <c r="K86" t="s">
        <v>146</v>
      </c>
      <c r="L86" t="s">
        <v>189</v>
      </c>
      <c r="M86" t="s">
        <v>29</v>
      </c>
      <c r="N86" t="s">
        <v>0</v>
      </c>
      <c r="O86">
        <v>20</v>
      </c>
      <c r="P86">
        <v>95</v>
      </c>
      <c r="Q86">
        <v>0</v>
      </c>
      <c r="R86"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5"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f>IF(H86&lt;&gt;"created",0,IF(COUNTIFS($C$1:C85,$C86,$H$1:H85,"created")=0,1,0))</f>
        <v>0</v>
      </c>
      <c r="U86">
        <f t="shared" si="2"/>
        <v>0</v>
      </c>
      <c r="V86">
        <f t="shared" si="3"/>
        <v>0</v>
      </c>
    </row>
    <row r="87" spans="1:22" x14ac:dyDescent="0.35">
      <c r="A87" t="s">
        <v>188</v>
      </c>
      <c r="B87" t="s">
        <v>137</v>
      </c>
      <c r="C87" t="s">
        <v>108</v>
      </c>
      <c r="D87" t="s">
        <v>107</v>
      </c>
      <c r="E87" t="s">
        <v>7</v>
      </c>
      <c r="F87" s="2">
        <v>45901</v>
      </c>
      <c r="G87" s="1">
        <v>45910</v>
      </c>
      <c r="H87" t="s">
        <v>170</v>
      </c>
      <c r="I87">
        <v>26</v>
      </c>
      <c r="J87">
        <v>31</v>
      </c>
      <c r="K87" t="s">
        <v>169</v>
      </c>
      <c r="L87" t="s">
        <v>187</v>
      </c>
      <c r="M87" t="s">
        <v>116</v>
      </c>
      <c r="N87" t="s">
        <v>0</v>
      </c>
      <c r="O87">
        <v>31</v>
      </c>
      <c r="P87">
        <v>180</v>
      </c>
      <c r="Q87">
        <v>0</v>
      </c>
      <c r="R87"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5"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f>IF(H87&lt;&gt;"created",0,IF(COUNTIFS($C$1:C86,$C87,$H$1:H86,"created")=0,1,0))</f>
        <v>0</v>
      </c>
      <c r="U87">
        <f t="shared" si="2"/>
        <v>0</v>
      </c>
      <c r="V87">
        <f t="shared" si="3"/>
        <v>0</v>
      </c>
    </row>
    <row r="88" spans="1:22" x14ac:dyDescent="0.35">
      <c r="A88" t="s">
        <v>186</v>
      </c>
      <c r="B88" t="s">
        <v>80</v>
      </c>
      <c r="C88" t="s">
        <v>79</v>
      </c>
      <c r="D88" t="s">
        <v>78</v>
      </c>
      <c r="E88" t="s">
        <v>2</v>
      </c>
      <c r="F88" s="2">
        <v>45901</v>
      </c>
      <c r="G88" s="1">
        <v>45930</v>
      </c>
      <c r="H88" t="s">
        <v>185</v>
      </c>
      <c r="I88">
        <v>90</v>
      </c>
      <c r="J88">
        <v>85</v>
      </c>
      <c r="K88" t="s">
        <v>184</v>
      </c>
      <c r="L88" t="s">
        <v>183</v>
      </c>
      <c r="M88" t="s">
        <v>24</v>
      </c>
      <c r="N88" t="s">
        <v>0</v>
      </c>
      <c r="O88">
        <v>25</v>
      </c>
      <c r="P88">
        <v>85</v>
      </c>
      <c r="Q88">
        <v>0</v>
      </c>
      <c r="R88"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5"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f>IF(H88&lt;&gt;"created",0,IF(COUNTIFS($C$1:C87,$C88,$H$1:H87,"created")=0,1,0))</f>
        <v>0</v>
      </c>
      <c r="U88">
        <f t="shared" si="2"/>
        <v>0</v>
      </c>
      <c r="V88">
        <f t="shared" si="3"/>
        <v>0</v>
      </c>
    </row>
    <row r="89" spans="1:22" x14ac:dyDescent="0.35">
      <c r="A89" t="s">
        <v>182</v>
      </c>
      <c r="B89" t="s">
        <v>96</v>
      </c>
      <c r="C89" t="s">
        <v>95</v>
      </c>
      <c r="D89" t="s">
        <v>94</v>
      </c>
      <c r="E89" t="s">
        <v>7</v>
      </c>
      <c r="F89" s="2">
        <v>45931</v>
      </c>
      <c r="G89" s="1">
        <v>45935</v>
      </c>
      <c r="H89" t="s">
        <v>170</v>
      </c>
      <c r="I89">
        <v>26</v>
      </c>
      <c r="J89">
        <v>31</v>
      </c>
      <c r="K89" t="s">
        <v>169</v>
      </c>
      <c r="L89" t="s">
        <v>181</v>
      </c>
      <c r="M89" t="s">
        <v>24</v>
      </c>
      <c r="N89" t="s">
        <v>0</v>
      </c>
      <c r="O89">
        <v>31</v>
      </c>
      <c r="P89">
        <v>85</v>
      </c>
      <c r="Q89">
        <v>0</v>
      </c>
      <c r="R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5"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f>IF(H89&lt;&gt;"created",0,IF(COUNTIFS($C$1:C88,$C89,$H$1:H88,"created")=0,1,0))</f>
        <v>0</v>
      </c>
      <c r="U89">
        <f t="shared" si="2"/>
        <v>0</v>
      </c>
      <c r="V89">
        <f t="shared" si="3"/>
        <v>0</v>
      </c>
    </row>
    <row r="90" spans="1:22" x14ac:dyDescent="0.35">
      <c r="A90" t="s">
        <v>180</v>
      </c>
      <c r="B90" t="s">
        <v>27</v>
      </c>
      <c r="C90" t="s">
        <v>26</v>
      </c>
      <c r="D90" t="s">
        <v>25</v>
      </c>
      <c r="E90" t="s">
        <v>2</v>
      </c>
      <c r="F90" s="2">
        <v>45931</v>
      </c>
      <c r="G90" s="1">
        <v>45945</v>
      </c>
      <c r="H90" t="s">
        <v>159</v>
      </c>
      <c r="L90" t="s">
        <v>179</v>
      </c>
      <c r="M90" t="s">
        <v>24</v>
      </c>
      <c r="N90" t="s">
        <v>0</v>
      </c>
      <c r="O90">
        <v>11</v>
      </c>
      <c r="P90">
        <v>85</v>
      </c>
      <c r="Q90">
        <v>0</v>
      </c>
      <c r="R90"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5"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f>IF(H90&lt;&gt;"created",0,IF(COUNTIFS($C$1:C89,$C90,$H$1:H89,"created")=0,1,0))</f>
        <v>0</v>
      </c>
      <c r="U90">
        <f t="shared" si="2"/>
        <v>0</v>
      </c>
      <c r="V90">
        <f t="shared" si="3"/>
        <v>1</v>
      </c>
    </row>
    <row r="91" spans="1:22" x14ac:dyDescent="0.35">
      <c r="A91" t="s">
        <v>178</v>
      </c>
      <c r="B91" t="s">
        <v>48</v>
      </c>
      <c r="C91" t="s">
        <v>47</v>
      </c>
      <c r="D91" t="s">
        <v>46</v>
      </c>
      <c r="E91" t="s">
        <v>16</v>
      </c>
      <c r="F91" s="2">
        <v>45931</v>
      </c>
      <c r="G91" s="1">
        <v>45950</v>
      </c>
      <c r="H91" t="s">
        <v>177</v>
      </c>
      <c r="I91" t="s">
        <v>1</v>
      </c>
      <c r="J91" t="s">
        <v>29</v>
      </c>
      <c r="K91" t="s">
        <v>146</v>
      </c>
      <c r="L91" t="s">
        <v>176</v>
      </c>
      <c r="M91" t="s">
        <v>29</v>
      </c>
      <c r="N91" t="s">
        <v>0</v>
      </c>
      <c r="O91">
        <v>18</v>
      </c>
      <c r="P91">
        <v>95</v>
      </c>
      <c r="Q91">
        <v>0</v>
      </c>
      <c r="R91"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5"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f>IF(H91&lt;&gt;"created",0,IF(COUNTIFS($C$1:C90,$C91,$H$1:H90,"created")=0,1,0))</f>
        <v>0</v>
      </c>
      <c r="U91">
        <f t="shared" si="2"/>
        <v>0</v>
      </c>
      <c r="V91">
        <f t="shared" si="3"/>
        <v>0</v>
      </c>
    </row>
    <row r="92" spans="1:22" x14ac:dyDescent="0.35">
      <c r="A92" t="s">
        <v>175</v>
      </c>
      <c r="B92" t="s">
        <v>162</v>
      </c>
      <c r="C92" t="s">
        <v>118</v>
      </c>
      <c r="D92" t="s">
        <v>117</v>
      </c>
      <c r="E92" t="s">
        <v>7</v>
      </c>
      <c r="F92" s="2">
        <v>45962</v>
      </c>
      <c r="G92" s="1">
        <v>45962</v>
      </c>
      <c r="H92" t="s">
        <v>166</v>
      </c>
      <c r="I92">
        <v>0</v>
      </c>
      <c r="J92">
        <v>10</v>
      </c>
      <c r="K92" t="s">
        <v>165</v>
      </c>
      <c r="L92" t="s">
        <v>174</v>
      </c>
      <c r="M92" t="s">
        <v>29</v>
      </c>
      <c r="N92" t="s">
        <v>0</v>
      </c>
      <c r="O92">
        <v>19</v>
      </c>
      <c r="P92">
        <v>95</v>
      </c>
      <c r="Q92">
        <v>10</v>
      </c>
      <c r="R92"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5"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f>IF(H92&lt;&gt;"created",0,IF(COUNTIFS($C$1:C91,$C92,$H$1:H91,"created")=0,1,0))</f>
        <v>0</v>
      </c>
      <c r="U92">
        <f t="shared" si="2"/>
        <v>0</v>
      </c>
      <c r="V92">
        <f t="shared" si="3"/>
        <v>0</v>
      </c>
    </row>
    <row r="93" spans="1:22" x14ac:dyDescent="0.35">
      <c r="A93" t="s">
        <v>173</v>
      </c>
      <c r="B93" t="s">
        <v>92</v>
      </c>
      <c r="C93" t="s">
        <v>91</v>
      </c>
      <c r="D93" t="s">
        <v>90</v>
      </c>
      <c r="E93" t="s">
        <v>2</v>
      </c>
      <c r="F93" s="2">
        <v>45962</v>
      </c>
      <c r="G93" s="1">
        <v>45976</v>
      </c>
      <c r="H93" t="s">
        <v>170</v>
      </c>
      <c r="I93">
        <v>32</v>
      </c>
      <c r="J93">
        <v>29</v>
      </c>
      <c r="K93" t="s">
        <v>169</v>
      </c>
      <c r="L93" t="s">
        <v>172</v>
      </c>
      <c r="M93" t="s">
        <v>24</v>
      </c>
      <c r="N93" t="s">
        <v>0</v>
      </c>
      <c r="O93">
        <v>29</v>
      </c>
      <c r="P93">
        <v>85</v>
      </c>
      <c r="Q93">
        <v>0</v>
      </c>
      <c r="R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5"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f>IF(H93&lt;&gt;"created",0,IF(COUNTIFS($C$1:C92,$C93,$H$1:H92,"created")=0,1,0))</f>
        <v>0</v>
      </c>
      <c r="U93">
        <f t="shared" si="2"/>
        <v>0</v>
      </c>
      <c r="V93">
        <f t="shared" si="3"/>
        <v>0</v>
      </c>
    </row>
    <row r="94" spans="1:22" x14ac:dyDescent="0.35">
      <c r="A94" t="s">
        <v>171</v>
      </c>
      <c r="B94" t="s">
        <v>102</v>
      </c>
      <c r="C94" t="s">
        <v>101</v>
      </c>
      <c r="D94" t="s">
        <v>100</v>
      </c>
      <c r="E94" t="s">
        <v>2</v>
      </c>
      <c r="F94" s="2">
        <v>45992</v>
      </c>
      <c r="G94" s="1">
        <v>45999</v>
      </c>
      <c r="H94" t="s">
        <v>170</v>
      </c>
      <c r="I94">
        <v>22</v>
      </c>
      <c r="J94">
        <v>26</v>
      </c>
      <c r="K94" t="s">
        <v>169</v>
      </c>
      <c r="L94" t="s">
        <v>168</v>
      </c>
      <c r="M94" t="s">
        <v>42</v>
      </c>
      <c r="N94" t="s">
        <v>0</v>
      </c>
      <c r="O94">
        <v>26</v>
      </c>
      <c r="P94">
        <v>110</v>
      </c>
      <c r="Q94">
        <v>0</v>
      </c>
      <c r="R94"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5"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f>IF(H94&lt;&gt;"created",0,IF(COUNTIFS($C$1:C93,$C94,$H$1:H93,"created")=0,1,0))</f>
        <v>0</v>
      </c>
      <c r="U94">
        <f t="shared" si="2"/>
        <v>0</v>
      </c>
      <c r="V94">
        <f t="shared" si="3"/>
        <v>0</v>
      </c>
    </row>
    <row r="95" spans="1:22" x14ac:dyDescent="0.35">
      <c r="A95" t="s">
        <v>167</v>
      </c>
      <c r="B95" t="s">
        <v>157</v>
      </c>
      <c r="C95" t="s">
        <v>34</v>
      </c>
      <c r="D95" t="s">
        <v>33</v>
      </c>
      <c r="E95" t="s">
        <v>2</v>
      </c>
      <c r="F95" s="2">
        <v>45992</v>
      </c>
      <c r="G95" s="1">
        <v>46006</v>
      </c>
      <c r="H95" t="s">
        <v>166</v>
      </c>
      <c r="I95">
        <v>0</v>
      </c>
      <c r="J95">
        <v>12</v>
      </c>
      <c r="K95" t="s">
        <v>165</v>
      </c>
      <c r="L95" t="s">
        <v>164</v>
      </c>
      <c r="M95" t="s">
        <v>1</v>
      </c>
      <c r="N95" t="s">
        <v>0</v>
      </c>
      <c r="O95">
        <v>15</v>
      </c>
      <c r="P95">
        <v>45</v>
      </c>
      <c r="Q95">
        <v>12</v>
      </c>
      <c r="R95"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5"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f>IF(H95&lt;&gt;"created",0,IF(COUNTIFS($C$1:C94,$C95,$H$1:H94,"created")=0,1,0))</f>
        <v>0</v>
      </c>
      <c r="U95">
        <f t="shared" si="2"/>
        <v>0</v>
      </c>
      <c r="V95">
        <f t="shared" si="3"/>
        <v>0</v>
      </c>
    </row>
    <row r="96" spans="1:22" x14ac:dyDescent="0.35">
      <c r="A96" t="s">
        <v>163</v>
      </c>
      <c r="B96" t="s">
        <v>162</v>
      </c>
      <c r="C96" t="s">
        <v>118</v>
      </c>
      <c r="D96" t="s">
        <v>117</v>
      </c>
      <c r="E96" t="s">
        <v>7</v>
      </c>
      <c r="F96" s="2">
        <v>45992</v>
      </c>
      <c r="G96" s="1">
        <v>46021</v>
      </c>
      <c r="H96" t="s">
        <v>156</v>
      </c>
      <c r="I96" t="s">
        <v>155</v>
      </c>
      <c r="J96" t="s">
        <v>154</v>
      </c>
      <c r="K96" t="s">
        <v>153</v>
      </c>
      <c r="L96" t="s">
        <v>161</v>
      </c>
      <c r="M96" t="s">
        <v>29</v>
      </c>
      <c r="N96" t="s">
        <v>0</v>
      </c>
      <c r="O96">
        <v>19</v>
      </c>
      <c r="P96">
        <v>95</v>
      </c>
      <c r="Q96">
        <v>10</v>
      </c>
      <c r="R96"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5"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f>IF(H96&lt;&gt;"created",0,IF(COUNTIFS($C$1:C95,$C96,$H$1:H95,"created")=0,1,0))</f>
        <v>0</v>
      </c>
      <c r="U96">
        <f t="shared" si="2"/>
        <v>0</v>
      </c>
      <c r="V96">
        <f t="shared" si="3"/>
        <v>0</v>
      </c>
    </row>
    <row r="97" spans="1:22" x14ac:dyDescent="0.35">
      <c r="A97" t="s">
        <v>160</v>
      </c>
      <c r="B97" t="s">
        <v>51</v>
      </c>
      <c r="C97" t="s">
        <v>50</v>
      </c>
      <c r="D97" t="s">
        <v>49</v>
      </c>
      <c r="E97" t="s">
        <v>7</v>
      </c>
      <c r="F97" s="2">
        <v>46023</v>
      </c>
      <c r="G97" s="1">
        <v>46048</v>
      </c>
      <c r="H97" t="s">
        <v>159</v>
      </c>
      <c r="M97" t="s">
        <v>29</v>
      </c>
      <c r="N97" t="s">
        <v>0</v>
      </c>
      <c r="O97">
        <v>18</v>
      </c>
      <c r="P97">
        <v>95</v>
      </c>
      <c r="Q97">
        <v>0</v>
      </c>
      <c r="R97"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5"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f>IF(H97&lt;&gt;"created",0,IF(COUNTIFS($C$1:C96,$C97,$H$1:H96,"created")=0,1,0))</f>
        <v>1</v>
      </c>
      <c r="U97">
        <f t="shared" si="2"/>
        <v>0</v>
      </c>
      <c r="V97">
        <f t="shared" si="3"/>
        <v>0</v>
      </c>
    </row>
    <row r="98" spans="1:22" x14ac:dyDescent="0.35">
      <c r="A98" t="s">
        <v>158</v>
      </c>
      <c r="B98" t="s">
        <v>157</v>
      </c>
      <c r="C98" t="s">
        <v>34</v>
      </c>
      <c r="D98" t="s">
        <v>33</v>
      </c>
      <c r="E98" t="s">
        <v>2</v>
      </c>
      <c r="F98" s="2">
        <v>46054</v>
      </c>
      <c r="G98" s="1">
        <v>46073</v>
      </c>
      <c r="H98" t="s">
        <v>156</v>
      </c>
      <c r="I98" t="s">
        <v>155</v>
      </c>
      <c r="J98" t="s">
        <v>154</v>
      </c>
      <c r="K98" t="s">
        <v>153</v>
      </c>
      <c r="L98" t="s">
        <v>152</v>
      </c>
      <c r="M98" t="s">
        <v>1</v>
      </c>
      <c r="N98" t="s">
        <v>0</v>
      </c>
      <c r="O98">
        <v>15</v>
      </c>
      <c r="P98">
        <v>45</v>
      </c>
      <c r="Q98">
        <v>12</v>
      </c>
      <c r="R98"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5"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f>IF(H98&lt;&gt;"created",0,IF(COUNTIFS($C$1:C97,$C98,$H$1:H97,"created")=0,1,0))</f>
        <v>0</v>
      </c>
      <c r="U98">
        <f t="shared" si="2"/>
        <v>0</v>
      </c>
      <c r="V98">
        <f t="shared" si="3"/>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29660-5B76-4A23-921F-7A0A58AD713A}">
  <dimension ref="A1:H32"/>
  <sheetViews>
    <sheetView workbookViewId="0">
      <pane ySplit="1" topLeftCell="A2" activePane="bottomLeft" state="frozen"/>
      <selection pane="bottomLeft" activeCell="I34" sqref="I34"/>
    </sheetView>
  </sheetViews>
  <sheetFormatPr defaultRowHeight="14.5" x14ac:dyDescent="0.35"/>
  <cols>
    <col min="1" max="1" width="19.7265625" customWidth="1"/>
    <col min="2" max="2" width="12.1796875" bestFit="1" customWidth="1"/>
    <col min="3" max="3" width="12.26953125" bestFit="1" customWidth="1"/>
    <col min="4" max="4" width="10" customWidth="1"/>
    <col min="5" max="5" width="11.08984375" customWidth="1"/>
    <col min="6" max="6" width="10.26953125" bestFit="1" customWidth="1"/>
    <col min="7" max="7" width="11.26953125" bestFit="1" customWidth="1"/>
    <col min="8" max="8" width="12.1796875" bestFit="1" customWidth="1"/>
  </cols>
  <sheetData>
    <row r="1" spans="1:8" x14ac:dyDescent="0.35">
      <c r="A1" t="s">
        <v>329</v>
      </c>
    </row>
    <row r="2" spans="1:8" x14ac:dyDescent="0.35">
      <c r="A2" t="s">
        <v>321</v>
      </c>
      <c r="B2" t="s">
        <v>322</v>
      </c>
      <c r="C2" t="s">
        <v>323</v>
      </c>
      <c r="D2" t="s">
        <v>324</v>
      </c>
      <c r="E2" t="s">
        <v>325</v>
      </c>
      <c r="F2" t="s">
        <v>326</v>
      </c>
      <c r="G2" t="s">
        <v>327</v>
      </c>
      <c r="H2" t="s">
        <v>328</v>
      </c>
    </row>
    <row r="3" spans="1:8" x14ac:dyDescent="0.35">
      <c r="A3" s="3">
        <v>45292</v>
      </c>
      <c r="B3" s="6">
        <f>0</f>
        <v>0</v>
      </c>
      <c r="C3" s="7">
        <f>SUMIFS(Engine!$S$2:$S$98, Engine!$R$2:$R$98, "New", Engine!$F$2:$F$98, Waterfall!A3)</f>
        <v>5800</v>
      </c>
      <c r="D3" s="7">
        <f>SUMIFS(Engine!$S$2:$S$98, Engine!$R$2:$R$98, "Expansion", Engine!$F$2:$F$98, Waterfall!A3)</f>
        <v>0</v>
      </c>
      <c r="E3" s="6">
        <f>SUMIFS(Engine!$S$2:$S$98, Engine!$R$2:$R$98, "Contraction", Engine!$F$2:$F$98, Waterfall!A3)</f>
        <v>0</v>
      </c>
      <c r="F3" s="6">
        <f>SUMIFS(Engine!$S$2:$S$98, Engine!$R$2:$R$98, "Churned", Engine!$F$2:$F$98, Waterfall!A3)</f>
        <v>0</v>
      </c>
      <c r="G3" s="6">
        <f>C3+D3+E3+F3</f>
        <v>5800</v>
      </c>
      <c r="H3" s="6">
        <f>B3+G3</f>
        <v>5800</v>
      </c>
    </row>
    <row r="4" spans="1:8" x14ac:dyDescent="0.35">
      <c r="A4" s="3">
        <v>45323</v>
      </c>
      <c r="B4" s="6">
        <f>H3</f>
        <v>5800</v>
      </c>
      <c r="C4" s="7">
        <f>SUMIFS(Engine!$S$2:$S$98, Engine!$R$2:$R$98, "New", Engine!$F$2:$F$98, Waterfall!A4)</f>
        <v>8615</v>
      </c>
      <c r="D4" s="7">
        <f>SUMIFS(Engine!$S$2:$S$98, Engine!$R$2:$R$98, "Expansion", Engine!$F$2:$F$98, Waterfall!A4)</f>
        <v>0</v>
      </c>
      <c r="E4" s="6">
        <f>SUMIFS(Engine!$S$2:$S$98, Engine!$R$2:$R$98, "Contraction", Engine!$F$2:$F$98, Waterfall!A4)</f>
        <v>0</v>
      </c>
      <c r="F4" s="6">
        <f>SUMIFS(Engine!$S$2:$S$98, Engine!$R$2:$R$98, "Churned", Engine!$F$2:$F$98, Waterfall!A4)</f>
        <v>0</v>
      </c>
      <c r="G4" s="6">
        <f t="shared" ref="G4:G28" si="0">C4+D4+E4+F4</f>
        <v>8615</v>
      </c>
      <c r="H4" s="6">
        <f t="shared" ref="H4:H28" si="1">B4+G4</f>
        <v>14415</v>
      </c>
    </row>
    <row r="5" spans="1:8" x14ac:dyDescent="0.35">
      <c r="A5" s="3">
        <v>45352</v>
      </c>
      <c r="B5" s="6">
        <f t="shared" ref="B5:B28" si="2">H4</f>
        <v>14415</v>
      </c>
      <c r="C5" s="7">
        <f>SUMIFS(Engine!$S$2:$S$98, Engine!$R$2:$R$98, "New", Engine!$F$2:$F$98, Waterfall!A5)</f>
        <v>6075</v>
      </c>
      <c r="D5" s="7">
        <f>SUMIFS(Engine!$S$2:$S$98, Engine!$R$2:$R$98, "Expansion", Engine!$F$2:$F$98, Waterfall!A5)</f>
        <v>0</v>
      </c>
      <c r="E5" s="6">
        <f>SUMIFS(Engine!$S$2:$S$98, Engine!$R$2:$R$98, "Contraction", Engine!$F$2:$F$98, Waterfall!A5)</f>
        <v>0</v>
      </c>
      <c r="F5" s="6">
        <f>SUMIFS(Engine!$S$2:$S$98, Engine!$R$2:$R$98, "Churned", Engine!$F$2:$F$98, Waterfall!A5)</f>
        <v>0</v>
      </c>
      <c r="G5" s="6">
        <f t="shared" si="0"/>
        <v>6075</v>
      </c>
      <c r="H5" s="6">
        <f t="shared" si="1"/>
        <v>20490</v>
      </c>
    </row>
    <row r="6" spans="1:8" x14ac:dyDescent="0.35">
      <c r="A6" s="3">
        <v>45383</v>
      </c>
      <c r="B6" s="6">
        <f t="shared" si="2"/>
        <v>20490</v>
      </c>
      <c r="C6" s="7">
        <f>SUMIFS(Engine!$S$2:$S$98, Engine!$R$2:$R$98, "New", Engine!$F$2:$F$98, Waterfall!A6)</f>
        <v>9444</v>
      </c>
      <c r="D6" s="7">
        <f>SUMIFS(Engine!$S$2:$S$98, Engine!$R$2:$R$98, "Expansion", Engine!$F$2:$F$98, Waterfall!A6)</f>
        <v>0</v>
      </c>
      <c r="E6" s="6">
        <f>SUMIFS(Engine!$S$2:$S$98, Engine!$R$2:$R$98, "Contraction", Engine!$F$2:$F$98, Waterfall!A6)</f>
        <v>0</v>
      </c>
      <c r="F6" s="6">
        <f>SUMIFS(Engine!$S$2:$S$98, Engine!$R$2:$R$98, "Churned", Engine!$F$2:$F$98, Waterfall!A6)</f>
        <v>0</v>
      </c>
      <c r="G6" s="6">
        <f t="shared" si="0"/>
        <v>9444</v>
      </c>
      <c r="H6" s="6">
        <f t="shared" si="1"/>
        <v>29934</v>
      </c>
    </row>
    <row r="7" spans="1:8" x14ac:dyDescent="0.35">
      <c r="A7" s="3">
        <v>45413</v>
      </c>
      <c r="B7" s="6">
        <f t="shared" si="2"/>
        <v>29934</v>
      </c>
      <c r="C7" s="7">
        <f>SUMIFS(Engine!$S$2:$S$98, Engine!$R$2:$R$98, "New", Engine!$F$2:$F$98, Waterfall!A7)</f>
        <v>2565</v>
      </c>
      <c r="D7" s="7">
        <f>SUMIFS(Engine!$S$2:$S$98, Engine!$R$2:$R$98, "Expansion", Engine!$F$2:$F$98, Waterfall!A7)</f>
        <v>0</v>
      </c>
      <c r="E7" s="6">
        <f>SUMIFS(Engine!$S$2:$S$98, Engine!$R$2:$R$98, "Contraction", Engine!$F$2:$F$98, Waterfall!A7)</f>
        <v>0</v>
      </c>
      <c r="F7" s="6">
        <f>SUMIFS(Engine!$S$2:$S$98, Engine!$R$2:$R$98, "Churned", Engine!$F$2:$F$98, Waterfall!A7)</f>
        <v>0</v>
      </c>
      <c r="G7" s="6">
        <f t="shared" si="0"/>
        <v>2565</v>
      </c>
      <c r="H7" s="6">
        <f t="shared" si="1"/>
        <v>32499</v>
      </c>
    </row>
    <row r="8" spans="1:8" x14ac:dyDescent="0.35">
      <c r="A8" s="3">
        <v>45444</v>
      </c>
      <c r="B8" s="6">
        <f t="shared" si="2"/>
        <v>32499</v>
      </c>
      <c r="C8" s="7">
        <f>SUMIFS(Engine!$S$2:$S$98, Engine!$R$2:$R$98, "New", Engine!$F$2:$F$98, Waterfall!A8)</f>
        <v>3490</v>
      </c>
      <c r="D8" s="7">
        <f>SUMIFS(Engine!$S$2:$S$98, Engine!$R$2:$R$98, "Expansion", Engine!$F$2:$F$98, Waterfall!A8)</f>
        <v>0</v>
      </c>
      <c r="E8" s="6">
        <f>SUMIFS(Engine!$S$2:$S$98, Engine!$R$2:$R$98, "Contraction", Engine!$F$2:$F$98, Waterfall!A8)</f>
        <v>0</v>
      </c>
      <c r="F8" s="6">
        <f>SUMIFS(Engine!$S$2:$S$98, Engine!$R$2:$R$98, "Churned", Engine!$F$2:$F$98, Waterfall!A8)</f>
        <v>0</v>
      </c>
      <c r="G8" s="6">
        <f t="shared" si="0"/>
        <v>3490</v>
      </c>
      <c r="H8" s="6">
        <f t="shared" si="1"/>
        <v>35989</v>
      </c>
    </row>
    <row r="9" spans="1:8" x14ac:dyDescent="0.35">
      <c r="A9" s="3">
        <v>45474</v>
      </c>
      <c r="B9" s="6">
        <f t="shared" si="2"/>
        <v>35989</v>
      </c>
      <c r="C9" s="7">
        <f>SUMIFS(Engine!$S$2:$S$98, Engine!$R$2:$R$98, "New", Engine!$F$2:$F$98, Waterfall!A9)</f>
        <v>9364.5</v>
      </c>
      <c r="D9" s="7">
        <f>SUMIFS(Engine!$S$2:$S$98, Engine!$R$2:$R$98, "Expansion", Engine!$F$2:$F$98, Waterfall!A9)</f>
        <v>0</v>
      </c>
      <c r="E9" s="6">
        <f>SUMIFS(Engine!$S$2:$S$98, Engine!$R$2:$R$98, "Contraction", Engine!$F$2:$F$98, Waterfall!A9)</f>
        <v>0</v>
      </c>
      <c r="F9" s="6">
        <f>SUMIFS(Engine!$S$2:$S$98, Engine!$R$2:$R$98, "Churned", Engine!$F$2:$F$98, Waterfall!A9)</f>
        <v>0</v>
      </c>
      <c r="G9" s="6">
        <f t="shared" si="0"/>
        <v>9364.5</v>
      </c>
      <c r="H9" s="6">
        <f t="shared" si="1"/>
        <v>45353.5</v>
      </c>
    </row>
    <row r="10" spans="1:8" x14ac:dyDescent="0.35">
      <c r="A10" s="3">
        <v>45505</v>
      </c>
      <c r="B10" s="6">
        <f t="shared" si="2"/>
        <v>45353.5</v>
      </c>
      <c r="C10" s="7">
        <f>SUMIFS(Engine!$S$2:$S$98, Engine!$R$2:$R$98, "New", Engine!$F$2:$F$98, Waterfall!A10)</f>
        <v>6840</v>
      </c>
      <c r="D10" s="7">
        <f>SUMIFS(Engine!$S$2:$S$98, Engine!$R$2:$R$98, "Expansion", Engine!$F$2:$F$98, Waterfall!A10)</f>
        <v>0</v>
      </c>
      <c r="E10" s="6">
        <f>SUMIFS(Engine!$S$2:$S$98, Engine!$R$2:$R$98, "Contraction", Engine!$F$2:$F$98, Waterfall!A10)</f>
        <v>0</v>
      </c>
      <c r="F10" s="8">
        <f>SUMIFS(Engine!$S$2:$S$98, Engine!$R$2:$R$98, "Churned", Engine!$F$2:$F$98, Waterfall!A10)</f>
        <v>-1900</v>
      </c>
      <c r="G10" s="6">
        <f t="shared" si="0"/>
        <v>4940</v>
      </c>
      <c r="H10" s="6">
        <f t="shared" si="1"/>
        <v>50293.5</v>
      </c>
    </row>
    <row r="11" spans="1:8" x14ac:dyDescent="0.35">
      <c r="A11" s="3">
        <v>45536</v>
      </c>
      <c r="B11" s="6">
        <f t="shared" si="2"/>
        <v>50293.5</v>
      </c>
      <c r="C11" s="7">
        <f>SUMIFS(Engine!$S$2:$S$98, Engine!$R$2:$R$98, "New", Engine!$F$2:$F$98, Waterfall!A11)</f>
        <v>13415</v>
      </c>
      <c r="D11" s="7">
        <f>SUMIFS(Engine!$S$2:$S$98, Engine!$R$2:$R$98, "Expansion", Engine!$F$2:$F$98, Waterfall!A11)</f>
        <v>0</v>
      </c>
      <c r="E11" s="6">
        <f>SUMIFS(Engine!$S$2:$S$98, Engine!$R$2:$R$98, "Contraction", Engine!$F$2:$F$98, Waterfall!A11)</f>
        <v>0</v>
      </c>
      <c r="F11" s="6">
        <f>SUMIFS(Engine!$S$2:$S$98, Engine!$R$2:$R$98, "Churned", Engine!$F$2:$F$98, Waterfall!A11)</f>
        <v>0</v>
      </c>
      <c r="G11" s="6">
        <f t="shared" si="0"/>
        <v>13415</v>
      </c>
      <c r="H11" s="6">
        <f t="shared" si="1"/>
        <v>63708.5</v>
      </c>
    </row>
    <row r="12" spans="1:8" x14ac:dyDescent="0.35">
      <c r="A12" s="3">
        <v>45566</v>
      </c>
      <c r="B12" s="6">
        <f t="shared" si="2"/>
        <v>63708.5</v>
      </c>
      <c r="C12" s="7">
        <f>SUMIFS(Engine!$S$2:$S$98, Engine!$R$2:$R$98, "New", Engine!$F$2:$F$98, Waterfall!A12)</f>
        <v>10130</v>
      </c>
      <c r="D12" s="7">
        <f>SUMIFS(Engine!$S$2:$S$98, Engine!$R$2:$R$98, "Expansion", Engine!$F$2:$F$98, Waterfall!A12)</f>
        <v>0</v>
      </c>
      <c r="E12" s="6">
        <f>SUMIFS(Engine!$S$2:$S$98, Engine!$R$2:$R$98, "Contraction", Engine!$F$2:$F$98, Waterfall!A12)</f>
        <v>0</v>
      </c>
      <c r="F12" s="6">
        <f>SUMIFS(Engine!$S$2:$S$98, Engine!$R$2:$R$98, "Churned", Engine!$F$2:$F$98, Waterfall!A12)</f>
        <v>0</v>
      </c>
      <c r="G12" s="6">
        <f t="shared" si="0"/>
        <v>10130</v>
      </c>
      <c r="H12" s="6">
        <f t="shared" si="1"/>
        <v>73838.5</v>
      </c>
    </row>
    <row r="13" spans="1:8" x14ac:dyDescent="0.35">
      <c r="A13" s="3">
        <v>45597</v>
      </c>
      <c r="B13" s="6">
        <f t="shared" si="2"/>
        <v>73838.5</v>
      </c>
      <c r="C13" s="7">
        <f>SUMIFS(Engine!$S$2:$S$98, Engine!$R$2:$R$98, "New", Engine!$F$2:$F$98, Waterfall!A13)</f>
        <v>4955</v>
      </c>
      <c r="D13" s="7">
        <f>SUMIFS(Engine!$S$2:$S$98, Engine!$R$2:$R$98, "Expansion", Engine!$F$2:$F$98, Waterfall!A13)</f>
        <v>0</v>
      </c>
      <c r="E13" s="6">
        <f>SUMIFS(Engine!$S$2:$S$98, Engine!$R$2:$R$98, "Contraction", Engine!$F$2:$F$98, Waterfall!A13)</f>
        <v>0</v>
      </c>
      <c r="F13" s="8">
        <f>SUMIFS(Engine!$S$2:$S$98, Engine!$R$2:$R$98, "Churned", Engine!$F$2:$F$98, Waterfall!A13)</f>
        <v>-495</v>
      </c>
      <c r="G13" s="6">
        <f t="shared" si="0"/>
        <v>4460</v>
      </c>
      <c r="H13" s="6">
        <f t="shared" si="1"/>
        <v>78298.5</v>
      </c>
    </row>
    <row r="14" spans="1:8" x14ac:dyDescent="0.35">
      <c r="A14" s="3">
        <v>45627</v>
      </c>
      <c r="B14" s="6">
        <f t="shared" si="2"/>
        <v>78298.5</v>
      </c>
      <c r="C14" s="7">
        <f>SUMIFS(Engine!$S$2:$S$98, Engine!$R$2:$R$98, "New", Engine!$F$2:$F$98, Waterfall!A14)</f>
        <v>14915</v>
      </c>
      <c r="D14" s="7">
        <f>SUMIFS(Engine!$S$2:$S$98, Engine!$R$2:$R$98, "Expansion", Engine!$F$2:$F$98, Waterfall!A14)</f>
        <v>0</v>
      </c>
      <c r="E14" s="6">
        <f>SUMIFS(Engine!$S$2:$S$98, Engine!$R$2:$R$98, "Contraction", Engine!$F$2:$F$98, Waterfall!A14)</f>
        <v>0</v>
      </c>
      <c r="F14" s="8">
        <f>SUMIFS(Engine!$S$2:$S$98, Engine!$R$2:$R$98, "Churned", Engine!$F$2:$F$98, Waterfall!A14)</f>
        <v>-2090</v>
      </c>
      <c r="G14" s="6">
        <f t="shared" si="0"/>
        <v>12825</v>
      </c>
      <c r="H14" s="6">
        <f t="shared" si="1"/>
        <v>91123.5</v>
      </c>
    </row>
    <row r="15" spans="1:8" x14ac:dyDescent="0.35">
      <c r="A15" s="3">
        <v>45658</v>
      </c>
      <c r="B15" s="6">
        <f t="shared" si="2"/>
        <v>91123.5</v>
      </c>
      <c r="C15" s="7">
        <f>SUMIFS(Engine!$S$2:$S$98, Engine!$R$2:$R$98, "New", Engine!$F$2:$F$98, Waterfall!A15)</f>
        <v>9940.5</v>
      </c>
      <c r="D15" s="7">
        <f>SUMIFS(Engine!$S$2:$S$98, Engine!$R$2:$R$98, "Expansion", Engine!$F$2:$F$98, Waterfall!A15)</f>
        <v>140</v>
      </c>
      <c r="E15" s="6">
        <f>SUMIFS(Engine!$S$2:$S$98, Engine!$R$2:$R$98, "Contraction", Engine!$F$2:$F$98, Waterfall!A15)</f>
        <v>0</v>
      </c>
      <c r="F15" s="8">
        <f>SUMIFS(Engine!$S$2:$S$98, Engine!$R$2:$R$98, "Churned", Engine!$F$2:$F$98, Waterfall!A15)</f>
        <v>-450</v>
      </c>
      <c r="G15" s="6">
        <f t="shared" si="0"/>
        <v>9630.5</v>
      </c>
      <c r="H15" s="6">
        <f t="shared" si="1"/>
        <v>100754</v>
      </c>
    </row>
    <row r="16" spans="1:8" x14ac:dyDescent="0.35">
      <c r="A16" s="3">
        <v>45689</v>
      </c>
      <c r="B16" s="6">
        <f t="shared" si="2"/>
        <v>100754</v>
      </c>
      <c r="C16" s="7">
        <f>SUMIFS(Engine!$S$2:$S$98, Engine!$R$2:$R$98, "New", Engine!$F$2:$F$98, Waterfall!A16)</f>
        <v>7405</v>
      </c>
      <c r="D16" s="7">
        <f>SUMIFS(Engine!$S$2:$S$98, Engine!$R$2:$R$98, "Expansion", Engine!$F$2:$F$98, Waterfall!A16)</f>
        <v>0</v>
      </c>
      <c r="E16" s="6">
        <f>SUMIFS(Engine!$S$2:$S$98, Engine!$R$2:$R$98, "Contraction", Engine!$F$2:$F$98, Waterfall!A16)</f>
        <v>0</v>
      </c>
      <c r="F16" s="6">
        <f>SUMIFS(Engine!$S$2:$S$98, Engine!$R$2:$R$98, "Churned", Engine!$F$2:$F$98, Waterfall!A16)</f>
        <v>0</v>
      </c>
      <c r="G16" s="6">
        <f t="shared" si="0"/>
        <v>7405</v>
      </c>
      <c r="H16" s="6">
        <f t="shared" si="1"/>
        <v>108159</v>
      </c>
    </row>
    <row r="17" spans="1:8" x14ac:dyDescent="0.35">
      <c r="A17" s="3">
        <v>45717</v>
      </c>
      <c r="B17" s="6">
        <f t="shared" si="2"/>
        <v>108159</v>
      </c>
      <c r="C17" s="7">
        <f>SUMIFS(Engine!$S$2:$S$98, Engine!$R$2:$R$98, "New", Engine!$F$2:$F$98, Waterfall!A17)</f>
        <v>19390</v>
      </c>
      <c r="D17" s="7">
        <f>SUMIFS(Engine!$S$2:$S$98, Engine!$R$2:$R$98, "Expansion", Engine!$F$2:$F$98, Waterfall!A17)</f>
        <v>0</v>
      </c>
      <c r="E17" s="8">
        <f>SUMIFS(Engine!$S$2:$S$98, Engine!$R$2:$R$98, "Contraction", Engine!$F$2:$F$98, Waterfall!A17)</f>
        <v>-1009.5</v>
      </c>
      <c r="F17" s="6">
        <f>SUMIFS(Engine!$S$2:$S$98, Engine!$R$2:$R$98, "Churned", Engine!$F$2:$F$98, Waterfall!A17)</f>
        <v>0</v>
      </c>
      <c r="G17" s="6">
        <f t="shared" si="0"/>
        <v>18380.5</v>
      </c>
      <c r="H17" s="6">
        <f t="shared" si="1"/>
        <v>126539.5</v>
      </c>
    </row>
    <row r="18" spans="1:8" x14ac:dyDescent="0.35">
      <c r="A18" s="3">
        <v>45748</v>
      </c>
      <c r="B18" s="6">
        <f t="shared" si="2"/>
        <v>126539.5</v>
      </c>
      <c r="C18" s="7">
        <f>SUMIFS(Engine!$S$2:$S$98, Engine!$R$2:$R$98, "New", Engine!$F$2:$F$98, Waterfall!A18)</f>
        <v>5780</v>
      </c>
      <c r="D18" s="7">
        <f>SUMIFS(Engine!$S$2:$S$98, Engine!$R$2:$R$98, "Expansion", Engine!$F$2:$F$98, Waterfall!A18)</f>
        <v>755</v>
      </c>
      <c r="E18" s="6">
        <f>SUMIFS(Engine!$S$2:$S$98, Engine!$R$2:$R$98, "Contraction", Engine!$F$2:$F$98, Waterfall!A18)</f>
        <v>0</v>
      </c>
      <c r="F18" s="6">
        <f>SUMIFS(Engine!$S$2:$S$98, Engine!$R$2:$R$98, "Churned", Engine!$F$2:$F$98, Waterfall!A18)</f>
        <v>0</v>
      </c>
      <c r="G18" s="6">
        <f t="shared" si="0"/>
        <v>6535</v>
      </c>
      <c r="H18" s="6">
        <f t="shared" si="1"/>
        <v>133074.5</v>
      </c>
    </row>
    <row r="19" spans="1:8" x14ac:dyDescent="0.35">
      <c r="A19" s="3">
        <v>45778</v>
      </c>
      <c r="B19" s="6">
        <f t="shared" si="2"/>
        <v>133074.5</v>
      </c>
      <c r="C19" s="7">
        <f>SUMIFS(Engine!$S$2:$S$98, Engine!$R$2:$R$98, "New", Engine!$F$2:$F$98, Waterfall!A19)</f>
        <v>12060</v>
      </c>
      <c r="D19" s="7">
        <f>SUMIFS(Engine!$S$2:$S$98, Engine!$R$2:$R$98, "Expansion", Engine!$F$2:$F$98, Waterfall!A19)</f>
        <v>330</v>
      </c>
      <c r="E19" s="6">
        <f>SUMIFS(Engine!$S$2:$S$98, Engine!$R$2:$R$98, "Contraction", Engine!$F$2:$F$98, Waterfall!A19)</f>
        <v>0</v>
      </c>
      <c r="F19" s="8">
        <f>SUMIFS(Engine!$S$2:$S$98, Engine!$R$2:$R$98, "Churned", Engine!$F$2:$F$98, Waterfall!A19)</f>
        <v>-2375</v>
      </c>
      <c r="G19" s="6">
        <f t="shared" si="0"/>
        <v>10015</v>
      </c>
      <c r="H19" s="6">
        <f t="shared" si="1"/>
        <v>143089.5</v>
      </c>
    </row>
    <row r="20" spans="1:8" x14ac:dyDescent="0.35">
      <c r="A20" s="3">
        <v>45809</v>
      </c>
      <c r="B20" s="6">
        <f t="shared" si="2"/>
        <v>143089.5</v>
      </c>
      <c r="C20" s="7">
        <f>SUMIFS(Engine!$S$2:$S$98, Engine!$R$2:$R$98, "New", Engine!$F$2:$F$98, Waterfall!A20)</f>
        <v>8630</v>
      </c>
      <c r="D20" s="7">
        <f>SUMIFS(Engine!$S$2:$S$98, Engine!$R$2:$R$98, "Expansion", Engine!$F$2:$F$98, Waterfall!A20)</f>
        <v>1700</v>
      </c>
      <c r="E20" s="6">
        <f>SUMIFS(Engine!$S$2:$S$98, Engine!$R$2:$R$98, "Contraction", Engine!$F$2:$F$98, Waterfall!A20)</f>
        <v>0</v>
      </c>
      <c r="F20" s="8">
        <f>SUMIFS(Engine!$S$2:$S$98, Engine!$R$2:$R$98, "Churned", Engine!$F$2:$F$98, Waterfall!A20)</f>
        <v>-1305</v>
      </c>
      <c r="G20" s="6">
        <f t="shared" si="0"/>
        <v>9025</v>
      </c>
      <c r="H20" s="6">
        <f t="shared" si="1"/>
        <v>152114.5</v>
      </c>
    </row>
    <row r="21" spans="1:8" x14ac:dyDescent="0.35">
      <c r="A21" s="3">
        <v>45839</v>
      </c>
      <c r="B21" s="6">
        <f t="shared" si="2"/>
        <v>152114.5</v>
      </c>
      <c r="C21" s="7">
        <f>SUMIFS(Engine!$S$2:$S$98, Engine!$R$2:$R$98, "New", Engine!$F$2:$F$98, Waterfall!A21)</f>
        <v>0</v>
      </c>
      <c r="D21" s="7">
        <f>SUMIFS(Engine!$S$2:$S$98, Engine!$R$2:$R$98, "Expansion", Engine!$F$2:$F$98, Waterfall!A21)</f>
        <v>660</v>
      </c>
      <c r="E21" s="6">
        <f>SUMIFS(Engine!$S$2:$S$98, Engine!$R$2:$R$98, "Contraction", Engine!$F$2:$F$98, Waterfall!A21)</f>
        <v>0</v>
      </c>
      <c r="F21" s="8">
        <f>SUMIFS(Engine!$S$2:$S$98, Engine!$R$2:$R$98, "Churned", Engine!$F$2:$F$98, Waterfall!A21)</f>
        <v>-1760</v>
      </c>
      <c r="G21" s="6">
        <f t="shared" si="0"/>
        <v>-1100</v>
      </c>
      <c r="H21" s="6">
        <f t="shared" si="1"/>
        <v>151014.5</v>
      </c>
    </row>
    <row r="22" spans="1:8" x14ac:dyDescent="0.35">
      <c r="A22" s="3">
        <v>45870</v>
      </c>
      <c r="B22" s="6">
        <f t="shared" si="2"/>
        <v>151014.5</v>
      </c>
      <c r="C22" s="7">
        <f>SUMIFS(Engine!$S$2:$S$98, Engine!$R$2:$R$98, "New", Engine!$F$2:$F$98, Waterfall!A22)</f>
        <v>0</v>
      </c>
      <c r="D22" s="7">
        <f>SUMIFS(Engine!$S$2:$S$98, Engine!$R$2:$R$98, "Expansion", Engine!$F$2:$F$98, Waterfall!A22)</f>
        <v>2960</v>
      </c>
      <c r="E22" s="8">
        <f>SUMIFS(Engine!$S$2:$S$98, Engine!$R$2:$R$98, "Contraction", Engine!$F$2:$F$98, Waterfall!A22)</f>
        <v>-710</v>
      </c>
      <c r="F22" s="8">
        <f>SUMIFS(Engine!$S$2:$S$98, Engine!$R$2:$R$98, "Churned", Engine!$F$2:$F$98, Waterfall!A22)</f>
        <v>-4680</v>
      </c>
      <c r="G22" s="6">
        <f t="shared" si="0"/>
        <v>-2430</v>
      </c>
      <c r="H22" s="6">
        <f t="shared" si="1"/>
        <v>148584.5</v>
      </c>
    </row>
    <row r="23" spans="1:8" x14ac:dyDescent="0.35">
      <c r="A23" s="3">
        <v>45901</v>
      </c>
      <c r="B23" s="6">
        <f t="shared" si="2"/>
        <v>148584.5</v>
      </c>
      <c r="C23" s="7">
        <f>SUMIFS(Engine!$S$2:$S$98, Engine!$R$2:$R$98, "New", Engine!$F$2:$F$98, Waterfall!A23)</f>
        <v>0</v>
      </c>
      <c r="D23" s="7">
        <f>SUMIFS(Engine!$S$2:$S$98, Engine!$R$2:$R$98, "Expansion", Engine!$F$2:$F$98, Waterfall!A23)</f>
        <v>1900</v>
      </c>
      <c r="E23" s="8">
        <f>SUMIFS(Engine!$S$2:$S$98, Engine!$R$2:$R$98, "Contraction", Engine!$F$2:$F$98, Waterfall!A23)</f>
        <v>-125</v>
      </c>
      <c r="F23" s="6">
        <f>SUMIFS(Engine!$S$2:$S$98, Engine!$R$2:$R$98, "Churned", Engine!$F$2:$F$98, Waterfall!A23)</f>
        <v>0</v>
      </c>
      <c r="G23" s="6">
        <f t="shared" si="0"/>
        <v>1775</v>
      </c>
      <c r="H23" s="6">
        <f t="shared" si="1"/>
        <v>150359.5</v>
      </c>
    </row>
    <row r="24" spans="1:8" x14ac:dyDescent="0.35">
      <c r="A24" s="3">
        <v>45931</v>
      </c>
      <c r="B24" s="6">
        <f t="shared" si="2"/>
        <v>150359.5</v>
      </c>
      <c r="C24" s="7">
        <f>SUMIFS(Engine!$S$2:$S$98, Engine!$R$2:$R$98, "New", Engine!$F$2:$F$98, Waterfall!A24)</f>
        <v>935</v>
      </c>
      <c r="D24" s="7">
        <f>SUMIFS(Engine!$S$2:$S$98, Engine!$R$2:$R$98, "Expansion", Engine!$F$2:$F$98, Waterfall!A24)</f>
        <v>1325</v>
      </c>
      <c r="E24" s="6">
        <f>SUMIFS(Engine!$S$2:$S$98, Engine!$R$2:$R$98, "Contraction", Engine!$F$2:$F$98, Waterfall!A24)</f>
        <v>0</v>
      </c>
      <c r="F24" s="6">
        <f>SUMIFS(Engine!$S$2:$S$98, Engine!$R$2:$R$98, "Churned", Engine!$F$2:$F$98, Waterfall!A24)</f>
        <v>0</v>
      </c>
      <c r="G24" s="6">
        <f t="shared" si="0"/>
        <v>2260</v>
      </c>
      <c r="H24" s="6">
        <f t="shared" si="1"/>
        <v>152619.5</v>
      </c>
    </row>
    <row r="25" spans="1:8" x14ac:dyDescent="0.35">
      <c r="A25" s="3">
        <v>45962</v>
      </c>
      <c r="B25" s="6">
        <f t="shared" si="2"/>
        <v>152619.5</v>
      </c>
      <c r="C25" s="7">
        <f>SUMIFS(Engine!$S$2:$S$98, Engine!$R$2:$R$98, "New", Engine!$F$2:$F$98, Waterfall!A25)</f>
        <v>0</v>
      </c>
      <c r="D25" s="7">
        <f>SUMIFS(Engine!$S$2:$S$98, Engine!$R$2:$R$98, "Expansion", Engine!$F$2:$F$98, Waterfall!A25)</f>
        <v>0</v>
      </c>
      <c r="E25" s="8">
        <f>SUMIFS(Engine!$S$2:$S$98, Engine!$R$2:$R$98, "Contraction", Engine!$F$2:$F$98, Waterfall!A25)</f>
        <v>-435.5</v>
      </c>
      <c r="F25" s="6">
        <f>SUMIFS(Engine!$S$2:$S$98, Engine!$R$2:$R$98, "Churned", Engine!$F$2:$F$98, Waterfall!A25)</f>
        <v>0</v>
      </c>
      <c r="G25" s="8">
        <f t="shared" si="0"/>
        <v>-435.5</v>
      </c>
      <c r="H25" s="6">
        <f t="shared" si="1"/>
        <v>152184</v>
      </c>
    </row>
    <row r="26" spans="1:8" x14ac:dyDescent="0.35">
      <c r="A26" s="3">
        <v>45992</v>
      </c>
      <c r="B26" s="6">
        <f t="shared" si="2"/>
        <v>152184</v>
      </c>
      <c r="C26" s="7">
        <f>SUMIFS(Engine!$S$2:$S$98, Engine!$R$2:$R$98, "New", Engine!$F$2:$F$98, Waterfall!A26)</f>
        <v>0</v>
      </c>
      <c r="D26" s="7">
        <f>SUMIFS(Engine!$S$2:$S$98, Engine!$R$2:$R$98, "Expansion", Engine!$F$2:$F$98, Waterfall!A26)</f>
        <v>440</v>
      </c>
      <c r="E26" s="8">
        <f>SUMIFS(Engine!$S$2:$S$98, Engine!$R$2:$R$98, "Contraction", Engine!$F$2:$F$98, Waterfall!A26)</f>
        <v>-81</v>
      </c>
      <c r="F26" s="8">
        <f>SUMIFS(Engine!$S$2:$S$98, Engine!$R$2:$R$98, "Churned", Engine!$F$2:$F$98, Waterfall!A26)</f>
        <v>-1624.5</v>
      </c>
      <c r="G26" s="6">
        <f t="shared" si="0"/>
        <v>-1265.5</v>
      </c>
      <c r="H26" s="6">
        <f t="shared" si="1"/>
        <v>150918.5</v>
      </c>
    </row>
    <row r="27" spans="1:8" x14ac:dyDescent="0.35">
      <c r="A27" s="3">
        <v>46023</v>
      </c>
      <c r="B27" s="6">
        <f t="shared" si="2"/>
        <v>150918.5</v>
      </c>
      <c r="C27" s="7">
        <f>SUMIFS(Engine!$S$2:$S$98, Engine!$R$2:$R$98, "New", Engine!$F$2:$F$98, Waterfall!A27)</f>
        <v>1710</v>
      </c>
      <c r="D27" s="7">
        <f>SUMIFS(Engine!$S$2:$S$98, Engine!$R$2:$R$98, "Expansion", Engine!$F$2:$F$98, Waterfall!A27)</f>
        <v>0</v>
      </c>
      <c r="E27" s="6">
        <f>SUMIFS(Engine!$S$2:$S$98, Engine!$R$2:$R$98, "Contraction", Engine!$F$2:$F$98, Waterfall!A27)</f>
        <v>0</v>
      </c>
      <c r="F27" s="6">
        <f>SUMIFS(Engine!$S$2:$S$98, Engine!$R$2:$R$98, "Churned", Engine!$F$2:$F$98, Waterfall!A27)</f>
        <v>0</v>
      </c>
      <c r="G27" s="6">
        <f t="shared" si="0"/>
        <v>1710</v>
      </c>
      <c r="H27" s="6">
        <f t="shared" si="1"/>
        <v>152628.5</v>
      </c>
    </row>
    <row r="28" spans="1:8" x14ac:dyDescent="0.35">
      <c r="A28" s="3">
        <v>46054</v>
      </c>
      <c r="B28" s="6">
        <f t="shared" si="2"/>
        <v>152628.5</v>
      </c>
      <c r="C28" s="7">
        <f>SUMIFS(Engine!$S$2:$S$98, Engine!$R$2:$R$98, "New", Engine!$F$2:$F$98, Waterfall!A28)</f>
        <v>0</v>
      </c>
      <c r="D28" s="7">
        <f>SUMIFS(Engine!$S$2:$S$98, Engine!$R$2:$R$98, "Expansion", Engine!$F$2:$F$98, Waterfall!A28)</f>
        <v>0</v>
      </c>
      <c r="E28" s="6">
        <f>SUMIFS(Engine!$S$2:$S$98, Engine!$R$2:$R$98, "Contraction", Engine!$F$2:$F$98, Waterfall!A28)</f>
        <v>0</v>
      </c>
      <c r="F28" s="8">
        <f>SUMIFS(Engine!$S$2:$S$98, Engine!$R$2:$R$98, "Churned", Engine!$F$2:$F$98, Waterfall!A28)</f>
        <v>-594</v>
      </c>
      <c r="G28" s="6">
        <f t="shared" si="0"/>
        <v>-594</v>
      </c>
      <c r="H28" s="6">
        <f t="shared" si="1"/>
        <v>152034.5</v>
      </c>
    </row>
    <row r="30" spans="1:8" x14ac:dyDescent="0.35">
      <c r="A30" t="s">
        <v>330</v>
      </c>
      <c r="B30" s="6">
        <f>H28</f>
        <v>152034.5</v>
      </c>
    </row>
    <row r="31" spans="1:8" x14ac:dyDescent="0.35">
      <c r="A31" t="s">
        <v>331</v>
      </c>
      <c r="B31" s="6">
        <f>SUM('Raw Snapshot'!H2:H52)</f>
        <v>144185.5</v>
      </c>
    </row>
    <row r="32" spans="1:8" x14ac:dyDescent="0.35">
      <c r="A32" t="s">
        <v>332</v>
      </c>
      <c r="B32" s="6">
        <f>B30-B31</f>
        <v>7849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18E2F-197E-4302-AC01-0ACA66483083}">
  <dimension ref="A1:AA50"/>
  <sheetViews>
    <sheetView topLeftCell="A6" workbookViewId="0">
      <selection activeCell="P43" sqref="P43"/>
    </sheetView>
  </sheetViews>
  <sheetFormatPr defaultRowHeight="14.5" outlineLevelRow="1" x14ac:dyDescent="0.35"/>
  <cols>
    <col min="1" max="1" width="30.90625" customWidth="1"/>
    <col min="3" max="12" width="9.6328125" bestFit="1" customWidth="1"/>
    <col min="13" max="27" width="11.1796875" bestFit="1" customWidth="1"/>
  </cols>
  <sheetData>
    <row r="1" spans="1:27" ht="18.5" x14ac:dyDescent="0.45">
      <c r="A1" s="9" t="s">
        <v>333</v>
      </c>
    </row>
    <row r="3" spans="1:27" x14ac:dyDescent="0.35">
      <c r="A3" s="10" t="s">
        <v>334</v>
      </c>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x14ac:dyDescent="0.35">
      <c r="A4" s="13" t="s">
        <v>321</v>
      </c>
      <c r="B4" s="15">
        <f>Waterfall!A3</f>
        <v>45292</v>
      </c>
      <c r="C4" s="15">
        <f>Waterfall!A4</f>
        <v>45323</v>
      </c>
      <c r="D4" s="15">
        <f>Waterfall!A5</f>
        <v>45352</v>
      </c>
      <c r="E4" s="15">
        <f>Waterfall!A6</f>
        <v>45383</v>
      </c>
      <c r="F4" s="15">
        <f>Waterfall!A7</f>
        <v>45413</v>
      </c>
      <c r="G4" s="15">
        <f>Waterfall!A8</f>
        <v>45444</v>
      </c>
      <c r="H4" s="15">
        <f>Waterfall!A9</f>
        <v>45474</v>
      </c>
      <c r="I4" s="15">
        <f>Waterfall!A10</f>
        <v>45505</v>
      </c>
      <c r="J4" s="15">
        <f>Waterfall!A11</f>
        <v>45536</v>
      </c>
      <c r="K4" s="15">
        <f>Waterfall!A12</f>
        <v>45566</v>
      </c>
      <c r="L4" s="15">
        <f>Waterfall!A13</f>
        <v>45597</v>
      </c>
      <c r="M4" s="15">
        <f>Waterfall!A14</f>
        <v>45627</v>
      </c>
      <c r="N4" s="15">
        <f>Waterfall!A15</f>
        <v>45658</v>
      </c>
      <c r="O4" s="15">
        <f>Waterfall!A16</f>
        <v>45689</v>
      </c>
      <c r="P4" s="15">
        <f>Waterfall!A17</f>
        <v>45717</v>
      </c>
      <c r="Q4" s="15">
        <f>Waterfall!A18</f>
        <v>45748</v>
      </c>
      <c r="R4" s="15">
        <f>Waterfall!A19</f>
        <v>45778</v>
      </c>
      <c r="S4" s="15">
        <f>Waterfall!A20</f>
        <v>45809</v>
      </c>
      <c r="T4" s="15">
        <f>Waterfall!A21</f>
        <v>45839</v>
      </c>
      <c r="U4" s="15">
        <f>Waterfall!A22</f>
        <v>45870</v>
      </c>
      <c r="V4" s="15">
        <f>Waterfall!A23</f>
        <v>45901</v>
      </c>
      <c r="W4" s="15">
        <f>Waterfall!A24</f>
        <v>45931</v>
      </c>
      <c r="X4" s="15">
        <f>Waterfall!A25</f>
        <v>45962</v>
      </c>
      <c r="Y4" s="15">
        <f>Waterfall!A26</f>
        <v>45992</v>
      </c>
      <c r="Z4" s="15">
        <f>Waterfall!A27</f>
        <v>46023</v>
      </c>
      <c r="AA4" s="15">
        <f>Waterfall!A28</f>
        <v>46054</v>
      </c>
    </row>
    <row r="5" spans="1:27" x14ac:dyDescent="0.35">
      <c r="A5" s="12" t="s">
        <v>335</v>
      </c>
      <c r="B5" s="14">
        <f>Waterfall!H3</f>
        <v>5800</v>
      </c>
      <c r="C5" s="14">
        <f>Waterfall!H4</f>
        <v>14415</v>
      </c>
      <c r="D5" s="14">
        <f>Waterfall!H5</f>
        <v>20490</v>
      </c>
      <c r="E5" s="14">
        <f>Waterfall!H6</f>
        <v>29934</v>
      </c>
      <c r="F5" s="14">
        <f>Waterfall!H7</f>
        <v>32499</v>
      </c>
      <c r="G5" s="14">
        <f>Waterfall!H8</f>
        <v>35989</v>
      </c>
      <c r="H5" s="14">
        <f>Waterfall!H9</f>
        <v>45353.5</v>
      </c>
      <c r="I5" s="14">
        <f>Waterfall!H10</f>
        <v>50293.5</v>
      </c>
      <c r="J5" s="14">
        <f>Waterfall!H11</f>
        <v>63708.5</v>
      </c>
      <c r="K5" s="14">
        <f>Waterfall!H12</f>
        <v>73838.5</v>
      </c>
      <c r="L5" s="14">
        <f>Waterfall!H13</f>
        <v>78298.5</v>
      </c>
      <c r="M5" s="14">
        <f>Waterfall!H14</f>
        <v>91123.5</v>
      </c>
      <c r="N5" s="14">
        <f>Waterfall!H15</f>
        <v>100754</v>
      </c>
      <c r="O5" s="14">
        <f>Waterfall!H16</f>
        <v>108159</v>
      </c>
      <c r="P5" s="14">
        <f>Waterfall!H17</f>
        <v>126539.5</v>
      </c>
      <c r="Q5" s="14">
        <f>Waterfall!H18</f>
        <v>133074.5</v>
      </c>
      <c r="R5" s="14">
        <f>Waterfall!H19</f>
        <v>143089.5</v>
      </c>
      <c r="S5" s="14">
        <f>Waterfall!H20</f>
        <v>152114.5</v>
      </c>
      <c r="T5" s="14">
        <f>Waterfall!H21</f>
        <v>151014.5</v>
      </c>
      <c r="U5" s="14">
        <f>Waterfall!H22</f>
        <v>148584.5</v>
      </c>
      <c r="V5" s="14">
        <f>Waterfall!H23</f>
        <v>150359.5</v>
      </c>
      <c r="W5" s="14">
        <f>Waterfall!H24</f>
        <v>152619.5</v>
      </c>
      <c r="X5" s="14">
        <f>Waterfall!H25</f>
        <v>152184</v>
      </c>
      <c r="Y5" s="14">
        <f>Waterfall!H26</f>
        <v>150918.5</v>
      </c>
      <c r="Z5" s="14">
        <f>Waterfall!H27</f>
        <v>152628.5</v>
      </c>
      <c r="AA5" s="14">
        <f>Waterfall!H28</f>
        <v>152034.5</v>
      </c>
    </row>
    <row r="6" spans="1:27" x14ac:dyDescent="0.35">
      <c r="A6" s="12" t="s">
        <v>336</v>
      </c>
      <c r="B6" s="14">
        <f t="shared" ref="B6:AA6" si="0">B5*12</f>
        <v>69600</v>
      </c>
      <c r="C6" s="14">
        <f t="shared" si="0"/>
        <v>172980</v>
      </c>
      <c r="D6" s="14">
        <f t="shared" si="0"/>
        <v>245880</v>
      </c>
      <c r="E6" s="14">
        <f t="shared" si="0"/>
        <v>359208</v>
      </c>
      <c r="F6" s="14">
        <f t="shared" si="0"/>
        <v>389988</v>
      </c>
      <c r="G6" s="14">
        <f t="shared" si="0"/>
        <v>431868</v>
      </c>
      <c r="H6" s="14">
        <f t="shared" si="0"/>
        <v>544242</v>
      </c>
      <c r="I6" s="14">
        <f t="shared" si="0"/>
        <v>603522</v>
      </c>
      <c r="J6" s="14">
        <f t="shared" si="0"/>
        <v>764502</v>
      </c>
      <c r="K6" s="14">
        <f t="shared" si="0"/>
        <v>886062</v>
      </c>
      <c r="L6" s="14">
        <f t="shared" si="0"/>
        <v>939582</v>
      </c>
      <c r="M6" s="14">
        <f t="shared" si="0"/>
        <v>1093482</v>
      </c>
      <c r="N6" s="14">
        <f t="shared" si="0"/>
        <v>1209048</v>
      </c>
      <c r="O6" s="14">
        <f t="shared" si="0"/>
        <v>1297908</v>
      </c>
      <c r="P6" s="14">
        <f t="shared" si="0"/>
        <v>1518474</v>
      </c>
      <c r="Q6" s="14">
        <f t="shared" si="0"/>
        <v>1596894</v>
      </c>
      <c r="R6" s="14">
        <f t="shared" si="0"/>
        <v>1717074</v>
      </c>
      <c r="S6" s="14">
        <f t="shared" si="0"/>
        <v>1825374</v>
      </c>
      <c r="T6" s="14">
        <f t="shared" si="0"/>
        <v>1812174</v>
      </c>
      <c r="U6" s="14">
        <f t="shared" si="0"/>
        <v>1783014</v>
      </c>
      <c r="V6" s="14">
        <f t="shared" si="0"/>
        <v>1804314</v>
      </c>
      <c r="W6" s="14">
        <f t="shared" si="0"/>
        <v>1831434</v>
      </c>
      <c r="X6" s="14">
        <f t="shared" si="0"/>
        <v>1826208</v>
      </c>
      <c r="Y6" s="14">
        <f t="shared" si="0"/>
        <v>1811022</v>
      </c>
      <c r="Z6" s="14">
        <f t="shared" si="0"/>
        <v>1831542</v>
      </c>
      <c r="AA6" s="14">
        <f t="shared" si="0"/>
        <v>1824414</v>
      </c>
    </row>
    <row r="7" spans="1:27" x14ac:dyDescent="0.35">
      <c r="A7" s="12" t="s">
        <v>337</v>
      </c>
      <c r="B7" s="14">
        <f>Waterfall!G3</f>
        <v>5800</v>
      </c>
      <c r="C7" s="14">
        <f>Waterfall!G4</f>
        <v>8615</v>
      </c>
      <c r="D7" s="14">
        <f>Waterfall!G5</f>
        <v>6075</v>
      </c>
      <c r="E7" s="14">
        <f>Waterfall!G6</f>
        <v>9444</v>
      </c>
      <c r="F7" s="14">
        <f>Waterfall!G7</f>
        <v>2565</v>
      </c>
      <c r="G7" s="14">
        <f>Waterfall!G8</f>
        <v>3490</v>
      </c>
      <c r="H7" s="14">
        <f>Waterfall!G9</f>
        <v>9364.5</v>
      </c>
      <c r="I7" s="14">
        <f>Waterfall!G10</f>
        <v>4940</v>
      </c>
      <c r="J7" s="14">
        <f>Waterfall!G11</f>
        <v>13415</v>
      </c>
      <c r="K7" s="14">
        <f>Waterfall!G12</f>
        <v>10130</v>
      </c>
      <c r="L7" s="14">
        <f>Waterfall!G13</f>
        <v>4460</v>
      </c>
      <c r="M7" s="14">
        <f>Waterfall!G14</f>
        <v>12825</v>
      </c>
      <c r="N7" s="14">
        <f>Waterfall!G15</f>
        <v>9630.5</v>
      </c>
      <c r="O7" s="14">
        <f>Waterfall!G16</f>
        <v>7405</v>
      </c>
      <c r="P7" s="14">
        <f>Waterfall!G17</f>
        <v>18380.5</v>
      </c>
      <c r="Q7" s="14">
        <f>Waterfall!G18</f>
        <v>6535</v>
      </c>
      <c r="R7" s="14">
        <f>Waterfall!G19</f>
        <v>10015</v>
      </c>
      <c r="S7" s="14">
        <f>Waterfall!G20</f>
        <v>9025</v>
      </c>
      <c r="T7" s="14">
        <f>Waterfall!G21</f>
        <v>-1100</v>
      </c>
      <c r="U7" s="14">
        <f>Waterfall!G22</f>
        <v>-2430</v>
      </c>
      <c r="V7" s="14">
        <f>Waterfall!G23</f>
        <v>1775</v>
      </c>
      <c r="W7" s="14">
        <f>Waterfall!G24</f>
        <v>2260</v>
      </c>
      <c r="X7" s="14">
        <f>Waterfall!G25</f>
        <v>-435.5</v>
      </c>
      <c r="Y7" s="14">
        <f>Waterfall!G26</f>
        <v>-1265.5</v>
      </c>
      <c r="Z7" s="14">
        <f>Waterfall!G27</f>
        <v>1710</v>
      </c>
      <c r="AA7" s="14">
        <f>Waterfall!G28</f>
        <v>-594</v>
      </c>
    </row>
    <row r="8" spans="1:27" x14ac:dyDescent="0.35">
      <c r="A8" s="12" t="s">
        <v>338</v>
      </c>
      <c r="B8" s="14">
        <f>B7</f>
        <v>5800</v>
      </c>
      <c r="C8" s="14">
        <f t="shared" ref="C8:AA8" si="1">B8+C7</f>
        <v>14415</v>
      </c>
      <c r="D8" s="14">
        <f t="shared" si="1"/>
        <v>20490</v>
      </c>
      <c r="E8" s="14">
        <f t="shared" si="1"/>
        <v>29934</v>
      </c>
      <c r="F8" s="14">
        <f t="shared" si="1"/>
        <v>32499</v>
      </c>
      <c r="G8" s="14">
        <f t="shared" si="1"/>
        <v>35989</v>
      </c>
      <c r="H8" s="14">
        <f t="shared" si="1"/>
        <v>45353.5</v>
      </c>
      <c r="I8" s="14">
        <f t="shared" si="1"/>
        <v>50293.5</v>
      </c>
      <c r="J8" s="14">
        <f t="shared" si="1"/>
        <v>63708.5</v>
      </c>
      <c r="K8" s="14">
        <f t="shared" si="1"/>
        <v>73838.5</v>
      </c>
      <c r="L8" s="14">
        <f t="shared" si="1"/>
        <v>78298.5</v>
      </c>
      <c r="M8" s="14">
        <f t="shared" si="1"/>
        <v>91123.5</v>
      </c>
      <c r="N8" s="14">
        <f t="shared" si="1"/>
        <v>100754</v>
      </c>
      <c r="O8" s="14">
        <f t="shared" si="1"/>
        <v>108159</v>
      </c>
      <c r="P8" s="14">
        <f t="shared" si="1"/>
        <v>126539.5</v>
      </c>
      <c r="Q8" s="14">
        <f t="shared" si="1"/>
        <v>133074.5</v>
      </c>
      <c r="R8" s="14">
        <f t="shared" si="1"/>
        <v>143089.5</v>
      </c>
      <c r="S8" s="14">
        <f t="shared" si="1"/>
        <v>152114.5</v>
      </c>
      <c r="T8" s="14">
        <f t="shared" si="1"/>
        <v>151014.5</v>
      </c>
      <c r="U8" s="14">
        <f t="shared" si="1"/>
        <v>148584.5</v>
      </c>
      <c r="V8" s="14">
        <f t="shared" si="1"/>
        <v>150359.5</v>
      </c>
      <c r="W8" s="14">
        <f t="shared" si="1"/>
        <v>152619.5</v>
      </c>
      <c r="X8" s="14">
        <f t="shared" si="1"/>
        <v>152184</v>
      </c>
      <c r="Y8" s="14">
        <f t="shared" si="1"/>
        <v>150918.5</v>
      </c>
      <c r="Z8" s="14">
        <f t="shared" si="1"/>
        <v>152628.5</v>
      </c>
      <c r="AA8" s="14">
        <f t="shared" si="1"/>
        <v>152034.5</v>
      </c>
    </row>
    <row r="10" spans="1:27" x14ac:dyDescent="0.35">
      <c r="A10" s="10" t="s">
        <v>339</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12" t="s">
        <v>340</v>
      </c>
      <c r="B11" s="16"/>
      <c r="C11" s="16">
        <f t="shared" ref="C11:AA11" si="2">IFERROR(C7/B5,"")</f>
        <v>1.4853448275862069</v>
      </c>
      <c r="D11" s="16">
        <f t="shared" si="2"/>
        <v>0.4214360041623309</v>
      </c>
      <c r="E11" s="16">
        <f t="shared" si="2"/>
        <v>0.46090775988286969</v>
      </c>
      <c r="F11" s="16">
        <f t="shared" si="2"/>
        <v>8.5688514732411306E-2</v>
      </c>
      <c r="G11" s="16">
        <f t="shared" si="2"/>
        <v>0.10738791962829626</v>
      </c>
      <c r="H11" s="16">
        <f t="shared" si="2"/>
        <v>0.26020450693267388</v>
      </c>
      <c r="I11" s="16">
        <f t="shared" si="2"/>
        <v>0.10892213390366785</v>
      </c>
      <c r="J11" s="16">
        <f t="shared" si="2"/>
        <v>0.2667342698360623</v>
      </c>
      <c r="K11" s="16">
        <f t="shared" si="2"/>
        <v>0.15900547022767764</v>
      </c>
      <c r="L11" s="16">
        <f t="shared" si="2"/>
        <v>6.0402093758676029E-2</v>
      </c>
      <c r="M11" s="16">
        <f t="shared" si="2"/>
        <v>0.16379624130730475</v>
      </c>
      <c r="N11" s="16">
        <f t="shared" si="2"/>
        <v>0.10568623900530598</v>
      </c>
      <c r="O11" s="16">
        <f t="shared" si="2"/>
        <v>7.3495841356174443E-2</v>
      </c>
      <c r="P11" s="16">
        <f t="shared" si="2"/>
        <v>0.16993962592109765</v>
      </c>
      <c r="Q11" s="16">
        <f t="shared" si="2"/>
        <v>5.1643953073941339E-2</v>
      </c>
      <c r="R11" s="16">
        <f t="shared" si="2"/>
        <v>7.5258595748997736E-2</v>
      </c>
      <c r="S11" s="16">
        <f t="shared" si="2"/>
        <v>6.3072412720709764E-2</v>
      </c>
      <c r="T11" s="16">
        <f t="shared" si="2"/>
        <v>-7.2313947717015797E-3</v>
      </c>
      <c r="U11" s="16">
        <f t="shared" si="2"/>
        <v>-1.6091170053206812E-2</v>
      </c>
      <c r="V11" s="16">
        <f t="shared" si="2"/>
        <v>1.1946064360683651E-2</v>
      </c>
      <c r="W11" s="16">
        <f t="shared" si="2"/>
        <v>1.503064322507058E-2</v>
      </c>
      <c r="X11" s="16">
        <f t="shared" si="2"/>
        <v>-2.8535016822883053E-3</v>
      </c>
      <c r="Y11" s="16">
        <f t="shared" si="2"/>
        <v>-8.3155916522104825E-3</v>
      </c>
      <c r="Z11" s="16">
        <f t="shared" si="2"/>
        <v>1.1330618843945574E-2</v>
      </c>
      <c r="AA11" s="16">
        <f t="shared" si="2"/>
        <v>-3.8918026449843903E-3</v>
      </c>
    </row>
    <row r="12" spans="1:27" x14ac:dyDescent="0.35">
      <c r="A12" s="12" t="s">
        <v>341</v>
      </c>
      <c r="B12" s="16"/>
      <c r="C12" s="16"/>
      <c r="D12" s="16"/>
      <c r="E12" s="16"/>
      <c r="F12" s="16"/>
      <c r="G12" s="16"/>
      <c r="H12" s="16"/>
      <c r="I12" s="16"/>
      <c r="J12" s="16"/>
      <c r="K12" s="16"/>
      <c r="L12" s="16"/>
      <c r="M12" s="16"/>
      <c r="N12" s="16">
        <f t="shared" ref="N12:AA12" si="3">IFERROR((N5-B5)/B5,"")</f>
        <v>16.371379310344828</v>
      </c>
      <c r="O12" s="16">
        <f t="shared" si="3"/>
        <v>6.5032258064516126</v>
      </c>
      <c r="P12" s="16">
        <f t="shared" si="3"/>
        <v>5.1756710590531965</v>
      </c>
      <c r="Q12" s="16">
        <f t="shared" si="3"/>
        <v>3.4455969800227169</v>
      </c>
      <c r="R12" s="16">
        <f t="shared" si="3"/>
        <v>3.4028893196713743</v>
      </c>
      <c r="S12" s="16">
        <f t="shared" si="3"/>
        <v>3.2266942676929062</v>
      </c>
      <c r="T12" s="16">
        <f t="shared" si="3"/>
        <v>2.329720969715678</v>
      </c>
      <c r="U12" s="16">
        <f t="shared" si="3"/>
        <v>1.9543479773728216</v>
      </c>
      <c r="V12" s="16">
        <f t="shared" si="3"/>
        <v>1.3601167819050832</v>
      </c>
      <c r="W12" s="16">
        <f t="shared" si="3"/>
        <v>1.0669366252022996</v>
      </c>
      <c r="X12" s="16">
        <f t="shared" si="3"/>
        <v>0.94363876702618821</v>
      </c>
      <c r="Y12" s="16">
        <f t="shared" si="3"/>
        <v>0.65619735852990724</v>
      </c>
      <c r="Z12" s="16">
        <f t="shared" si="3"/>
        <v>0.5148629334815491</v>
      </c>
      <c r="AA12" s="16">
        <f t="shared" si="3"/>
        <v>0.40565741177340769</v>
      </c>
    </row>
    <row r="13" spans="1:27" x14ac:dyDescent="0.35">
      <c r="A13" s="12"/>
    </row>
    <row r="14" spans="1:27" x14ac:dyDescent="0.35">
      <c r="A14" s="12" t="s">
        <v>342</v>
      </c>
      <c r="B14" s="16"/>
      <c r="C14" s="16"/>
      <c r="D14" s="16"/>
      <c r="E14" s="16"/>
      <c r="F14" s="16"/>
      <c r="G14" s="16"/>
      <c r="H14" s="16">
        <f t="shared" ref="H14:AA14" si="4">IFERROR((H5/B5)^(1/6)-1,"")</f>
        <v>0.40884690544782987</v>
      </c>
      <c r="I14" s="16">
        <f t="shared" si="4"/>
        <v>0.23154287368284265</v>
      </c>
      <c r="J14" s="16">
        <f t="shared" si="4"/>
        <v>0.20811767144196236</v>
      </c>
      <c r="K14" s="16">
        <f t="shared" si="4"/>
        <v>0.16239308723644208</v>
      </c>
      <c r="L14" s="16">
        <f t="shared" si="4"/>
        <v>0.15783651182127301</v>
      </c>
      <c r="M14" s="16">
        <f t="shared" si="4"/>
        <v>0.16746383330029158</v>
      </c>
      <c r="N14" s="16">
        <f t="shared" si="4"/>
        <v>0.14228703661232012</v>
      </c>
      <c r="O14" s="16">
        <f t="shared" si="4"/>
        <v>0.13612242968021615</v>
      </c>
      <c r="P14" s="16">
        <f t="shared" si="4"/>
        <v>0.1211699669810884</v>
      </c>
      <c r="Q14" s="16">
        <f t="shared" si="4"/>
        <v>0.10315193112885823</v>
      </c>
      <c r="R14" s="16">
        <f t="shared" si="4"/>
        <v>0.1057129278252178</v>
      </c>
      <c r="S14" s="16">
        <f t="shared" si="4"/>
        <v>8.9155871329130276E-2</v>
      </c>
      <c r="T14" s="16">
        <f t="shared" si="4"/>
        <v>6.9775691876317048E-2</v>
      </c>
      <c r="U14" s="16">
        <f t="shared" si="4"/>
        <v>5.4350821240941594E-2</v>
      </c>
      <c r="V14" s="16">
        <f t="shared" si="4"/>
        <v>2.9162910426313804E-2</v>
      </c>
      <c r="W14" s="16">
        <f t="shared" si="4"/>
        <v>2.310262093949178E-2</v>
      </c>
      <c r="X14" s="16">
        <f t="shared" si="4"/>
        <v>1.0322918536297632E-2</v>
      </c>
      <c r="Y14" s="16">
        <f t="shared" si="4"/>
        <v>-1.3147301063959338E-3</v>
      </c>
      <c r="Z14" s="16">
        <f t="shared" si="4"/>
        <v>1.7734048751500975E-3</v>
      </c>
      <c r="AA14" s="16">
        <f t="shared" si="4"/>
        <v>3.8329351119641419E-3</v>
      </c>
    </row>
    <row r="15" spans="1:27" x14ac:dyDescent="0.35">
      <c r="A15" s="12" t="s">
        <v>343</v>
      </c>
      <c r="B15" s="16"/>
      <c r="C15" s="16"/>
      <c r="D15" s="16"/>
      <c r="E15" s="16"/>
      <c r="F15" s="16"/>
      <c r="G15" s="16"/>
      <c r="H15" s="16"/>
      <c r="I15" s="16"/>
      <c r="J15" s="16"/>
      <c r="K15" s="16"/>
      <c r="L15" s="16"/>
      <c r="M15" s="16"/>
      <c r="N15" s="16">
        <f t="shared" ref="N15:AA15" si="5">IFERROR((N5/B5)^(1/12)-1,"")</f>
        <v>0.26858486380077817</v>
      </c>
      <c r="O15" s="16">
        <f t="shared" si="5"/>
        <v>0.18287086442430667</v>
      </c>
      <c r="P15" s="16">
        <f t="shared" si="5"/>
        <v>0.16383213987235035</v>
      </c>
      <c r="Q15" s="16">
        <f t="shared" si="5"/>
        <v>0.13238517250788662</v>
      </c>
      <c r="R15" s="16">
        <f t="shared" si="5"/>
        <v>0.13147461280792205</v>
      </c>
      <c r="S15" s="16">
        <f t="shared" si="5"/>
        <v>0.12763029783853597</v>
      </c>
      <c r="T15" s="16">
        <f t="shared" si="5"/>
        <v>0.10543697464545332</v>
      </c>
      <c r="U15" s="16">
        <f t="shared" si="5"/>
        <v>9.447321427415023E-2</v>
      </c>
      <c r="V15" s="16">
        <f t="shared" si="5"/>
        <v>7.4181803188283046E-2</v>
      </c>
      <c r="W15" s="16">
        <f t="shared" si="5"/>
        <v>6.2373584024187023E-2</v>
      </c>
      <c r="X15" s="16">
        <f t="shared" si="5"/>
        <v>5.6942341049732281E-2</v>
      </c>
      <c r="Y15" s="16">
        <f t="shared" si="5"/>
        <v>4.2940039175088929E-2</v>
      </c>
      <c r="Z15" s="16">
        <f t="shared" si="5"/>
        <v>3.5216323916700709E-2</v>
      </c>
      <c r="AA15" s="16">
        <f t="shared" si="5"/>
        <v>2.8781842532227042E-2</v>
      </c>
    </row>
    <row r="16" spans="1:27" x14ac:dyDescent="0.35">
      <c r="A16" s="12" t="s">
        <v>344</v>
      </c>
      <c r="B16" s="16"/>
      <c r="C16" s="16"/>
      <c r="D16" s="16"/>
      <c r="E16" s="16">
        <f t="shared" ref="E16:AA16" si="6">IFERROR(AVERAGE(C11:E11),"")</f>
        <v>0.7892295305438024</v>
      </c>
      <c r="F16" s="16">
        <f t="shared" si="6"/>
        <v>0.32267742625920398</v>
      </c>
      <c r="G16" s="16">
        <f t="shared" si="6"/>
        <v>0.21799473141452577</v>
      </c>
      <c r="H16" s="16">
        <f t="shared" si="6"/>
        <v>0.15109364709779383</v>
      </c>
      <c r="I16" s="16">
        <f t="shared" si="6"/>
        <v>0.15883818682154599</v>
      </c>
      <c r="J16" s="16">
        <f t="shared" si="6"/>
        <v>0.21195363689080135</v>
      </c>
      <c r="K16" s="16">
        <f t="shared" si="6"/>
        <v>0.1782206246558026</v>
      </c>
      <c r="L16" s="16">
        <f t="shared" si="6"/>
        <v>0.16204727794080531</v>
      </c>
      <c r="M16" s="16">
        <f t="shared" si="6"/>
        <v>0.12773460176455279</v>
      </c>
      <c r="N16" s="16">
        <f t="shared" si="6"/>
        <v>0.10996152469042891</v>
      </c>
      <c r="O16" s="16">
        <f t="shared" si="6"/>
        <v>0.11432610722292839</v>
      </c>
      <c r="P16" s="16">
        <f t="shared" si="6"/>
        <v>0.1163739020941927</v>
      </c>
      <c r="Q16" s="16">
        <f t="shared" si="6"/>
        <v>9.8359806783737805E-2</v>
      </c>
      <c r="R16" s="16">
        <f t="shared" si="6"/>
        <v>9.8947391581345578E-2</v>
      </c>
      <c r="S16" s="16">
        <f t="shared" si="6"/>
        <v>6.3324987181216277E-2</v>
      </c>
      <c r="T16" s="16">
        <f t="shared" si="6"/>
        <v>4.3699871232668643E-2</v>
      </c>
      <c r="U16" s="16">
        <f t="shared" si="6"/>
        <v>1.3249949298600456E-2</v>
      </c>
      <c r="V16" s="16">
        <f t="shared" si="6"/>
        <v>-3.792166821408247E-3</v>
      </c>
      <c r="W16" s="16">
        <f t="shared" si="6"/>
        <v>3.6285125108491394E-3</v>
      </c>
      <c r="X16" s="16">
        <f t="shared" si="6"/>
        <v>8.0410686344886424E-3</v>
      </c>
      <c r="Y16" s="16">
        <f t="shared" si="6"/>
        <v>1.2871832968572642E-3</v>
      </c>
      <c r="Z16" s="16">
        <f t="shared" si="6"/>
        <v>5.3841836482262005E-5</v>
      </c>
      <c r="AA16" s="16">
        <f t="shared" si="6"/>
        <v>-2.9225848441643301E-4</v>
      </c>
    </row>
    <row r="18" spans="1:27" x14ac:dyDescent="0.35">
      <c r="A18" s="10" t="s">
        <v>345</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35">
      <c r="A19" s="12" t="s">
        <v>346</v>
      </c>
      <c r="B19" s="14">
        <f>Waterfall!C3+Waterfall!D3</f>
        <v>5800</v>
      </c>
      <c r="C19" s="14">
        <f>Waterfall!C4+Waterfall!D4</f>
        <v>8615</v>
      </c>
      <c r="D19" s="14">
        <f>Waterfall!C5+Waterfall!D5</f>
        <v>6075</v>
      </c>
      <c r="E19" s="14">
        <f>Waterfall!C6+Waterfall!D6</f>
        <v>9444</v>
      </c>
      <c r="F19" s="14">
        <f>Waterfall!C7+Waterfall!D7</f>
        <v>2565</v>
      </c>
      <c r="G19" s="14">
        <f>Waterfall!C8+Waterfall!D8</f>
        <v>3490</v>
      </c>
      <c r="H19" s="14">
        <f>Waterfall!C9+Waterfall!D9</f>
        <v>9364.5</v>
      </c>
      <c r="I19" s="14">
        <f>Waterfall!C10+Waterfall!D10</f>
        <v>6840</v>
      </c>
      <c r="J19" s="14">
        <f>Waterfall!C11+Waterfall!D11</f>
        <v>13415</v>
      </c>
      <c r="K19" s="14">
        <f>Waterfall!C12+Waterfall!D12</f>
        <v>10130</v>
      </c>
      <c r="L19" s="14">
        <f>Waterfall!C13+Waterfall!D13</f>
        <v>4955</v>
      </c>
      <c r="M19" s="14">
        <f>Waterfall!C14+Waterfall!D14</f>
        <v>14915</v>
      </c>
      <c r="N19" s="14">
        <f>Waterfall!C15+Waterfall!D15</f>
        <v>10080.5</v>
      </c>
      <c r="O19" s="14">
        <f>Waterfall!C16+Waterfall!D16</f>
        <v>7405</v>
      </c>
      <c r="P19" s="14">
        <f>Waterfall!C17+Waterfall!D17</f>
        <v>19390</v>
      </c>
      <c r="Q19" s="14">
        <f>Waterfall!C18+Waterfall!D18</f>
        <v>6535</v>
      </c>
      <c r="R19" s="14">
        <f>Waterfall!C19+Waterfall!D19</f>
        <v>12390</v>
      </c>
      <c r="S19" s="14">
        <f>Waterfall!C20+Waterfall!D20</f>
        <v>10330</v>
      </c>
      <c r="T19" s="14">
        <f>Waterfall!C21+Waterfall!D21</f>
        <v>660</v>
      </c>
      <c r="U19" s="14">
        <f>Waterfall!C22+Waterfall!D22</f>
        <v>2960</v>
      </c>
      <c r="V19" s="14">
        <f>Waterfall!C23+Waterfall!D23</f>
        <v>1900</v>
      </c>
      <c r="W19" s="14">
        <f>Waterfall!C24+Waterfall!D24</f>
        <v>2260</v>
      </c>
      <c r="X19" s="14">
        <f>Waterfall!C25+Waterfall!D25</f>
        <v>0</v>
      </c>
      <c r="Y19" s="14">
        <f>Waterfall!C26+Waterfall!D26</f>
        <v>440</v>
      </c>
      <c r="Z19" s="14">
        <f>Waterfall!C27+Waterfall!D27</f>
        <v>1710</v>
      </c>
      <c r="AA19" s="14">
        <f>Waterfall!C28+Waterfall!D28</f>
        <v>0</v>
      </c>
    </row>
    <row r="20" spans="1:27" x14ac:dyDescent="0.35">
      <c r="A20" s="12" t="s">
        <v>347</v>
      </c>
      <c r="B20" s="14">
        <f>ABS(Waterfall!E3)+ABS(Waterfall!F3)</f>
        <v>0</v>
      </c>
      <c r="C20" s="14">
        <f>ABS(Waterfall!E4)+ABS(Waterfall!F4)</f>
        <v>0</v>
      </c>
      <c r="D20" s="14">
        <f>ABS(Waterfall!E5)+ABS(Waterfall!F5)</f>
        <v>0</v>
      </c>
      <c r="E20" s="14">
        <f>ABS(Waterfall!E6)+ABS(Waterfall!F6)</f>
        <v>0</v>
      </c>
      <c r="F20" s="14">
        <f>ABS(Waterfall!E7)+ABS(Waterfall!F7)</f>
        <v>0</v>
      </c>
      <c r="G20" s="14">
        <f>ABS(Waterfall!E8)+ABS(Waterfall!F8)</f>
        <v>0</v>
      </c>
      <c r="H20" s="14">
        <f>ABS(Waterfall!E9)+ABS(Waterfall!F9)</f>
        <v>0</v>
      </c>
      <c r="I20" s="14">
        <f>ABS(Waterfall!E10)+ABS(Waterfall!F10)</f>
        <v>1900</v>
      </c>
      <c r="J20" s="14">
        <f>ABS(Waterfall!E11)+ABS(Waterfall!F11)</f>
        <v>0</v>
      </c>
      <c r="K20" s="14">
        <f>ABS(Waterfall!E12)+ABS(Waterfall!F12)</f>
        <v>0</v>
      </c>
      <c r="L20" s="14">
        <f>ABS(Waterfall!E13)+ABS(Waterfall!F13)</f>
        <v>495</v>
      </c>
      <c r="M20" s="14">
        <f>ABS(Waterfall!E14)+ABS(Waterfall!F14)</f>
        <v>2090</v>
      </c>
      <c r="N20" s="14">
        <f>ABS(Waterfall!E15)+ABS(Waterfall!F15)</f>
        <v>450</v>
      </c>
      <c r="O20" s="14">
        <f>ABS(Waterfall!E16)+ABS(Waterfall!F16)</f>
        <v>0</v>
      </c>
      <c r="P20" s="14">
        <f>ABS(Waterfall!E17)+ABS(Waterfall!F17)</f>
        <v>1009.5</v>
      </c>
      <c r="Q20" s="14">
        <f>ABS(Waterfall!E18)+ABS(Waterfall!F18)</f>
        <v>0</v>
      </c>
      <c r="R20" s="14">
        <f>ABS(Waterfall!E19)+ABS(Waterfall!F19)</f>
        <v>2375</v>
      </c>
      <c r="S20" s="14">
        <f>ABS(Waterfall!E20)+ABS(Waterfall!F20)</f>
        <v>1305</v>
      </c>
      <c r="T20" s="14">
        <f>ABS(Waterfall!E21)+ABS(Waterfall!F21)</f>
        <v>1760</v>
      </c>
      <c r="U20" s="14">
        <f>ABS(Waterfall!E22)+ABS(Waterfall!F22)</f>
        <v>5390</v>
      </c>
      <c r="V20" s="14">
        <f>ABS(Waterfall!E23)+ABS(Waterfall!F23)</f>
        <v>125</v>
      </c>
      <c r="W20" s="14">
        <f>ABS(Waterfall!E24)+ABS(Waterfall!F24)</f>
        <v>0</v>
      </c>
      <c r="X20" s="14">
        <f>ABS(Waterfall!E25)+ABS(Waterfall!F25)</f>
        <v>435.5</v>
      </c>
      <c r="Y20" s="14">
        <f>ABS(Waterfall!E26)+ABS(Waterfall!F26)</f>
        <v>1705.5</v>
      </c>
      <c r="Z20" s="14">
        <f>ABS(Waterfall!E27)+ABS(Waterfall!F27)</f>
        <v>0</v>
      </c>
      <c r="AA20" s="14">
        <f>ABS(Waterfall!E28)+ABS(Waterfall!F28)</f>
        <v>594</v>
      </c>
    </row>
    <row r="21" spans="1:27" x14ac:dyDescent="0.35">
      <c r="A21" s="12" t="s">
        <v>348</v>
      </c>
      <c r="B21" s="17" t="str">
        <f t="shared" ref="B21:AA21" si="7">IFERROR(B19/B20,"∞")</f>
        <v>∞</v>
      </c>
      <c r="C21" s="17" t="str">
        <f t="shared" si="7"/>
        <v>∞</v>
      </c>
      <c r="D21" s="17" t="str">
        <f t="shared" si="7"/>
        <v>∞</v>
      </c>
      <c r="E21" s="17" t="str">
        <f t="shared" si="7"/>
        <v>∞</v>
      </c>
      <c r="F21" s="17" t="str">
        <f t="shared" si="7"/>
        <v>∞</v>
      </c>
      <c r="G21" s="17" t="str">
        <f t="shared" si="7"/>
        <v>∞</v>
      </c>
      <c r="H21" s="17" t="str">
        <f t="shared" si="7"/>
        <v>∞</v>
      </c>
      <c r="I21" s="17">
        <f t="shared" si="7"/>
        <v>3.6</v>
      </c>
      <c r="J21" s="17" t="str">
        <f t="shared" si="7"/>
        <v>∞</v>
      </c>
      <c r="K21" s="17" t="str">
        <f t="shared" si="7"/>
        <v>∞</v>
      </c>
      <c r="L21" s="17">
        <f t="shared" si="7"/>
        <v>10.01010101010101</v>
      </c>
      <c r="M21" s="17">
        <f t="shared" si="7"/>
        <v>7.1363636363636367</v>
      </c>
      <c r="N21" s="17">
        <f t="shared" si="7"/>
        <v>22.40111111111111</v>
      </c>
      <c r="O21" s="17" t="str">
        <f t="shared" si="7"/>
        <v>∞</v>
      </c>
      <c r="P21" s="17">
        <f t="shared" si="7"/>
        <v>19.207528479445269</v>
      </c>
      <c r="Q21" s="17" t="str">
        <f t="shared" si="7"/>
        <v>∞</v>
      </c>
      <c r="R21" s="17">
        <f t="shared" si="7"/>
        <v>5.2168421052631579</v>
      </c>
      <c r="S21" s="17">
        <f t="shared" si="7"/>
        <v>7.9157088122605366</v>
      </c>
      <c r="T21" s="17">
        <f t="shared" si="7"/>
        <v>0.375</v>
      </c>
      <c r="U21" s="17">
        <f t="shared" si="7"/>
        <v>0.54916512059369205</v>
      </c>
      <c r="V21" s="17">
        <f t="shared" si="7"/>
        <v>15.2</v>
      </c>
      <c r="W21" s="17" t="str">
        <f t="shared" si="7"/>
        <v>∞</v>
      </c>
      <c r="X21" s="17">
        <f t="shared" si="7"/>
        <v>0</v>
      </c>
      <c r="Y21" s="17">
        <f t="shared" si="7"/>
        <v>0.25798885957197304</v>
      </c>
      <c r="Z21" s="17" t="str">
        <f t="shared" si="7"/>
        <v>∞</v>
      </c>
      <c r="AA21" s="17">
        <f t="shared" si="7"/>
        <v>0</v>
      </c>
    </row>
    <row r="22" spans="1:27" x14ac:dyDescent="0.35">
      <c r="A22" s="12"/>
    </row>
    <row r="23" spans="1:27" x14ac:dyDescent="0.35">
      <c r="A23" s="12" t="s">
        <v>349</v>
      </c>
      <c r="B23" s="16">
        <f>IFERROR(Waterfall!C3/B19,"")</f>
        <v>1</v>
      </c>
      <c r="C23" s="16">
        <f>IFERROR(Waterfall!C4/C19,"")</f>
        <v>1</v>
      </c>
      <c r="D23" s="16">
        <f>IFERROR(Waterfall!C5/D19,"")</f>
        <v>1</v>
      </c>
      <c r="E23" s="16">
        <f>IFERROR(Waterfall!C6/E19,"")</f>
        <v>1</v>
      </c>
      <c r="F23" s="16">
        <f>IFERROR(Waterfall!C7/F19,"")</f>
        <v>1</v>
      </c>
      <c r="G23" s="16">
        <f>IFERROR(Waterfall!C8/G19,"")</f>
        <v>1</v>
      </c>
      <c r="H23" s="16">
        <f>IFERROR(Waterfall!C9/H19,"")</f>
        <v>1</v>
      </c>
      <c r="I23" s="16">
        <f>IFERROR(Waterfall!C10/I19,"")</f>
        <v>1</v>
      </c>
      <c r="J23" s="16">
        <f>IFERROR(Waterfall!C11/J19,"")</f>
        <v>1</v>
      </c>
      <c r="K23" s="16">
        <f>IFERROR(Waterfall!C12/K19,"")</f>
        <v>1</v>
      </c>
      <c r="L23" s="16">
        <f>IFERROR(Waterfall!C13/L19,"")</f>
        <v>1</v>
      </c>
      <c r="M23" s="16">
        <f>IFERROR(Waterfall!C14/M19,"")</f>
        <v>1</v>
      </c>
      <c r="N23" s="16">
        <f>IFERROR(Waterfall!C15/N19,"")</f>
        <v>0.98611180000992016</v>
      </c>
      <c r="O23" s="16">
        <f>IFERROR(Waterfall!C16/O19,"")</f>
        <v>1</v>
      </c>
      <c r="P23" s="16">
        <f>IFERROR(Waterfall!C17/P19,"")</f>
        <v>1</v>
      </c>
      <c r="Q23" s="16">
        <f>IFERROR(Waterfall!C18/Q19,"")</f>
        <v>0.88446824789594491</v>
      </c>
      <c r="R23" s="16">
        <f>IFERROR(Waterfall!C19/R19,"")</f>
        <v>0.9733656174334141</v>
      </c>
      <c r="S23" s="16">
        <f>IFERROR(Waterfall!C20/S19,"")</f>
        <v>0.83543078412391092</v>
      </c>
      <c r="T23" s="16">
        <f>IFERROR(Waterfall!C21/T19,"")</f>
        <v>0</v>
      </c>
      <c r="U23" s="16">
        <f>IFERROR(Waterfall!C22/U19,"")</f>
        <v>0</v>
      </c>
      <c r="V23" s="16">
        <f>IFERROR(Waterfall!C23/V19,"")</f>
        <v>0</v>
      </c>
      <c r="W23" s="16">
        <f>IFERROR(Waterfall!C24/W19,"")</f>
        <v>0.41371681415929201</v>
      </c>
      <c r="X23" s="16" t="str">
        <f>IFERROR(Waterfall!C25/X19,"")</f>
        <v/>
      </c>
      <c r="Y23" s="16">
        <f>IFERROR(Waterfall!C26/Y19,"")</f>
        <v>0</v>
      </c>
      <c r="Z23" s="16">
        <f>IFERROR(Waterfall!C27/Z19,"")</f>
        <v>1</v>
      </c>
      <c r="AA23" s="16" t="str">
        <f>IFERROR(Waterfall!C28/AA19,"")</f>
        <v/>
      </c>
    </row>
    <row r="24" spans="1:27" x14ac:dyDescent="0.35">
      <c r="A24" s="12" t="s">
        <v>350</v>
      </c>
      <c r="B24" s="16">
        <f>IFERROR(Waterfall!D3/B19,"")</f>
        <v>0</v>
      </c>
      <c r="C24" s="16">
        <f>IFERROR(Waterfall!D4/C19,"")</f>
        <v>0</v>
      </c>
      <c r="D24" s="16">
        <f>IFERROR(Waterfall!D5/D19,"")</f>
        <v>0</v>
      </c>
      <c r="E24" s="16">
        <f>IFERROR(Waterfall!D6/E19,"")</f>
        <v>0</v>
      </c>
      <c r="F24" s="16">
        <f>IFERROR(Waterfall!D7/F19,"")</f>
        <v>0</v>
      </c>
      <c r="G24" s="16">
        <f>IFERROR(Waterfall!D8/G19,"")</f>
        <v>0</v>
      </c>
      <c r="H24" s="16">
        <f>IFERROR(Waterfall!D9/H19,"")</f>
        <v>0</v>
      </c>
      <c r="I24" s="16">
        <f>IFERROR(Waterfall!D10/I19,"")</f>
        <v>0</v>
      </c>
      <c r="J24" s="16">
        <f>IFERROR(Waterfall!D11/J19,"")</f>
        <v>0</v>
      </c>
      <c r="K24" s="16">
        <f>IFERROR(Waterfall!D12/K19,"")</f>
        <v>0</v>
      </c>
      <c r="L24" s="16">
        <f>IFERROR(Waterfall!D13/L19,"")</f>
        <v>0</v>
      </c>
      <c r="M24" s="16">
        <f>IFERROR(Waterfall!D14/M19,"")</f>
        <v>0</v>
      </c>
      <c r="N24" s="16">
        <f>IFERROR(Waterfall!D15/N19,"")</f>
        <v>1.3888199990079857E-2</v>
      </c>
      <c r="O24" s="16">
        <f>IFERROR(Waterfall!D16/O19,"")</f>
        <v>0</v>
      </c>
      <c r="P24" s="16">
        <f>IFERROR(Waterfall!D17/P19,"")</f>
        <v>0</v>
      </c>
      <c r="Q24" s="16">
        <f>IFERROR(Waterfall!D18/Q19,"")</f>
        <v>0.11553175210405509</v>
      </c>
      <c r="R24" s="16">
        <f>IFERROR(Waterfall!D19/R19,"")</f>
        <v>2.6634382566585957E-2</v>
      </c>
      <c r="S24" s="16">
        <f>IFERROR(Waterfall!D20/S19,"")</f>
        <v>0.16456921587608905</v>
      </c>
      <c r="T24" s="16">
        <f>IFERROR(Waterfall!D21/T19,"")</f>
        <v>1</v>
      </c>
      <c r="U24" s="16">
        <f>IFERROR(Waterfall!D22/U19,"")</f>
        <v>1</v>
      </c>
      <c r="V24" s="16">
        <f>IFERROR(Waterfall!D23/V19,"")</f>
        <v>1</v>
      </c>
      <c r="W24" s="16">
        <f>IFERROR(Waterfall!D24/W19,"")</f>
        <v>0.58628318584070793</v>
      </c>
      <c r="X24" s="16" t="str">
        <f>IFERROR(Waterfall!D25/X19,"")</f>
        <v/>
      </c>
      <c r="Y24" s="16">
        <f>IFERROR(Waterfall!D26/Y19,"")</f>
        <v>1</v>
      </c>
      <c r="Z24" s="16">
        <f>IFERROR(Waterfall!D27/Z19,"")</f>
        <v>0</v>
      </c>
      <c r="AA24" s="16" t="str">
        <f>IFERROR(Waterfall!D28/AA19,"")</f>
        <v/>
      </c>
    </row>
    <row r="27" spans="1:27" x14ac:dyDescent="0.35">
      <c r="A27" s="10" t="s">
        <v>351</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x14ac:dyDescent="0.35">
      <c r="A28" s="13" t="s">
        <v>352</v>
      </c>
    </row>
    <row r="29" spans="1:27" ht="25" customHeight="1" x14ac:dyDescent="0.35">
      <c r="A29" s="27" t="s">
        <v>383</v>
      </c>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spans="1:27" ht="25" customHeight="1" x14ac:dyDescent="0.35">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spans="1:27" ht="25" customHeight="1" x14ac:dyDescent="0.35">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3" spans="1:27" x14ac:dyDescent="0.35">
      <c r="A33" s="13" t="s">
        <v>353</v>
      </c>
    </row>
    <row r="34" spans="1:27" ht="25" customHeight="1" x14ac:dyDescent="0.35">
      <c r="A34" s="27" t="s">
        <v>384</v>
      </c>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spans="1:27" ht="25" customHeight="1" x14ac:dyDescent="0.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spans="1:27" ht="25" customHeight="1" x14ac:dyDescent="0.3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8" spans="1:27" x14ac:dyDescent="0.35">
      <c r="A38" s="13" t="s">
        <v>354</v>
      </c>
    </row>
    <row r="39" spans="1:27" ht="25" customHeight="1" x14ac:dyDescent="0.35">
      <c r="A39" s="27" t="s">
        <v>385</v>
      </c>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spans="1:27" ht="25" customHeight="1" x14ac:dyDescent="0.3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spans="1:27" ht="25" customHeight="1" x14ac:dyDescent="0.3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3" spans="1:27" outlineLevel="1" x14ac:dyDescent="0.35"/>
    <row r="44" spans="1:27" outlineLevel="1" x14ac:dyDescent="0.35"/>
    <row r="45" spans="1:27" outlineLevel="1" x14ac:dyDescent="0.35"/>
    <row r="46" spans="1:27" outlineLevel="1" x14ac:dyDescent="0.35"/>
    <row r="47" spans="1:27" outlineLevel="1" x14ac:dyDescent="0.35"/>
    <row r="48" spans="1:27" outlineLevel="1" x14ac:dyDescent="0.35"/>
    <row r="49" outlineLevel="1" x14ac:dyDescent="0.35"/>
    <row r="50" outlineLevel="1" x14ac:dyDescent="0.35"/>
  </sheetData>
  <mergeCells count="3">
    <mergeCell ref="A29:AA31"/>
    <mergeCell ref="A34:AA36"/>
    <mergeCell ref="A39:AA4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5D656-48C1-499D-A28E-7F647D5CD078}">
  <dimension ref="A1:AA37"/>
  <sheetViews>
    <sheetView tabSelected="1" workbookViewId="0">
      <pane xSplit="1" ySplit="1" topLeftCell="B2" activePane="bottomRight" state="frozen"/>
      <selection pane="topRight" activeCell="B1" sqref="B1"/>
      <selection pane="bottomLeft" activeCell="A2" sqref="A2"/>
      <selection pane="bottomRight" activeCell="J35" sqref="J35"/>
    </sheetView>
  </sheetViews>
  <sheetFormatPr defaultRowHeight="14.5" x14ac:dyDescent="0.35"/>
  <cols>
    <col min="1" max="1" width="40" customWidth="1"/>
  </cols>
  <sheetData>
    <row r="1" spans="1:27" ht="18.5" x14ac:dyDescent="0.45">
      <c r="A1" s="30" t="s">
        <v>355</v>
      </c>
    </row>
    <row r="3" spans="1:27" x14ac:dyDescent="0.35">
      <c r="A3" s="28" t="s">
        <v>356</v>
      </c>
      <c r="B3" s="29"/>
      <c r="C3" s="29"/>
      <c r="D3" s="29"/>
      <c r="E3" s="29"/>
      <c r="F3" s="29"/>
      <c r="G3" s="29"/>
      <c r="H3" s="29"/>
      <c r="I3" s="29"/>
      <c r="J3" s="29"/>
      <c r="K3" s="29"/>
      <c r="L3" s="29"/>
      <c r="M3" s="29"/>
      <c r="N3" s="29"/>
      <c r="O3" s="29"/>
      <c r="P3" s="29"/>
      <c r="Q3" s="29"/>
      <c r="R3" s="29"/>
      <c r="S3" s="29"/>
      <c r="T3" s="29"/>
      <c r="U3" s="29"/>
      <c r="V3" s="29"/>
      <c r="W3" s="29"/>
      <c r="X3" s="29"/>
      <c r="Y3" s="29"/>
      <c r="Z3" s="29"/>
      <c r="AA3" s="29"/>
    </row>
    <row r="4" spans="1:27" x14ac:dyDescent="0.35">
      <c r="A4" s="18" t="s">
        <v>321</v>
      </c>
      <c r="B4" s="19">
        <f>Waterfall!A3</f>
        <v>45292</v>
      </c>
      <c r="C4" s="19">
        <f>Waterfall!A4</f>
        <v>45323</v>
      </c>
      <c r="D4" s="19">
        <f>Waterfall!A5</f>
        <v>45352</v>
      </c>
      <c r="E4" s="19">
        <f>Waterfall!A6</f>
        <v>45383</v>
      </c>
      <c r="F4" s="19">
        <f>Waterfall!A7</f>
        <v>45413</v>
      </c>
      <c r="G4" s="19">
        <f>Waterfall!A8</f>
        <v>45444</v>
      </c>
      <c r="H4" s="19">
        <f>Waterfall!A9</f>
        <v>45474</v>
      </c>
      <c r="I4" s="19">
        <f>Waterfall!A10</f>
        <v>45505</v>
      </c>
      <c r="J4" s="19">
        <f>Waterfall!A11</f>
        <v>45536</v>
      </c>
      <c r="K4" s="19">
        <f>Waterfall!A12</f>
        <v>45566</v>
      </c>
      <c r="L4" s="19">
        <f>Waterfall!A13</f>
        <v>45597</v>
      </c>
      <c r="M4" s="19">
        <f>Waterfall!A14</f>
        <v>45627</v>
      </c>
      <c r="N4" s="19">
        <f>Waterfall!A15</f>
        <v>45658</v>
      </c>
      <c r="O4" s="19">
        <f>Waterfall!A16</f>
        <v>45689</v>
      </c>
      <c r="P4" s="19">
        <f>Waterfall!A17</f>
        <v>45717</v>
      </c>
      <c r="Q4" s="19">
        <f>Waterfall!A18</f>
        <v>45748</v>
      </c>
      <c r="R4" s="19">
        <f>Waterfall!A19</f>
        <v>45778</v>
      </c>
      <c r="S4" s="19">
        <f>Waterfall!A20</f>
        <v>45809</v>
      </c>
      <c r="T4" s="19">
        <f>Waterfall!A21</f>
        <v>45839</v>
      </c>
      <c r="U4" s="19">
        <f>Waterfall!A22</f>
        <v>45870</v>
      </c>
      <c r="V4" s="19">
        <f>Waterfall!A23</f>
        <v>45901</v>
      </c>
      <c r="W4" s="19">
        <f>Waterfall!A24</f>
        <v>45931</v>
      </c>
      <c r="X4" s="19">
        <f>Waterfall!A25</f>
        <v>45962</v>
      </c>
      <c r="Y4" s="19">
        <f>Waterfall!A26</f>
        <v>45992</v>
      </c>
      <c r="Z4" s="19">
        <f>Waterfall!A27</f>
        <v>46023</v>
      </c>
      <c r="AA4" s="19">
        <f>Waterfall!A28</f>
        <v>46054</v>
      </c>
    </row>
    <row r="5" spans="1:27" x14ac:dyDescent="0.35">
      <c r="A5" s="18" t="s">
        <v>357</v>
      </c>
      <c r="B5" s="20">
        <f>Waterfall!B3</f>
        <v>0</v>
      </c>
      <c r="C5" s="20">
        <f>Waterfall!B4</f>
        <v>5800</v>
      </c>
      <c r="D5" s="20">
        <f>Waterfall!B5</f>
        <v>14415</v>
      </c>
      <c r="E5" s="20">
        <f>Waterfall!B6</f>
        <v>20490</v>
      </c>
      <c r="F5" s="20">
        <f>Waterfall!B7</f>
        <v>29934</v>
      </c>
      <c r="G5" s="20">
        <f>Waterfall!B8</f>
        <v>32499</v>
      </c>
      <c r="H5" s="20">
        <f>Waterfall!B9</f>
        <v>35989</v>
      </c>
      <c r="I5" s="20">
        <f>Waterfall!B10</f>
        <v>45353.5</v>
      </c>
      <c r="J5" s="20">
        <f>Waterfall!B11</f>
        <v>50293.5</v>
      </c>
      <c r="K5" s="20">
        <f>Waterfall!B12</f>
        <v>63708.5</v>
      </c>
      <c r="L5" s="20">
        <f>Waterfall!B13</f>
        <v>73838.5</v>
      </c>
      <c r="M5" s="20">
        <f>Waterfall!B14</f>
        <v>78298.5</v>
      </c>
      <c r="N5" s="20">
        <f>Waterfall!B15</f>
        <v>91123.5</v>
      </c>
      <c r="O5" s="20">
        <f>Waterfall!B16</f>
        <v>100754</v>
      </c>
      <c r="P5" s="20">
        <f>Waterfall!B17</f>
        <v>108159</v>
      </c>
      <c r="Q5" s="20">
        <f>Waterfall!B18</f>
        <v>126539.5</v>
      </c>
      <c r="R5" s="20">
        <f>Waterfall!B19</f>
        <v>133074.5</v>
      </c>
      <c r="S5" s="20">
        <f>Waterfall!B20</f>
        <v>143089.5</v>
      </c>
      <c r="T5" s="20">
        <f>Waterfall!B21</f>
        <v>152114.5</v>
      </c>
      <c r="U5" s="20">
        <f>Waterfall!B22</f>
        <v>151014.5</v>
      </c>
      <c r="V5" s="20">
        <f>Waterfall!B23</f>
        <v>148584.5</v>
      </c>
      <c r="W5" s="20">
        <f>Waterfall!B24</f>
        <v>150359.5</v>
      </c>
      <c r="X5" s="20">
        <f>Waterfall!B25</f>
        <v>152619.5</v>
      </c>
      <c r="Y5" s="20">
        <f>Waterfall!B26</f>
        <v>152184</v>
      </c>
      <c r="Z5" s="20">
        <f>Waterfall!B27</f>
        <v>150918.5</v>
      </c>
      <c r="AA5" s="20">
        <f>Waterfall!B28</f>
        <v>152628.5</v>
      </c>
    </row>
    <row r="6" spans="1:27" x14ac:dyDescent="0.35">
      <c r="A6" s="18" t="s">
        <v>358</v>
      </c>
      <c r="B6" s="31" t="str">
        <f>IFERROR(IF(Waterfall!B3=0,"-",1+(Waterfall!E3+Waterfall!F3)/Waterfall!B3),"-")</f>
        <v>-</v>
      </c>
      <c r="C6" s="31">
        <f>IFERROR(IF(Waterfall!B4=0,"-",1+(Waterfall!E4+Waterfall!F4)/Waterfall!B4),"-")</f>
        <v>1</v>
      </c>
      <c r="D6" s="31">
        <f>IFERROR(IF(Waterfall!B5=0,"-",1+(Waterfall!E5+Waterfall!F5)/Waterfall!B5),"-")</f>
        <v>1</v>
      </c>
      <c r="E6" s="31">
        <f>IFERROR(IF(Waterfall!B6=0,"-",1+(Waterfall!E6+Waterfall!F6)/Waterfall!B6),"-")</f>
        <v>1</v>
      </c>
      <c r="F6" s="31">
        <f>IFERROR(IF(Waterfall!B7=0,"-",1+(Waterfall!E7+Waterfall!F7)/Waterfall!B7),"-")</f>
        <v>1</v>
      </c>
      <c r="G6" s="31">
        <f>IFERROR(IF(Waterfall!B8=0,"-",1+(Waterfall!E8+Waterfall!F8)/Waterfall!B8),"-")</f>
        <v>1</v>
      </c>
      <c r="H6" s="31">
        <f>IFERROR(IF(Waterfall!B9=0,"-",1+(Waterfall!E9+Waterfall!F9)/Waterfall!B9),"-")</f>
        <v>1</v>
      </c>
      <c r="I6" s="31">
        <f>IFERROR(IF(Waterfall!B10=0,"-",1+(Waterfall!E10+Waterfall!F10)/Waterfall!B10),"-")</f>
        <v>0.95810687157551233</v>
      </c>
      <c r="J6" s="31">
        <f>IFERROR(IF(Waterfall!B11=0,"-",1+(Waterfall!E11+Waterfall!F11)/Waterfall!B11),"-")</f>
        <v>1</v>
      </c>
      <c r="K6" s="31">
        <f>IFERROR(IF(Waterfall!B12=0,"-",1+(Waterfall!E12+Waterfall!F12)/Waterfall!B12),"-")</f>
        <v>1</v>
      </c>
      <c r="L6" s="31">
        <f>IFERROR(IF(Waterfall!B13=0,"-",1+(Waterfall!E13+Waterfall!F13)/Waterfall!B13),"-")</f>
        <v>0.99329618017700794</v>
      </c>
      <c r="M6" s="31">
        <f>IFERROR(IF(Waterfall!B14=0,"-",1+(Waterfall!E14+Waterfall!F14)/Waterfall!B14),"-")</f>
        <v>0.9733072791943651</v>
      </c>
      <c r="N6" s="31">
        <f>IFERROR(IF(Waterfall!B15=0,"-",1+(Waterfall!E15+Waterfall!F15)/Waterfall!B15),"-")</f>
        <v>0.99506164710530209</v>
      </c>
      <c r="O6" s="31">
        <f>IFERROR(IF(Waterfall!B16=0,"-",1+(Waterfall!E16+Waterfall!F16)/Waterfall!B16),"-")</f>
        <v>1</v>
      </c>
      <c r="P6" s="31">
        <f>IFERROR(IF(Waterfall!B17=0,"-",1+(Waterfall!E17+Waterfall!F17)/Waterfall!B17),"-")</f>
        <v>0.99066651873630485</v>
      </c>
      <c r="Q6" s="31">
        <f>IFERROR(IF(Waterfall!B18=0,"-",1+(Waterfall!E18+Waterfall!F18)/Waterfall!B18),"-")</f>
        <v>1</v>
      </c>
      <c r="R6" s="31">
        <f>IFERROR(IF(Waterfall!B19=0,"-",1+(Waterfall!E19+Waterfall!F19)/Waterfall!B19),"-")</f>
        <v>0.98215285422827059</v>
      </c>
      <c r="S6" s="31">
        <f>IFERROR(IF(Waterfall!B20=0,"-",1+(Waterfall!E20+Waterfall!F20)/Waterfall!B20),"-")</f>
        <v>0.99087983395008017</v>
      </c>
      <c r="T6" s="31">
        <f>IFERROR(IF(Waterfall!B21=0,"-",1+(Waterfall!E21+Waterfall!F21)/Waterfall!B21),"-")</f>
        <v>0.98842976836527752</v>
      </c>
      <c r="U6" s="31">
        <f>IFERROR(IF(Waterfall!B22=0,"-",1+(Waterfall!E22+Waterfall!F22)/Waterfall!B22),"-")</f>
        <v>0.96430806313301043</v>
      </c>
      <c r="V6" s="31">
        <f>IFERROR(IF(Waterfall!B23=0,"-",1+(Waterfall!E23+Waterfall!F23)/Waterfall!B23),"-")</f>
        <v>0.99915872786192372</v>
      </c>
      <c r="W6" s="31">
        <f>IFERROR(IF(Waterfall!B24=0,"-",1+(Waterfall!E24+Waterfall!F24)/Waterfall!B24),"-")</f>
        <v>1</v>
      </c>
      <c r="X6" s="31">
        <f>IFERROR(IF(Waterfall!B25=0,"-",1+(Waterfall!E25+Waterfall!F25)/Waterfall!B25),"-")</f>
        <v>0.99714649831771174</v>
      </c>
      <c r="Y6" s="31">
        <f>IFERROR(IF(Waterfall!B26=0,"-",1+(Waterfall!E26+Waterfall!F26)/Waterfall!B26),"-")</f>
        <v>0.98879317142406564</v>
      </c>
      <c r="Z6" s="31">
        <f>IFERROR(IF(Waterfall!B27=0,"-",1+(Waterfall!E27+Waterfall!F27)/Waterfall!B27),"-")</f>
        <v>1</v>
      </c>
      <c r="AA6" s="31">
        <f>IFERROR(IF(Waterfall!B28=0,"-",1+(Waterfall!E28+Waterfall!F28)/Waterfall!B28),"-")</f>
        <v>0.99610819735501566</v>
      </c>
    </row>
    <row r="7" spans="1:27" x14ac:dyDescent="0.35">
      <c r="A7" s="18" t="s">
        <v>359</v>
      </c>
      <c r="B7" s="31" t="str">
        <f>IFERROR(IF(Waterfall!B3=0,"-",1+(Waterfall!D3+Waterfall!E3+Waterfall!F3)/Waterfall!B3),"-")</f>
        <v>-</v>
      </c>
      <c r="C7" s="31">
        <f>IFERROR(IF(Waterfall!B4=0,"-",1+(Waterfall!D4+Waterfall!E4+Waterfall!F4)/Waterfall!B4),"-")</f>
        <v>1</v>
      </c>
      <c r="D7" s="31">
        <f>IFERROR(IF(Waterfall!B5=0,"-",1+(Waterfall!D5+Waterfall!E5+Waterfall!F5)/Waterfall!B5),"-")</f>
        <v>1</v>
      </c>
      <c r="E7" s="31">
        <f>IFERROR(IF(Waterfall!B6=0,"-",1+(Waterfall!D6+Waterfall!E6+Waterfall!F6)/Waterfall!B6),"-")</f>
        <v>1</v>
      </c>
      <c r="F7" s="31">
        <f>IFERROR(IF(Waterfall!B7=0,"-",1+(Waterfall!D7+Waterfall!E7+Waterfall!F7)/Waterfall!B7),"-")</f>
        <v>1</v>
      </c>
      <c r="G7" s="31">
        <f>IFERROR(IF(Waterfall!B8=0,"-",1+(Waterfall!D8+Waterfall!E8+Waterfall!F8)/Waterfall!B8),"-")</f>
        <v>1</v>
      </c>
      <c r="H7" s="31">
        <f>IFERROR(IF(Waterfall!B9=0,"-",1+(Waterfall!D9+Waterfall!E9+Waterfall!F9)/Waterfall!B9),"-")</f>
        <v>1</v>
      </c>
      <c r="I7" s="31">
        <f>IFERROR(IF(Waterfall!B10=0,"-",1+(Waterfall!D10+Waterfall!E10+Waterfall!F10)/Waterfall!B10),"-")</f>
        <v>0.95810687157551233</v>
      </c>
      <c r="J7" s="31">
        <f>IFERROR(IF(Waterfall!B11=0,"-",1+(Waterfall!D11+Waterfall!E11+Waterfall!F11)/Waterfall!B11),"-")</f>
        <v>1</v>
      </c>
      <c r="K7" s="31">
        <f>IFERROR(IF(Waterfall!B12=0,"-",1+(Waterfall!D12+Waterfall!E12+Waterfall!F12)/Waterfall!B12),"-")</f>
        <v>1</v>
      </c>
      <c r="L7" s="31">
        <f>IFERROR(IF(Waterfall!B13=0,"-",1+(Waterfall!D13+Waterfall!E13+Waterfall!F13)/Waterfall!B13),"-")</f>
        <v>0.99329618017700794</v>
      </c>
      <c r="M7" s="31">
        <f>IFERROR(IF(Waterfall!B14=0,"-",1+(Waterfall!D14+Waterfall!E14+Waterfall!F14)/Waterfall!B14),"-")</f>
        <v>0.9733072791943651</v>
      </c>
      <c r="N7" s="31">
        <f>IFERROR(IF(Waterfall!B15=0,"-",1+(Waterfall!D15+Waterfall!E15+Waterfall!F15)/Waterfall!B15),"-")</f>
        <v>0.99659802356143035</v>
      </c>
      <c r="O7" s="31">
        <f>IFERROR(IF(Waterfall!B16=0,"-",1+(Waterfall!D16+Waterfall!E16+Waterfall!F16)/Waterfall!B16),"-")</f>
        <v>1</v>
      </c>
      <c r="P7" s="31">
        <f>IFERROR(IF(Waterfall!B17=0,"-",1+(Waterfall!D17+Waterfall!E17+Waterfall!F17)/Waterfall!B17),"-")</f>
        <v>0.99066651873630485</v>
      </c>
      <c r="Q7" s="31">
        <f>IFERROR(IF(Waterfall!B18=0,"-",1+(Waterfall!D18+Waterfall!E18+Waterfall!F18)/Waterfall!B18),"-")</f>
        <v>1.005966516384212</v>
      </c>
      <c r="R7" s="31">
        <f>IFERROR(IF(Waterfall!B19=0,"-",1+(Waterfall!D19+Waterfall!E19+Waterfall!F19)/Waterfall!B19),"-")</f>
        <v>0.98463266816707939</v>
      </c>
      <c r="S7" s="31">
        <f>IFERROR(IF(Waterfall!B20=0,"-",1+(Waterfall!D20+Waterfall!E20+Waterfall!F20)/Waterfall!B20),"-")</f>
        <v>1.0027605100304355</v>
      </c>
      <c r="T7" s="31">
        <f>IFERROR(IF(Waterfall!B21=0,"-",1+(Waterfall!D21+Waterfall!E21+Waterfall!F21)/Waterfall!B21),"-")</f>
        <v>0.99276860522829846</v>
      </c>
      <c r="U7" s="31">
        <f>IFERROR(IF(Waterfall!B22=0,"-",1+(Waterfall!D22+Waterfall!E22+Waterfall!F22)/Waterfall!B22),"-")</f>
        <v>0.98390882994679318</v>
      </c>
      <c r="V7" s="31">
        <f>IFERROR(IF(Waterfall!B23=0,"-",1+(Waterfall!D23+Waterfall!E23+Waterfall!F23)/Waterfall!B23),"-")</f>
        <v>1.0119460643606837</v>
      </c>
      <c r="W7" s="31">
        <f>IFERROR(IF(Waterfall!B24=0,"-",1+(Waterfall!D24+Waterfall!E24+Waterfall!F24)/Waterfall!B24),"-")</f>
        <v>1.0088122133952295</v>
      </c>
      <c r="X7" s="31">
        <f>IFERROR(IF(Waterfall!B25=0,"-",1+(Waterfall!D25+Waterfall!E25+Waterfall!F25)/Waterfall!B25),"-")</f>
        <v>0.99714649831771174</v>
      </c>
      <c r="Y7" s="31">
        <f>IFERROR(IF(Waterfall!B26=0,"-",1+(Waterfall!D26+Waterfall!E26+Waterfall!F26)/Waterfall!B26),"-")</f>
        <v>0.99168440834778948</v>
      </c>
      <c r="Z7" s="31">
        <f>IFERROR(IF(Waterfall!B27=0,"-",1+(Waterfall!D27+Waterfall!E27+Waterfall!F27)/Waterfall!B27),"-")</f>
        <v>1</v>
      </c>
      <c r="AA7" s="31">
        <f>IFERROR(IF(Waterfall!B28=0,"-",1+(Waterfall!D28+Waterfall!E28+Waterfall!F28)/Waterfall!B28),"-")</f>
        <v>0.99610819735501566</v>
      </c>
    </row>
    <row r="9" spans="1:27" x14ac:dyDescent="0.35">
      <c r="A9" s="28" t="s">
        <v>360</v>
      </c>
      <c r="B9" s="29"/>
      <c r="C9" s="29"/>
      <c r="D9" s="29"/>
      <c r="E9" s="29"/>
      <c r="F9" s="29"/>
      <c r="G9" s="29"/>
      <c r="H9" s="29"/>
      <c r="I9" s="29"/>
      <c r="J9" s="29"/>
      <c r="K9" s="29"/>
      <c r="L9" s="29"/>
      <c r="M9" s="29"/>
      <c r="N9" s="29"/>
      <c r="O9" s="29"/>
      <c r="P9" s="29"/>
      <c r="Q9" s="29"/>
      <c r="R9" s="29"/>
      <c r="S9" s="29"/>
      <c r="T9" s="29"/>
      <c r="U9" s="29"/>
      <c r="V9" s="29"/>
      <c r="W9" s="29"/>
      <c r="X9" s="29"/>
      <c r="Y9" s="29"/>
      <c r="Z9" s="29"/>
      <c r="AA9" s="29"/>
    </row>
    <row r="10" spans="1:27" x14ac:dyDescent="0.35">
      <c r="A10" s="18" t="s">
        <v>321</v>
      </c>
      <c r="B10" s="19">
        <f t="shared" ref="B10:AA10" si="0">B4</f>
        <v>45292</v>
      </c>
      <c r="C10" s="19">
        <f t="shared" si="0"/>
        <v>45323</v>
      </c>
      <c r="D10" s="19">
        <f t="shared" si="0"/>
        <v>45352</v>
      </c>
      <c r="E10" s="19">
        <f t="shared" si="0"/>
        <v>45383</v>
      </c>
      <c r="F10" s="19">
        <f t="shared" si="0"/>
        <v>45413</v>
      </c>
      <c r="G10" s="19">
        <f t="shared" si="0"/>
        <v>45444</v>
      </c>
      <c r="H10" s="19">
        <f t="shared" si="0"/>
        <v>45474</v>
      </c>
      <c r="I10" s="19">
        <f t="shared" si="0"/>
        <v>45505</v>
      </c>
      <c r="J10" s="19">
        <f t="shared" si="0"/>
        <v>45536</v>
      </c>
      <c r="K10" s="19">
        <f t="shared" si="0"/>
        <v>45566</v>
      </c>
      <c r="L10" s="19">
        <f t="shared" si="0"/>
        <v>45597</v>
      </c>
      <c r="M10" s="19">
        <f t="shared" si="0"/>
        <v>45627</v>
      </c>
      <c r="N10" s="19">
        <f t="shared" si="0"/>
        <v>45658</v>
      </c>
      <c r="O10" s="19">
        <f t="shared" si="0"/>
        <v>45689</v>
      </c>
      <c r="P10" s="19">
        <f t="shared" si="0"/>
        <v>45717</v>
      </c>
      <c r="Q10" s="19">
        <f t="shared" si="0"/>
        <v>45748</v>
      </c>
      <c r="R10" s="19">
        <f t="shared" si="0"/>
        <v>45778</v>
      </c>
      <c r="S10" s="19">
        <f t="shared" si="0"/>
        <v>45809</v>
      </c>
      <c r="T10" s="19">
        <f t="shared" si="0"/>
        <v>45839</v>
      </c>
      <c r="U10" s="19">
        <f t="shared" si="0"/>
        <v>45870</v>
      </c>
      <c r="V10" s="19">
        <f t="shared" si="0"/>
        <v>45901</v>
      </c>
      <c r="W10" s="19">
        <f t="shared" si="0"/>
        <v>45931</v>
      </c>
      <c r="X10" s="19">
        <f t="shared" si="0"/>
        <v>45962</v>
      </c>
      <c r="Y10" s="19">
        <f t="shared" si="0"/>
        <v>45992</v>
      </c>
      <c r="Z10" s="19">
        <f t="shared" si="0"/>
        <v>46023</v>
      </c>
      <c r="AA10" s="19">
        <f t="shared" si="0"/>
        <v>46054</v>
      </c>
    </row>
    <row r="11" spans="1:27" x14ac:dyDescent="0.35">
      <c r="A11" s="18" t="s">
        <v>361</v>
      </c>
      <c r="B11" s="31" t="str">
        <f>IFERROR(IF(Waterfall!B3=0,"-",-Waterfall!F3/Waterfall!B3),"-")</f>
        <v>-</v>
      </c>
      <c r="C11" s="31">
        <f>IFERROR(IF(Waterfall!B4=0,"-",-Waterfall!F4/Waterfall!B4),"-")</f>
        <v>0</v>
      </c>
      <c r="D11" s="31">
        <f>IFERROR(IF(Waterfall!B5=0,"-",-Waterfall!F5/Waterfall!B5),"-")</f>
        <v>0</v>
      </c>
      <c r="E11" s="31">
        <f>IFERROR(IF(Waterfall!B6=0,"-",-Waterfall!F6/Waterfall!B6),"-")</f>
        <v>0</v>
      </c>
      <c r="F11" s="31">
        <f>IFERROR(IF(Waterfall!B7=0,"-",-Waterfall!F7/Waterfall!B7),"-")</f>
        <v>0</v>
      </c>
      <c r="G11" s="31">
        <f>IFERROR(IF(Waterfall!B8=0,"-",-Waterfall!F8/Waterfall!B8),"-")</f>
        <v>0</v>
      </c>
      <c r="H11" s="31">
        <f>IFERROR(IF(Waterfall!B9=0,"-",-Waterfall!F9/Waterfall!B9),"-")</f>
        <v>0</v>
      </c>
      <c r="I11" s="31">
        <f>IFERROR(IF(Waterfall!B10=0,"-",-Waterfall!F10/Waterfall!B10),"-")</f>
        <v>4.1893128424487634E-2</v>
      </c>
      <c r="J11" s="31">
        <f>IFERROR(IF(Waterfall!B11=0,"-",-Waterfall!F11/Waterfall!B11),"-")</f>
        <v>0</v>
      </c>
      <c r="K11" s="31">
        <f>IFERROR(IF(Waterfall!B12=0,"-",-Waterfall!F12/Waterfall!B12),"-")</f>
        <v>0</v>
      </c>
      <c r="L11" s="31">
        <f>IFERROR(IF(Waterfall!B13=0,"-",-Waterfall!F13/Waterfall!B13),"-")</f>
        <v>6.7038198229920709E-3</v>
      </c>
      <c r="M11" s="31">
        <f>IFERROR(IF(Waterfall!B14=0,"-",-Waterfall!F14/Waterfall!B14),"-")</f>
        <v>2.6692720805634847E-2</v>
      </c>
      <c r="N11" s="31">
        <f>IFERROR(IF(Waterfall!B15=0,"-",-Waterfall!F15/Waterfall!B15),"-")</f>
        <v>4.9383528946978549E-3</v>
      </c>
      <c r="O11" s="31">
        <f>IFERROR(IF(Waterfall!B16=0,"-",-Waterfall!F16/Waterfall!B16),"-")</f>
        <v>0</v>
      </c>
      <c r="P11" s="31">
        <f>IFERROR(IF(Waterfall!B17=0,"-",-Waterfall!F17/Waterfall!B17),"-")</f>
        <v>0</v>
      </c>
      <c r="Q11" s="31">
        <f>IFERROR(IF(Waterfall!B18=0,"-",-Waterfall!F18/Waterfall!B18),"-")</f>
        <v>0</v>
      </c>
      <c r="R11" s="31">
        <f>IFERROR(IF(Waterfall!B19=0,"-",-Waterfall!F19/Waterfall!B19),"-")</f>
        <v>1.784714577172937E-2</v>
      </c>
      <c r="S11" s="31">
        <f>IFERROR(IF(Waterfall!B20=0,"-",-Waterfall!F20/Waterfall!B20),"-")</f>
        <v>9.1201660499198051E-3</v>
      </c>
      <c r="T11" s="31">
        <f>IFERROR(IF(Waterfall!B21=0,"-",-Waterfall!F21/Waterfall!B21),"-")</f>
        <v>1.1570231634722528E-2</v>
      </c>
      <c r="U11" s="31">
        <f>IFERROR(IF(Waterfall!B22=0,"-",-Waterfall!F22/Waterfall!B22),"-")</f>
        <v>3.0990401583953858E-2</v>
      </c>
      <c r="V11" s="31">
        <f>IFERROR(IF(Waterfall!B23=0,"-",-Waterfall!F23/Waterfall!B23),"-")</f>
        <v>0</v>
      </c>
      <c r="W11" s="31">
        <f>IFERROR(IF(Waterfall!B24=0,"-",-Waterfall!F24/Waterfall!B24),"-")</f>
        <v>0</v>
      </c>
      <c r="X11" s="31">
        <f>IFERROR(IF(Waterfall!B25=0,"-",-Waterfall!F25/Waterfall!B25),"-")</f>
        <v>0</v>
      </c>
      <c r="Y11" s="31">
        <f>IFERROR(IF(Waterfall!B26=0,"-",-Waterfall!F26/Waterfall!B26),"-")</f>
        <v>1.0674578142248857E-2</v>
      </c>
      <c r="Z11" s="31">
        <f>IFERROR(IF(Waterfall!B27=0,"-",-Waterfall!F27/Waterfall!B27),"-")</f>
        <v>0</v>
      </c>
      <c r="AA11" s="31">
        <f>IFERROR(IF(Waterfall!B28=0,"-",-Waterfall!F28/Waterfall!B28),"-")</f>
        <v>3.8918026449843903E-3</v>
      </c>
    </row>
    <row r="12" spans="1:27" x14ac:dyDescent="0.35">
      <c r="A12" s="18" t="s">
        <v>362</v>
      </c>
      <c r="B12" s="31" t="str">
        <f>IFERROR(IF(Waterfall!B3=0,"-",-(Waterfall!E3+Waterfall!F3)/Waterfall!B3),"-")</f>
        <v>-</v>
      </c>
      <c r="C12" s="31">
        <f>IFERROR(IF(Waterfall!B4=0,"-",-(Waterfall!E4+Waterfall!F4)/Waterfall!B4),"-")</f>
        <v>0</v>
      </c>
      <c r="D12" s="31">
        <f>IFERROR(IF(Waterfall!B5=0,"-",-(Waterfall!E5+Waterfall!F5)/Waterfall!B5),"-")</f>
        <v>0</v>
      </c>
      <c r="E12" s="31">
        <f>IFERROR(IF(Waterfall!B6=0,"-",-(Waterfall!E6+Waterfall!F6)/Waterfall!B6),"-")</f>
        <v>0</v>
      </c>
      <c r="F12" s="31">
        <f>IFERROR(IF(Waterfall!B7=0,"-",-(Waterfall!E7+Waterfall!F7)/Waterfall!B7),"-")</f>
        <v>0</v>
      </c>
      <c r="G12" s="31">
        <f>IFERROR(IF(Waterfall!B8=0,"-",-(Waterfall!E8+Waterfall!F8)/Waterfall!B8),"-")</f>
        <v>0</v>
      </c>
      <c r="H12" s="31">
        <f>IFERROR(IF(Waterfall!B9=0,"-",-(Waterfall!E9+Waterfall!F9)/Waterfall!B9),"-")</f>
        <v>0</v>
      </c>
      <c r="I12" s="31">
        <f>IFERROR(IF(Waterfall!B10=0,"-",-(Waterfall!E10+Waterfall!F10)/Waterfall!B10),"-")</f>
        <v>4.1893128424487634E-2</v>
      </c>
      <c r="J12" s="31">
        <f>IFERROR(IF(Waterfall!B11=0,"-",-(Waterfall!E11+Waterfall!F11)/Waterfall!B11),"-")</f>
        <v>0</v>
      </c>
      <c r="K12" s="31">
        <f>IFERROR(IF(Waterfall!B12=0,"-",-(Waterfall!E12+Waterfall!F12)/Waterfall!B12),"-")</f>
        <v>0</v>
      </c>
      <c r="L12" s="31">
        <f>IFERROR(IF(Waterfall!B13=0,"-",-(Waterfall!E13+Waterfall!F13)/Waterfall!B13),"-")</f>
        <v>6.7038198229920709E-3</v>
      </c>
      <c r="M12" s="31">
        <f>IFERROR(IF(Waterfall!B14=0,"-",-(Waterfall!E14+Waterfall!F14)/Waterfall!B14),"-")</f>
        <v>2.6692720805634847E-2</v>
      </c>
      <c r="N12" s="31">
        <f>IFERROR(IF(Waterfall!B15=0,"-",-(Waterfall!E15+Waterfall!F15)/Waterfall!B15),"-")</f>
        <v>4.9383528946978549E-3</v>
      </c>
      <c r="O12" s="31">
        <f>IFERROR(IF(Waterfall!B16=0,"-",-(Waterfall!E16+Waterfall!F16)/Waterfall!B16),"-")</f>
        <v>0</v>
      </c>
      <c r="P12" s="31">
        <f>IFERROR(IF(Waterfall!B17=0,"-",-(Waterfall!E17+Waterfall!F17)/Waterfall!B17),"-")</f>
        <v>9.3334812636951155E-3</v>
      </c>
      <c r="Q12" s="31">
        <f>IFERROR(IF(Waterfall!B18=0,"-",-(Waterfall!E18+Waterfall!F18)/Waterfall!B18),"-")</f>
        <v>0</v>
      </c>
      <c r="R12" s="31">
        <f>IFERROR(IF(Waterfall!B19=0,"-",-(Waterfall!E19+Waterfall!F19)/Waterfall!B19),"-")</f>
        <v>1.784714577172937E-2</v>
      </c>
      <c r="S12" s="31">
        <f>IFERROR(IF(Waterfall!B20=0,"-",-(Waterfall!E20+Waterfall!F20)/Waterfall!B20),"-")</f>
        <v>9.1201660499198051E-3</v>
      </c>
      <c r="T12" s="31">
        <f>IFERROR(IF(Waterfall!B21=0,"-",-(Waterfall!E21+Waterfall!F21)/Waterfall!B21),"-")</f>
        <v>1.1570231634722528E-2</v>
      </c>
      <c r="U12" s="31">
        <f>IFERROR(IF(Waterfall!B22=0,"-",-(Waterfall!E22+Waterfall!F22)/Waterfall!B22),"-")</f>
        <v>3.5691936866989592E-2</v>
      </c>
      <c r="V12" s="31">
        <f>IFERROR(IF(Waterfall!B23=0,"-",-(Waterfall!E23+Waterfall!F23)/Waterfall!B23),"-")</f>
        <v>8.4127213807631352E-4</v>
      </c>
      <c r="W12" s="31">
        <f>IFERROR(IF(Waterfall!B24=0,"-",-(Waterfall!E24+Waterfall!F24)/Waterfall!B24),"-")</f>
        <v>0</v>
      </c>
      <c r="X12" s="31">
        <f>IFERROR(IF(Waterfall!B25=0,"-",-(Waterfall!E25+Waterfall!F25)/Waterfall!B25),"-")</f>
        <v>2.8535016822883053E-3</v>
      </c>
      <c r="Y12" s="31">
        <f>IFERROR(IF(Waterfall!B26=0,"-",-(Waterfall!E26+Waterfall!F26)/Waterfall!B26),"-")</f>
        <v>1.1206828575934396E-2</v>
      </c>
      <c r="Z12" s="31">
        <f>IFERROR(IF(Waterfall!B27=0,"-",-(Waterfall!E27+Waterfall!F27)/Waterfall!B27),"-")</f>
        <v>0</v>
      </c>
      <c r="AA12" s="31">
        <f>IFERROR(IF(Waterfall!B28=0,"-",-(Waterfall!E28+Waterfall!F28)/Waterfall!B28),"-")</f>
        <v>3.8918026449843903E-3</v>
      </c>
    </row>
    <row r="14" spans="1:27" x14ac:dyDescent="0.35">
      <c r="A14" s="28" t="s">
        <v>363</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row>
    <row r="15" spans="1:27" x14ac:dyDescent="0.35">
      <c r="A15" s="18" t="s">
        <v>321</v>
      </c>
      <c r="B15" s="19">
        <f t="shared" ref="B15:AA15" si="1">B4</f>
        <v>45292</v>
      </c>
      <c r="C15" s="19">
        <f t="shared" si="1"/>
        <v>45323</v>
      </c>
      <c r="D15" s="19">
        <f t="shared" si="1"/>
        <v>45352</v>
      </c>
      <c r="E15" s="19">
        <f t="shared" si="1"/>
        <v>45383</v>
      </c>
      <c r="F15" s="19">
        <f t="shared" si="1"/>
        <v>45413</v>
      </c>
      <c r="G15" s="19">
        <f t="shared" si="1"/>
        <v>45444</v>
      </c>
      <c r="H15" s="19">
        <f t="shared" si="1"/>
        <v>45474</v>
      </c>
      <c r="I15" s="19">
        <f t="shared" si="1"/>
        <v>45505</v>
      </c>
      <c r="J15" s="19">
        <f t="shared" si="1"/>
        <v>45536</v>
      </c>
      <c r="K15" s="19">
        <f t="shared" si="1"/>
        <v>45566</v>
      </c>
      <c r="L15" s="19">
        <f t="shared" si="1"/>
        <v>45597</v>
      </c>
      <c r="M15" s="19">
        <f t="shared" si="1"/>
        <v>45627</v>
      </c>
      <c r="N15" s="19">
        <f t="shared" si="1"/>
        <v>45658</v>
      </c>
      <c r="O15" s="19">
        <f t="shared" si="1"/>
        <v>45689</v>
      </c>
      <c r="P15" s="19">
        <f t="shared" si="1"/>
        <v>45717</v>
      </c>
      <c r="Q15" s="19">
        <f t="shared" si="1"/>
        <v>45748</v>
      </c>
      <c r="R15" s="19">
        <f t="shared" si="1"/>
        <v>45778</v>
      </c>
      <c r="S15" s="19">
        <f t="shared" si="1"/>
        <v>45809</v>
      </c>
      <c r="T15" s="19">
        <f t="shared" si="1"/>
        <v>45839</v>
      </c>
      <c r="U15" s="19">
        <f t="shared" si="1"/>
        <v>45870</v>
      </c>
      <c r="V15" s="19">
        <f t="shared" si="1"/>
        <v>45901</v>
      </c>
      <c r="W15" s="19">
        <f t="shared" si="1"/>
        <v>45931</v>
      </c>
      <c r="X15" s="19">
        <f t="shared" si="1"/>
        <v>45962</v>
      </c>
      <c r="Y15" s="19">
        <f t="shared" si="1"/>
        <v>45992</v>
      </c>
      <c r="Z15" s="19">
        <f t="shared" si="1"/>
        <v>46023</v>
      </c>
      <c r="AA15" s="19">
        <f t="shared" si="1"/>
        <v>46054</v>
      </c>
    </row>
    <row r="16" spans="1:27" x14ac:dyDescent="0.35">
      <c r="A16" s="18" t="s">
        <v>364</v>
      </c>
      <c r="B16" s="22">
        <v>0</v>
      </c>
      <c r="C16" s="22">
        <f>B16+COUNTIFS(Engine!$H$2:$H$98,"created",Engine!$F$2:$F$98,B15)-COUNTIFS(Engine!$H$2:$H$98,"cancelled",Engine!$F$2:$F$98,B15)</f>
        <v>2</v>
      </c>
      <c r="D16" s="22">
        <f>C16+COUNTIFS(Engine!$H$2:$H$98,"created",Engine!$F$2:$F$98,C15)-COUNTIFS(Engine!$H$2:$H$98,"cancelled",Engine!$F$2:$F$98,C15)</f>
        <v>5</v>
      </c>
      <c r="E16" s="22">
        <f>D16+COUNTIFS(Engine!$H$2:$H$98,"created",Engine!$F$2:$F$98,D15)-COUNTIFS(Engine!$H$2:$H$98,"cancelled",Engine!$F$2:$F$98,D15)</f>
        <v>7</v>
      </c>
      <c r="F16" s="22">
        <f>E16+COUNTIFS(Engine!$H$2:$H$98,"created",Engine!$F$2:$F$98,E15)-COUNTIFS(Engine!$H$2:$H$98,"cancelled",Engine!$F$2:$F$98,E15)</f>
        <v>11</v>
      </c>
      <c r="G16" s="22">
        <f>F16+COUNTIFS(Engine!$H$2:$H$98,"created",Engine!$F$2:$F$98,F15)-COUNTIFS(Engine!$H$2:$H$98,"cancelled",Engine!$F$2:$F$98,F15)</f>
        <v>13</v>
      </c>
      <c r="H16" s="22">
        <f>G16+COUNTIFS(Engine!$H$2:$H$98,"created",Engine!$F$2:$F$98,G15)-COUNTIFS(Engine!$H$2:$H$98,"cancelled",Engine!$F$2:$F$98,G15)</f>
        <v>16</v>
      </c>
      <c r="I16" s="22">
        <f>H16+COUNTIFS(Engine!$H$2:$H$98,"created",Engine!$F$2:$F$98,H15)-COUNTIFS(Engine!$H$2:$H$98,"cancelled",Engine!$F$2:$F$98,H15)</f>
        <v>20</v>
      </c>
      <c r="J16" s="22">
        <f>I16+COUNTIFS(Engine!$H$2:$H$98,"created",Engine!$F$2:$F$98,I15)-COUNTIFS(Engine!$H$2:$H$98,"cancelled",Engine!$F$2:$F$98,I15)</f>
        <v>21</v>
      </c>
      <c r="K16" s="22">
        <f>J16+COUNTIFS(Engine!$H$2:$H$98,"created",Engine!$F$2:$F$98,J15)-COUNTIFS(Engine!$H$2:$H$98,"cancelled",Engine!$F$2:$F$98,J15)</f>
        <v>26</v>
      </c>
      <c r="L16" s="22">
        <f>K16+COUNTIFS(Engine!$H$2:$H$98,"created",Engine!$F$2:$F$98,K15)-COUNTIFS(Engine!$H$2:$H$98,"cancelled",Engine!$F$2:$F$98,K15)</f>
        <v>29</v>
      </c>
      <c r="M16" s="22">
        <f>L16+COUNTIFS(Engine!$H$2:$H$98,"created",Engine!$F$2:$F$98,L15)-COUNTIFS(Engine!$H$2:$H$98,"cancelled",Engine!$F$2:$F$98,L15)</f>
        <v>31</v>
      </c>
      <c r="N16" s="22">
        <f>M16+COUNTIFS(Engine!$H$2:$H$98,"created",Engine!$F$2:$F$98,M15)-COUNTIFS(Engine!$H$2:$H$98,"cancelled",Engine!$F$2:$F$98,M15)</f>
        <v>34</v>
      </c>
      <c r="O16" s="22">
        <f>N16+COUNTIFS(Engine!$H$2:$H$98,"created",Engine!$F$2:$F$98,N15)-COUNTIFS(Engine!$H$2:$H$98,"cancelled",Engine!$F$2:$F$98,N15)</f>
        <v>37</v>
      </c>
      <c r="P16" s="22">
        <f>O16+COUNTIFS(Engine!$H$2:$H$98,"created",Engine!$F$2:$F$98,O15)-COUNTIFS(Engine!$H$2:$H$98,"cancelled",Engine!$F$2:$F$98,O15)</f>
        <v>41</v>
      </c>
      <c r="Q16" s="22">
        <f>P16+COUNTIFS(Engine!$H$2:$H$98,"created",Engine!$F$2:$F$98,P15)-COUNTIFS(Engine!$H$2:$H$98,"cancelled",Engine!$F$2:$F$98,P15)</f>
        <v>46</v>
      </c>
      <c r="R16" s="22">
        <f>Q16+COUNTIFS(Engine!$H$2:$H$98,"created",Engine!$F$2:$F$98,Q15)-COUNTIFS(Engine!$H$2:$H$98,"cancelled",Engine!$F$2:$F$98,Q15)</f>
        <v>49</v>
      </c>
      <c r="S16" s="22">
        <f>R16+COUNTIFS(Engine!$H$2:$H$98,"created",Engine!$F$2:$F$98,R15)-COUNTIFS(Engine!$H$2:$H$98,"cancelled",Engine!$F$2:$F$98,R15)</f>
        <v>52</v>
      </c>
      <c r="T16" s="22">
        <f>S16+COUNTIFS(Engine!$H$2:$H$98,"created",Engine!$F$2:$F$98,S15)-COUNTIFS(Engine!$H$2:$H$98,"cancelled",Engine!$F$2:$F$98,S15)</f>
        <v>53</v>
      </c>
      <c r="U16" s="22">
        <f>T16+COUNTIFS(Engine!$H$2:$H$98,"created",Engine!$F$2:$F$98,T15)-COUNTIFS(Engine!$H$2:$H$98,"cancelled",Engine!$F$2:$F$98,T15)</f>
        <v>52</v>
      </c>
      <c r="V16" s="22">
        <f>U16+COUNTIFS(Engine!$H$2:$H$98,"created",Engine!$F$2:$F$98,U15)-COUNTIFS(Engine!$H$2:$H$98,"cancelled",Engine!$F$2:$F$98,U15)</f>
        <v>51</v>
      </c>
      <c r="W16" s="22">
        <f>V16+COUNTIFS(Engine!$H$2:$H$98,"created",Engine!$F$2:$F$98,V15)-COUNTIFS(Engine!$H$2:$H$98,"cancelled",Engine!$F$2:$F$98,V15)</f>
        <v>51</v>
      </c>
      <c r="X16" s="22">
        <f>W16+COUNTIFS(Engine!$H$2:$H$98,"created",Engine!$F$2:$F$98,W15)-COUNTIFS(Engine!$H$2:$H$98,"cancelled",Engine!$F$2:$F$98,W15)</f>
        <v>52</v>
      </c>
      <c r="Y16" s="22">
        <f>X16+COUNTIFS(Engine!$H$2:$H$98,"created",Engine!$F$2:$F$98,X15)-COUNTIFS(Engine!$H$2:$H$98,"cancelled",Engine!$F$2:$F$98,X15)</f>
        <v>52</v>
      </c>
      <c r="Z16" s="22">
        <f>Y16+COUNTIFS(Engine!$H$2:$H$98,"created",Engine!$F$2:$F$98,Y15)-COUNTIFS(Engine!$H$2:$H$98,"cancelled",Engine!$F$2:$F$98,Y15)</f>
        <v>51</v>
      </c>
      <c r="AA16" s="22">
        <f>Z16+COUNTIFS(Engine!$H$2:$H$98,"created",Engine!$F$2:$F$98,Z15)-COUNTIFS(Engine!$H$2:$H$98,"cancelled",Engine!$F$2:$F$98,Z15)</f>
        <v>52</v>
      </c>
    </row>
    <row r="17" spans="1:27" x14ac:dyDescent="0.35">
      <c r="A17" s="18" t="s">
        <v>365</v>
      </c>
      <c r="B17" s="22">
        <f>COUNTIFS(Engine!$H$2:$H$98,"cancelled",Engine!$F$2:$F$98,B15)</f>
        <v>0</v>
      </c>
      <c r="C17" s="22">
        <f>COUNTIFS(Engine!$H$2:$H$98,"cancelled",Engine!$F$2:$F$98,C15)</f>
        <v>0</v>
      </c>
      <c r="D17" s="22">
        <f>COUNTIFS(Engine!$H$2:$H$98,"cancelled",Engine!$F$2:$F$98,D15)</f>
        <v>0</v>
      </c>
      <c r="E17" s="22">
        <f>COUNTIFS(Engine!$H$2:$H$98,"cancelled",Engine!$F$2:$F$98,E15)</f>
        <v>0</v>
      </c>
      <c r="F17" s="22">
        <f>COUNTIFS(Engine!$H$2:$H$98,"cancelled",Engine!$F$2:$F$98,F15)</f>
        <v>0</v>
      </c>
      <c r="G17" s="22">
        <f>COUNTIFS(Engine!$H$2:$H$98,"cancelled",Engine!$F$2:$F$98,G15)</f>
        <v>0</v>
      </c>
      <c r="H17" s="22">
        <f>COUNTIFS(Engine!$H$2:$H$98,"cancelled",Engine!$F$2:$F$98,H15)</f>
        <v>0</v>
      </c>
      <c r="I17" s="22">
        <f>COUNTIFS(Engine!$H$2:$H$98,"cancelled",Engine!$F$2:$F$98,I15)</f>
        <v>1</v>
      </c>
      <c r="J17" s="22">
        <f>COUNTIFS(Engine!$H$2:$H$98,"cancelled",Engine!$F$2:$F$98,J15)</f>
        <v>0</v>
      </c>
      <c r="K17" s="22">
        <f>COUNTIFS(Engine!$H$2:$H$98,"cancelled",Engine!$F$2:$F$98,K15)</f>
        <v>0</v>
      </c>
      <c r="L17" s="22">
        <f>COUNTIFS(Engine!$H$2:$H$98,"cancelled",Engine!$F$2:$F$98,L15)</f>
        <v>1</v>
      </c>
      <c r="M17" s="22">
        <f>COUNTIFS(Engine!$H$2:$H$98,"cancelled",Engine!$F$2:$F$98,M15)</f>
        <v>1</v>
      </c>
      <c r="N17" s="22">
        <f>COUNTIFS(Engine!$H$2:$H$98,"cancelled",Engine!$F$2:$F$98,N15)</f>
        <v>1</v>
      </c>
      <c r="O17" s="22">
        <f>COUNTIFS(Engine!$H$2:$H$98,"cancelled",Engine!$F$2:$F$98,O15)</f>
        <v>0</v>
      </c>
      <c r="P17" s="22">
        <f>COUNTIFS(Engine!$H$2:$H$98,"cancelled",Engine!$F$2:$F$98,P15)</f>
        <v>0</v>
      </c>
      <c r="Q17" s="22">
        <f>COUNTIFS(Engine!$H$2:$H$98,"cancelled",Engine!$F$2:$F$98,Q15)</f>
        <v>0</v>
      </c>
      <c r="R17" s="22">
        <f>COUNTIFS(Engine!$H$2:$H$98,"cancelled",Engine!$F$2:$F$98,R15)</f>
        <v>1</v>
      </c>
      <c r="S17" s="22">
        <f>COUNTIFS(Engine!$H$2:$H$98,"cancelled",Engine!$F$2:$F$98,S15)</f>
        <v>2</v>
      </c>
      <c r="T17" s="22">
        <f>COUNTIFS(Engine!$H$2:$H$98,"cancelled",Engine!$F$2:$F$98,T15)</f>
        <v>1</v>
      </c>
      <c r="U17" s="22">
        <f>COUNTIFS(Engine!$H$2:$H$98,"cancelled",Engine!$F$2:$F$98,U15)</f>
        <v>1</v>
      </c>
      <c r="V17" s="22">
        <f>COUNTIFS(Engine!$H$2:$H$98,"cancelled",Engine!$F$2:$F$98,V15)</f>
        <v>0</v>
      </c>
      <c r="W17" s="22">
        <f>COUNTIFS(Engine!$H$2:$H$98,"cancelled",Engine!$F$2:$F$98,W15)</f>
        <v>0</v>
      </c>
      <c r="X17" s="22">
        <f>COUNTIFS(Engine!$H$2:$H$98,"cancelled",Engine!$F$2:$F$98,X15)</f>
        <v>0</v>
      </c>
      <c r="Y17" s="22">
        <f>COUNTIFS(Engine!$H$2:$H$98,"cancelled",Engine!$F$2:$F$98,Y15)</f>
        <v>1</v>
      </c>
      <c r="Z17" s="22">
        <f>COUNTIFS(Engine!$H$2:$H$98,"cancelled",Engine!$F$2:$F$98,Z15)</f>
        <v>0</v>
      </c>
      <c r="AA17" s="22">
        <f>COUNTIFS(Engine!$H$2:$H$98,"cancelled",Engine!$F$2:$F$98,AA15)</f>
        <v>1</v>
      </c>
    </row>
    <row r="18" spans="1:27" x14ac:dyDescent="0.35">
      <c r="A18" s="18" t="s">
        <v>366</v>
      </c>
      <c r="B18" s="31" t="str">
        <f>IFERROR(IF(B16=0,"-",B17/B16),"-")</f>
        <v>-</v>
      </c>
      <c r="C18" s="31">
        <f>IFERROR(IF(C16=0,"-",C17/C16),"-")</f>
        <v>0</v>
      </c>
      <c r="D18" s="31">
        <f>IFERROR(IF(D16=0,"-",D17/D16),"-")</f>
        <v>0</v>
      </c>
      <c r="E18" s="31">
        <f>IFERROR(IF(E16=0,"-",E17/E16),"-")</f>
        <v>0</v>
      </c>
      <c r="F18" s="31">
        <f>IFERROR(IF(F16=0,"-",F17/F16),"-")</f>
        <v>0</v>
      </c>
      <c r="G18" s="31">
        <f>IFERROR(IF(G16=0,"-",G17/G16),"-")</f>
        <v>0</v>
      </c>
      <c r="H18" s="31">
        <f>IFERROR(IF(H16=0,"-",H17/H16),"-")</f>
        <v>0</v>
      </c>
      <c r="I18" s="31">
        <f>IFERROR(IF(I16=0,"-",I17/I16),"-")</f>
        <v>0.05</v>
      </c>
      <c r="J18" s="31">
        <f>IFERROR(IF(J16=0,"-",J17/J16),"-")</f>
        <v>0</v>
      </c>
      <c r="K18" s="31">
        <f>IFERROR(IF(K16=0,"-",K17/K16),"-")</f>
        <v>0</v>
      </c>
      <c r="L18" s="31">
        <f>IFERROR(IF(L16=0,"-",L17/L16),"-")</f>
        <v>3.4482758620689655E-2</v>
      </c>
      <c r="M18" s="31">
        <f>IFERROR(IF(M16=0,"-",M17/M16),"-")</f>
        <v>3.2258064516129031E-2</v>
      </c>
      <c r="N18" s="31">
        <f>IFERROR(IF(N16=0,"-",N17/N16),"-")</f>
        <v>2.9411764705882353E-2</v>
      </c>
      <c r="O18" s="31">
        <f>IFERROR(IF(O16=0,"-",O17/O16),"-")</f>
        <v>0</v>
      </c>
      <c r="P18" s="31">
        <f>IFERROR(IF(P16=0,"-",P17/P16),"-")</f>
        <v>0</v>
      </c>
      <c r="Q18" s="31">
        <f>IFERROR(IF(Q16=0,"-",Q17/Q16),"-")</f>
        <v>0</v>
      </c>
      <c r="R18" s="31">
        <f>IFERROR(IF(R16=0,"-",R17/R16),"-")</f>
        <v>2.0408163265306121E-2</v>
      </c>
      <c r="S18" s="31">
        <f>IFERROR(IF(S16=0,"-",S17/S16),"-")</f>
        <v>3.8461538461538464E-2</v>
      </c>
      <c r="T18" s="31">
        <f>IFERROR(IF(T16=0,"-",T17/T16),"-")</f>
        <v>1.8867924528301886E-2</v>
      </c>
      <c r="U18" s="31">
        <f>IFERROR(IF(U16=0,"-",U17/U16),"-")</f>
        <v>1.9230769230769232E-2</v>
      </c>
      <c r="V18" s="31">
        <f>IFERROR(IF(V16=0,"-",V17/V16),"-")</f>
        <v>0</v>
      </c>
      <c r="W18" s="31">
        <f>IFERROR(IF(W16=0,"-",W17/W16),"-")</f>
        <v>0</v>
      </c>
      <c r="X18" s="31">
        <f>IFERROR(IF(X16=0,"-",X17/X16),"-")</f>
        <v>0</v>
      </c>
      <c r="Y18" s="31">
        <f>IFERROR(IF(Y16=0,"-",Y17/Y16),"-")</f>
        <v>1.9230769230769232E-2</v>
      </c>
      <c r="Z18" s="31">
        <f>IFERROR(IF(Z16=0,"-",Z17/Z16),"-")</f>
        <v>0</v>
      </c>
      <c r="AA18" s="31">
        <f>IFERROR(IF(AA16=0,"-",AA17/AA16),"-")</f>
        <v>1.9230769230769232E-2</v>
      </c>
    </row>
    <row r="19" spans="1:27" x14ac:dyDescent="0.35">
      <c r="A19" s="23" t="s">
        <v>367</v>
      </c>
      <c r="B19" s="24">
        <f>0</f>
        <v>0</v>
      </c>
      <c r="C19" s="24">
        <f>COUNTIFS(Engine!$T$2:$T$98,1,Engine!$F$2:$F$98,"&lt;="&amp;B15)+COUNTIFS(Engine!$V$2:$V$98,1,Engine!$F$2:$F$98,"&lt;="&amp;B15)-COUNTIFS(Engine!$U$2:$U$98,1,Engine!$F$2:$F$98,"&lt;="&amp;B15)</f>
        <v>2</v>
      </c>
      <c r="D19" s="24">
        <f>COUNTIFS(Engine!$T$2:$T$98,1,Engine!$F$2:$F$98,"&lt;="&amp;C15)+COUNTIFS(Engine!$V$2:$V$98,1,Engine!$F$2:$F$98,"&lt;="&amp;C15)-COUNTIFS(Engine!$U$2:$U$98,1,Engine!$F$2:$F$98,"&lt;="&amp;C15)</f>
        <v>4</v>
      </c>
      <c r="E19" s="24">
        <f>COUNTIFS(Engine!$T$2:$T$98,1,Engine!$F$2:$F$98,"&lt;="&amp;D15)+COUNTIFS(Engine!$V$2:$V$98,1,Engine!$F$2:$F$98,"&lt;="&amp;D15)-COUNTIFS(Engine!$U$2:$U$98,1,Engine!$F$2:$F$98,"&lt;="&amp;D15)</f>
        <v>6</v>
      </c>
      <c r="F19" s="24">
        <f>COUNTIFS(Engine!$T$2:$T$98,1,Engine!$F$2:$F$98,"&lt;="&amp;E15)+COUNTIFS(Engine!$V$2:$V$98,1,Engine!$F$2:$F$98,"&lt;="&amp;E15)-COUNTIFS(Engine!$U$2:$U$98,1,Engine!$F$2:$F$98,"&lt;="&amp;E15)</f>
        <v>9</v>
      </c>
      <c r="G19" s="24">
        <f>COUNTIFS(Engine!$T$2:$T$98,1,Engine!$F$2:$F$98,"&lt;="&amp;F15)+COUNTIFS(Engine!$V$2:$V$98,1,Engine!$F$2:$F$98,"&lt;="&amp;F15)-COUNTIFS(Engine!$U$2:$U$98,1,Engine!$F$2:$F$98,"&lt;="&amp;F15)</f>
        <v>11</v>
      </c>
      <c r="H19" s="24">
        <f>COUNTIFS(Engine!$T$2:$T$98,1,Engine!$F$2:$F$98,"&lt;="&amp;G15)+COUNTIFS(Engine!$V$2:$V$98,1,Engine!$F$2:$F$98,"&lt;="&amp;G15)-COUNTIFS(Engine!$U$2:$U$98,1,Engine!$F$2:$F$98,"&lt;="&amp;G15)</f>
        <v>13</v>
      </c>
      <c r="I19" s="24">
        <f>COUNTIFS(Engine!$T$2:$T$98,1,Engine!$F$2:$F$98,"&lt;="&amp;H15)+COUNTIFS(Engine!$V$2:$V$98,1,Engine!$F$2:$F$98,"&lt;="&amp;H15)-COUNTIFS(Engine!$U$2:$U$98,1,Engine!$F$2:$F$98,"&lt;="&amp;H15)</f>
        <v>15</v>
      </c>
      <c r="J19" s="24">
        <f>COUNTIFS(Engine!$T$2:$T$98,1,Engine!$F$2:$F$98,"&lt;="&amp;I15)+COUNTIFS(Engine!$V$2:$V$98,1,Engine!$F$2:$F$98,"&lt;="&amp;I15)-COUNTIFS(Engine!$U$2:$U$98,1,Engine!$F$2:$F$98,"&lt;="&amp;I15)</f>
        <v>17</v>
      </c>
      <c r="K19" s="24">
        <f>COUNTIFS(Engine!$T$2:$T$98,1,Engine!$F$2:$F$98,"&lt;="&amp;J15)+COUNTIFS(Engine!$V$2:$V$98,1,Engine!$F$2:$F$98,"&lt;="&amp;J15)-COUNTIFS(Engine!$U$2:$U$98,1,Engine!$F$2:$F$98,"&lt;="&amp;J15)</f>
        <v>20</v>
      </c>
      <c r="L19" s="24">
        <f>COUNTIFS(Engine!$T$2:$T$98,1,Engine!$F$2:$F$98,"&lt;="&amp;K15)+COUNTIFS(Engine!$V$2:$V$98,1,Engine!$F$2:$F$98,"&lt;="&amp;K15)-COUNTIFS(Engine!$U$2:$U$98,1,Engine!$F$2:$F$98,"&lt;="&amp;K15)</f>
        <v>22</v>
      </c>
      <c r="M19" s="24">
        <f>COUNTIFS(Engine!$T$2:$T$98,1,Engine!$F$2:$F$98,"&lt;="&amp;L15)+COUNTIFS(Engine!$V$2:$V$98,1,Engine!$F$2:$F$98,"&lt;="&amp;L15)-COUNTIFS(Engine!$U$2:$U$98,1,Engine!$F$2:$F$98,"&lt;="&amp;L15)</f>
        <v>23</v>
      </c>
      <c r="N19" s="24">
        <f>COUNTIFS(Engine!$T$2:$T$98,1,Engine!$F$2:$F$98,"&lt;="&amp;M15)+COUNTIFS(Engine!$V$2:$V$98,1,Engine!$F$2:$F$98,"&lt;="&amp;M15)-COUNTIFS(Engine!$U$2:$U$98,1,Engine!$F$2:$F$98,"&lt;="&amp;M15)</f>
        <v>25</v>
      </c>
      <c r="O19" s="24">
        <f>COUNTIFS(Engine!$T$2:$T$98,1,Engine!$F$2:$F$98,"&lt;="&amp;N15)+COUNTIFS(Engine!$V$2:$V$98,1,Engine!$F$2:$F$98,"&lt;="&amp;N15)-COUNTIFS(Engine!$U$2:$U$98,1,Engine!$F$2:$F$98,"&lt;="&amp;N15)</f>
        <v>26</v>
      </c>
      <c r="P19" s="24">
        <f>COUNTIFS(Engine!$T$2:$T$98,1,Engine!$F$2:$F$98,"&lt;="&amp;O15)+COUNTIFS(Engine!$V$2:$V$98,1,Engine!$F$2:$F$98,"&lt;="&amp;O15)-COUNTIFS(Engine!$U$2:$U$98,1,Engine!$F$2:$F$98,"&lt;="&amp;O15)</f>
        <v>28</v>
      </c>
      <c r="Q19" s="24">
        <f>COUNTIFS(Engine!$T$2:$T$98,1,Engine!$F$2:$F$98,"&lt;="&amp;P15)+COUNTIFS(Engine!$V$2:$V$98,1,Engine!$F$2:$F$98,"&lt;="&amp;P15)-COUNTIFS(Engine!$U$2:$U$98,1,Engine!$F$2:$F$98,"&lt;="&amp;P15)</f>
        <v>31</v>
      </c>
      <c r="R19" s="24">
        <f>COUNTIFS(Engine!$T$2:$T$98,1,Engine!$F$2:$F$98,"&lt;="&amp;Q15)+COUNTIFS(Engine!$V$2:$V$98,1,Engine!$F$2:$F$98,"&lt;="&amp;Q15)-COUNTIFS(Engine!$U$2:$U$98,1,Engine!$F$2:$F$98,"&lt;="&amp;Q15)</f>
        <v>33</v>
      </c>
      <c r="S19" s="24">
        <f>COUNTIFS(Engine!$T$2:$T$98,1,Engine!$F$2:$F$98,"&lt;="&amp;R15)+COUNTIFS(Engine!$V$2:$V$98,1,Engine!$F$2:$F$98,"&lt;="&amp;R15)-COUNTIFS(Engine!$U$2:$U$98,1,Engine!$F$2:$F$98,"&lt;="&amp;R15)</f>
        <v>36</v>
      </c>
      <c r="T19" s="24">
        <f>COUNTIFS(Engine!$T$2:$T$98,1,Engine!$F$2:$F$98,"&lt;="&amp;S15)+COUNTIFS(Engine!$V$2:$V$98,1,Engine!$F$2:$F$98,"&lt;="&amp;S15)-COUNTIFS(Engine!$U$2:$U$98,1,Engine!$F$2:$F$98,"&lt;="&amp;S15)</f>
        <v>37</v>
      </c>
      <c r="U19" s="24">
        <f>COUNTIFS(Engine!$T$2:$T$98,1,Engine!$F$2:$F$98,"&lt;="&amp;T15)+COUNTIFS(Engine!$V$2:$V$98,1,Engine!$F$2:$F$98,"&lt;="&amp;T15)-COUNTIFS(Engine!$U$2:$U$98,1,Engine!$F$2:$F$98,"&lt;="&amp;T15)</f>
        <v>37</v>
      </c>
      <c r="V19" s="24">
        <f>COUNTIFS(Engine!$T$2:$T$98,1,Engine!$F$2:$F$98,"&lt;="&amp;U15)+COUNTIFS(Engine!$V$2:$V$98,1,Engine!$F$2:$F$98,"&lt;="&amp;U15)-COUNTIFS(Engine!$U$2:$U$98,1,Engine!$F$2:$F$98,"&lt;="&amp;U15)</f>
        <v>37</v>
      </c>
      <c r="W19" s="24">
        <f>COUNTIFS(Engine!$T$2:$T$98,1,Engine!$F$2:$F$98,"&lt;="&amp;V15)+COUNTIFS(Engine!$V$2:$V$98,1,Engine!$F$2:$F$98,"&lt;="&amp;V15)-COUNTIFS(Engine!$U$2:$U$98,1,Engine!$F$2:$F$98,"&lt;="&amp;V15)</f>
        <v>37</v>
      </c>
      <c r="X19" s="24">
        <f>COUNTIFS(Engine!$T$2:$T$98,1,Engine!$F$2:$F$98,"&lt;="&amp;W15)+COUNTIFS(Engine!$V$2:$V$98,1,Engine!$F$2:$F$98,"&lt;="&amp;W15)-COUNTIFS(Engine!$U$2:$U$98,1,Engine!$F$2:$F$98,"&lt;="&amp;W15)</f>
        <v>38</v>
      </c>
      <c r="Y19" s="24">
        <f>COUNTIFS(Engine!$T$2:$T$98,1,Engine!$F$2:$F$98,"&lt;="&amp;X15)+COUNTIFS(Engine!$V$2:$V$98,1,Engine!$F$2:$F$98,"&lt;="&amp;X15)-COUNTIFS(Engine!$U$2:$U$98,1,Engine!$F$2:$F$98,"&lt;="&amp;X15)</f>
        <v>38</v>
      </c>
      <c r="Z19" s="24">
        <f>COUNTIFS(Engine!$T$2:$T$98,1,Engine!$F$2:$F$98,"&lt;="&amp;Y15)+COUNTIFS(Engine!$V$2:$V$98,1,Engine!$F$2:$F$98,"&lt;="&amp;Y15)-COUNTIFS(Engine!$U$2:$U$98,1,Engine!$F$2:$F$98,"&lt;="&amp;Y15)</f>
        <v>38</v>
      </c>
      <c r="AA19" s="24">
        <f>COUNTIFS(Engine!$T$2:$T$98,1,Engine!$F$2:$F$98,"&lt;="&amp;Z15)+COUNTIFS(Engine!$V$2:$V$98,1,Engine!$F$2:$F$98,"&lt;="&amp;Z15)-COUNTIFS(Engine!$U$2:$U$98,1,Engine!$F$2:$F$98,"&lt;="&amp;Z15)</f>
        <v>39</v>
      </c>
    </row>
    <row r="20" spans="1:27" x14ac:dyDescent="0.35">
      <c r="A20" s="23" t="s">
        <v>368</v>
      </c>
      <c r="B20" s="24">
        <f>COUNTIFS(Engine!$U$2:$U$98,1,Engine!$F$2:$F$98,B15)</f>
        <v>0</v>
      </c>
      <c r="C20" s="24">
        <f>COUNTIFS(Engine!$U$2:$U$98,1,Engine!$F$2:$F$98,C15)</f>
        <v>0</v>
      </c>
      <c r="D20" s="24">
        <f>COUNTIFS(Engine!$U$2:$U$98,1,Engine!$F$2:$F$98,D15)</f>
        <v>0</v>
      </c>
      <c r="E20" s="24">
        <f>COUNTIFS(Engine!$U$2:$U$98,1,Engine!$F$2:$F$98,E15)</f>
        <v>0</v>
      </c>
      <c r="F20" s="24">
        <f>COUNTIFS(Engine!$U$2:$U$98,1,Engine!$F$2:$F$98,F15)</f>
        <v>0</v>
      </c>
      <c r="G20" s="24">
        <f>COUNTIFS(Engine!$U$2:$U$98,1,Engine!$F$2:$F$98,G15)</f>
        <v>0</v>
      </c>
      <c r="H20" s="24">
        <f>COUNTIFS(Engine!$U$2:$U$98,1,Engine!$F$2:$F$98,H15)</f>
        <v>0</v>
      </c>
      <c r="I20" s="24">
        <f>COUNTIFS(Engine!$U$2:$U$98,1,Engine!$F$2:$F$98,I15)</f>
        <v>0</v>
      </c>
      <c r="J20" s="24">
        <f>COUNTIFS(Engine!$U$2:$U$98,1,Engine!$F$2:$F$98,J15)</f>
        <v>0</v>
      </c>
      <c r="K20" s="24">
        <f>COUNTIFS(Engine!$U$2:$U$98,1,Engine!$F$2:$F$98,K15)</f>
        <v>0</v>
      </c>
      <c r="L20" s="24">
        <f>COUNTIFS(Engine!$U$2:$U$98,1,Engine!$F$2:$F$98,L15)</f>
        <v>1</v>
      </c>
      <c r="M20" s="24">
        <f>COUNTIFS(Engine!$U$2:$U$98,1,Engine!$F$2:$F$98,M15)</f>
        <v>0</v>
      </c>
      <c r="N20" s="24">
        <f>COUNTIFS(Engine!$U$2:$U$98,1,Engine!$F$2:$F$98,N15)</f>
        <v>1</v>
      </c>
      <c r="O20" s="24">
        <f>COUNTIFS(Engine!$U$2:$U$98,1,Engine!$F$2:$F$98,O15)</f>
        <v>0</v>
      </c>
      <c r="P20" s="24">
        <f>COUNTIFS(Engine!$U$2:$U$98,1,Engine!$F$2:$F$98,P15)</f>
        <v>0</v>
      </c>
      <c r="Q20" s="24">
        <f>COUNTIFS(Engine!$U$2:$U$98,1,Engine!$F$2:$F$98,Q15)</f>
        <v>0</v>
      </c>
      <c r="R20" s="24">
        <f>COUNTIFS(Engine!$U$2:$U$98,1,Engine!$F$2:$F$98,R15)</f>
        <v>0</v>
      </c>
      <c r="S20" s="24">
        <f>COUNTIFS(Engine!$U$2:$U$98,1,Engine!$F$2:$F$98,S15)</f>
        <v>1</v>
      </c>
      <c r="T20" s="24">
        <f>COUNTIFS(Engine!$U$2:$U$98,1,Engine!$F$2:$F$98,T15)</f>
        <v>0</v>
      </c>
      <c r="U20" s="24">
        <f>COUNTIFS(Engine!$U$2:$U$98,1,Engine!$F$2:$F$98,U15)</f>
        <v>0</v>
      </c>
      <c r="V20" s="24">
        <f>COUNTIFS(Engine!$U$2:$U$98,1,Engine!$F$2:$F$98,V15)</f>
        <v>0</v>
      </c>
      <c r="W20" s="24">
        <f>COUNTIFS(Engine!$U$2:$U$98,1,Engine!$F$2:$F$98,W15)</f>
        <v>0</v>
      </c>
      <c r="X20" s="24">
        <f>COUNTIFS(Engine!$U$2:$U$98,1,Engine!$F$2:$F$98,X15)</f>
        <v>0</v>
      </c>
      <c r="Y20" s="24">
        <f>COUNTIFS(Engine!$U$2:$U$98,1,Engine!$F$2:$F$98,Y15)</f>
        <v>0</v>
      </c>
      <c r="Z20" s="24">
        <f>COUNTIFS(Engine!$U$2:$U$98,1,Engine!$F$2:$F$98,Z15)</f>
        <v>0</v>
      </c>
      <c r="AA20" s="24">
        <f>COUNTIFS(Engine!$U$2:$U$98,1,Engine!$F$2:$F$98,AA15)</f>
        <v>0</v>
      </c>
    </row>
    <row r="21" spans="1:27" x14ac:dyDescent="0.35">
      <c r="A21" s="23" t="s">
        <v>369</v>
      </c>
      <c r="B21" s="32" t="str">
        <f>IFERROR(IF(B19=0,"-",B20/B19),"-")</f>
        <v>-</v>
      </c>
      <c r="C21" s="32">
        <f>IFERROR(IF(C19=0,"-",C20/C19),"-")</f>
        <v>0</v>
      </c>
      <c r="D21" s="32">
        <f>IFERROR(IF(D19=0,"-",D20/D19),"-")</f>
        <v>0</v>
      </c>
      <c r="E21" s="32">
        <f>IFERROR(IF(E19=0,"-",E20/E19),"-")</f>
        <v>0</v>
      </c>
      <c r="F21" s="32">
        <f>IFERROR(IF(F19=0,"-",F20/F19),"-")</f>
        <v>0</v>
      </c>
      <c r="G21" s="32">
        <f>IFERROR(IF(G19=0,"-",G20/G19),"-")</f>
        <v>0</v>
      </c>
      <c r="H21" s="32">
        <f>IFERROR(IF(H19=0,"-",H20/H19),"-")</f>
        <v>0</v>
      </c>
      <c r="I21" s="32">
        <f>IFERROR(IF(I19=0,"-",I20/I19),"-")</f>
        <v>0</v>
      </c>
      <c r="J21" s="32">
        <f>IFERROR(IF(J19=0,"-",J20/J19),"-")</f>
        <v>0</v>
      </c>
      <c r="K21" s="32">
        <f>IFERROR(IF(K19=0,"-",K20/K19),"-")</f>
        <v>0</v>
      </c>
      <c r="L21" s="32">
        <f>IFERROR(IF(L19=0,"-",L20/L19),"-")</f>
        <v>4.5454545454545456E-2</v>
      </c>
      <c r="M21" s="32">
        <f>IFERROR(IF(M19=0,"-",M20/M19),"-")</f>
        <v>0</v>
      </c>
      <c r="N21" s="32">
        <f>IFERROR(IF(N19=0,"-",N20/N19),"-")</f>
        <v>0.04</v>
      </c>
      <c r="O21" s="32">
        <f>IFERROR(IF(O19=0,"-",O20/O19),"-")</f>
        <v>0</v>
      </c>
      <c r="P21" s="32">
        <f>IFERROR(IF(P19=0,"-",P20/P19),"-")</f>
        <v>0</v>
      </c>
      <c r="Q21" s="32">
        <f>IFERROR(IF(Q19=0,"-",Q20/Q19),"-")</f>
        <v>0</v>
      </c>
      <c r="R21" s="32">
        <f>IFERROR(IF(R19=0,"-",R20/R19),"-")</f>
        <v>0</v>
      </c>
      <c r="S21" s="32">
        <f>IFERROR(IF(S19=0,"-",S20/S19),"-")</f>
        <v>2.7777777777777776E-2</v>
      </c>
      <c r="T21" s="32">
        <f>IFERROR(IF(T19=0,"-",T20/T19),"-")</f>
        <v>0</v>
      </c>
      <c r="U21" s="32">
        <f>IFERROR(IF(U19=0,"-",U20/U19),"-")</f>
        <v>0</v>
      </c>
      <c r="V21" s="32">
        <f>IFERROR(IF(V19=0,"-",V20/V19),"-")</f>
        <v>0</v>
      </c>
      <c r="W21" s="32">
        <f>IFERROR(IF(W19=0,"-",W20/W19),"-")</f>
        <v>0</v>
      </c>
      <c r="X21" s="32">
        <f>IFERROR(IF(X19=0,"-",X20/X19),"-")</f>
        <v>0</v>
      </c>
      <c r="Y21" s="32">
        <f>IFERROR(IF(Y19=0,"-",Y20/Y19),"-")</f>
        <v>0</v>
      </c>
      <c r="Z21" s="32">
        <f>IFERROR(IF(Z19=0,"-",Z20/Z19),"-")</f>
        <v>0</v>
      </c>
      <c r="AA21" s="32">
        <f>IFERROR(IF(AA19=0,"-",AA20/AA19),"-")</f>
        <v>0</v>
      </c>
    </row>
    <row r="23" spans="1:27" x14ac:dyDescent="0.35">
      <c r="A23" s="28" t="s">
        <v>373</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row>
    <row r="24" spans="1:27" x14ac:dyDescent="0.35">
      <c r="A24" s="18" t="s">
        <v>321</v>
      </c>
      <c r="B24" s="19">
        <f t="shared" ref="B24:AA24" si="2">B4</f>
        <v>45292</v>
      </c>
      <c r="C24" s="19">
        <f t="shared" si="2"/>
        <v>45323</v>
      </c>
      <c r="D24" s="19">
        <f t="shared" si="2"/>
        <v>45352</v>
      </c>
      <c r="E24" s="19">
        <f t="shared" si="2"/>
        <v>45383</v>
      </c>
      <c r="F24" s="19">
        <f t="shared" si="2"/>
        <v>45413</v>
      </c>
      <c r="G24" s="19">
        <f t="shared" si="2"/>
        <v>45444</v>
      </c>
      <c r="H24" s="19">
        <f t="shared" si="2"/>
        <v>45474</v>
      </c>
      <c r="I24" s="19">
        <f t="shared" si="2"/>
        <v>45505</v>
      </c>
      <c r="J24" s="19">
        <f t="shared" si="2"/>
        <v>45536</v>
      </c>
      <c r="K24" s="19">
        <f t="shared" si="2"/>
        <v>45566</v>
      </c>
      <c r="L24" s="19">
        <f t="shared" si="2"/>
        <v>45597</v>
      </c>
      <c r="M24" s="19">
        <f t="shared" si="2"/>
        <v>45627</v>
      </c>
      <c r="N24" s="19">
        <f t="shared" si="2"/>
        <v>45658</v>
      </c>
      <c r="O24" s="19">
        <f t="shared" si="2"/>
        <v>45689</v>
      </c>
      <c r="P24" s="19">
        <f t="shared" si="2"/>
        <v>45717</v>
      </c>
      <c r="Q24" s="19">
        <f t="shared" si="2"/>
        <v>45748</v>
      </c>
      <c r="R24" s="19">
        <f t="shared" si="2"/>
        <v>45778</v>
      </c>
      <c r="S24" s="19">
        <f t="shared" si="2"/>
        <v>45809</v>
      </c>
      <c r="T24" s="19">
        <f t="shared" si="2"/>
        <v>45839</v>
      </c>
      <c r="U24" s="19">
        <f t="shared" si="2"/>
        <v>45870</v>
      </c>
      <c r="V24" s="19">
        <f t="shared" si="2"/>
        <v>45901</v>
      </c>
      <c r="W24" s="19">
        <f t="shared" si="2"/>
        <v>45931</v>
      </c>
      <c r="X24" s="19">
        <f t="shared" si="2"/>
        <v>45962</v>
      </c>
      <c r="Y24" s="19">
        <f t="shared" si="2"/>
        <v>45992</v>
      </c>
      <c r="Z24" s="19">
        <f t="shared" si="2"/>
        <v>46023</v>
      </c>
      <c r="AA24" s="19">
        <f t="shared" si="2"/>
        <v>46054</v>
      </c>
    </row>
    <row r="25" spans="1:27" x14ac:dyDescent="0.35">
      <c r="A25" s="18" t="s">
        <v>374</v>
      </c>
      <c r="B25" s="31" t="str">
        <f>IFERROR(AVERAGEIF(B6:B6,"&gt;0"),"-")</f>
        <v>-</v>
      </c>
      <c r="C25" s="31">
        <f>IFERROR(AVERAGEIF(B6:C6,"&gt;0"),"-")</f>
        <v>1</v>
      </c>
      <c r="D25" s="31">
        <f>IFERROR(AVERAGEIF(B6:D6,"&gt;0"),"-")</f>
        <v>1</v>
      </c>
      <c r="E25" s="31">
        <f t="shared" ref="E25:N26" si="3">AVERAGEIF(C6:E6,"&gt;0")</f>
        <v>1</v>
      </c>
      <c r="F25" s="31">
        <f t="shared" si="3"/>
        <v>1</v>
      </c>
      <c r="G25" s="31">
        <f t="shared" si="3"/>
        <v>1</v>
      </c>
      <c r="H25" s="31">
        <f t="shared" si="3"/>
        <v>1</v>
      </c>
      <c r="I25" s="31">
        <f t="shared" si="3"/>
        <v>0.98603562385850407</v>
      </c>
      <c r="J25" s="31">
        <f t="shared" si="3"/>
        <v>0.98603562385850407</v>
      </c>
      <c r="K25" s="31">
        <f t="shared" si="3"/>
        <v>0.98603562385850407</v>
      </c>
      <c r="L25" s="31">
        <f t="shared" si="3"/>
        <v>0.99776539339233594</v>
      </c>
      <c r="M25" s="31">
        <f t="shared" si="3"/>
        <v>0.98886781979045768</v>
      </c>
      <c r="N25" s="31">
        <f t="shared" si="3"/>
        <v>0.98722170215889171</v>
      </c>
      <c r="O25" s="31">
        <f t="shared" ref="O25:X26" si="4">AVERAGEIF(M6:O6,"&gt;0")</f>
        <v>0.98945630876655566</v>
      </c>
      <c r="P25" s="31">
        <f t="shared" si="4"/>
        <v>0.99524272194720231</v>
      </c>
      <c r="Q25" s="31">
        <f t="shared" si="4"/>
        <v>0.99688883957876817</v>
      </c>
      <c r="R25" s="31">
        <f t="shared" si="4"/>
        <v>0.99093979098819185</v>
      </c>
      <c r="S25" s="31">
        <f t="shared" si="4"/>
        <v>0.99101089605945025</v>
      </c>
      <c r="T25" s="31">
        <f t="shared" si="4"/>
        <v>0.98715415218120939</v>
      </c>
      <c r="U25" s="31">
        <f t="shared" si="4"/>
        <v>0.98120588848278933</v>
      </c>
      <c r="V25" s="31">
        <f t="shared" si="4"/>
        <v>0.98396551978673719</v>
      </c>
      <c r="W25" s="31">
        <f t="shared" si="4"/>
        <v>0.98782226366497794</v>
      </c>
      <c r="X25" s="31">
        <f t="shared" si="4"/>
        <v>0.99876840872654515</v>
      </c>
      <c r="Y25" s="31">
        <f t="shared" ref="Y25:AH26" si="5">AVERAGEIF(W6:Y6,"&gt;0")</f>
        <v>0.99531322324725924</v>
      </c>
      <c r="Z25" s="31">
        <f t="shared" si="5"/>
        <v>0.99531322324725913</v>
      </c>
      <c r="AA25" s="31">
        <f t="shared" si="5"/>
        <v>0.99496712292636047</v>
      </c>
    </row>
    <row r="26" spans="1:27" x14ac:dyDescent="0.35">
      <c r="A26" s="18" t="s">
        <v>375</v>
      </c>
      <c r="B26" s="31" t="str">
        <f>IFERROR(AVERAGEIF(B7:B7,"&gt;0"),"-")</f>
        <v>-</v>
      </c>
      <c r="C26" s="31">
        <f>IFERROR(AVERAGEIF(B7:C7,"&gt;0"),"-")</f>
        <v>1</v>
      </c>
      <c r="D26" s="31">
        <f>IFERROR(AVERAGEIF(B7:D7,"&gt;0"),"-")</f>
        <v>1</v>
      </c>
      <c r="E26" s="31">
        <f t="shared" si="3"/>
        <v>1</v>
      </c>
      <c r="F26" s="31">
        <f t="shared" si="3"/>
        <v>1</v>
      </c>
      <c r="G26" s="31">
        <f t="shared" si="3"/>
        <v>1</v>
      </c>
      <c r="H26" s="31">
        <f t="shared" si="3"/>
        <v>1</v>
      </c>
      <c r="I26" s="31">
        <f t="shared" si="3"/>
        <v>0.98603562385850407</v>
      </c>
      <c r="J26" s="31">
        <f t="shared" si="3"/>
        <v>0.98603562385850407</v>
      </c>
      <c r="K26" s="31">
        <f t="shared" si="3"/>
        <v>0.98603562385850407</v>
      </c>
      <c r="L26" s="31">
        <f t="shared" si="3"/>
        <v>0.99776539339233594</v>
      </c>
      <c r="M26" s="31">
        <f t="shared" si="3"/>
        <v>0.98886781979045768</v>
      </c>
      <c r="N26" s="31">
        <f t="shared" si="3"/>
        <v>0.98773382764426776</v>
      </c>
      <c r="O26" s="31">
        <f t="shared" si="4"/>
        <v>0.98996843425193182</v>
      </c>
      <c r="P26" s="31">
        <f t="shared" si="4"/>
        <v>0.99575484743257847</v>
      </c>
      <c r="Q26" s="31">
        <f t="shared" si="4"/>
        <v>0.99887767837350561</v>
      </c>
      <c r="R26" s="31">
        <f t="shared" si="4"/>
        <v>0.99375523442919877</v>
      </c>
      <c r="S26" s="31">
        <f t="shared" si="4"/>
        <v>0.99778656486057571</v>
      </c>
      <c r="T26" s="31">
        <f t="shared" si="4"/>
        <v>0.99338726114193776</v>
      </c>
      <c r="U26" s="31">
        <f t="shared" si="4"/>
        <v>0.99314598173517565</v>
      </c>
      <c r="V26" s="31">
        <f t="shared" si="4"/>
        <v>0.99620783317859163</v>
      </c>
      <c r="W26" s="31">
        <f t="shared" si="4"/>
        <v>1.001555702567569</v>
      </c>
      <c r="X26" s="31">
        <f t="shared" si="4"/>
        <v>1.0059682586912084</v>
      </c>
      <c r="Y26" s="31">
        <f t="shared" si="5"/>
        <v>0.99921437335357688</v>
      </c>
      <c r="Z26" s="31">
        <f t="shared" si="5"/>
        <v>0.99627696888850037</v>
      </c>
      <c r="AA26" s="31">
        <f t="shared" si="5"/>
        <v>0.99593086856760171</v>
      </c>
    </row>
    <row r="27" spans="1:27" x14ac:dyDescent="0.35">
      <c r="A27" s="18" t="s">
        <v>376</v>
      </c>
      <c r="B27" s="31" t="str">
        <f>IFERROR(AVERAGE(B21),"-")</f>
        <v>-</v>
      </c>
      <c r="C27" s="31">
        <f>IFERROR(AVERAGE(B21:C21),"-")</f>
        <v>0</v>
      </c>
      <c r="D27" s="31">
        <f>IFERROR(AVERAGE(B21:D21),"-")</f>
        <v>0</v>
      </c>
      <c r="E27" s="31">
        <f t="shared" ref="E27:AA27" si="6">AVERAGE(C21:E21)</f>
        <v>0</v>
      </c>
      <c r="F27" s="31">
        <f t="shared" si="6"/>
        <v>0</v>
      </c>
      <c r="G27" s="31">
        <f t="shared" si="6"/>
        <v>0</v>
      </c>
      <c r="H27" s="31">
        <f t="shared" si="6"/>
        <v>0</v>
      </c>
      <c r="I27" s="31">
        <f t="shared" si="6"/>
        <v>0</v>
      </c>
      <c r="J27" s="31">
        <f t="shared" si="6"/>
        <v>0</v>
      </c>
      <c r="K27" s="31">
        <f t="shared" si="6"/>
        <v>0</v>
      </c>
      <c r="L27" s="31">
        <f t="shared" si="6"/>
        <v>1.5151515151515152E-2</v>
      </c>
      <c r="M27" s="31">
        <f t="shared" si="6"/>
        <v>1.5151515151515152E-2</v>
      </c>
      <c r="N27" s="31">
        <f t="shared" si="6"/>
        <v>2.8484848484848484E-2</v>
      </c>
      <c r="O27" s="31">
        <f t="shared" si="6"/>
        <v>1.3333333333333334E-2</v>
      </c>
      <c r="P27" s="31">
        <f t="shared" si="6"/>
        <v>1.3333333333333334E-2</v>
      </c>
      <c r="Q27" s="31">
        <f t="shared" si="6"/>
        <v>0</v>
      </c>
      <c r="R27" s="31">
        <f t="shared" si="6"/>
        <v>0</v>
      </c>
      <c r="S27" s="31">
        <f t="shared" si="6"/>
        <v>9.2592592592592587E-3</v>
      </c>
      <c r="T27" s="31">
        <f t="shared" si="6"/>
        <v>9.2592592592592587E-3</v>
      </c>
      <c r="U27" s="31">
        <f t="shared" si="6"/>
        <v>9.2592592592592587E-3</v>
      </c>
      <c r="V27" s="31">
        <f t="shared" si="6"/>
        <v>0</v>
      </c>
      <c r="W27" s="31">
        <f t="shared" si="6"/>
        <v>0</v>
      </c>
      <c r="X27" s="31">
        <f t="shared" si="6"/>
        <v>0</v>
      </c>
      <c r="Y27" s="31">
        <f t="shared" si="6"/>
        <v>0</v>
      </c>
      <c r="Z27" s="31">
        <f t="shared" si="6"/>
        <v>0</v>
      </c>
      <c r="AA27" s="31">
        <f t="shared" si="6"/>
        <v>0</v>
      </c>
    </row>
    <row r="28" spans="1:27" x14ac:dyDescent="0.35">
      <c r="A28" s="18"/>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row>
    <row r="29" spans="1:27" x14ac:dyDescent="0.35">
      <c r="A29" s="18" t="s">
        <v>377</v>
      </c>
      <c r="B29" s="31" t="str">
        <f>IFERROR(AVERAGEIF(B6:B6,"&gt;0"),"-")</f>
        <v>-</v>
      </c>
      <c r="C29" s="31">
        <f>IFERROR(AVERAGEIF(B6:C6,"&gt;0"),"-")</f>
        <v>1</v>
      </c>
      <c r="D29" s="31">
        <f>IFERROR(AVERAGEIF(B6:D6,"&gt;0"),"-")</f>
        <v>1</v>
      </c>
      <c r="E29" s="31">
        <f>AVERAGEIF(B6:E6,"&gt;0")</f>
        <v>1</v>
      </c>
      <c r="F29" s="31">
        <f>AVERAGEIF(B6:F6,"&gt;0")</f>
        <v>1</v>
      </c>
      <c r="G29" s="31">
        <f>AVERAGEIF(B6:G6,"&gt;0")</f>
        <v>1</v>
      </c>
      <c r="H29" s="31">
        <f>AVERAGEIF(B6:H6,"&gt;0")</f>
        <v>1</v>
      </c>
      <c r="I29" s="31">
        <f>AVERAGEIF(B6:I6,"&gt;0")</f>
        <v>0.99401526736793033</v>
      </c>
      <c r="J29" s="31">
        <f>AVERAGEIF(B6:J6,"&gt;0")</f>
        <v>0.99476335894693901</v>
      </c>
      <c r="K29" s="31">
        <f>AVERAGEIF(B6:K6,"&gt;0")</f>
        <v>0.99534520795283477</v>
      </c>
      <c r="L29" s="31">
        <f>AVERAGEIF(B6:L6,"&gt;0")</f>
        <v>0.99514030517525209</v>
      </c>
      <c r="M29" s="31">
        <f t="shared" ref="M29:AA30" si="7">AVERAGEIF(B6:M6,"&gt;0")</f>
        <v>0.99315548463153513</v>
      </c>
      <c r="N29" s="31">
        <f t="shared" si="7"/>
        <v>0.99331433150434911</v>
      </c>
      <c r="O29" s="31">
        <f t="shared" si="7"/>
        <v>0.993314331504349</v>
      </c>
      <c r="P29" s="31">
        <f t="shared" si="7"/>
        <v>0.99253654139904102</v>
      </c>
      <c r="Q29" s="31">
        <f t="shared" si="7"/>
        <v>0.99253654139904102</v>
      </c>
      <c r="R29" s="31">
        <f t="shared" si="7"/>
        <v>0.99104927925139696</v>
      </c>
      <c r="S29" s="31">
        <f t="shared" si="7"/>
        <v>0.99028926541390361</v>
      </c>
      <c r="T29" s="31">
        <f t="shared" si="7"/>
        <v>0.98932507944434345</v>
      </c>
      <c r="U29" s="31">
        <f t="shared" si="7"/>
        <v>0.98984184540746822</v>
      </c>
      <c r="V29" s="31">
        <f t="shared" si="7"/>
        <v>0.98977173939596186</v>
      </c>
      <c r="W29" s="31">
        <f t="shared" si="7"/>
        <v>0.98977173939596186</v>
      </c>
      <c r="X29" s="31">
        <f t="shared" si="7"/>
        <v>0.99009259924102044</v>
      </c>
      <c r="Y29" s="31">
        <f t="shared" si="7"/>
        <v>0.99138309026016225</v>
      </c>
      <c r="Z29" s="31">
        <f t="shared" si="7"/>
        <v>0.99179461966805371</v>
      </c>
      <c r="AA29" s="31">
        <f t="shared" si="7"/>
        <v>0.99147030278097181</v>
      </c>
    </row>
    <row r="30" spans="1:27" x14ac:dyDescent="0.35">
      <c r="A30" s="18" t="s">
        <v>378</v>
      </c>
      <c r="B30" s="31" t="str">
        <f>IFERROR(AVERAGEIF(B7:B7,"&gt;0"),"-")</f>
        <v>-</v>
      </c>
      <c r="C30" s="31">
        <f>IFERROR(AVERAGEIF(B7:C7,"&gt;0"),"-")</f>
        <v>1</v>
      </c>
      <c r="D30" s="31">
        <f>IFERROR(AVERAGEIF(B7:D7,"&gt;0"),"-")</f>
        <v>1</v>
      </c>
      <c r="E30" s="31">
        <f>AVERAGEIF(B7:E7,"&gt;0")</f>
        <v>1</v>
      </c>
      <c r="F30" s="31">
        <f>AVERAGEIF(B7:F7,"&gt;0")</f>
        <v>1</v>
      </c>
      <c r="G30" s="31">
        <f>AVERAGEIF(B7:G7,"&gt;0")</f>
        <v>1</v>
      </c>
      <c r="H30" s="31">
        <f>AVERAGEIF(B7:H7,"&gt;0")</f>
        <v>1</v>
      </c>
      <c r="I30" s="31">
        <f>AVERAGEIF(B7:I7,"&gt;0")</f>
        <v>0.99401526736793033</v>
      </c>
      <c r="J30" s="31">
        <f>AVERAGEIF(B7:J7,"&gt;0")</f>
        <v>0.99476335894693901</v>
      </c>
      <c r="K30" s="31">
        <f>AVERAGEIF(B7:K7,"&gt;0")</f>
        <v>0.99534520795283477</v>
      </c>
      <c r="L30" s="31">
        <f>AVERAGEIF(B7:L7,"&gt;0")</f>
        <v>0.99514030517525209</v>
      </c>
      <c r="M30" s="31">
        <f t="shared" si="7"/>
        <v>0.99315548463153513</v>
      </c>
      <c r="N30" s="31">
        <f t="shared" si="7"/>
        <v>0.9934423628756931</v>
      </c>
      <c r="O30" s="31">
        <f t="shared" si="7"/>
        <v>0.99344236287569299</v>
      </c>
      <c r="P30" s="31">
        <f t="shared" si="7"/>
        <v>0.992664572770385</v>
      </c>
      <c r="Q30" s="31">
        <f t="shared" si="7"/>
        <v>0.99316178246906939</v>
      </c>
      <c r="R30" s="31">
        <f t="shared" si="7"/>
        <v>0.99188117148299282</v>
      </c>
      <c r="S30" s="31">
        <f t="shared" si="7"/>
        <v>0.99211121398552915</v>
      </c>
      <c r="T30" s="31">
        <f t="shared" si="7"/>
        <v>0.99150859775455391</v>
      </c>
      <c r="U30" s="31">
        <f t="shared" si="7"/>
        <v>0.99365876095216066</v>
      </c>
      <c r="V30" s="31">
        <f t="shared" si="7"/>
        <v>0.99465426631555098</v>
      </c>
      <c r="W30" s="31">
        <f t="shared" si="7"/>
        <v>0.99538861743182006</v>
      </c>
      <c r="X30" s="31">
        <f t="shared" si="7"/>
        <v>0.99570947727687853</v>
      </c>
      <c r="Y30" s="31">
        <f t="shared" si="7"/>
        <v>0.99724090470633053</v>
      </c>
      <c r="Z30" s="31">
        <f t="shared" si="7"/>
        <v>0.99752440274287812</v>
      </c>
      <c r="AA30" s="31">
        <f t="shared" si="7"/>
        <v>0.99720008585579611</v>
      </c>
    </row>
    <row r="31" spans="1:27" x14ac:dyDescent="0.35">
      <c r="A31" s="18" t="s">
        <v>379</v>
      </c>
      <c r="B31" s="31" t="str">
        <f>IFERROR(AVERAGE(B21),"-")</f>
        <v>-</v>
      </c>
      <c r="C31" s="31">
        <f>IFERROR(AVERAGE(B21:C21),"-")</f>
        <v>0</v>
      </c>
      <c r="D31" s="31">
        <f>IFERROR(AVERAGE(B21:D21),"-")</f>
        <v>0</v>
      </c>
      <c r="E31" s="31">
        <f>AVERAGE(B21:E21)</f>
        <v>0</v>
      </c>
      <c r="F31" s="31">
        <f>AVERAGE(B21:F21)</f>
        <v>0</v>
      </c>
      <c r="G31" s="31">
        <f>AVERAGE(B21:G21)</f>
        <v>0</v>
      </c>
      <c r="H31" s="31">
        <f>AVERAGE(B21:H21)</f>
        <v>0</v>
      </c>
      <c r="I31" s="31">
        <f>AVERAGE(B21:I21)</f>
        <v>0</v>
      </c>
      <c r="J31" s="31">
        <f>AVERAGE(B21:J21)</f>
        <v>0</v>
      </c>
      <c r="K31" s="31">
        <f>AVERAGE(B21:K21)</f>
        <v>0</v>
      </c>
      <c r="L31" s="31">
        <f>AVERAGE(B21:L21)</f>
        <v>4.5454545454545452E-3</v>
      </c>
      <c r="M31" s="31">
        <f t="shared" ref="M31:AA31" si="8">AVERAGE(B21:M21)</f>
        <v>4.1322314049586778E-3</v>
      </c>
      <c r="N31" s="31">
        <f t="shared" si="8"/>
        <v>7.1212121212121211E-3</v>
      </c>
      <c r="O31" s="31">
        <f t="shared" si="8"/>
        <v>7.1212121212121211E-3</v>
      </c>
      <c r="P31" s="31">
        <f t="shared" si="8"/>
        <v>7.1212121212121211E-3</v>
      </c>
      <c r="Q31" s="31">
        <f t="shared" si="8"/>
        <v>7.1212121212121211E-3</v>
      </c>
      <c r="R31" s="31">
        <f t="shared" si="8"/>
        <v>7.1212121212121211E-3</v>
      </c>
      <c r="S31" s="31">
        <f t="shared" si="8"/>
        <v>9.4360269360269349E-3</v>
      </c>
      <c r="T31" s="31">
        <f t="shared" si="8"/>
        <v>9.4360269360269349E-3</v>
      </c>
      <c r="U31" s="31">
        <f t="shared" si="8"/>
        <v>9.4360269360269349E-3</v>
      </c>
      <c r="V31" s="31">
        <f t="shared" si="8"/>
        <v>9.4360269360269349E-3</v>
      </c>
      <c r="W31" s="31">
        <f t="shared" si="8"/>
        <v>9.4360269360269349E-3</v>
      </c>
      <c r="X31" s="31">
        <f t="shared" si="8"/>
        <v>5.6481481481481478E-3</v>
      </c>
      <c r="Y31" s="31">
        <f t="shared" si="8"/>
        <v>5.6481481481481478E-3</v>
      </c>
      <c r="Z31" s="31">
        <f t="shared" si="8"/>
        <v>2.3148148148148147E-3</v>
      </c>
      <c r="AA31" s="31">
        <f t="shared" si="8"/>
        <v>2.3148148148148147E-3</v>
      </c>
    </row>
    <row r="32" spans="1:27" ht="20" customHeight="1" x14ac:dyDescent="0.35"/>
    <row r="33" spans="1:27" x14ac:dyDescent="0.35">
      <c r="A33" s="28" t="s">
        <v>386</v>
      </c>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row>
    <row r="34" spans="1:27" ht="80" customHeight="1" x14ac:dyDescent="0.35">
      <c r="A34" s="25" t="s">
        <v>381</v>
      </c>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ht="15" customHeight="1" x14ac:dyDescent="0.35"/>
    <row r="36" spans="1:27" x14ac:dyDescent="0.35">
      <c r="A36" s="18" t="s">
        <v>380</v>
      </c>
    </row>
    <row r="37" spans="1:27" ht="95" customHeight="1" x14ac:dyDescent="0.35">
      <c r="A37" s="25" t="s">
        <v>382</v>
      </c>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sheetData>
  <mergeCells count="2">
    <mergeCell ref="A34:AA34"/>
    <mergeCell ref="A37:AA37"/>
  </mergeCells>
  <conditionalFormatting sqref="B7:AA7">
    <cfRule type="cellIs" dxfId="0" priority="1" operator="lessThan">
      <formula>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Snapshot</vt:lpstr>
      <vt:lpstr>Raw Events</vt:lpstr>
      <vt:lpstr>Raw Cash</vt:lpstr>
      <vt:lpstr>Ref</vt:lpstr>
      <vt:lpstr>Engine</vt:lpstr>
      <vt:lpstr>Waterfall</vt:lpstr>
      <vt:lpstr>Growth</vt:lpstr>
      <vt:lpstr>Retention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Bezrukov</dc:creator>
  <cp:lastModifiedBy>Michael Bezrukov</cp:lastModifiedBy>
  <dcterms:created xsi:type="dcterms:W3CDTF">2026-03-17T21:59:06Z</dcterms:created>
  <dcterms:modified xsi:type="dcterms:W3CDTF">2026-03-21T20:15:50Z</dcterms:modified>
</cp:coreProperties>
</file>