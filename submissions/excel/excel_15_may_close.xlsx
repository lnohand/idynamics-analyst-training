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enti\Downloads\"/>
    </mc:Choice>
  </mc:AlternateContent>
  <xr:revisionPtr revIDLastSave="0" documentId="13_ncr:1_{0037DA7B-69CF-4A41-B8DD-FDCC97482182}" xr6:coauthVersionLast="47" xr6:coauthVersionMax="47" xr10:uidLastSave="{00000000-0000-0000-0000-000000000000}"/>
  <bookViews>
    <workbookView xWindow="-120" yWindow="-120" windowWidth="38640" windowHeight="21120" firstSheet="11" activeTab="13" xr2:uid="{00000000-000D-0000-FFFF-FFFF00000000}"/>
  </bookViews>
  <sheets>
    <sheet name="Price-Volume Bridge" sheetId="1" r:id="rId1"/>
    <sheet name="billing_jan_2026" sheetId="2" r:id="rId2"/>
    <sheet name="billing_feb_2026" sheetId="3" r:id="rId3"/>
    <sheet name="bank_statement_jan_2026" sheetId="4" r:id="rId4"/>
    <sheet name="bank_statement_feb_2026" sheetId="5" r:id="rId5"/>
    <sheet name="Actuals" sheetId="6" r:id="rId6"/>
    <sheet name="Billing Reconciliation" sheetId="7" r:id="rId7"/>
    <sheet name="Historical Baseline" sheetId="8" r:id="rId8"/>
    <sheet name="Forecast Assumptions" sheetId="9" r:id="rId9"/>
    <sheet name="Jan 2026 A vs F " sheetId="10" r:id="rId10"/>
    <sheet name="Feb 2026 A vs F" sheetId="11" r:id="rId11"/>
    <sheet name="Mar 2026 A vs F" sheetId="12" r:id="rId12"/>
    <sheet name="Apr 2026 A vs F " sheetId="13" r:id="rId13"/>
    <sheet name="May 2026 A vs F " sheetId="24" r:id="rId14"/>
    <sheet name="2026 Forecast" sheetId="14" r:id="rId15"/>
    <sheet name="KPI Tracker" sheetId="15" r:id="rId16"/>
    <sheet name="Waterfall Data" sheetId="16" r:id="rId17"/>
    <sheet name="Engine" sheetId="17" r:id="rId18"/>
    <sheet name="Waterfall" sheetId="18" r:id="rId19"/>
    <sheet name="Retention" sheetId="19" r:id="rId20"/>
    <sheet name="Unit Economics" sheetId="20" r:id="rId21"/>
    <sheet name="Ref" sheetId="21" r:id="rId22"/>
    <sheet name="Assumptions" sheetId="22" r:id="rId23"/>
    <sheet name="Monthly Forecast" sheetId="23" r:id="rId24"/>
  </sheets>
  <definedNames>
    <definedName name="_xlnm._FilterDatabase" localSheetId="2" hidden="1">billing_feb_2026!$A$1:$S$49</definedName>
    <definedName name="_xlnm._FilterDatabase" localSheetId="1" hidden="1">billing_jan_2026!$A$1:$S$48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6" l="1"/>
  <c r="F4" i="10" l="1" a="1"/>
  <c r="F4" i="10"/>
  <c r="F23" i="10" a="1"/>
  <c r="F23" i="10" s="1"/>
  <c r="F22" i="10" a="1"/>
  <c r="F22" i="10" s="1"/>
  <c r="F21" i="10" a="1"/>
  <c r="F21" i="10"/>
  <c r="F20" i="10" a="1"/>
  <c r="F20" i="10" s="1"/>
  <c r="F19" i="10" a="1"/>
  <c r="F19" i="10" s="1"/>
  <c r="F18" i="10" a="1"/>
  <c r="F18" i="10" s="1"/>
  <c r="F17" i="10" a="1"/>
  <c r="F17" i="10" s="1"/>
  <c r="F16" i="10" a="1"/>
  <c r="F16" i="10" s="1"/>
  <c r="F15" i="10" a="1"/>
  <c r="F15" i="10"/>
  <c r="F14" i="10" a="1"/>
  <c r="F14" i="10" s="1"/>
  <c r="F10" i="10" a="1"/>
  <c r="F10" i="10"/>
  <c r="F9" i="10" a="1"/>
  <c r="F9" i="10" s="1"/>
  <c r="F8" i="10" a="1"/>
  <c r="F8" i="10" s="1"/>
  <c r="F7" i="10" a="1"/>
  <c r="F7" i="10" s="1"/>
  <c r="F6" i="10" a="1"/>
  <c r="F6" i="10" s="1"/>
  <c r="F5" i="10" a="1"/>
  <c r="F5" i="10" s="1"/>
  <c r="F3" i="10" a="1"/>
  <c r="F3" i="10" s="1"/>
  <c r="F22" i="11" a="1"/>
  <c r="F22" i="11" s="1"/>
  <c r="F21" i="11" a="1"/>
  <c r="F21" i="11" s="1"/>
  <c r="F20" i="11" a="1"/>
  <c r="F20" i="11" s="1"/>
  <c r="F19" i="11" a="1"/>
  <c r="F19" i="11"/>
  <c r="F18" i="11" a="1"/>
  <c r="F18" i="11" s="1"/>
  <c r="F17" i="11" a="1"/>
  <c r="F17" i="11" s="1"/>
  <c r="F16" i="11" a="1"/>
  <c r="F16" i="11" s="1"/>
  <c r="F15" i="11" a="1"/>
  <c r="F15" i="11" s="1"/>
  <c r="F14" i="11" a="1"/>
  <c r="F14" i="11" s="1"/>
  <c r="F10" i="11" a="1"/>
  <c r="F10" i="11" s="1"/>
  <c r="F9" i="11" a="1"/>
  <c r="F9" i="11" s="1"/>
  <c r="F8" i="11" a="1"/>
  <c r="F8" i="11" s="1"/>
  <c r="F7" i="11" a="1"/>
  <c r="F7" i="11" s="1"/>
  <c r="F6" i="11" a="1"/>
  <c r="F6" i="11" s="1"/>
  <c r="F5" i="11" a="1"/>
  <c r="F5" i="11" s="1"/>
  <c r="F4" i="11" a="1"/>
  <c r="F4" i="11" s="1"/>
  <c r="F3" i="11" a="1"/>
  <c r="F3" i="11" s="1"/>
  <c r="F19" i="12" a="1"/>
  <c r="F19" i="12" s="1"/>
  <c r="F18" i="12" a="1"/>
  <c r="F18" i="12" s="1"/>
  <c r="F17" i="12" a="1"/>
  <c r="F17" i="12" s="1"/>
  <c r="F16" i="12" a="1"/>
  <c r="F16" i="12" s="1"/>
  <c r="F15" i="12" a="1"/>
  <c r="F15" i="12"/>
  <c r="F14" i="12" a="1"/>
  <c r="F14" i="12" s="1"/>
  <c r="F10" i="12" a="1"/>
  <c r="F10" i="12" s="1"/>
  <c r="F9" i="12" a="1"/>
  <c r="F9" i="12" s="1"/>
  <c r="F8" i="12" a="1"/>
  <c r="F8" i="12" s="1"/>
  <c r="F7" i="12" a="1"/>
  <c r="F7" i="12"/>
  <c r="F6" i="12" a="1"/>
  <c r="F6" i="12"/>
  <c r="F5" i="12" a="1"/>
  <c r="F5" i="12" s="1"/>
  <c r="F4" i="12" a="1"/>
  <c r="F4" i="12" s="1"/>
  <c r="F3" i="12" a="1"/>
  <c r="F3" i="12" s="1"/>
  <c r="F19" i="13" a="1"/>
  <c r="F19" i="13"/>
  <c r="F16" i="13" a="1"/>
  <c r="F16" i="13" s="1"/>
  <c r="F22" i="13" a="1"/>
  <c r="F22" i="13" s="1"/>
  <c r="F21" i="13" a="1"/>
  <c r="F21" i="13" s="1"/>
  <c r="F20" i="13" a="1"/>
  <c r="F20" i="13" s="1"/>
  <c r="F18" i="13" a="1"/>
  <c r="F18" i="13"/>
  <c r="F17" i="13" a="1"/>
  <c r="F17" i="13" s="1"/>
  <c r="F15" i="13" a="1"/>
  <c r="F15" i="13" s="1"/>
  <c r="F14" i="13" a="1"/>
  <c r="F14" i="13" s="1"/>
  <c r="F8" i="13" a="1"/>
  <c r="F8" i="13" s="1"/>
  <c r="F6" i="13" a="1"/>
  <c r="F6" i="13" s="1"/>
  <c r="F10" i="13" a="1"/>
  <c r="F10" i="13"/>
  <c r="F9" i="13" a="1"/>
  <c r="F9" i="13"/>
  <c r="F7" i="13" a="1"/>
  <c r="F7" i="13" s="1"/>
  <c r="F5" i="13" a="1"/>
  <c r="F5" i="13" s="1"/>
  <c r="F4" i="13" a="1"/>
  <c r="F4" i="13" s="1"/>
  <c r="F3" i="13" a="1"/>
  <c r="F3" i="13" s="1"/>
  <c r="B12" i="19"/>
  <c r="B11" i="19"/>
  <c r="B7" i="19" l="1"/>
  <c r="AD17" i="19"/>
  <c r="B6" i="19"/>
  <c r="B5" i="24"/>
  <c r="T107" i="17"/>
  <c r="V107" i="17" s="1"/>
  <c r="U107" i="17"/>
  <c r="T108" i="17"/>
  <c r="V108" i="17" s="1"/>
  <c r="U108" i="17"/>
  <c r="T109" i="17"/>
  <c r="V109" i="17" s="1"/>
  <c r="U109" i="17"/>
  <c r="T110" i="17"/>
  <c r="V110" i="17" s="1"/>
  <c r="U110" i="17"/>
  <c r="T111" i="17"/>
  <c r="V111" i="17" s="1"/>
  <c r="U111" i="17"/>
  <c r="S107" i="17" a="1"/>
  <c r="S107" i="17" s="1"/>
  <c r="S108" i="17" a="1"/>
  <c r="S108" i="17" s="1"/>
  <c r="S109" i="17" a="1"/>
  <c r="S109" i="17" s="1"/>
  <c r="S110" i="17" a="1"/>
  <c r="S110" i="17" s="1"/>
  <c r="S111" i="17" a="1"/>
  <c r="S111" i="17" s="1"/>
  <c r="R107" i="17" a="1"/>
  <c r="R107" i="17" s="1"/>
  <c r="R108" i="17" a="1"/>
  <c r="R108" i="17" s="1"/>
  <c r="R109" i="17" a="1"/>
  <c r="R109" i="17" s="1"/>
  <c r="R110" i="17" a="1"/>
  <c r="R110" i="17" s="1"/>
  <c r="R111" i="17" a="1"/>
  <c r="R111" i="17" s="1"/>
  <c r="B29" i="19"/>
  <c r="B18" i="19"/>
  <c r="B19" i="19"/>
  <c r="B21" i="19"/>
  <c r="B31" i="19" s="1"/>
  <c r="B26" i="19"/>
  <c r="B30" i="19"/>
  <c r="AC10" i="19"/>
  <c r="AC15" i="19"/>
  <c r="AC17" i="19"/>
  <c r="AC24" i="19"/>
  <c r="D73" i="19"/>
  <c r="D74" i="19"/>
  <c r="D75" i="19"/>
  <c r="D76" i="19"/>
  <c r="D77" i="19"/>
  <c r="D72" i="19"/>
  <c r="S28" i="17" a="1"/>
  <c r="S28" i="17" s="1"/>
  <c r="S34" i="17" a="1"/>
  <c r="S34" i="17" s="1"/>
  <c r="S48" i="17" a="1"/>
  <c r="S48" i="17" s="1"/>
  <c r="S99" i="17" a="1"/>
  <c r="S99" i="17" s="1"/>
  <c r="S95" i="17" a="1"/>
  <c r="S95" i="17" s="1"/>
  <c r="S106" i="17" a="1"/>
  <c r="S106" i="17" s="1"/>
  <c r="S105" i="17" a="1"/>
  <c r="S105" i="17" s="1"/>
  <c r="S104" i="17" a="1"/>
  <c r="S104" i="17" s="1"/>
  <c r="S103" i="17" a="1"/>
  <c r="S103" i="17" s="1"/>
  <c r="S102" i="17" a="1"/>
  <c r="S102" i="17" s="1"/>
  <c r="S101" i="17" a="1"/>
  <c r="S101" i="17" s="1"/>
  <c r="S100" i="17" a="1"/>
  <c r="S100" i="17" s="1"/>
  <c r="S98" i="17" a="1"/>
  <c r="S98" i="17" s="1"/>
  <c r="S97" i="17" a="1"/>
  <c r="S97" i="17" s="1"/>
  <c r="S96" i="17" a="1"/>
  <c r="S96" i="17" s="1"/>
  <c r="S94" i="17" a="1"/>
  <c r="S94" i="17" s="1"/>
  <c r="S93" i="17" a="1"/>
  <c r="S93" i="17" s="1"/>
  <c r="S92" i="17" a="1"/>
  <c r="S92" i="17" s="1"/>
  <c r="S91" i="17" a="1"/>
  <c r="S91" i="17" s="1"/>
  <c r="S90" i="17" a="1"/>
  <c r="S90" i="17" s="1"/>
  <c r="S89" i="17" a="1"/>
  <c r="S89" i="17" s="1"/>
  <c r="S88" i="17" a="1"/>
  <c r="S88" i="17" s="1"/>
  <c r="S87" i="17" a="1"/>
  <c r="S87" i="17" s="1"/>
  <c r="S86" i="17" a="1"/>
  <c r="S86" i="17" s="1"/>
  <c r="S85" i="17" a="1"/>
  <c r="S85" i="17" s="1"/>
  <c r="S84" i="17" a="1"/>
  <c r="S84" i="17" s="1"/>
  <c r="S83" i="17" a="1"/>
  <c r="S83" i="17" s="1"/>
  <c r="S82" i="17" a="1"/>
  <c r="S82" i="17" s="1"/>
  <c r="S81" i="17" a="1"/>
  <c r="S81" i="17" s="1"/>
  <c r="S80" i="17" a="1"/>
  <c r="S80" i="17" s="1"/>
  <c r="S79" i="17" a="1"/>
  <c r="S79" i="17" s="1"/>
  <c r="S78" i="17" a="1"/>
  <c r="S78" i="17" s="1"/>
  <c r="S77" i="17" a="1"/>
  <c r="S77" i="17" s="1"/>
  <c r="S76" i="17" a="1"/>
  <c r="S76" i="17" s="1"/>
  <c r="S75" i="17" a="1"/>
  <c r="S75" i="17" s="1"/>
  <c r="S74" i="17" a="1"/>
  <c r="S74" i="17" s="1"/>
  <c r="S73" i="17" a="1"/>
  <c r="S73" i="17" s="1"/>
  <c r="S72" i="17" a="1"/>
  <c r="S72" i="17" s="1"/>
  <c r="S71" i="17" a="1"/>
  <c r="S71" i="17" s="1"/>
  <c r="S70" i="17" a="1"/>
  <c r="S70" i="17" s="1"/>
  <c r="S69" i="17" a="1"/>
  <c r="S69" i="17" s="1"/>
  <c r="S68" i="17" a="1"/>
  <c r="S68" i="17" s="1"/>
  <c r="S67" i="17" a="1"/>
  <c r="S67" i="17" s="1"/>
  <c r="S66" i="17" a="1"/>
  <c r="S66" i="17" s="1"/>
  <c r="S65" i="17" a="1"/>
  <c r="S65" i="17" s="1"/>
  <c r="S64" i="17" a="1"/>
  <c r="S64" i="17" s="1"/>
  <c r="S63" i="17" a="1"/>
  <c r="S63" i="17" s="1"/>
  <c r="S62" i="17" a="1"/>
  <c r="S62" i="17" s="1"/>
  <c r="S61" i="17" a="1"/>
  <c r="S61" i="17" s="1"/>
  <c r="S60" i="17" a="1"/>
  <c r="S60" i="17" s="1"/>
  <c r="S59" i="17" a="1"/>
  <c r="S59" i="17" s="1"/>
  <c r="S58" i="17" a="1"/>
  <c r="S58" i="17" s="1"/>
  <c r="S57" i="17" a="1"/>
  <c r="S57" i="17" s="1"/>
  <c r="S56" i="17" a="1"/>
  <c r="S56" i="17" s="1"/>
  <c r="S55" i="17" a="1"/>
  <c r="S55" i="17" s="1"/>
  <c r="S54" i="17" a="1"/>
  <c r="S54" i="17" s="1"/>
  <c r="S53" i="17" a="1"/>
  <c r="S53" i="17" s="1"/>
  <c r="S52" i="17" a="1"/>
  <c r="S52" i="17" s="1"/>
  <c r="S51" i="17" a="1"/>
  <c r="S51" i="17" s="1"/>
  <c r="S50" i="17" a="1"/>
  <c r="S50" i="17"/>
  <c r="S49" i="17" a="1"/>
  <c r="S49" i="17" s="1"/>
  <c r="S47" i="17" a="1"/>
  <c r="S47" i="17" s="1"/>
  <c r="S46" i="17" a="1"/>
  <c r="S46" i="17" s="1"/>
  <c r="S45" i="17" a="1"/>
  <c r="S45" i="17" s="1"/>
  <c r="S44" i="17" a="1"/>
  <c r="S44" i="17" s="1"/>
  <c r="S43" i="17" a="1"/>
  <c r="S43" i="17" s="1"/>
  <c r="S42" i="17" a="1"/>
  <c r="S42" i="17" s="1"/>
  <c r="S41" i="17" a="1"/>
  <c r="S41" i="17" s="1"/>
  <c r="S40" i="17" a="1"/>
  <c r="S40" i="17" s="1"/>
  <c r="S39" i="17" a="1"/>
  <c r="S39" i="17" s="1"/>
  <c r="S38" i="17" a="1"/>
  <c r="S38" i="17" s="1"/>
  <c r="S37" i="17" a="1"/>
  <c r="S37" i="17" s="1"/>
  <c r="S36" i="17" a="1"/>
  <c r="S36" i="17" s="1"/>
  <c r="S35" i="17" a="1"/>
  <c r="S35" i="17" s="1"/>
  <c r="S33" i="17" a="1"/>
  <c r="S33" i="17" s="1"/>
  <c r="S32" i="17" a="1"/>
  <c r="S32" i="17" s="1"/>
  <c r="S31" i="17" a="1"/>
  <c r="S31" i="17" s="1"/>
  <c r="S30" i="17" a="1"/>
  <c r="S30" i="17" s="1"/>
  <c r="S29" i="17" a="1"/>
  <c r="S29" i="17" s="1"/>
  <c r="S27" i="17" a="1"/>
  <c r="S27" i="17" s="1"/>
  <c r="S26" i="17" a="1"/>
  <c r="S26" i="17" s="1"/>
  <c r="S25" i="17" a="1"/>
  <c r="S25" i="17" s="1"/>
  <c r="S24" i="17" a="1"/>
  <c r="S24" i="17" s="1"/>
  <c r="S22" i="17" a="1"/>
  <c r="S22" i="17" s="1"/>
  <c r="S21" i="17" a="1"/>
  <c r="S21" i="17" s="1"/>
  <c r="S20" i="17" a="1"/>
  <c r="S20" i="17" s="1"/>
  <c r="S19" i="17" a="1"/>
  <c r="S19" i="17" s="1"/>
  <c r="S18" i="17" a="1"/>
  <c r="S18" i="17" s="1"/>
  <c r="S17" i="17" a="1"/>
  <c r="S17" i="17" s="1"/>
  <c r="S16" i="17" a="1"/>
  <c r="S16" i="17" s="1"/>
  <c r="S15" i="17" a="1"/>
  <c r="S15" i="17" s="1"/>
  <c r="S14" i="17" a="1"/>
  <c r="S14" i="17" s="1"/>
  <c r="S23" i="17" a="1"/>
  <c r="S23" i="17" s="1"/>
  <c r="S13" i="17" a="1"/>
  <c r="S13" i="17" s="1"/>
  <c r="S12" i="17" a="1"/>
  <c r="S12" i="17" s="1"/>
  <c r="S11" i="17" a="1"/>
  <c r="S11" i="17" s="1"/>
  <c r="R106" i="17" a="1"/>
  <c r="R106" i="17" s="1"/>
  <c r="R104" i="17" a="1"/>
  <c r="R104" i="17" s="1"/>
  <c r="R102" i="17" a="1"/>
  <c r="R102" i="17" s="1"/>
  <c r="R100" i="17" a="1"/>
  <c r="R100" i="17" s="1"/>
  <c r="R98" i="17" a="1"/>
  <c r="R98" i="17" s="1"/>
  <c r="R96" i="17" a="1"/>
  <c r="R96" i="17" s="1"/>
  <c r="R94" i="17" a="1"/>
  <c r="R94" i="17" s="1"/>
  <c r="R92" i="17" a="1"/>
  <c r="R92" i="17"/>
  <c r="R90" i="17" a="1"/>
  <c r="R90" i="17" s="1"/>
  <c r="R88" i="17" a="1"/>
  <c r="R88" i="17" s="1"/>
  <c r="R86" i="17" a="1"/>
  <c r="R86" i="17"/>
  <c r="R84" i="17" a="1"/>
  <c r="R84" i="17" s="1"/>
  <c r="R82" i="17" a="1"/>
  <c r="R82" i="17" s="1"/>
  <c r="R80" i="17" a="1"/>
  <c r="R80" i="17" s="1"/>
  <c r="R78" i="17" a="1"/>
  <c r="R78" i="17"/>
  <c r="R76" i="17" a="1"/>
  <c r="R76" i="17" s="1"/>
  <c r="R74" i="17" a="1"/>
  <c r="R74" i="17" s="1"/>
  <c r="R72" i="17" a="1"/>
  <c r="R72" i="17" s="1"/>
  <c r="R71" i="17" a="1"/>
  <c r="R71" i="17" s="1"/>
  <c r="R69" i="17" a="1"/>
  <c r="R69" i="17" s="1"/>
  <c r="R67" i="17" a="1"/>
  <c r="R67" i="17"/>
  <c r="R65" i="17" a="1"/>
  <c r="R65" i="17" s="1"/>
  <c r="R63" i="17" a="1"/>
  <c r="R63" i="17" s="1"/>
  <c r="R61" i="17" a="1"/>
  <c r="R61" i="17" s="1"/>
  <c r="R59" i="17" a="1"/>
  <c r="R59" i="17" s="1"/>
  <c r="R58" i="17" a="1"/>
  <c r="R58" i="17" s="1"/>
  <c r="R56" i="17" a="1"/>
  <c r="R56" i="17"/>
  <c r="R54" i="17" a="1"/>
  <c r="R54" i="17" s="1"/>
  <c r="R51" i="17" a="1"/>
  <c r="R51" i="17" s="1"/>
  <c r="R49" i="17" a="1"/>
  <c r="R49" i="17" s="1"/>
  <c r="R47" i="17" a="1"/>
  <c r="R47" i="17"/>
  <c r="R46" i="17" a="1"/>
  <c r="R46" i="17" s="1"/>
  <c r="R44" i="17" a="1"/>
  <c r="R44" i="17" s="1"/>
  <c r="R41" i="17" a="1"/>
  <c r="R41" i="17" s="1"/>
  <c r="R39" i="17" a="1"/>
  <c r="R39" i="17" s="1"/>
  <c r="R37" i="17" a="1"/>
  <c r="R37" i="17" s="1"/>
  <c r="R34" i="17" a="1"/>
  <c r="R34" i="17" s="1"/>
  <c r="R32" i="17" a="1"/>
  <c r="R32" i="17" s="1"/>
  <c r="R30" i="17" a="1"/>
  <c r="R30" i="17"/>
  <c r="R28" i="17" a="1"/>
  <c r="R28" i="17"/>
  <c r="R26" i="17" a="1"/>
  <c r="R26" i="17" s="1"/>
  <c r="R23" i="17" a="1"/>
  <c r="R23" i="17" s="1"/>
  <c r="R21" i="17" a="1"/>
  <c r="R21" i="17" s="1"/>
  <c r="R19" i="17" a="1"/>
  <c r="R19" i="17" s="1"/>
  <c r="R17" i="17" a="1"/>
  <c r="R17" i="17" s="1"/>
  <c r="R15" i="17" a="1"/>
  <c r="R15" i="17" s="1"/>
  <c r="R13" i="17" a="1"/>
  <c r="R13" i="17" s="1"/>
  <c r="R105" i="17" a="1"/>
  <c r="R105" i="17" s="1"/>
  <c r="R103" i="17" a="1"/>
  <c r="R103" i="17" s="1"/>
  <c r="R101" i="17" a="1"/>
  <c r="R101" i="17" s="1"/>
  <c r="R99" i="17" a="1"/>
  <c r="R99" i="17" s="1"/>
  <c r="R97" i="17" a="1"/>
  <c r="R97" i="17" s="1"/>
  <c r="R95" i="17" a="1"/>
  <c r="R95" i="17" s="1"/>
  <c r="R93" i="17" a="1"/>
  <c r="R93" i="17" s="1"/>
  <c r="R91" i="17" a="1"/>
  <c r="R91" i="17" s="1"/>
  <c r="R89" i="17" a="1"/>
  <c r="R89" i="17" s="1"/>
  <c r="R87" i="17" a="1"/>
  <c r="R87" i="17" s="1"/>
  <c r="R85" i="17" a="1"/>
  <c r="R85" i="17" s="1"/>
  <c r="R83" i="17" a="1"/>
  <c r="R83" i="17" s="1"/>
  <c r="R81" i="17" a="1"/>
  <c r="R81" i="17" s="1"/>
  <c r="R79" i="17" a="1"/>
  <c r="R79" i="17"/>
  <c r="R77" i="17" a="1"/>
  <c r="R77" i="17" s="1"/>
  <c r="R75" i="17" a="1"/>
  <c r="R75" i="17" s="1"/>
  <c r="R73" i="17" a="1"/>
  <c r="R73" i="17" s="1"/>
  <c r="R70" i="17" a="1"/>
  <c r="R70" i="17" s="1"/>
  <c r="R68" i="17" a="1"/>
  <c r="R68" i="17" s="1"/>
  <c r="R66" i="17" a="1"/>
  <c r="R66" i="17" s="1"/>
  <c r="R64" i="17" a="1"/>
  <c r="R64" i="17" s="1"/>
  <c r="R62" i="17" a="1"/>
  <c r="R62" i="17" s="1"/>
  <c r="R60" i="17" a="1"/>
  <c r="R60" i="17" s="1"/>
  <c r="R57" i="17" a="1"/>
  <c r="R57" i="17" s="1"/>
  <c r="R55" i="17" a="1"/>
  <c r="R55" i="17" s="1"/>
  <c r="R53" i="17" a="1"/>
  <c r="R53" i="17"/>
  <c r="R52" i="17" a="1"/>
  <c r="R52" i="17" s="1"/>
  <c r="R50" i="17" a="1"/>
  <c r="R50" i="17" s="1"/>
  <c r="R48" i="17" a="1"/>
  <c r="R48" i="17" s="1"/>
  <c r="R45" i="17" a="1"/>
  <c r="R45" i="17" s="1"/>
  <c r="R43" i="17" a="1"/>
  <c r="R43" i="17" s="1"/>
  <c r="R42" i="17" a="1"/>
  <c r="R42" i="17" s="1"/>
  <c r="R40" i="17" a="1"/>
  <c r="R40" i="17" s="1"/>
  <c r="R38" i="17" a="1"/>
  <c r="R38" i="17" s="1"/>
  <c r="R36" i="17" a="1"/>
  <c r="R36" i="17" s="1"/>
  <c r="R35" i="17" a="1"/>
  <c r="R35" i="17"/>
  <c r="R33" i="17" a="1"/>
  <c r="R33" i="17" s="1"/>
  <c r="R31" i="17" a="1"/>
  <c r="R31" i="17" s="1"/>
  <c r="R29" i="17" a="1"/>
  <c r="R29" i="17" s="1"/>
  <c r="R27" i="17" a="1"/>
  <c r="R27" i="17" s="1"/>
  <c r="R25" i="17" a="1"/>
  <c r="R25" i="17" s="1"/>
  <c r="R24" i="17" a="1"/>
  <c r="R24" i="17"/>
  <c r="R22" i="17" a="1"/>
  <c r="R22" i="17" s="1"/>
  <c r="R20" i="17" a="1"/>
  <c r="R20" i="17"/>
  <c r="R18" i="17" a="1"/>
  <c r="R18" i="17" s="1"/>
  <c r="R16" i="17" a="1"/>
  <c r="R16" i="17" s="1"/>
  <c r="R14" i="17" a="1"/>
  <c r="R14" i="17" s="1"/>
  <c r="R12" i="17" a="1"/>
  <c r="R12" i="17" s="1"/>
  <c r="R11" i="17" a="1"/>
  <c r="R11" i="17" s="1"/>
  <c r="R10" i="17" a="1"/>
  <c r="R10" i="17" s="1"/>
  <c r="R9" i="17" a="1"/>
  <c r="R9" i="17"/>
  <c r="R8" i="17" a="1"/>
  <c r="R8" i="17" s="1"/>
  <c r="S10" i="17" a="1"/>
  <c r="S10" i="17" s="1"/>
  <c r="S9" i="17" a="1"/>
  <c r="S9" i="17" s="1"/>
  <c r="S8" i="17" a="1"/>
  <c r="S8" i="17" s="1"/>
  <c r="S7" i="17" a="1"/>
  <c r="S7" i="17" s="1"/>
  <c r="S6" i="17" a="1"/>
  <c r="S6" i="17"/>
  <c r="S5" i="17" a="1"/>
  <c r="S5" i="17" s="1"/>
  <c r="S4" i="17" a="1"/>
  <c r="S4" i="17" s="1"/>
  <c r="S3" i="17" a="1"/>
  <c r="S3" i="17" s="1"/>
  <c r="S2" i="17" a="1"/>
  <c r="S2" i="17" s="1"/>
  <c r="R7" i="17" a="1"/>
  <c r="R7" i="17" s="1"/>
  <c r="R6" i="17" a="1"/>
  <c r="R6" i="17" s="1"/>
  <c r="R5" i="17" a="1"/>
  <c r="R5" i="17" s="1"/>
  <c r="R4" i="17" a="1"/>
  <c r="R4" i="17" s="1"/>
  <c r="R2" i="17" a="1"/>
  <c r="R2" i="17" s="1"/>
  <c r="R3" i="17" a="1"/>
  <c r="R3" i="17" s="1"/>
  <c r="C32" i="18" l="1"/>
  <c r="D4" i="18"/>
  <c r="B27" i="19"/>
  <c r="B25" i="19"/>
  <c r="F21" i="24" l="1" a="1"/>
  <c r="F21" i="24" s="1"/>
  <c r="F20" i="24" a="1"/>
  <c r="F20" i="24" s="1"/>
  <c r="F19" i="24" a="1"/>
  <c r="F19" i="24" s="1"/>
  <c r="F17" i="24" a="1"/>
  <c r="F17" i="24" s="1"/>
  <c r="F18" i="24" a="1"/>
  <c r="F18" i="24" s="1"/>
  <c r="F7" i="24" a="1"/>
  <c r="F7" i="24" s="1"/>
  <c r="F4" i="24" a="1"/>
  <c r="F4" i="24" s="1"/>
  <c r="F3" i="24" a="1"/>
  <c r="F3" i="24" s="1"/>
  <c r="B6" i="24"/>
  <c r="B9" i="24" s="1"/>
  <c r="F2" i="6"/>
  <c r="F11" i="6"/>
  <c r="B3" i="24"/>
  <c r="B39" i="24" a="1"/>
  <c r="B39" i="24" s="1"/>
  <c r="B37" i="24"/>
  <c r="C37" i="24" s="1" a="1"/>
  <c r="C37" i="24" s="1"/>
  <c r="C33" i="24"/>
  <c r="B33" i="24"/>
  <c r="B31" i="24" a="1"/>
  <c r="B31" i="24" s="1"/>
  <c r="C31" i="24" s="1" a="1"/>
  <c r="C31" i="24" s="1"/>
  <c r="B30" i="24" a="1"/>
  <c r="B30" i="24" s="1"/>
  <c r="C30" i="24" s="1" a="1"/>
  <c r="C30" i="24" s="1"/>
  <c r="C29" i="24"/>
  <c r="C20" i="24"/>
  <c r="C19" i="24"/>
  <c r="B21" i="24"/>
  <c r="C18" i="24"/>
  <c r="E18" i="24" s="1"/>
  <c r="B13" i="24"/>
  <c r="C7" i="24"/>
  <c r="B7" i="24" a="1"/>
  <c r="B7" i="24" s="1"/>
  <c r="C6" i="24"/>
  <c r="E6" i="24" s="1"/>
  <c r="C5" i="24"/>
  <c r="I4" i="24"/>
  <c r="C4" i="24"/>
  <c r="C8" i="24" s="1"/>
  <c r="B4" i="24" a="1"/>
  <c r="B4" i="24" s="1"/>
  <c r="C3" i="24"/>
  <c r="B2" i="24"/>
  <c r="M23" i="23"/>
  <c r="F23" i="23"/>
  <c r="E23" i="23"/>
  <c r="M22" i="23"/>
  <c r="L22" i="23"/>
  <c r="K22" i="23"/>
  <c r="Q22" i="23" s="1"/>
  <c r="J22" i="23"/>
  <c r="I22" i="23"/>
  <c r="H22" i="23"/>
  <c r="P22" i="23" s="1"/>
  <c r="G22" i="23"/>
  <c r="G23" i="23" s="1"/>
  <c r="F22" i="23"/>
  <c r="E22" i="23"/>
  <c r="D22" i="23"/>
  <c r="C22" i="23"/>
  <c r="B22" i="23"/>
  <c r="M21" i="23"/>
  <c r="L21" i="23"/>
  <c r="K21" i="23"/>
  <c r="Q21" i="23" s="1"/>
  <c r="J21" i="23"/>
  <c r="I21" i="23"/>
  <c r="H21" i="23"/>
  <c r="G21" i="23"/>
  <c r="O21" i="23" s="1"/>
  <c r="F21" i="23"/>
  <c r="E21" i="23"/>
  <c r="D21" i="23"/>
  <c r="C21" i="23"/>
  <c r="N21" i="23" s="1"/>
  <c r="B21" i="23"/>
  <c r="O20" i="23"/>
  <c r="M20" i="23"/>
  <c r="L20" i="23"/>
  <c r="L23" i="23" s="1"/>
  <c r="K20" i="23"/>
  <c r="J20" i="23"/>
  <c r="J23" i="23" s="1"/>
  <c r="I20" i="23"/>
  <c r="I23" i="23" s="1"/>
  <c r="H20" i="23"/>
  <c r="G20" i="23"/>
  <c r="F20" i="23"/>
  <c r="E20" i="23"/>
  <c r="D20" i="23"/>
  <c r="D23" i="23" s="1"/>
  <c r="C20" i="23"/>
  <c r="C23" i="23" s="1"/>
  <c r="B20" i="23"/>
  <c r="B23" i="23" s="1"/>
  <c r="B9" i="23"/>
  <c r="R8" i="23"/>
  <c r="Q8" i="23"/>
  <c r="P8" i="23"/>
  <c r="O8" i="23"/>
  <c r="N8" i="23"/>
  <c r="B7" i="23"/>
  <c r="M6" i="23"/>
  <c r="L6" i="23"/>
  <c r="K6" i="23"/>
  <c r="J6" i="23"/>
  <c r="I6" i="23"/>
  <c r="H6" i="23"/>
  <c r="G6" i="23"/>
  <c r="F6" i="23"/>
  <c r="E6" i="23"/>
  <c r="D6" i="23"/>
  <c r="C6" i="23"/>
  <c r="N6" i="23" s="1"/>
  <c r="B6" i="23"/>
  <c r="N5" i="23"/>
  <c r="B5" i="23"/>
  <c r="R5" i="23" s="1"/>
  <c r="M4" i="23"/>
  <c r="L4" i="23"/>
  <c r="K4" i="23"/>
  <c r="J4" i="23"/>
  <c r="I4" i="23"/>
  <c r="H4" i="23"/>
  <c r="G4" i="23"/>
  <c r="F4" i="23"/>
  <c r="E4" i="23"/>
  <c r="D4" i="23"/>
  <c r="C4" i="23"/>
  <c r="B4" i="23"/>
  <c r="B89" i="20" a="1"/>
  <c r="B89" i="20" s="1"/>
  <c r="B88" i="20" a="1"/>
  <c r="B88" i="20"/>
  <c r="B87" i="20" a="1"/>
  <c r="B87" i="20"/>
  <c r="C86" i="20" a="1"/>
  <c r="C86" i="20" s="1"/>
  <c r="B86" i="20" a="1"/>
  <c r="B86" i="20" s="1"/>
  <c r="B85" i="20" a="1"/>
  <c r="B85" i="20" s="1"/>
  <c r="J81" i="20"/>
  <c r="I81" i="20"/>
  <c r="H81" i="20"/>
  <c r="G81" i="20"/>
  <c r="F81" i="20"/>
  <c r="E81" i="20"/>
  <c r="D81" i="20"/>
  <c r="C81" i="20"/>
  <c r="B81" i="20"/>
  <c r="C52" i="20" a="1"/>
  <c r="C52" i="20" s="1"/>
  <c r="C51" i="20" a="1"/>
  <c r="C51" i="20" s="1"/>
  <c r="C50" i="20" a="1"/>
  <c r="C50" i="20" s="1"/>
  <c r="C49" i="20" a="1"/>
  <c r="C49" i="20" s="1"/>
  <c r="C48" i="20" a="1"/>
  <c r="C48" i="20" s="1"/>
  <c r="C47" i="20" a="1"/>
  <c r="C47" i="20" s="1"/>
  <c r="C46" i="20" a="1"/>
  <c r="C46" i="20" s="1"/>
  <c r="C45" i="20" a="1"/>
  <c r="C45" i="20" s="1"/>
  <c r="C44" i="20" a="1"/>
  <c r="C44" i="20" s="1"/>
  <c r="C43" i="20" a="1"/>
  <c r="C43" i="20" s="1"/>
  <c r="C42" i="20" a="1"/>
  <c r="C42" i="20" s="1"/>
  <c r="F33" i="20"/>
  <c r="E33" i="20"/>
  <c r="D33" i="20"/>
  <c r="C33" i="20"/>
  <c r="B33" i="20"/>
  <c r="E32" i="20"/>
  <c r="F32" i="20" s="1"/>
  <c r="D32" i="20"/>
  <c r="C32" i="20"/>
  <c r="B32" i="20"/>
  <c r="E31" i="20"/>
  <c r="D31" i="20"/>
  <c r="C31" i="20"/>
  <c r="B31" i="20"/>
  <c r="E30" i="20"/>
  <c r="F30" i="20" s="1"/>
  <c r="D30" i="20"/>
  <c r="C30" i="20"/>
  <c r="B30" i="20"/>
  <c r="E29" i="20"/>
  <c r="D29" i="20"/>
  <c r="C29" i="20"/>
  <c r="B29" i="20"/>
  <c r="F29" i="20" s="1"/>
  <c r="E28" i="20"/>
  <c r="F28" i="20" s="1"/>
  <c r="D28" i="20"/>
  <c r="C28" i="20"/>
  <c r="B28" i="20"/>
  <c r="D18" i="20"/>
  <c r="D17" i="20"/>
  <c r="D16" i="20"/>
  <c r="D15" i="20"/>
  <c r="D14" i="20"/>
  <c r="D13" i="20"/>
  <c r="D12" i="20"/>
  <c r="B6" i="20"/>
  <c r="B5" i="20"/>
  <c r="B4" i="20" a="1"/>
  <c r="B4" i="20" s="1"/>
  <c r="AB4" i="19"/>
  <c r="AA4" i="19"/>
  <c r="Z4" i="19"/>
  <c r="Z5" i="19" s="1" a="1"/>
  <c r="Z5" i="19" s="1"/>
  <c r="Y4" i="19"/>
  <c r="X4" i="19"/>
  <c r="W4" i="19"/>
  <c r="V4" i="19"/>
  <c r="U4" i="19"/>
  <c r="T4" i="19"/>
  <c r="S4" i="19"/>
  <c r="R4" i="19"/>
  <c r="Q4" i="19"/>
  <c r="P4" i="19"/>
  <c r="O4" i="19"/>
  <c r="N4" i="19"/>
  <c r="M4" i="19"/>
  <c r="L4" i="19"/>
  <c r="K4" i="19"/>
  <c r="J4" i="19"/>
  <c r="I4" i="19"/>
  <c r="H4" i="19"/>
  <c r="G4" i="19"/>
  <c r="F4" i="19"/>
  <c r="E4" i="19"/>
  <c r="D4" i="19"/>
  <c r="C4" i="19"/>
  <c r="B4" i="19"/>
  <c r="A31" i="18"/>
  <c r="B28" i="18"/>
  <c r="B4" i="18"/>
  <c r="D40" i="19" s="1"/>
  <c r="U106" i="17"/>
  <c r="T106" i="17"/>
  <c r="V106" i="17" s="1"/>
  <c r="U105" i="17"/>
  <c r="T105" i="17"/>
  <c r="V105" i="17" s="1"/>
  <c r="U104" i="17"/>
  <c r="T104" i="17"/>
  <c r="V104" i="17" s="1"/>
  <c r="U103" i="17"/>
  <c r="T103" i="17"/>
  <c r="V103" i="17" s="1"/>
  <c r="U102" i="17"/>
  <c r="T102" i="17"/>
  <c r="V102" i="17" s="1"/>
  <c r="U101" i="17"/>
  <c r="T101" i="17"/>
  <c r="V101" i="17" s="1"/>
  <c r="U100" i="17"/>
  <c r="T100" i="17"/>
  <c r="V100" i="17" s="1"/>
  <c r="U99" i="17"/>
  <c r="T99" i="17"/>
  <c r="V99" i="17" s="1"/>
  <c r="U98" i="17"/>
  <c r="T98" i="17"/>
  <c r="V98" i="17" s="1"/>
  <c r="D52" i="20" a="1"/>
  <c r="D52" i="20" s="1"/>
  <c r="U97" i="17"/>
  <c r="T97" i="17"/>
  <c r="V97" i="17" s="1"/>
  <c r="U96" i="17"/>
  <c r="T96" i="17"/>
  <c r="V96" i="17" s="1"/>
  <c r="D51" i="20" a="1"/>
  <c r="D51" i="20" s="1"/>
  <c r="U95" i="17"/>
  <c r="T95" i="17"/>
  <c r="V95" i="17" s="1"/>
  <c r="U94" i="17"/>
  <c r="T94" i="17"/>
  <c r="V94" i="17" s="1"/>
  <c r="U93" i="17"/>
  <c r="T93" i="17"/>
  <c r="V93" i="17" s="1"/>
  <c r="U92" i="17"/>
  <c r="T92" i="17"/>
  <c r="V92" i="17" s="1"/>
  <c r="U91" i="17"/>
  <c r="T91" i="17"/>
  <c r="V91" i="17" s="1"/>
  <c r="U90" i="17"/>
  <c r="T90" i="17"/>
  <c r="V90" i="17" s="1"/>
  <c r="U89" i="17"/>
  <c r="T89" i="17"/>
  <c r="V89" i="17" s="1"/>
  <c r="V88" i="17"/>
  <c r="U88" i="17"/>
  <c r="T88" i="17"/>
  <c r="U87" i="17"/>
  <c r="T87" i="17"/>
  <c r="V87" i="17" s="1"/>
  <c r="U86" i="17"/>
  <c r="T86" i="17"/>
  <c r="V86" i="17" s="1"/>
  <c r="U85" i="17"/>
  <c r="T85" i="17"/>
  <c r="V85" i="17" s="1"/>
  <c r="D50" i="20" a="1"/>
  <c r="D50" i="20" s="1"/>
  <c r="U84" i="17"/>
  <c r="T84" i="17"/>
  <c r="V84" i="17" s="1"/>
  <c r="U83" i="17"/>
  <c r="T83" i="17"/>
  <c r="V83" i="17" s="1"/>
  <c r="U82" i="17"/>
  <c r="T82" i="17"/>
  <c r="V82" i="17" s="1"/>
  <c r="V81" i="17"/>
  <c r="U81" i="17"/>
  <c r="T81" i="17"/>
  <c r="U80" i="17"/>
  <c r="T80" i="17"/>
  <c r="V80" i="17" s="1"/>
  <c r="U79" i="17"/>
  <c r="T79" i="17"/>
  <c r="V79" i="17" s="1"/>
  <c r="D49" i="20" a="1"/>
  <c r="D49" i="20" s="1"/>
  <c r="U78" i="17"/>
  <c r="T78" i="17"/>
  <c r="V78" i="17" s="1"/>
  <c r="U77" i="17"/>
  <c r="T77" i="17"/>
  <c r="V77" i="17" s="1"/>
  <c r="D48" i="20" a="1"/>
  <c r="D48" i="20" s="1"/>
  <c r="U76" i="17"/>
  <c r="T76" i="17"/>
  <c r="V76" i="17" s="1"/>
  <c r="U75" i="17"/>
  <c r="T75" i="17"/>
  <c r="V75" i="17" s="1"/>
  <c r="U74" i="17"/>
  <c r="T74" i="17"/>
  <c r="V74" i="17" s="1"/>
  <c r="D47" i="20" a="1"/>
  <c r="D47" i="20" s="1"/>
  <c r="U73" i="17"/>
  <c r="T73" i="17"/>
  <c r="V73" i="17" s="1"/>
  <c r="U72" i="17"/>
  <c r="T72" i="17"/>
  <c r="V72" i="17" s="1"/>
  <c r="V71" i="17"/>
  <c r="U71" i="17"/>
  <c r="T71" i="17"/>
  <c r="U70" i="17"/>
  <c r="T70" i="17"/>
  <c r="V70" i="17" s="1"/>
  <c r="U69" i="17"/>
  <c r="T69" i="17"/>
  <c r="V69" i="17" s="1"/>
  <c r="D46" i="20" a="1"/>
  <c r="D46" i="20" s="1"/>
  <c r="U68" i="17"/>
  <c r="T68" i="17"/>
  <c r="V68" i="17" s="1"/>
  <c r="U67" i="17"/>
  <c r="T67" i="17"/>
  <c r="V67" i="17" s="1"/>
  <c r="U66" i="17"/>
  <c r="T66" i="17"/>
  <c r="V66" i="17" s="1"/>
  <c r="U65" i="17"/>
  <c r="T65" i="17"/>
  <c r="V65" i="17" s="1"/>
  <c r="U64" i="17"/>
  <c r="T64" i="17"/>
  <c r="V64" i="17" s="1"/>
  <c r="U63" i="17"/>
  <c r="T63" i="17"/>
  <c r="V63" i="17" s="1"/>
  <c r="U62" i="17"/>
  <c r="T62" i="17"/>
  <c r="V62" i="17" s="1"/>
  <c r="U61" i="17"/>
  <c r="T61" i="17"/>
  <c r="V61" i="17" s="1"/>
  <c r="U60" i="17"/>
  <c r="T60" i="17"/>
  <c r="V60" i="17" s="1"/>
  <c r="U59" i="17"/>
  <c r="T59" i="17"/>
  <c r="V59" i="17" s="1"/>
  <c r="U58" i="17"/>
  <c r="T58" i="17"/>
  <c r="V58" i="17" s="1"/>
  <c r="U57" i="17"/>
  <c r="T57" i="17"/>
  <c r="V57" i="17" s="1"/>
  <c r="U56" i="17"/>
  <c r="T56" i="17"/>
  <c r="V56" i="17" s="1"/>
  <c r="U55" i="17"/>
  <c r="T55" i="17"/>
  <c r="V55" i="17" s="1"/>
  <c r="U54" i="17"/>
  <c r="T54" i="17"/>
  <c r="V54" i="17" s="1"/>
  <c r="U53" i="17"/>
  <c r="T53" i="17"/>
  <c r="V53" i="17" s="1"/>
  <c r="U52" i="17"/>
  <c r="T52" i="17"/>
  <c r="V52" i="17" s="1"/>
  <c r="U51" i="17"/>
  <c r="T51" i="17"/>
  <c r="V51" i="17" s="1"/>
  <c r="U50" i="17"/>
  <c r="T50" i="17"/>
  <c r="V50" i="17" s="1"/>
  <c r="U49" i="17"/>
  <c r="T49" i="17"/>
  <c r="V49" i="17" s="1"/>
  <c r="U48" i="17"/>
  <c r="T48" i="17"/>
  <c r="V48" i="17" s="1"/>
  <c r="U47" i="17"/>
  <c r="T47" i="17"/>
  <c r="V47" i="17" s="1"/>
  <c r="U46" i="17"/>
  <c r="T46" i="17"/>
  <c r="V46" i="17" s="1"/>
  <c r="U45" i="17"/>
  <c r="T45" i="17"/>
  <c r="V45" i="17" s="1"/>
  <c r="U44" i="17"/>
  <c r="T44" i="17"/>
  <c r="V44" i="17" s="1"/>
  <c r="D45" i="20" a="1"/>
  <c r="D45" i="20" s="1"/>
  <c r="U43" i="17"/>
  <c r="T43" i="17"/>
  <c r="V43" i="17" s="1"/>
  <c r="U42" i="17"/>
  <c r="T42" i="17"/>
  <c r="V42" i="17" s="1"/>
  <c r="U41" i="17"/>
  <c r="T41" i="17"/>
  <c r="V41" i="17" s="1"/>
  <c r="U40" i="17"/>
  <c r="T40" i="17"/>
  <c r="V40" i="17" s="1"/>
  <c r="D44" i="20" a="1"/>
  <c r="D44" i="20" s="1"/>
  <c r="U39" i="17"/>
  <c r="T39" i="17"/>
  <c r="V39" i="17" s="1"/>
  <c r="U38" i="17"/>
  <c r="T38" i="17"/>
  <c r="V38" i="17" s="1"/>
  <c r="U37" i="17"/>
  <c r="T37" i="17"/>
  <c r="V37" i="17" s="1"/>
  <c r="U36" i="17"/>
  <c r="T36" i="17"/>
  <c r="V36" i="17" s="1"/>
  <c r="U35" i="17"/>
  <c r="T35" i="17"/>
  <c r="V35" i="17" s="1"/>
  <c r="D43" i="20" a="1"/>
  <c r="D43" i="20" s="1"/>
  <c r="U34" i="17"/>
  <c r="T34" i="17"/>
  <c r="V34" i="17" s="1"/>
  <c r="U33" i="17"/>
  <c r="T33" i="17"/>
  <c r="V33" i="17" s="1"/>
  <c r="U32" i="17"/>
  <c r="T32" i="17"/>
  <c r="V32" i="17" s="1"/>
  <c r="U31" i="17"/>
  <c r="T31" i="17"/>
  <c r="V31" i="17" s="1"/>
  <c r="U30" i="17"/>
  <c r="T30" i="17"/>
  <c r="V30" i="17" s="1"/>
  <c r="U29" i="17"/>
  <c r="T29" i="17"/>
  <c r="V29" i="17" s="1"/>
  <c r="U28" i="17"/>
  <c r="T28" i="17"/>
  <c r="V28" i="17" s="1"/>
  <c r="U27" i="17"/>
  <c r="T27" i="17"/>
  <c r="V27" i="17" s="1"/>
  <c r="U26" i="17"/>
  <c r="T26" i="17"/>
  <c r="V26" i="17" s="1"/>
  <c r="U25" i="17"/>
  <c r="T25" i="17"/>
  <c r="V25" i="17" s="1"/>
  <c r="U24" i="17"/>
  <c r="T24" i="17"/>
  <c r="V24" i="17" s="1"/>
  <c r="D42" i="20" a="1"/>
  <c r="D42" i="20" s="1"/>
  <c r="U23" i="17"/>
  <c r="T23" i="17"/>
  <c r="V23" i="17" s="1"/>
  <c r="U22" i="17"/>
  <c r="T22" i="17"/>
  <c r="V22" i="17" s="1"/>
  <c r="U21" i="17"/>
  <c r="T21" i="17"/>
  <c r="V21" i="17" s="1"/>
  <c r="U20" i="17"/>
  <c r="T20" i="17"/>
  <c r="V20" i="17" s="1"/>
  <c r="U19" i="17"/>
  <c r="T19" i="17"/>
  <c r="V19" i="17" s="1"/>
  <c r="U18" i="17"/>
  <c r="T18" i="17"/>
  <c r="V18" i="17" s="1"/>
  <c r="U17" i="17"/>
  <c r="T17" i="17"/>
  <c r="V17" i="17" s="1"/>
  <c r="U16" i="17"/>
  <c r="T16" i="17"/>
  <c r="V16" i="17" s="1"/>
  <c r="U15" i="17"/>
  <c r="T15" i="17"/>
  <c r="V15" i="17" s="1"/>
  <c r="U14" i="17"/>
  <c r="T14" i="17"/>
  <c r="V14" i="17" s="1"/>
  <c r="U13" i="17"/>
  <c r="T13" i="17"/>
  <c r="V13" i="17" s="1"/>
  <c r="U12" i="17"/>
  <c r="T12" i="17"/>
  <c r="V12" i="17" s="1"/>
  <c r="U11" i="17"/>
  <c r="T11" i="17"/>
  <c r="V11" i="17" s="1"/>
  <c r="U10" i="17"/>
  <c r="T10" i="17"/>
  <c r="V10" i="17" s="1"/>
  <c r="U9" i="17"/>
  <c r="T9" i="17"/>
  <c r="V9" i="17" s="1"/>
  <c r="U8" i="17"/>
  <c r="T8" i="17"/>
  <c r="V8" i="17" s="1"/>
  <c r="U7" i="17"/>
  <c r="T7" i="17"/>
  <c r="V7" i="17" s="1"/>
  <c r="U6" i="17"/>
  <c r="T6" i="17"/>
  <c r="V6" i="17" s="1"/>
  <c r="U5" i="17"/>
  <c r="T5" i="17"/>
  <c r="V5" i="17" s="1"/>
  <c r="V4" i="17"/>
  <c r="U4" i="17"/>
  <c r="T4" i="17"/>
  <c r="U3" i="17"/>
  <c r="T3" i="17"/>
  <c r="V3" i="17" s="1"/>
  <c r="U2" i="17"/>
  <c r="T2" i="17"/>
  <c r="A29" i="16"/>
  <c r="A28" i="16"/>
  <c r="A27" i="16"/>
  <c r="C26" i="16"/>
  <c r="A26" i="16"/>
  <c r="A25" i="16"/>
  <c r="A24" i="16"/>
  <c r="A23" i="16"/>
  <c r="A22" i="16"/>
  <c r="A21" i="16"/>
  <c r="A20" i="16"/>
  <c r="D19" i="16"/>
  <c r="E19" i="16" s="1"/>
  <c r="C19" i="16"/>
  <c r="A19" i="16"/>
  <c r="A18" i="16"/>
  <c r="D17" i="16"/>
  <c r="A17" i="16"/>
  <c r="D16" i="16"/>
  <c r="A16" i="16"/>
  <c r="A15" i="16"/>
  <c r="A14" i="16"/>
  <c r="C13" i="16"/>
  <c r="A13" i="16"/>
  <c r="E12" i="16"/>
  <c r="D12" i="16"/>
  <c r="C12" i="16"/>
  <c r="A12" i="16"/>
  <c r="C11" i="16"/>
  <c r="A11" i="16"/>
  <c r="D10" i="16"/>
  <c r="E10" i="16" s="1"/>
  <c r="C10" i="16"/>
  <c r="A10" i="16"/>
  <c r="D9" i="16"/>
  <c r="A9" i="16"/>
  <c r="C6" i="16"/>
  <c r="D5" i="16"/>
  <c r="C5" i="16"/>
  <c r="E5" i="16" s="1"/>
  <c r="C4" i="16"/>
  <c r="D3" i="16"/>
  <c r="C3" i="16"/>
  <c r="C2" i="16"/>
  <c r="C12" i="15"/>
  <c r="J11" i="15" a="1"/>
  <c r="J11" i="15" s="1"/>
  <c r="C11" i="15"/>
  <c r="J9" i="15" a="1"/>
  <c r="J9" i="15" s="1"/>
  <c r="J7" i="15" a="1"/>
  <c r="J7" i="15" s="1"/>
  <c r="D7" i="15"/>
  <c r="B7" i="15"/>
  <c r="J5" i="15" a="1"/>
  <c r="J5" i="15" s="1"/>
  <c r="C5" i="15"/>
  <c r="B5" i="15"/>
  <c r="J3" i="15" a="1"/>
  <c r="J3" i="15" s="1"/>
  <c r="D52" i="14"/>
  <c r="B38" i="14"/>
  <c r="C52" i="14" s="1"/>
  <c r="D28" i="14"/>
  <c r="E27" i="14"/>
  <c r="E28" i="14" s="1"/>
  <c r="D27" i="14"/>
  <c r="C27" i="14"/>
  <c r="B27" i="14"/>
  <c r="E26" i="14"/>
  <c r="D26" i="14"/>
  <c r="G26" i="14" s="1"/>
  <c r="C26" i="14"/>
  <c r="B26" i="14"/>
  <c r="C19" i="11" s="1"/>
  <c r="E25" i="14"/>
  <c r="D25" i="14"/>
  <c r="C25" i="14"/>
  <c r="C28" i="14" s="1"/>
  <c r="B25" i="14"/>
  <c r="E8" i="14"/>
  <c r="D8" i="14"/>
  <c r="C8" i="14"/>
  <c r="B8" i="14"/>
  <c r="B39" i="13" a="1"/>
  <c r="B39" i="13" s="1"/>
  <c r="C37" i="13" a="1"/>
  <c r="C37" i="13" s="1"/>
  <c r="C33" i="13"/>
  <c r="B33" i="13"/>
  <c r="F7" i="15" s="1"/>
  <c r="B31" i="13" a="1"/>
  <c r="B31" i="13" s="1"/>
  <c r="C31" i="13" s="1" a="1"/>
  <c r="C31" i="13" s="1"/>
  <c r="B30" i="13" a="1"/>
  <c r="B30" i="13"/>
  <c r="C30" i="13" s="1" a="1"/>
  <c r="C30" i="13" s="1"/>
  <c r="C29" i="13"/>
  <c r="B20" i="13"/>
  <c r="C19" i="13"/>
  <c r="B19" i="13"/>
  <c r="C18" i="13"/>
  <c r="B18" i="13"/>
  <c r="B37" i="13" s="1"/>
  <c r="F11" i="15" s="1"/>
  <c r="B13" i="13"/>
  <c r="B7" i="13" a="1"/>
  <c r="B7" i="13" s="1"/>
  <c r="C6" i="13"/>
  <c r="D6" i="13" s="1"/>
  <c r="B5" i="13" a="1"/>
  <c r="B5" i="13" s="1"/>
  <c r="I4" i="13"/>
  <c r="B4" i="13" a="1"/>
  <c r="B4" i="13" s="1"/>
  <c r="C24" i="16" s="1"/>
  <c r="B2" i="13"/>
  <c r="B91" i="12"/>
  <c r="B39" i="12" a="1"/>
  <c r="B39" i="12" s="1"/>
  <c r="C33" i="12"/>
  <c r="B33" i="12"/>
  <c r="B31" i="12" a="1"/>
  <c r="B31" i="12" s="1"/>
  <c r="C31" i="12" s="1" a="1"/>
  <c r="C31" i="12" s="1"/>
  <c r="B30" i="12" a="1"/>
  <c r="B30" i="12" s="1"/>
  <c r="D5" i="15" s="1"/>
  <c r="C29" i="12"/>
  <c r="C20" i="12"/>
  <c r="B20" i="12" a="1"/>
  <c r="B20" i="12" s="1"/>
  <c r="C19" i="12"/>
  <c r="B19" i="12" a="1"/>
  <c r="B19" i="12"/>
  <c r="E19" i="12" s="1"/>
  <c r="C18" i="12"/>
  <c r="B18" i="12" a="1"/>
  <c r="B18" i="12" s="1"/>
  <c r="B37" i="12" s="1"/>
  <c r="D11" i="15" s="1"/>
  <c r="B13" i="12"/>
  <c r="J7" i="12" a="1"/>
  <c r="J7" i="12" s="1"/>
  <c r="B7" i="12" a="1"/>
  <c r="B7" i="12" s="1"/>
  <c r="B73" i="12" s="1"/>
  <c r="E6" i="12"/>
  <c r="D6" i="12"/>
  <c r="B5" i="12" a="1"/>
  <c r="B5" i="12" s="1"/>
  <c r="I4" i="12"/>
  <c r="B4" i="12" a="1"/>
  <c r="B4" i="12" s="1"/>
  <c r="B2" i="12"/>
  <c r="B58" i="11"/>
  <c r="C57" i="11"/>
  <c r="C38" i="11" a="1"/>
  <c r="C38" i="11" s="1"/>
  <c r="B38" i="11"/>
  <c r="C37" i="11" a="1"/>
  <c r="C37" i="11" s="1"/>
  <c r="B37" i="11"/>
  <c r="C58" i="11" s="1"/>
  <c r="B36" i="11"/>
  <c r="C36" i="11" s="1" a="1"/>
  <c r="C36" i="11" s="1"/>
  <c r="B33" i="11"/>
  <c r="C7" i="15" s="1"/>
  <c r="C31" i="11" a="1"/>
  <c r="C31" i="11" s="1"/>
  <c r="C30" i="11" a="1"/>
  <c r="C30" i="11" s="1"/>
  <c r="B20" i="11"/>
  <c r="B19" i="11"/>
  <c r="D19" i="11" s="1"/>
  <c r="B8" i="11"/>
  <c r="E6" i="11"/>
  <c r="D6" i="11"/>
  <c r="E4" i="11"/>
  <c r="D4" i="11"/>
  <c r="B3" i="11"/>
  <c r="B9" i="11" s="1"/>
  <c r="C54" i="11" s="1"/>
  <c r="B65" i="10"/>
  <c r="B42" i="10"/>
  <c r="C20" i="10"/>
  <c r="B20" i="10"/>
  <c r="C19" i="10"/>
  <c r="B19" i="10"/>
  <c r="B18" i="10"/>
  <c r="B9" i="10"/>
  <c r="B8" i="10"/>
  <c r="E6" i="10"/>
  <c r="D6" i="10"/>
  <c r="E4" i="10"/>
  <c r="D4" i="10"/>
  <c r="E3" i="16" s="1"/>
  <c r="B6" i="9"/>
  <c r="B7" i="14" s="1"/>
  <c r="B46" i="8"/>
  <c r="B45" i="8"/>
  <c r="B44" i="8"/>
  <c r="I40" i="8"/>
  <c r="I31" i="8"/>
  <c r="G31" i="8"/>
  <c r="F31" i="8"/>
  <c r="E31" i="8"/>
  <c r="D31" i="8"/>
  <c r="C31" i="8"/>
  <c r="B31" i="8"/>
  <c r="I28" i="8"/>
  <c r="H28" i="8"/>
  <c r="H31" i="8" s="1"/>
  <c r="G28" i="8"/>
  <c r="F28" i="8"/>
  <c r="I26" i="8"/>
  <c r="I25" i="8"/>
  <c r="I24" i="8"/>
  <c r="I17" i="8"/>
  <c r="B22" i="7"/>
  <c r="D21" i="7"/>
  <c r="C21" i="7"/>
  <c r="C14" i="7"/>
  <c r="C13" i="7"/>
  <c r="B13" i="7"/>
  <c r="C12" i="7"/>
  <c r="B12" i="7"/>
  <c r="C5" i="7"/>
  <c r="C23" i="7" s="1"/>
  <c r="C24" i="7" s="1"/>
  <c r="B5" i="7"/>
  <c r="B23" i="7" s="1"/>
  <c r="C3" i="7"/>
  <c r="B3" i="7"/>
  <c r="E11" i="6"/>
  <c r="D11" i="6"/>
  <c r="C11" i="6"/>
  <c r="B11" i="6"/>
  <c r="B7" i="6"/>
  <c r="C2" i="6" s="1"/>
  <c r="C7" i="6" s="1"/>
  <c r="C12" i="6" s="1"/>
  <c r="G13" i="1"/>
  <c r="F13" i="1"/>
  <c r="E13" i="1"/>
  <c r="D13" i="1"/>
  <c r="F10" i="1"/>
  <c r="E10" i="1"/>
  <c r="D10" i="1"/>
  <c r="F7" i="1"/>
  <c r="E7" i="1"/>
  <c r="G7" i="1" s="1"/>
  <c r="F4" i="1"/>
  <c r="G4" i="1" s="1"/>
  <c r="E4" i="1"/>
  <c r="AD20" i="19" l="1"/>
  <c r="AC20" i="19"/>
  <c r="A32" i="18"/>
  <c r="B7" i="8"/>
  <c r="K15" i="19"/>
  <c r="K24" i="19"/>
  <c r="K10" i="19"/>
  <c r="AA15" i="19"/>
  <c r="AA24" i="19"/>
  <c r="AA10" i="19"/>
  <c r="AB15" i="19"/>
  <c r="AB24" i="19"/>
  <c r="AB10" i="19"/>
  <c r="F10" i="19"/>
  <c r="F15" i="19"/>
  <c r="F24" i="19"/>
  <c r="V10" i="19"/>
  <c r="V15" i="19"/>
  <c r="V24" i="19"/>
  <c r="U10" i="19"/>
  <c r="U15" i="19"/>
  <c r="U24" i="19"/>
  <c r="G10" i="19"/>
  <c r="G15" i="19"/>
  <c r="G24" i="19"/>
  <c r="W24" i="19"/>
  <c r="W10" i="19"/>
  <c r="W15" i="19"/>
  <c r="N15" i="19"/>
  <c r="N24" i="19"/>
  <c r="N10" i="19"/>
  <c r="O24" i="19"/>
  <c r="O15" i="19"/>
  <c r="O10" i="19"/>
  <c r="S10" i="19"/>
  <c r="S15" i="19"/>
  <c r="S24" i="19"/>
  <c r="H15" i="19"/>
  <c r="H24" i="19"/>
  <c r="H10" i="19"/>
  <c r="X24" i="19"/>
  <c r="X10" i="19"/>
  <c r="X15" i="19"/>
  <c r="Q24" i="19"/>
  <c r="Q15" i="19"/>
  <c r="Q10" i="19"/>
  <c r="R24" i="19"/>
  <c r="R15" i="19"/>
  <c r="R10" i="19"/>
  <c r="C10" i="19"/>
  <c r="C15" i="19"/>
  <c r="C24" i="19"/>
  <c r="I15" i="19"/>
  <c r="I24" i="19"/>
  <c r="I10" i="19"/>
  <c r="Y15" i="19"/>
  <c r="Y10" i="19"/>
  <c r="Y24" i="19"/>
  <c r="L10" i="19"/>
  <c r="L15" i="19"/>
  <c r="L24" i="19"/>
  <c r="M10" i="19"/>
  <c r="M15" i="19"/>
  <c r="M24" i="19"/>
  <c r="P24" i="19"/>
  <c r="P15" i="19"/>
  <c r="P10" i="19"/>
  <c r="B10" i="19"/>
  <c r="B15" i="19"/>
  <c r="B24" i="19"/>
  <c r="D10" i="19"/>
  <c r="D15" i="19"/>
  <c r="D24" i="19"/>
  <c r="T10" i="19"/>
  <c r="T15" i="19"/>
  <c r="T24" i="19"/>
  <c r="E10" i="19"/>
  <c r="E15" i="19"/>
  <c r="E24" i="19"/>
  <c r="J15" i="19"/>
  <c r="J24" i="19"/>
  <c r="J10" i="19"/>
  <c r="Z15" i="19"/>
  <c r="Z24" i="19"/>
  <c r="Z10" i="19"/>
  <c r="B36" i="18"/>
  <c r="D70" i="19" s="1"/>
  <c r="B10" i="24"/>
  <c r="B8" i="24"/>
  <c r="D8" i="24" s="1"/>
  <c r="F8" i="24" s="1" a="1"/>
  <c r="F8" i="24" s="1"/>
  <c r="C21" i="24"/>
  <c r="B83" i="12"/>
  <c r="F12" i="6"/>
  <c r="F13" i="6" s="1"/>
  <c r="F14" i="6" s="1"/>
  <c r="E18" i="12"/>
  <c r="C20" i="16"/>
  <c r="B8" i="12"/>
  <c r="C21" i="16" s="1"/>
  <c r="B36" i="12"/>
  <c r="B57" i="12" s="1"/>
  <c r="F5" i="15"/>
  <c r="C37" i="12" a="1"/>
  <c r="C37" i="12" s="1"/>
  <c r="B38" i="12"/>
  <c r="B58" i="12" s="1"/>
  <c r="D18" i="13"/>
  <c r="C57" i="12"/>
  <c r="E18" i="13"/>
  <c r="B36" i="13"/>
  <c r="B57" i="13" s="1"/>
  <c r="B38" i="13"/>
  <c r="B58" i="13" s="1"/>
  <c r="C58" i="13"/>
  <c r="C58" i="12"/>
  <c r="B12" i="6"/>
  <c r="B13" i="6" s="1"/>
  <c r="B14" i="6" s="1"/>
  <c r="D18" i="24"/>
  <c r="E20" i="24"/>
  <c r="D3" i="24"/>
  <c r="E3" i="24"/>
  <c r="D21" i="24"/>
  <c r="E21" i="24"/>
  <c r="B40" i="24"/>
  <c r="C58" i="24"/>
  <c r="B38" i="24"/>
  <c r="C9" i="24"/>
  <c r="E5" i="24"/>
  <c r="D5" i="24"/>
  <c r="F5" i="24" s="1" a="1"/>
  <c r="F5" i="24" s="1"/>
  <c r="D7" i="24"/>
  <c r="E7" i="24"/>
  <c r="C57" i="24"/>
  <c r="B36" i="24"/>
  <c r="E4" i="24"/>
  <c r="D4" i="24"/>
  <c r="E19" i="24"/>
  <c r="D6" i="24"/>
  <c r="F6" i="24" s="1" a="1"/>
  <c r="F6" i="24" s="1"/>
  <c r="D19" i="24"/>
  <c r="D20" i="24"/>
  <c r="E24" i="18"/>
  <c r="E11" i="15"/>
  <c r="B92" i="12"/>
  <c r="I33" i="8"/>
  <c r="D53" i="20"/>
  <c r="D54" i="20"/>
  <c r="E26" i="16"/>
  <c r="C6" i="7"/>
  <c r="E27" i="18"/>
  <c r="B9" i="14"/>
  <c r="G7" i="14"/>
  <c r="C33" i="11" a="1"/>
  <c r="C33" i="11" s="1"/>
  <c r="B7" i="7"/>
  <c r="B15" i="7"/>
  <c r="B21" i="7"/>
  <c r="B24" i="7" s="1"/>
  <c r="C14" i="16"/>
  <c r="C9" i="16"/>
  <c r="E9" i="16" s="1"/>
  <c r="D19" i="13"/>
  <c r="D7" i="1"/>
  <c r="C8" i="16"/>
  <c r="B10" i="10"/>
  <c r="B4" i="15"/>
  <c r="B41" i="10"/>
  <c r="B14" i="10"/>
  <c r="B2" i="7"/>
  <c r="E19" i="13"/>
  <c r="B10" i="14"/>
  <c r="G25" i="14"/>
  <c r="C18" i="11"/>
  <c r="B28" i="14"/>
  <c r="C10" i="15"/>
  <c r="K34" i="13" s="1"/>
  <c r="C3" i="10"/>
  <c r="C12" i="18"/>
  <c r="C18" i="16"/>
  <c r="B72" i="12"/>
  <c r="E20" i="13"/>
  <c r="V2" i="17"/>
  <c r="AD19" i="19" s="1"/>
  <c r="C25" i="16"/>
  <c r="G10" i="1"/>
  <c r="E20" i="11"/>
  <c r="D20" i="11"/>
  <c r="B8" i="13"/>
  <c r="E12" i="18"/>
  <c r="C7" i="7"/>
  <c r="C15" i="7"/>
  <c r="D22" i="18"/>
  <c r="B71" i="12"/>
  <c r="E4" i="12"/>
  <c r="D4" i="12"/>
  <c r="C17" i="16"/>
  <c r="E3" i="11"/>
  <c r="B21" i="10"/>
  <c r="B46" i="10"/>
  <c r="D18" i="10"/>
  <c r="E19" i="11"/>
  <c r="F10" i="18"/>
  <c r="D13" i="18"/>
  <c r="F20" i="18"/>
  <c r="B14" i="11"/>
  <c r="B21" i="13"/>
  <c r="E19" i="10"/>
  <c r="D19" i="10"/>
  <c r="B84" i="12"/>
  <c r="B21" i="11"/>
  <c r="E13" i="18"/>
  <c r="C15" i="16"/>
  <c r="C4" i="15"/>
  <c r="B10" i="11"/>
  <c r="I32" i="8"/>
  <c r="I27" i="8"/>
  <c r="E6" i="13"/>
  <c r="D26" i="16"/>
  <c r="C18" i="10"/>
  <c r="B32" i="11"/>
  <c r="C27" i="16"/>
  <c r="C57" i="13"/>
  <c r="E18" i="10"/>
  <c r="D19" i="12"/>
  <c r="B57" i="11"/>
  <c r="E20" i="12"/>
  <c r="D20" i="12"/>
  <c r="F20" i="12" s="1" a="1"/>
  <c r="F20" i="12" s="1"/>
  <c r="G27" i="14"/>
  <c r="C20" i="11"/>
  <c r="D3" i="11"/>
  <c r="Q6" i="23"/>
  <c r="C2" i="7"/>
  <c r="C11" i="7" s="1"/>
  <c r="C16" i="7" s="1"/>
  <c r="C17" i="7" s="1"/>
  <c r="E20" i="10"/>
  <c r="D20" i="10"/>
  <c r="G8" i="14"/>
  <c r="D12" i="15"/>
  <c r="C7" i="16"/>
  <c r="C13" i="6"/>
  <c r="C14" i="6" s="1"/>
  <c r="D2" i="6"/>
  <c r="E10" i="18"/>
  <c r="D23" i="18"/>
  <c r="C15" i="18"/>
  <c r="F27" i="18"/>
  <c r="B8" i="20"/>
  <c r="D28" i="18"/>
  <c r="B7" i="20"/>
  <c r="B38" i="8"/>
  <c r="B37" i="8"/>
  <c r="E5" i="15"/>
  <c r="C30" i="12" a="1"/>
  <c r="C30" i="12" s="1"/>
  <c r="C19" i="18"/>
  <c r="F19" i="18"/>
  <c r="C9" i="18"/>
  <c r="E20" i="18"/>
  <c r="D4" i="1"/>
  <c r="F9" i="18"/>
  <c r="B5" i="19" a="1"/>
  <c r="B5" i="19" s="1"/>
  <c r="C13" i="18"/>
  <c r="C53" i="20"/>
  <c r="C54" i="20"/>
  <c r="D5" i="18"/>
  <c r="F13" i="18"/>
  <c r="C29" i="18"/>
  <c r="D18" i="12"/>
  <c r="B21" i="12"/>
  <c r="F31" i="20"/>
  <c r="P20" i="23"/>
  <c r="H23" i="23"/>
  <c r="P23" i="23" s="1"/>
  <c r="F28" i="18"/>
  <c r="D26" i="18"/>
  <c r="E19" i="18"/>
  <c r="C17" i="18"/>
  <c r="F12" i="18"/>
  <c r="D10" i="18"/>
  <c r="D30" i="18"/>
  <c r="E23" i="18"/>
  <c r="C21" i="18"/>
  <c r="F16" i="18"/>
  <c r="D14" i="18"/>
  <c r="E7" i="18"/>
  <c r="C5" i="18"/>
  <c r="E25" i="18"/>
  <c r="C23" i="18"/>
  <c r="F18" i="18"/>
  <c r="D16" i="18"/>
  <c r="E9" i="18"/>
  <c r="C7" i="18"/>
  <c r="C31" i="18"/>
  <c r="E28" i="18"/>
  <c r="C20" i="18"/>
  <c r="E17" i="18"/>
  <c r="F14" i="18"/>
  <c r="F11" i="18"/>
  <c r="C6" i="18"/>
  <c r="C28" i="18"/>
  <c r="D25" i="18"/>
  <c r="F22" i="18"/>
  <c r="C14" i="18"/>
  <c r="D11" i="18"/>
  <c r="F8" i="18"/>
  <c r="C25" i="18"/>
  <c r="E22" i="18"/>
  <c r="C11" i="18"/>
  <c r="E8" i="18"/>
  <c r="F5" i="18"/>
  <c r="F29" i="18"/>
  <c r="D24" i="18"/>
  <c r="E21" i="18"/>
  <c r="E18" i="18"/>
  <c r="C10" i="18"/>
  <c r="D7" i="18"/>
  <c r="E4" i="18"/>
  <c r="E29" i="18"/>
  <c r="C24" i="18"/>
  <c r="D21" i="18"/>
  <c r="D18" i="18"/>
  <c r="F15" i="18"/>
  <c r="D29" i="18"/>
  <c r="C18" i="18"/>
  <c r="E15" i="18"/>
  <c r="C4" i="18"/>
  <c r="D31" i="18"/>
  <c r="D20" i="18"/>
  <c r="F17" i="18"/>
  <c r="D6" i="18"/>
  <c r="C27" i="18"/>
  <c r="F26" i="18"/>
  <c r="E16" i="18"/>
  <c r="E11" i="18"/>
  <c r="F6" i="18"/>
  <c r="F30" i="18"/>
  <c r="E26" i="18"/>
  <c r="F21" i="18"/>
  <c r="C16" i="18"/>
  <c r="E6" i="18"/>
  <c r="E30" i="18"/>
  <c r="C26" i="18"/>
  <c r="C30" i="18"/>
  <c r="F25" i="18"/>
  <c r="E5" i="18"/>
  <c r="F24" i="18"/>
  <c r="D19" i="18"/>
  <c r="E14" i="18"/>
  <c r="D9" i="18"/>
  <c r="F4" i="18"/>
  <c r="E31" i="18"/>
  <c r="D27" i="18"/>
  <c r="C22" i="18"/>
  <c r="D17" i="18"/>
  <c r="D12" i="18"/>
  <c r="F7" i="18"/>
  <c r="C8" i="18"/>
  <c r="D15" i="18"/>
  <c r="F23" i="18"/>
  <c r="F31" i="18"/>
  <c r="D8" i="18"/>
  <c r="R21" i="23"/>
  <c r="R6" i="23"/>
  <c r="B21" i="20" a="1"/>
  <c r="B21" i="20" s="1"/>
  <c r="B22" i="20" s="1"/>
  <c r="C20" i="13"/>
  <c r="C21" i="13" s="1"/>
  <c r="C4" i="13"/>
  <c r="D4" i="13" s="1"/>
  <c r="O23" i="23"/>
  <c r="Q20" i="23"/>
  <c r="K23" i="23"/>
  <c r="Q23" i="23" s="1"/>
  <c r="R22" i="23"/>
  <c r="B10" i="23"/>
  <c r="O22" i="23"/>
  <c r="N23" i="23"/>
  <c r="O6" i="23"/>
  <c r="P21" i="23"/>
  <c r="P6" i="23"/>
  <c r="N20" i="23"/>
  <c r="N22" i="23"/>
  <c r="R20" i="23"/>
  <c r="Z7" i="19" l="1"/>
  <c r="Z12" i="19"/>
  <c r="Z6" i="19"/>
  <c r="B44" i="10"/>
  <c r="AD21" i="19"/>
  <c r="D64" i="19"/>
  <c r="Z11" i="19"/>
  <c r="D32" i="18"/>
  <c r="E32" i="18"/>
  <c r="F32" i="18"/>
  <c r="R17" i="19"/>
  <c r="S19" i="19"/>
  <c r="R20" i="19"/>
  <c r="O17" i="19"/>
  <c r="P19" i="19"/>
  <c r="O20" i="19"/>
  <c r="V20" i="19"/>
  <c r="V17" i="19"/>
  <c r="W19" i="19"/>
  <c r="M17" i="19"/>
  <c r="N19" i="19"/>
  <c r="M20" i="19"/>
  <c r="B20" i="19"/>
  <c r="C19" i="19"/>
  <c r="B17" i="19"/>
  <c r="C16" i="19"/>
  <c r="G20" i="19"/>
  <c r="G17" i="19"/>
  <c r="H19" i="19"/>
  <c r="Q17" i="19"/>
  <c r="R19" i="19"/>
  <c r="Q20" i="19"/>
  <c r="F20" i="19"/>
  <c r="F17" i="19"/>
  <c r="G19" i="19"/>
  <c r="AB17" i="19"/>
  <c r="AC19" i="19"/>
  <c r="AC21" i="19" s="1"/>
  <c r="AB20" i="19"/>
  <c r="I17" i="19"/>
  <c r="J19" i="19"/>
  <c r="I20" i="19"/>
  <c r="H20" i="19"/>
  <c r="I19" i="19"/>
  <c r="H17" i="19"/>
  <c r="Z17" i="19"/>
  <c r="AA19" i="19"/>
  <c r="Z20" i="19"/>
  <c r="AA17" i="19"/>
  <c r="AB19" i="19"/>
  <c r="AA20" i="19"/>
  <c r="D20" i="19"/>
  <c r="D17" i="19"/>
  <c r="E19" i="19"/>
  <c r="P20" i="19"/>
  <c r="P17" i="19"/>
  <c r="Q19" i="19"/>
  <c r="F20" i="8" s="1"/>
  <c r="C20" i="19"/>
  <c r="C17" i="19"/>
  <c r="D19" i="19"/>
  <c r="S20" i="19"/>
  <c r="S17" i="19"/>
  <c r="T19" i="19"/>
  <c r="U20" i="19"/>
  <c r="U17" i="19"/>
  <c r="V19" i="19"/>
  <c r="T20" i="19"/>
  <c r="T17" i="19"/>
  <c r="U19" i="19"/>
  <c r="L17" i="19"/>
  <c r="M19" i="19"/>
  <c r="L20" i="19"/>
  <c r="W17" i="19"/>
  <c r="W20" i="19"/>
  <c r="X19" i="19"/>
  <c r="E20" i="19"/>
  <c r="E17" i="19"/>
  <c r="F19" i="19"/>
  <c r="N20" i="19"/>
  <c r="N17" i="19"/>
  <c r="O19" i="19"/>
  <c r="X17" i="19"/>
  <c r="Y19" i="19"/>
  <c r="X20" i="19"/>
  <c r="Y17" i="19"/>
  <c r="Z19" i="19"/>
  <c r="Y20" i="19"/>
  <c r="J17" i="19"/>
  <c r="K19" i="19"/>
  <c r="J20" i="19"/>
  <c r="K17" i="19"/>
  <c r="L19" i="19"/>
  <c r="K20" i="19"/>
  <c r="C38" i="13" a="1"/>
  <c r="C38" i="13" s="1"/>
  <c r="C38" i="12" a="1"/>
  <c r="C38" i="12" s="1"/>
  <c r="D10" i="15"/>
  <c r="F12" i="15"/>
  <c r="F10" i="15"/>
  <c r="C36" i="24" s="1"/>
  <c r="C36" i="13"/>
  <c r="C36" i="12" a="1"/>
  <c r="C36" i="12" s="1"/>
  <c r="B74" i="12"/>
  <c r="F10" i="8"/>
  <c r="H11" i="8"/>
  <c r="C10" i="24"/>
  <c r="C14" i="24"/>
  <c r="C38" i="24" a="1"/>
  <c r="C38" i="24" s="1"/>
  <c r="B58" i="24"/>
  <c r="H10" i="8"/>
  <c r="C54" i="24"/>
  <c r="E9" i="24"/>
  <c r="D9" i="24"/>
  <c r="F9" i="24" s="1" a="1"/>
  <c r="F9" i="24" s="1"/>
  <c r="B32" i="24"/>
  <c r="B14" i="24"/>
  <c r="E8" i="24"/>
  <c r="G24" i="18"/>
  <c r="G14" i="18"/>
  <c r="B57" i="24"/>
  <c r="G11" i="8"/>
  <c r="G5" i="18"/>
  <c r="F9" i="8"/>
  <c r="G23" i="18"/>
  <c r="B10" i="8"/>
  <c r="C10" i="8"/>
  <c r="E24" i="16"/>
  <c r="B23" i="20"/>
  <c r="B24" i="20"/>
  <c r="B11" i="7"/>
  <c r="B16" i="7" s="1"/>
  <c r="B17" i="7" s="1"/>
  <c r="B6" i="7"/>
  <c r="I9" i="8"/>
  <c r="E3" i="10"/>
  <c r="D2" i="16"/>
  <c r="D3" i="10"/>
  <c r="G28" i="18"/>
  <c r="H28" i="18" s="1"/>
  <c r="B29" i="18" s="1"/>
  <c r="R23" i="23"/>
  <c r="B9" i="8"/>
  <c r="D11" i="8"/>
  <c r="C28" i="16"/>
  <c r="G12" i="18"/>
  <c r="E8" i="8"/>
  <c r="G13" i="18"/>
  <c r="B11" i="8"/>
  <c r="B11" i="14"/>
  <c r="B12" i="14" s="1"/>
  <c r="C5" i="10"/>
  <c r="C5" i="12"/>
  <c r="C5" i="11"/>
  <c r="G9" i="18"/>
  <c r="G27" i="18"/>
  <c r="E21" i="12"/>
  <c r="D21" i="12"/>
  <c r="F21" i="12" s="1" a="1"/>
  <c r="F21" i="12" s="1"/>
  <c r="E21" i="11"/>
  <c r="E17" i="16"/>
  <c r="D8" i="8"/>
  <c r="G10" i="18"/>
  <c r="G6" i="18"/>
  <c r="F11" i="8"/>
  <c r="D20" i="13"/>
  <c r="G21" i="18"/>
  <c r="G29" i="18"/>
  <c r="G15" i="18"/>
  <c r="H8" i="8"/>
  <c r="G22" i="18"/>
  <c r="G25" i="18"/>
  <c r="I8" i="8"/>
  <c r="B11" i="23"/>
  <c r="E10" i="8"/>
  <c r="I11" i="8"/>
  <c r="E11" i="8"/>
  <c r="C6" i="15"/>
  <c r="M13" i="15" s="1" a="1"/>
  <c r="M13" i="15" s="1"/>
  <c r="C32" i="11" a="1"/>
  <c r="C32" i="11" s="1"/>
  <c r="B54" i="11"/>
  <c r="H9" i="8"/>
  <c r="C21" i="12"/>
  <c r="C21" i="10"/>
  <c r="E21" i="10" s="1"/>
  <c r="C21" i="11"/>
  <c r="D21" i="11" s="1"/>
  <c r="I10" i="8"/>
  <c r="B85" i="12"/>
  <c r="D21" i="10"/>
  <c r="C9" i="8"/>
  <c r="G4" i="18"/>
  <c r="H4" i="18" s="1"/>
  <c r="B5" i="18" s="1"/>
  <c r="B8" i="8"/>
  <c r="E4" i="13"/>
  <c r="C7" i="10"/>
  <c r="C7" i="11"/>
  <c r="C7" i="12"/>
  <c r="E12" i="15"/>
  <c r="E13" i="15"/>
  <c r="G19" i="18"/>
  <c r="G8" i="8"/>
  <c r="G20" i="18"/>
  <c r="D9" i="8"/>
  <c r="B39" i="14"/>
  <c r="C53" i="14" s="1"/>
  <c r="D53" i="14" s="1"/>
  <c r="G28" i="14"/>
  <c r="G8" i="18"/>
  <c r="G18" i="18"/>
  <c r="G31" i="18"/>
  <c r="G17" i="18"/>
  <c r="B3" i="12" a="1"/>
  <c r="B3" i="12" s="1"/>
  <c r="D7" i="6"/>
  <c r="B47" i="10"/>
  <c r="B40" i="13"/>
  <c r="B11" i="15"/>
  <c r="B40" i="12"/>
  <c r="B40" i="11"/>
  <c r="B15" i="10"/>
  <c r="B62" i="10"/>
  <c r="B6" i="15"/>
  <c r="G9" i="8"/>
  <c r="D24" i="16"/>
  <c r="G30" i="18"/>
  <c r="D10" i="8"/>
  <c r="E21" i="13"/>
  <c r="D21" i="13"/>
  <c r="D18" i="11"/>
  <c r="E18" i="11"/>
  <c r="G26" i="18"/>
  <c r="B59" i="20"/>
  <c r="B15" i="11"/>
  <c r="B16" i="11"/>
  <c r="C11" i="8"/>
  <c r="G16" i="18"/>
  <c r="F8" i="8"/>
  <c r="G11" i="18"/>
  <c r="G7" i="18"/>
  <c r="C8" i="8"/>
  <c r="G10" i="8"/>
  <c r="E9" i="8"/>
  <c r="D41" i="19" l="1"/>
  <c r="C11" i="19"/>
  <c r="C12" i="19"/>
  <c r="C7" i="19"/>
  <c r="C6" i="19"/>
  <c r="V21" i="19"/>
  <c r="D65" i="19"/>
  <c r="AA11" i="19"/>
  <c r="AA12" i="19"/>
  <c r="AA7" i="19"/>
  <c r="AA6" i="19"/>
  <c r="W21" i="19"/>
  <c r="O21" i="19"/>
  <c r="O27" i="19" s="1"/>
  <c r="B9" i="15"/>
  <c r="B64" i="10"/>
  <c r="B43" i="10"/>
  <c r="N21" i="19"/>
  <c r="I21" i="19"/>
  <c r="G18" i="8"/>
  <c r="C18" i="8"/>
  <c r="M21" i="19"/>
  <c r="Z21" i="19"/>
  <c r="D18" i="8"/>
  <c r="C21" i="19"/>
  <c r="E21" i="19"/>
  <c r="U21" i="19"/>
  <c r="Y21" i="19"/>
  <c r="H18" i="8"/>
  <c r="G32" i="18"/>
  <c r="G21" i="19"/>
  <c r="H21" i="19"/>
  <c r="I27" i="19" s="1"/>
  <c r="W27" i="19"/>
  <c r="T21" i="19"/>
  <c r="F21" i="19"/>
  <c r="F18" i="8"/>
  <c r="R21" i="19"/>
  <c r="P21" i="19"/>
  <c r="AB21" i="19"/>
  <c r="AD27" i="19" s="1"/>
  <c r="AA21" i="19"/>
  <c r="H20" i="8"/>
  <c r="X21" i="19"/>
  <c r="D16" i="19"/>
  <c r="C18" i="19"/>
  <c r="S21" i="19"/>
  <c r="C31" i="19"/>
  <c r="C27" i="19"/>
  <c r="C20" i="8"/>
  <c r="I20" i="8"/>
  <c r="B8" i="9" s="1"/>
  <c r="L21" i="19"/>
  <c r="D21" i="19"/>
  <c r="K21" i="19"/>
  <c r="I18" i="8"/>
  <c r="Q21" i="19"/>
  <c r="J21" i="19"/>
  <c r="D10" i="24"/>
  <c r="F10" i="24" s="1" a="1"/>
  <c r="F10" i="24" s="1"/>
  <c r="E10" i="24"/>
  <c r="B54" i="24"/>
  <c r="C15" i="24"/>
  <c r="C16" i="24" s="1"/>
  <c r="B15" i="24"/>
  <c r="E14" i="24"/>
  <c r="D14" i="24"/>
  <c r="F14" i="24" s="1" a="1"/>
  <c r="F14" i="24" s="1"/>
  <c r="B16" i="10"/>
  <c r="B20" i="8"/>
  <c r="B17" i="8"/>
  <c r="C17" i="8"/>
  <c r="F17" i="8"/>
  <c r="G17" i="8"/>
  <c r="G20" i="8"/>
  <c r="B12" i="15"/>
  <c r="B66" i="10"/>
  <c r="E5" i="11"/>
  <c r="D5" i="11"/>
  <c r="C8" i="11"/>
  <c r="D11" i="16"/>
  <c r="E11" i="16" s="1"/>
  <c r="H5" i="18"/>
  <c r="B6" i="18" s="1"/>
  <c r="C5" i="19" a="1"/>
  <c r="C5" i="19" s="1"/>
  <c r="C8" i="10"/>
  <c r="D5" i="10"/>
  <c r="E5" i="10"/>
  <c r="D4" i="16"/>
  <c r="C45" i="14"/>
  <c r="D45" i="14" s="1"/>
  <c r="B13" i="14"/>
  <c r="B20" i="14"/>
  <c r="C7" i="14"/>
  <c r="B22" i="11"/>
  <c r="D17" i="8"/>
  <c r="D20" i="8"/>
  <c r="E2" i="6"/>
  <c r="D12" i="6"/>
  <c r="D13" i="6" s="1"/>
  <c r="D14" i="6" s="1"/>
  <c r="D7" i="12"/>
  <c r="D20" i="16"/>
  <c r="E7" i="12"/>
  <c r="B95" i="20"/>
  <c r="B96" i="20"/>
  <c r="D18" i="16"/>
  <c r="C8" i="12"/>
  <c r="E5" i="12"/>
  <c r="D5" i="12"/>
  <c r="B9" i="12"/>
  <c r="E3" i="12"/>
  <c r="D3" i="12"/>
  <c r="C16" i="16"/>
  <c r="D13" i="16"/>
  <c r="E13" i="16" s="1"/>
  <c r="D7" i="11"/>
  <c r="E7" i="11"/>
  <c r="B18" i="8"/>
  <c r="H29" i="18"/>
  <c r="B30" i="18" s="1"/>
  <c r="AA5" i="19" a="1"/>
  <c r="AA5" i="19" s="1"/>
  <c r="E17" i="8"/>
  <c r="E20" i="8"/>
  <c r="E2" i="16"/>
  <c r="E7" i="10"/>
  <c r="D7" i="10"/>
  <c r="D6" i="16"/>
  <c r="E6" i="16" s="1"/>
  <c r="C5" i="23"/>
  <c r="B16" i="23"/>
  <c r="B12" i="23"/>
  <c r="H17" i="8"/>
  <c r="E18" i="8"/>
  <c r="K27" i="19" l="1"/>
  <c r="B8" i="15"/>
  <c r="B63" i="10"/>
  <c r="D66" i="19"/>
  <c r="AB12" i="19"/>
  <c r="AB11" i="19"/>
  <c r="AB7" i="19"/>
  <c r="AB6" i="19"/>
  <c r="AD31" i="19"/>
  <c r="C55" i="11"/>
  <c r="B34" i="11"/>
  <c r="D42" i="19"/>
  <c r="D12" i="19"/>
  <c r="D11" i="19"/>
  <c r="D7" i="19"/>
  <c r="D6" i="19"/>
  <c r="B35" i="11"/>
  <c r="C56" i="11"/>
  <c r="AB26" i="19"/>
  <c r="C29" i="19"/>
  <c r="C25" i="19"/>
  <c r="C30" i="19"/>
  <c r="C26" i="19"/>
  <c r="V27" i="19"/>
  <c r="AC27" i="19"/>
  <c r="G27" i="19"/>
  <c r="Z27" i="19"/>
  <c r="D27" i="19"/>
  <c r="D31" i="19"/>
  <c r="I31" i="19"/>
  <c r="G31" i="19"/>
  <c r="E27" i="19"/>
  <c r="F31" i="19"/>
  <c r="J31" i="19"/>
  <c r="E31" i="19"/>
  <c r="U27" i="19"/>
  <c r="Q27" i="19"/>
  <c r="O31" i="19"/>
  <c r="AB27" i="19"/>
  <c r="P31" i="19"/>
  <c r="M31" i="19"/>
  <c r="H27" i="19"/>
  <c r="Q31" i="19"/>
  <c r="D18" i="19"/>
  <c r="E16" i="19"/>
  <c r="AC31" i="19"/>
  <c r="T27" i="19"/>
  <c r="R31" i="19"/>
  <c r="L27" i="19"/>
  <c r="U31" i="19"/>
  <c r="X27" i="19"/>
  <c r="B19" i="8"/>
  <c r="M27" i="19"/>
  <c r="V31" i="19"/>
  <c r="L31" i="19"/>
  <c r="N27" i="19"/>
  <c r="W31" i="19"/>
  <c r="R27" i="19"/>
  <c r="AA31" i="19"/>
  <c r="Z31" i="19"/>
  <c r="Y31" i="19"/>
  <c r="K31" i="19"/>
  <c r="AA27" i="19"/>
  <c r="X31" i="19"/>
  <c r="F27" i="19"/>
  <c r="N31" i="19"/>
  <c r="J27" i="19"/>
  <c r="P27" i="19"/>
  <c r="T31" i="19"/>
  <c r="AB31" i="19"/>
  <c r="S27" i="19"/>
  <c r="H31" i="19"/>
  <c r="S31" i="19"/>
  <c r="Y27" i="19"/>
  <c r="C17" i="24"/>
  <c r="C22" i="24"/>
  <c r="C23" i="24" s="1"/>
  <c r="E15" i="24"/>
  <c r="D15" i="24"/>
  <c r="F15" i="24" s="1" a="1"/>
  <c r="F15" i="24" s="1"/>
  <c r="B16" i="24"/>
  <c r="D14" i="16"/>
  <c r="E14" i="16" s="1"/>
  <c r="C9" i="11"/>
  <c r="D8" i="11"/>
  <c r="E8" i="11"/>
  <c r="F39" i="8"/>
  <c r="F40" i="8"/>
  <c r="C7" i="23"/>
  <c r="C9" i="23"/>
  <c r="B40" i="8"/>
  <c r="B39" i="8"/>
  <c r="E16" i="16"/>
  <c r="B22" i="10"/>
  <c r="E20" i="16"/>
  <c r="D9" i="12"/>
  <c r="B75" i="12"/>
  <c r="C22" i="16"/>
  <c r="B14" i="12"/>
  <c r="B10" i="12"/>
  <c r="C54" i="12"/>
  <c r="B32" i="12"/>
  <c r="D4" i="15"/>
  <c r="H30" i="18"/>
  <c r="B31" i="18" s="1"/>
  <c r="AB5" i="19" a="1"/>
  <c r="AB5" i="19" s="1"/>
  <c r="E4" i="16"/>
  <c r="B17" i="23"/>
  <c r="C10" i="14"/>
  <c r="C9" i="14"/>
  <c r="B21" i="14"/>
  <c r="B22" i="14" s="1"/>
  <c r="H40" i="8"/>
  <c r="H39" i="8"/>
  <c r="B3" i="13" a="1"/>
  <c r="B3" i="13" s="1"/>
  <c r="E7" i="6"/>
  <c r="C32" i="24" s="1" a="1"/>
  <c r="C32" i="24" s="1"/>
  <c r="D7" i="16"/>
  <c r="D8" i="10"/>
  <c r="E8" i="10"/>
  <c r="C9" i="10"/>
  <c r="G39" i="8"/>
  <c r="G40" i="8"/>
  <c r="E40" i="8"/>
  <c r="E39" i="8"/>
  <c r="H6" i="18"/>
  <c r="D5" i="19" a="1"/>
  <c r="D5" i="19" s="1"/>
  <c r="D39" i="8"/>
  <c r="D40" i="8"/>
  <c r="C40" i="8"/>
  <c r="C39" i="8"/>
  <c r="B23" i="11"/>
  <c r="E18" i="16"/>
  <c r="C9" i="12"/>
  <c r="D21" i="16"/>
  <c r="E8" i="12"/>
  <c r="D8" i="12"/>
  <c r="D25" i="19" l="1"/>
  <c r="D67" i="19"/>
  <c r="AC12" i="19"/>
  <c r="AC11" i="19"/>
  <c r="AC7" i="19"/>
  <c r="AC6" i="19"/>
  <c r="C8" i="15"/>
  <c r="B55" i="11"/>
  <c r="C34" i="11" a="1"/>
  <c r="C34" i="11" s="1"/>
  <c r="D29" i="19"/>
  <c r="B34" i="12" a="1"/>
  <c r="B34" i="12" s="1"/>
  <c r="C55" i="12" a="1"/>
  <c r="C55" i="12" s="1"/>
  <c r="AB25" i="19"/>
  <c r="C56" i="12" a="1"/>
  <c r="C56" i="12" s="1"/>
  <c r="B35" i="12" a="1"/>
  <c r="B35" i="12" s="1"/>
  <c r="D26" i="19"/>
  <c r="D30" i="19"/>
  <c r="C35" i="11" a="1"/>
  <c r="C35" i="11" s="1"/>
  <c r="C9" i="15"/>
  <c r="B56" i="11"/>
  <c r="E18" i="19"/>
  <c r="F16" i="19"/>
  <c r="D16" i="24"/>
  <c r="F16" i="24" s="1" a="1"/>
  <c r="F16" i="24" s="1"/>
  <c r="E16" i="24"/>
  <c r="B22" i="24"/>
  <c r="E17" i="24"/>
  <c r="D17" i="24"/>
  <c r="B30" i="14"/>
  <c r="B23" i="14"/>
  <c r="B7" i="18"/>
  <c r="B13" i="8"/>
  <c r="C10" i="12"/>
  <c r="D22" i="16"/>
  <c r="C14" i="12"/>
  <c r="E9" i="12"/>
  <c r="B15" i="12"/>
  <c r="B16" i="12" s="1"/>
  <c r="E14" i="12"/>
  <c r="D14" i="12"/>
  <c r="B79" i="12"/>
  <c r="C10" i="23"/>
  <c r="E22" i="16"/>
  <c r="E12" i="6"/>
  <c r="E13" i="6" s="1"/>
  <c r="E14" i="6" s="1"/>
  <c r="C23" i="16"/>
  <c r="B9" i="13"/>
  <c r="B23" i="10"/>
  <c r="C10" i="10"/>
  <c r="C14" i="10"/>
  <c r="D8" i="16"/>
  <c r="D9" i="10"/>
  <c r="E9" i="10"/>
  <c r="E21" i="16"/>
  <c r="E4" i="15"/>
  <c r="E6" i="15"/>
  <c r="J12" i="15" s="1" a="1"/>
  <c r="J12" i="15" s="1"/>
  <c r="B18" i="23"/>
  <c r="H31" i="18"/>
  <c r="AC5" i="19" a="1"/>
  <c r="AC5" i="19" s="1"/>
  <c r="D6" i="15"/>
  <c r="C32" i="12" a="1"/>
  <c r="C32" i="12" s="1"/>
  <c r="B54" i="12"/>
  <c r="C11" i="14"/>
  <c r="C12" i="14" s="1"/>
  <c r="D15" i="16"/>
  <c r="E15" i="16" s="1"/>
  <c r="C14" i="11"/>
  <c r="C10" i="11"/>
  <c r="D9" i="11"/>
  <c r="E9" i="11"/>
  <c r="E7" i="16"/>
  <c r="E10" i="12"/>
  <c r="D10" i="12"/>
  <c r="B34" i="13" l="1" a="1"/>
  <c r="B34" i="13" s="1"/>
  <c r="C55" i="13" a="1"/>
  <c r="C55" i="13" s="1"/>
  <c r="AC25" i="19"/>
  <c r="C35" i="12" a="1"/>
  <c r="C35" i="12" s="1"/>
  <c r="B56" i="12"/>
  <c r="E9" i="15"/>
  <c r="D9" i="15"/>
  <c r="D8" i="15"/>
  <c r="C34" i="12" a="1"/>
  <c r="C34" i="12" s="1"/>
  <c r="B55" i="12"/>
  <c r="E8" i="15"/>
  <c r="D43" i="19"/>
  <c r="E12" i="19"/>
  <c r="E11" i="19"/>
  <c r="E7" i="19"/>
  <c r="E6" i="19"/>
  <c r="C56" i="13" a="1"/>
  <c r="C56" i="13" s="1"/>
  <c r="B35" i="13" a="1"/>
  <c r="B35" i="13" s="1"/>
  <c r="AC26" i="19"/>
  <c r="B35" i="18"/>
  <c r="B32" i="18"/>
  <c r="G16" i="19"/>
  <c r="C19" i="8" s="1"/>
  <c r="F18" i="19"/>
  <c r="B37" i="18"/>
  <c r="D71" i="19" s="1"/>
  <c r="D69" i="19"/>
  <c r="D22" i="24"/>
  <c r="F22" i="24" s="1" a="1"/>
  <c r="F22" i="24" s="1"/>
  <c r="B23" i="24"/>
  <c r="E22" i="24"/>
  <c r="B22" i="12"/>
  <c r="E15" i="12"/>
  <c r="D15" i="12"/>
  <c r="B80" i="12"/>
  <c r="B81" i="12" s="1"/>
  <c r="D10" i="11"/>
  <c r="E10" i="11"/>
  <c r="H7" i="18"/>
  <c r="B8" i="18" s="1"/>
  <c r="E5" i="19" a="1"/>
  <c r="E5" i="19" s="1"/>
  <c r="B24" i="23"/>
  <c r="B19" i="23"/>
  <c r="C15" i="12"/>
  <c r="C16" i="12" s="1"/>
  <c r="B12" i="8"/>
  <c r="C7" i="8"/>
  <c r="B24" i="8"/>
  <c r="C15" i="11"/>
  <c r="C16" i="11" s="1"/>
  <c r="E14" i="11"/>
  <c r="D14" i="11"/>
  <c r="E8" i="16"/>
  <c r="D7" i="14"/>
  <c r="C13" i="14"/>
  <c r="C46" i="14"/>
  <c r="D46" i="14" s="1"/>
  <c r="C20" i="14"/>
  <c r="B32" i="13"/>
  <c r="F4" i="15"/>
  <c r="C29" i="16"/>
  <c r="B14" i="13"/>
  <c r="C54" i="13"/>
  <c r="B10" i="13"/>
  <c r="C15" i="10"/>
  <c r="E14" i="10"/>
  <c r="D14" i="10"/>
  <c r="E10" i="10"/>
  <c r="D10" i="10"/>
  <c r="C11" i="23"/>
  <c r="B31" i="14"/>
  <c r="E26" i="19" l="1"/>
  <c r="E30" i="19"/>
  <c r="E29" i="19"/>
  <c r="E25" i="19"/>
  <c r="D44" i="19"/>
  <c r="F11" i="19"/>
  <c r="F12" i="19"/>
  <c r="F7" i="19"/>
  <c r="F26" i="19" s="1"/>
  <c r="F6" i="19"/>
  <c r="F29" i="19" s="1"/>
  <c r="AD11" i="19"/>
  <c r="AD12" i="19"/>
  <c r="AD6" i="19"/>
  <c r="D68" i="19"/>
  <c r="H32" i="18"/>
  <c r="AD7" i="19"/>
  <c r="C35" i="13" a="1"/>
  <c r="C35" i="13" s="1"/>
  <c r="B56" i="13"/>
  <c r="F9" i="15"/>
  <c r="C34" i="13" a="1"/>
  <c r="C34" i="13" s="1"/>
  <c r="B55" i="13"/>
  <c r="F8" i="15"/>
  <c r="AD5" i="19"/>
  <c r="H16" i="19"/>
  <c r="G18" i="19"/>
  <c r="E23" i="24"/>
  <c r="D23" i="24"/>
  <c r="F23" i="24" s="1" a="1"/>
  <c r="F23" i="24" s="1"/>
  <c r="C17" i="12"/>
  <c r="C22" i="12"/>
  <c r="C23" i="12" s="1"/>
  <c r="E16" i="12"/>
  <c r="D16" i="12"/>
  <c r="C22" i="11"/>
  <c r="C17" i="11"/>
  <c r="E16" i="11"/>
  <c r="D16" i="11"/>
  <c r="B82" i="12"/>
  <c r="B86" i="12"/>
  <c r="B87" i="12" s="1"/>
  <c r="H8" i="18"/>
  <c r="B9" i="18" s="1"/>
  <c r="F5" i="19" a="1"/>
  <c r="F5" i="19" s="1"/>
  <c r="B15" i="13"/>
  <c r="B16" i="13" s="1"/>
  <c r="D10" i="14"/>
  <c r="D9" i="14"/>
  <c r="B23" i="12"/>
  <c r="D22" i="12"/>
  <c r="F22" i="12" s="1" a="1"/>
  <c r="F22" i="12" s="1"/>
  <c r="E22" i="12"/>
  <c r="C21" i="14"/>
  <c r="C22" i="14" s="1"/>
  <c r="E15" i="10"/>
  <c r="D15" i="10"/>
  <c r="C16" i="10"/>
  <c r="D15" i="11"/>
  <c r="E15" i="11"/>
  <c r="B25" i="23"/>
  <c r="D5" i="23"/>
  <c r="C16" i="23"/>
  <c r="C12" i="23"/>
  <c r="B25" i="8"/>
  <c r="B26" i="8" s="1"/>
  <c r="C38" i="8"/>
  <c r="C37" i="8"/>
  <c r="C32" i="13" a="1"/>
  <c r="C32" i="13" s="1"/>
  <c r="B54" i="13"/>
  <c r="F6" i="15"/>
  <c r="F30" i="19" l="1"/>
  <c r="F25" i="19"/>
  <c r="G12" i="19"/>
  <c r="G11" i="19"/>
  <c r="G6" i="19"/>
  <c r="G7" i="19"/>
  <c r="D45" i="19"/>
  <c r="B35" i="24" a="1"/>
  <c r="B35" i="24" s="1"/>
  <c r="C56" i="24" a="1"/>
  <c r="C56" i="24" s="1"/>
  <c r="AD26" i="19"/>
  <c r="C55" i="24" a="1"/>
  <c r="C55" i="24" s="1"/>
  <c r="B34" i="24" a="1"/>
  <c r="B34" i="24" s="1"/>
  <c r="AD25" i="19"/>
  <c r="H18" i="19"/>
  <c r="I16" i="19"/>
  <c r="B27" i="8"/>
  <c r="B32" i="8"/>
  <c r="B33" i="8" s="1"/>
  <c r="C30" i="14"/>
  <c r="C23" i="14"/>
  <c r="B93" i="12"/>
  <c r="E7" i="15"/>
  <c r="B95" i="12"/>
  <c r="E16" i="15" s="1"/>
  <c r="J14" i="15" s="1" a="1"/>
  <c r="J14" i="15" s="1"/>
  <c r="C22" i="10"/>
  <c r="C17" i="10"/>
  <c r="E17" i="10" s="1"/>
  <c r="E16" i="10"/>
  <c r="D16" i="10"/>
  <c r="B22" i="13"/>
  <c r="D23" i="12"/>
  <c r="F23" i="12" s="1" a="1"/>
  <c r="F23" i="12" s="1"/>
  <c r="E23" i="12"/>
  <c r="A61" i="12"/>
  <c r="C17" i="23"/>
  <c r="H9" i="18"/>
  <c r="G5" i="19" a="1"/>
  <c r="G5" i="19" s="1"/>
  <c r="D7" i="23"/>
  <c r="D9" i="23"/>
  <c r="D11" i="14"/>
  <c r="D12" i="14" s="1"/>
  <c r="E17" i="11"/>
  <c r="D17" i="11"/>
  <c r="C23" i="11"/>
  <c r="E22" i="11"/>
  <c r="D22" i="11"/>
  <c r="E17" i="12"/>
  <c r="D17" i="12"/>
  <c r="B56" i="24" l="1"/>
  <c r="C35" i="24" a="1"/>
  <c r="C35" i="24" s="1"/>
  <c r="A61" i="24"/>
  <c r="G29" i="19"/>
  <c r="G25" i="19"/>
  <c r="C34" i="24" a="1"/>
  <c r="C34" i="24" s="1"/>
  <c r="B55" i="24"/>
  <c r="G30" i="19"/>
  <c r="G26" i="19"/>
  <c r="I18" i="19"/>
  <c r="J16" i="19"/>
  <c r="C23" i="10"/>
  <c r="D22" i="10"/>
  <c r="E22" i="10"/>
  <c r="B10" i="18"/>
  <c r="C13" i="8"/>
  <c r="B23" i="13"/>
  <c r="N9" i="23"/>
  <c r="D10" i="23"/>
  <c r="N7" i="23"/>
  <c r="C47" i="14"/>
  <c r="D47" i="14" s="1"/>
  <c r="D13" i="14"/>
  <c r="E7" i="14"/>
  <c r="D20" i="14"/>
  <c r="D23" i="11"/>
  <c r="F23" i="11" s="1" a="1"/>
  <c r="F23" i="11" s="1"/>
  <c r="E23" i="11"/>
  <c r="C31" i="14"/>
  <c r="B94" i="12"/>
  <c r="E15" i="15" s="1"/>
  <c r="E14" i="15"/>
  <c r="C18" i="23"/>
  <c r="D46" i="19" l="1"/>
  <c r="H11" i="19"/>
  <c r="H12" i="19"/>
  <c r="H6" i="19"/>
  <c r="H7" i="19"/>
  <c r="J18" i="19"/>
  <c r="K16" i="19"/>
  <c r="D19" i="8"/>
  <c r="N10" i="23"/>
  <c r="D11" i="23"/>
  <c r="C12" i="8"/>
  <c r="D7" i="8"/>
  <c r="C24" i="8"/>
  <c r="H5" i="19" a="1"/>
  <c r="H5" i="19" s="1"/>
  <c r="H10" i="18"/>
  <c r="B11" i="18" s="1"/>
  <c r="D21" i="14"/>
  <c r="D22" i="14" s="1"/>
  <c r="D23" i="10"/>
  <c r="E23" i="10"/>
  <c r="E10" i="14"/>
  <c r="G10" i="14" s="1"/>
  <c r="E9" i="14"/>
  <c r="C24" i="23"/>
  <c r="C19" i="23"/>
  <c r="A61" i="13"/>
  <c r="D47" i="19" l="1"/>
  <c r="I11" i="19"/>
  <c r="I12" i="19"/>
  <c r="I6" i="19"/>
  <c r="I7" i="19"/>
  <c r="H26" i="19"/>
  <c r="I26" i="19"/>
  <c r="H30" i="19"/>
  <c r="H25" i="19"/>
  <c r="I29" i="19"/>
  <c r="I25" i="19"/>
  <c r="H29" i="19"/>
  <c r="K18" i="19"/>
  <c r="L16" i="19"/>
  <c r="D30" i="14"/>
  <c r="D23" i="14"/>
  <c r="E11" i="14"/>
  <c r="E12" i="14" s="1"/>
  <c r="G9" i="14"/>
  <c r="G11" i="14" s="1"/>
  <c r="D38" i="8"/>
  <c r="D37" i="8"/>
  <c r="E5" i="23"/>
  <c r="D16" i="23"/>
  <c r="D12" i="23"/>
  <c r="N11" i="23"/>
  <c r="N12" i="23" s="1"/>
  <c r="H11" i="18"/>
  <c r="B12" i="18" s="1"/>
  <c r="I5" i="19" a="1"/>
  <c r="I5" i="19" s="1"/>
  <c r="C25" i="8"/>
  <c r="C26" i="8" s="1"/>
  <c r="C25" i="23"/>
  <c r="D48" i="19" l="1"/>
  <c r="J11" i="19"/>
  <c r="J12" i="19"/>
  <c r="J6" i="19"/>
  <c r="J7" i="19"/>
  <c r="I30" i="19"/>
  <c r="M16" i="19"/>
  <c r="E19" i="8" s="1"/>
  <c r="L18" i="19"/>
  <c r="H12" i="18"/>
  <c r="J5" i="19" a="1"/>
  <c r="J5" i="19" s="1"/>
  <c r="D17" i="23"/>
  <c r="D18" i="23" s="1"/>
  <c r="N16" i="23"/>
  <c r="E7" i="23"/>
  <c r="O5" i="23"/>
  <c r="E9" i="23"/>
  <c r="C3" i="13"/>
  <c r="C48" i="14"/>
  <c r="D48" i="14" s="1"/>
  <c r="E20" i="14"/>
  <c r="B34" i="14"/>
  <c r="B35" i="14" s="1"/>
  <c r="B40" i="14"/>
  <c r="C54" i="14" s="1"/>
  <c r="D54" i="14" s="1"/>
  <c r="E13" i="14"/>
  <c r="G12" i="14"/>
  <c r="G13" i="14" s="1"/>
  <c r="B37" i="14"/>
  <c r="C32" i="8"/>
  <c r="C33" i="8" s="1"/>
  <c r="C27" i="8"/>
  <c r="D31" i="14"/>
  <c r="J29" i="19" l="1"/>
  <c r="J25" i="19"/>
  <c r="J26" i="19"/>
  <c r="J30" i="19"/>
  <c r="M18" i="19"/>
  <c r="N16" i="19"/>
  <c r="D19" i="23"/>
  <c r="D24" i="23"/>
  <c r="N18" i="23"/>
  <c r="N19" i="23" s="1"/>
  <c r="E21" i="14"/>
  <c r="G21" i="14" s="1"/>
  <c r="G20" i="14"/>
  <c r="D23" i="16"/>
  <c r="D3" i="13"/>
  <c r="E3" i="13"/>
  <c r="E10" i="23"/>
  <c r="C5" i="13"/>
  <c r="C7" i="13"/>
  <c r="N17" i="23"/>
  <c r="B13" i="18"/>
  <c r="D13" i="8"/>
  <c r="D49" i="19" l="1"/>
  <c r="K12" i="19"/>
  <c r="K11" i="19"/>
  <c r="K6" i="19"/>
  <c r="K7" i="19"/>
  <c r="N18" i="19"/>
  <c r="O16" i="19"/>
  <c r="E11" i="23"/>
  <c r="D12" i="8"/>
  <c r="E7" i="8"/>
  <c r="D24" i="8"/>
  <c r="C49" i="14"/>
  <c r="D49" i="14" s="1"/>
  <c r="B36" i="14"/>
  <c r="E22" i="14"/>
  <c r="D7" i="13"/>
  <c r="D27" i="16"/>
  <c r="E7" i="13"/>
  <c r="D25" i="16"/>
  <c r="E5" i="13"/>
  <c r="D5" i="13"/>
  <c r="C8" i="13"/>
  <c r="H13" i="18"/>
  <c r="B14" i="18" s="1"/>
  <c r="K5" i="19" a="1"/>
  <c r="K5" i="19" s="1"/>
  <c r="D25" i="23"/>
  <c r="N24" i="23"/>
  <c r="N25" i="23" s="1"/>
  <c r="E23" i="16"/>
  <c r="D50" i="19" l="1"/>
  <c r="L12" i="19"/>
  <c r="L11" i="19"/>
  <c r="L7" i="19"/>
  <c r="L6" i="19"/>
  <c r="K26" i="19"/>
  <c r="K30" i="19"/>
  <c r="L26" i="19"/>
  <c r="K29" i="19"/>
  <c r="L25" i="19"/>
  <c r="K25" i="19"/>
  <c r="O18" i="19"/>
  <c r="P16" i="19"/>
  <c r="D28" i="16"/>
  <c r="D8" i="13"/>
  <c r="E8" i="13"/>
  <c r="C9" i="13"/>
  <c r="E25" i="16"/>
  <c r="E23" i="14"/>
  <c r="E30" i="14"/>
  <c r="G22" i="14"/>
  <c r="G23" i="14" s="1"/>
  <c r="E37" i="8"/>
  <c r="E38" i="8"/>
  <c r="F5" i="23"/>
  <c r="E16" i="23"/>
  <c r="E12" i="23"/>
  <c r="E27" i="16"/>
  <c r="D25" i="8"/>
  <c r="D26" i="8" s="1"/>
  <c r="H14" i="18"/>
  <c r="B15" i="18" s="1"/>
  <c r="L5" i="19" a="1"/>
  <c r="L5" i="19" s="1"/>
  <c r="D51" i="19" l="1"/>
  <c r="M12" i="19"/>
  <c r="M11" i="19"/>
  <c r="M7" i="19"/>
  <c r="M6" i="19"/>
  <c r="L29" i="19"/>
  <c r="L30" i="19"/>
  <c r="P18" i="19"/>
  <c r="Q16" i="19"/>
  <c r="F19" i="8" s="1"/>
  <c r="E17" i="23"/>
  <c r="F9" i="23"/>
  <c r="F7" i="23"/>
  <c r="E31" i="14"/>
  <c r="G30" i="14"/>
  <c r="E28" i="16"/>
  <c r="H15" i="18"/>
  <c r="M5" i="19" a="1"/>
  <c r="M5" i="19" s="1"/>
  <c r="D27" i="8"/>
  <c r="D32" i="8"/>
  <c r="D33" i="8" s="1"/>
  <c r="C10" i="13"/>
  <c r="D29" i="16"/>
  <c r="C14" i="13"/>
  <c r="E9" i="13"/>
  <c r="D9" i="13"/>
  <c r="M30" i="19" l="1"/>
  <c r="M26" i="19"/>
  <c r="M29" i="19"/>
  <c r="M25" i="19"/>
  <c r="R16" i="19"/>
  <c r="Q18" i="19"/>
  <c r="B16" i="18"/>
  <c r="E13" i="8"/>
  <c r="C50" i="14"/>
  <c r="D50" i="14" s="1"/>
  <c r="G31" i="14"/>
  <c r="C51" i="14" s="1"/>
  <c r="D51" i="14" s="1"/>
  <c r="E29" i="16"/>
  <c r="C15" i="13"/>
  <c r="E14" i="13"/>
  <c r="D14" i="13"/>
  <c r="F10" i="23"/>
  <c r="D10" i="13"/>
  <c r="E10" i="13"/>
  <c r="E18" i="23"/>
  <c r="D52" i="19" l="1"/>
  <c r="N11" i="19"/>
  <c r="N12" i="19"/>
  <c r="N6" i="19"/>
  <c r="N7" i="19"/>
  <c r="S16" i="19"/>
  <c r="R18" i="19"/>
  <c r="H16" i="18"/>
  <c r="B17" i="18" s="1"/>
  <c r="N5" i="19" a="1"/>
  <c r="N5" i="19" s="1"/>
  <c r="D15" i="13"/>
  <c r="E15" i="13"/>
  <c r="E24" i="8"/>
  <c r="E12" i="8"/>
  <c r="F7" i="8"/>
  <c r="C16" i="13"/>
  <c r="E19" i="23"/>
  <c r="E24" i="23"/>
  <c r="F11" i="23"/>
  <c r="D53" i="19" l="1"/>
  <c r="O11" i="19"/>
  <c r="O12" i="19"/>
  <c r="O6" i="19"/>
  <c r="O7" i="19"/>
  <c r="N30" i="19"/>
  <c r="N26" i="19"/>
  <c r="O26" i="19"/>
  <c r="N29" i="19"/>
  <c r="N25" i="19"/>
  <c r="O25" i="19"/>
  <c r="T16" i="19"/>
  <c r="S18" i="19"/>
  <c r="G5" i="23"/>
  <c r="F16" i="23"/>
  <c r="F12" i="23"/>
  <c r="E25" i="23"/>
  <c r="F38" i="8"/>
  <c r="F37" i="8"/>
  <c r="E25" i="8"/>
  <c r="E26" i="8" s="1"/>
  <c r="C22" i="13"/>
  <c r="C17" i="13"/>
  <c r="E16" i="13"/>
  <c r="D16" i="13"/>
  <c r="O5" i="19" a="1"/>
  <c r="O5" i="19" s="1"/>
  <c r="H17" i="18"/>
  <c r="B18" i="18" s="1"/>
  <c r="O29" i="19" l="1"/>
  <c r="D54" i="19"/>
  <c r="P11" i="19"/>
  <c r="P12" i="19"/>
  <c r="P6" i="19"/>
  <c r="P7" i="19"/>
  <c r="O30" i="19"/>
  <c r="P25" i="19"/>
  <c r="U16" i="19"/>
  <c r="T18" i="19"/>
  <c r="G19" i="8"/>
  <c r="E32" i="8"/>
  <c r="E33" i="8" s="1"/>
  <c r="E27" i="8"/>
  <c r="H18" i="18"/>
  <c r="P5" i="19" a="1"/>
  <c r="P5" i="19" s="1"/>
  <c r="E17" i="13"/>
  <c r="D17" i="13"/>
  <c r="C23" i="13"/>
  <c r="E22" i="13"/>
  <c r="D22" i="13"/>
  <c r="F17" i="23"/>
  <c r="G9" i="23"/>
  <c r="O9" i="23" s="1"/>
  <c r="G7" i="23"/>
  <c r="P29" i="19" l="1"/>
  <c r="P30" i="19"/>
  <c r="P26" i="19"/>
  <c r="V16" i="19"/>
  <c r="U18" i="19"/>
  <c r="F18" i="23"/>
  <c r="E23" i="13"/>
  <c r="D23" i="13"/>
  <c r="F23" i="13" s="1" a="1"/>
  <c r="F23" i="13" s="1"/>
  <c r="B19" i="18"/>
  <c r="F13" i="8"/>
  <c r="G10" i="23"/>
  <c r="O7" i="23"/>
  <c r="D55" i="19" l="1"/>
  <c r="Q11" i="19"/>
  <c r="Q12" i="19"/>
  <c r="Q7" i="19"/>
  <c r="Q6" i="19"/>
  <c r="W16" i="19"/>
  <c r="H19" i="8" s="1"/>
  <c r="V18" i="19"/>
  <c r="F12" i="8"/>
  <c r="G7" i="8"/>
  <c r="F24" i="8"/>
  <c r="O10" i="23"/>
  <c r="G11" i="23"/>
  <c r="H19" i="18"/>
  <c r="B20" i="18" s="1"/>
  <c r="Q5" i="19" a="1"/>
  <c r="Q5" i="19" s="1"/>
  <c r="F19" i="23"/>
  <c r="F24" i="23"/>
  <c r="D56" i="19" l="1"/>
  <c r="R11" i="19"/>
  <c r="R12" i="19"/>
  <c r="R7" i="19"/>
  <c r="R6" i="19"/>
  <c r="Q29" i="19"/>
  <c r="R25" i="19"/>
  <c r="Q25" i="19"/>
  <c r="Q30" i="19"/>
  <c r="Q26" i="19"/>
  <c r="R26" i="19"/>
  <c r="X16" i="19"/>
  <c r="W18" i="19"/>
  <c r="F25" i="23"/>
  <c r="H20" i="18"/>
  <c r="B21" i="18" s="1"/>
  <c r="R5" i="19" a="1"/>
  <c r="R5" i="19" s="1"/>
  <c r="G16" i="23"/>
  <c r="G12" i="23"/>
  <c r="O11" i="23"/>
  <c r="O12" i="23" s="1"/>
  <c r="H5" i="23"/>
  <c r="G38" i="8"/>
  <c r="G37" i="8"/>
  <c r="F25" i="8"/>
  <c r="F26" i="8" s="1"/>
  <c r="R30" i="19" l="1"/>
  <c r="D57" i="19"/>
  <c r="S11" i="19"/>
  <c r="S12" i="19"/>
  <c r="S7" i="19"/>
  <c r="S6" i="19"/>
  <c r="R29" i="19"/>
  <c r="S26" i="19"/>
  <c r="X18" i="19"/>
  <c r="Y16" i="19"/>
  <c r="F27" i="8"/>
  <c r="F32" i="8"/>
  <c r="F33" i="8" s="1"/>
  <c r="H9" i="23"/>
  <c r="P5" i="23"/>
  <c r="H7" i="23"/>
  <c r="G17" i="23"/>
  <c r="O17" i="23" s="1"/>
  <c r="O16" i="23"/>
  <c r="H21" i="18"/>
  <c r="S5" i="19" a="1"/>
  <c r="S5" i="19" s="1"/>
  <c r="S30" i="19" l="1"/>
  <c r="S29" i="19"/>
  <c r="S25" i="19"/>
  <c r="Z16" i="19"/>
  <c r="I19" i="8" s="1"/>
  <c r="B7" i="9" s="1"/>
  <c r="Y18" i="19"/>
  <c r="B22" i="18"/>
  <c r="G13" i="8"/>
  <c r="G18" i="23"/>
  <c r="H10" i="23"/>
  <c r="D58" i="19" l="1"/>
  <c r="T11" i="19"/>
  <c r="T12" i="19"/>
  <c r="T7" i="19"/>
  <c r="T6" i="19"/>
  <c r="Z18" i="19"/>
  <c r="AA16" i="19"/>
  <c r="H11" i="23"/>
  <c r="G19" i="23"/>
  <c r="G24" i="23"/>
  <c r="O18" i="23"/>
  <c r="O19" i="23" s="1"/>
  <c r="G12" i="8"/>
  <c r="G24" i="8"/>
  <c r="H7" i="8"/>
  <c r="H22" i="18"/>
  <c r="B23" i="18" s="1"/>
  <c r="T5" i="19" a="1"/>
  <c r="T5" i="19" s="1"/>
  <c r="D59" i="19" l="1"/>
  <c r="U11" i="19"/>
  <c r="U12" i="19"/>
  <c r="U7" i="19"/>
  <c r="U6" i="19"/>
  <c r="T29" i="19"/>
  <c r="T25" i="19"/>
  <c r="U25" i="19"/>
  <c r="T30" i="19"/>
  <c r="T26" i="19"/>
  <c r="U26" i="19"/>
  <c r="AA18" i="19"/>
  <c r="AB16" i="19"/>
  <c r="H23" i="18"/>
  <c r="B24" i="18" s="1"/>
  <c r="U5" i="19" a="1"/>
  <c r="U5" i="19" s="1"/>
  <c r="G25" i="8"/>
  <c r="G26" i="8" s="1"/>
  <c r="H16" i="23"/>
  <c r="H12" i="23"/>
  <c r="I5" i="23"/>
  <c r="H38" i="8"/>
  <c r="H37" i="8"/>
  <c r="G25" i="23"/>
  <c r="O24" i="23"/>
  <c r="O25" i="23" s="1"/>
  <c r="D60" i="19" l="1"/>
  <c r="V12" i="19"/>
  <c r="V11" i="19"/>
  <c r="V6" i="19"/>
  <c r="V7" i="19"/>
  <c r="U30" i="19"/>
  <c r="U29" i="19"/>
  <c r="AC16" i="19"/>
  <c r="AB18" i="19"/>
  <c r="G27" i="8"/>
  <c r="G32" i="8"/>
  <c r="G33" i="8" s="1"/>
  <c r="I9" i="23"/>
  <c r="I7" i="23"/>
  <c r="H17" i="23"/>
  <c r="H18" i="23" s="1"/>
  <c r="H24" i="18"/>
  <c r="V5" i="19" a="1"/>
  <c r="V5" i="19" s="1"/>
  <c r="V29" i="19" l="1"/>
  <c r="V25" i="19"/>
  <c r="AC18" i="19"/>
  <c r="AD16" i="19"/>
  <c r="AD18" i="19" s="1"/>
  <c r="V30" i="19"/>
  <c r="V26" i="19"/>
  <c r="H19" i="23"/>
  <c r="H24" i="23"/>
  <c r="H13" i="8"/>
  <c r="B25" i="18"/>
  <c r="I10" i="23"/>
  <c r="D61" i="19" l="1"/>
  <c r="W11" i="19"/>
  <c r="W12" i="19"/>
  <c r="W6" i="19"/>
  <c r="W7" i="19"/>
  <c r="H12" i="8"/>
  <c r="H24" i="8"/>
  <c r="I7" i="8"/>
  <c r="I11" i="23"/>
  <c r="H25" i="23"/>
  <c r="H25" i="18"/>
  <c r="B26" i="18" s="1"/>
  <c r="W5" i="19" a="1"/>
  <c r="W5" i="19" s="1"/>
  <c r="D62" i="19" l="1"/>
  <c r="X11" i="19"/>
  <c r="X12" i="19"/>
  <c r="X6" i="19"/>
  <c r="X7" i="19"/>
  <c r="W30" i="19"/>
  <c r="W26" i="19"/>
  <c r="X26" i="19"/>
  <c r="W29" i="19"/>
  <c r="W25" i="19"/>
  <c r="X25" i="19"/>
  <c r="X5" i="19" a="1"/>
  <c r="X5" i="19" s="1"/>
  <c r="H26" i="18"/>
  <c r="B27" i="18" s="1"/>
  <c r="I16" i="23"/>
  <c r="I12" i="23"/>
  <c r="J5" i="23"/>
  <c r="H25" i="8"/>
  <c r="H26" i="8" s="1"/>
  <c r="I37" i="8"/>
  <c r="I12" i="8"/>
  <c r="I38" i="8"/>
  <c r="X30" i="19" l="1"/>
  <c r="D63" i="19"/>
  <c r="Y11" i="19"/>
  <c r="Y12" i="19"/>
  <c r="Y6" i="19"/>
  <c r="Y7" i="19"/>
  <c r="Z25" i="19"/>
  <c r="X29" i="19"/>
  <c r="AD29" i="19"/>
  <c r="Y5" i="19" a="1"/>
  <c r="Y5" i="19" s="1"/>
  <c r="H27" i="18"/>
  <c r="H32" i="8"/>
  <c r="H33" i="8" s="1"/>
  <c r="H27" i="8"/>
  <c r="J9" i="23"/>
  <c r="P9" i="23" s="1"/>
  <c r="J7" i="23"/>
  <c r="I17" i="23"/>
  <c r="I18" i="23" s="1"/>
  <c r="AA25" i="19" l="1"/>
  <c r="Z29" i="19"/>
  <c r="Y29" i="19"/>
  <c r="AA29" i="19"/>
  <c r="B37" i="20" s="1"/>
  <c r="AB29" i="19"/>
  <c r="Y25" i="19"/>
  <c r="AC29" i="19"/>
  <c r="AA26" i="19"/>
  <c r="Y30" i="19"/>
  <c r="Z30" i="19"/>
  <c r="AA30" i="19"/>
  <c r="AC30" i="19"/>
  <c r="AB30" i="19"/>
  <c r="Y26" i="19"/>
  <c r="AD30" i="19"/>
  <c r="Z26" i="19"/>
  <c r="I24" i="23"/>
  <c r="I19" i="23"/>
  <c r="J10" i="23"/>
  <c r="P7" i="23"/>
  <c r="B38" i="20" l="1"/>
  <c r="B57" i="20"/>
  <c r="B58" i="20"/>
  <c r="P10" i="23"/>
  <c r="J11" i="23"/>
  <c r="I25" i="23"/>
  <c r="B94" i="20" l="1"/>
  <c r="B93" i="20"/>
  <c r="J16" i="23"/>
  <c r="J12" i="23"/>
  <c r="P11" i="23"/>
  <c r="P12" i="23" s="1"/>
  <c r="K5" i="23"/>
  <c r="K9" i="23" l="1"/>
  <c r="Q5" i="23"/>
  <c r="K7" i="23"/>
  <c r="J17" i="23"/>
  <c r="P17" i="23" s="1"/>
  <c r="P16" i="23"/>
  <c r="J18" i="23" l="1"/>
  <c r="K10" i="23"/>
  <c r="K11" i="23" l="1"/>
  <c r="J24" i="23"/>
  <c r="J19" i="23"/>
  <c r="P18" i="23"/>
  <c r="P19" i="23" s="1"/>
  <c r="J25" i="23" l="1"/>
  <c r="P24" i="23"/>
  <c r="P25" i="23" s="1"/>
  <c r="K16" i="23"/>
  <c r="K12" i="23"/>
  <c r="L5" i="23"/>
  <c r="L9" i="23" l="1"/>
  <c r="L7" i="23"/>
  <c r="K17" i="23"/>
  <c r="K18" i="23"/>
  <c r="K24" i="23" l="1"/>
  <c r="K19" i="23"/>
  <c r="L10" i="23"/>
  <c r="L11" i="23" l="1"/>
  <c r="K25" i="23"/>
  <c r="L12" i="23" l="1"/>
  <c r="M5" i="23"/>
  <c r="L16" i="23"/>
  <c r="M9" i="23" l="1"/>
  <c r="M7" i="23"/>
  <c r="L17" i="23"/>
  <c r="L18" i="23"/>
  <c r="L24" i="23" l="1"/>
  <c r="L19" i="23"/>
  <c r="M10" i="23"/>
  <c r="R7" i="23"/>
  <c r="Q7" i="23"/>
  <c r="R9" i="23"/>
  <c r="Q9" i="23"/>
  <c r="R10" i="23" l="1"/>
  <c r="Q10" i="23"/>
  <c r="M11" i="23"/>
  <c r="L25" i="23"/>
  <c r="Q11" i="23" l="1"/>
  <c r="Q12" i="23" s="1"/>
  <c r="R11" i="23"/>
  <c r="R12" i="23" s="1"/>
  <c r="M12" i="23"/>
  <c r="M16" i="23"/>
  <c r="M17" i="23" l="1"/>
  <c r="M18" i="23" s="1"/>
  <c r="R16" i="23"/>
  <c r="Q16" i="23"/>
  <c r="M24" i="23" l="1"/>
  <c r="M19" i="23"/>
  <c r="R18" i="23"/>
  <c r="R19" i="23" s="1"/>
  <c r="Q18" i="23"/>
  <c r="Q19" i="23" s="1"/>
  <c r="R17" i="23"/>
  <c r="Q17" i="23"/>
  <c r="M25" i="23" l="1"/>
  <c r="R24" i="23"/>
  <c r="R25" i="23" s="1"/>
  <c r="Q24" i="23"/>
  <c r="Q25"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28" authorId="0" shapeId="0" xr:uid="{00000000-0006-0000-0700-000001000000}">
      <text>
        <r>
          <rPr>
            <sz val="11"/>
            <color theme="1"/>
            <rFont val="Calibri"/>
            <scheme val="minor"/>
          </rPr>
          <t>======
ID#AAAB9jjNMqY
Michael Bezrukov    (2026-06-14 19:59:12)
PREDICTION — not sourced from any table. Estimated: ~30% of Q1 2024 revenue ($61,470), consistent with early-stage S&amp;M spend before scaling. Derived by working backward from 2025 actuals (~20% of revenue) with a higher ratio for an earlier-stage period.</t>
        </r>
      </text>
    </comment>
    <comment ref="C28" authorId="0" shapeId="0" xr:uid="{00000000-0006-0000-0700-000002000000}">
      <text>
        <r>
          <rPr>
            <sz val="11"/>
            <color theme="1"/>
            <rFont val="Calibri"/>
            <scheme val="minor"/>
          </rPr>
          <t>======
ID#AAAB9jjNMq8
Michael Bezrukov    (2026-06-14 19:59:12)
PREDICTION — not sourced from any table. Estimated: ~27% of Q2 2024 revenue ($107,967). S&amp;M ratio declining as company scales into its go-to-market motion.</t>
        </r>
      </text>
    </comment>
    <comment ref="D28" authorId="0" shapeId="0" xr:uid="{00000000-0006-0000-0700-000003000000}">
      <text>
        <r>
          <rPr>
            <sz val="11"/>
            <color theme="1"/>
            <rFont val="Calibri"/>
            <scheme val="minor"/>
          </rPr>
          <t>======
ID#AAAB9jjNMq4
Michael Bezrukov    (2026-06-14 19:59:12)
PREDICTION — not sourced from any table. Estimated: ~25% of Q3 2024 revenue ($191,126). Continued ramp in absolute spend as customer acquisition accelerates.</t>
        </r>
      </text>
    </comment>
    <comment ref="E28" authorId="0" shapeId="0" xr:uid="{00000000-0006-0000-0700-000004000000}">
      <text>
        <r>
          <rPr>
            <sz val="11"/>
            <color theme="1"/>
            <rFont val="Calibri"/>
            <scheme val="minor"/>
          </rPr>
          <t>======
ID#AAAB9jjNMqE
Michael Bezrukov    (2026-06-14 19:59:12)
PREDICTION — not sourced from any table. Estimated: ~23% of Q4 2024 revenue ($273,371). Approaching 2025 efficiency levels as the sales motion matures.</t>
        </r>
      </text>
    </comment>
    <comment ref="B29" authorId="0" shapeId="0" xr:uid="{00000000-0006-0000-0700-000005000000}">
      <text>
        <r>
          <rPr>
            <sz val="11"/>
            <color theme="1"/>
            <rFont val="Calibri"/>
            <scheme val="minor"/>
          </rPr>
          <t>======
ID#AAAB9jjNMps
Michael Bezrukov    (2026-06-14 19:59:12)
PREDICTION — not sourced from any table. Estimated: ~24% of Q1 2024 revenue. Early-stage SaaS R&amp;D typically runs 20-30% of revenue; used 24% for Q1 when team is small and product is early.</t>
        </r>
      </text>
    </comment>
    <comment ref="C29" authorId="0" shapeId="0" xr:uid="{00000000-0006-0000-0700-000006000000}">
      <text>
        <r>
          <rPr>
            <sz val="11"/>
            <color theme="1"/>
            <rFont val="Calibri"/>
            <scheme val="minor"/>
          </rPr>
          <t>======
ID#AAAB9jjNMpQ
Michael Bezrukov    (2026-06-14 19:59:12)
PREDICTION — not sourced from any table. Estimated: ~23% of Q2 2024 revenue. R&amp;D spend growing in absolute terms as engineering team expands but declining as % of revenue.</t>
        </r>
      </text>
    </comment>
    <comment ref="D29" authorId="0" shapeId="0" xr:uid="{00000000-0006-0000-0700-000007000000}">
      <text>
        <r>
          <rPr>
            <sz val="11"/>
            <color theme="1"/>
            <rFont val="Calibri"/>
            <scheme val="minor"/>
          </rPr>
          <t>======
ID#AAAB9jjNMpk
Michael Bezrukov    (2026-06-14 19:59:12)
PREDICTION — not sourced from any table. Estimated: ~22% of Q3 2024 revenue. Product development accelerating alongside customer growth.</t>
        </r>
      </text>
    </comment>
    <comment ref="E29" authorId="0" shapeId="0" xr:uid="{00000000-0006-0000-0700-000008000000}">
      <text>
        <r>
          <rPr>
            <sz val="11"/>
            <color theme="1"/>
            <rFont val="Calibri"/>
            <scheme val="minor"/>
          </rPr>
          <t>======
ID#AAAB9jjNMoU
Michael Bezrukov    (2026-06-14 19:59:12)
PREDICTION — not sourced from any table. Estimated: ~21% of Q4 2024 revenue. R&amp;D scaling with revenue, consistent with trajectory into 2025.</t>
        </r>
      </text>
    </comment>
    <comment ref="F29" authorId="0" shapeId="0" xr:uid="{00000000-0006-0000-0700-000009000000}">
      <text>
        <r>
          <rPr>
            <sz val="11"/>
            <color theme="1"/>
            <rFont val="Calibri"/>
            <scheme val="minor"/>
          </rPr>
          <t>======
ID#AAAB9jjNMrA
Michael Bezrukov    (2026-06-14 19:59:12)
PREDICTION — not sourced from any table. Estimated: ~16% of Q1 2025 revenue ($379,619), stepping up from Q4 2024 R&amp;D ($57,000) as engineering team grows heading into 2025.</t>
        </r>
      </text>
    </comment>
    <comment ref="G29" authorId="0" shapeId="0" xr:uid="{00000000-0006-0000-0700-00000A000000}">
      <text>
        <r>
          <rPr>
            <sz val="11"/>
            <color theme="1"/>
            <rFont val="Calibri"/>
            <scheme val="minor"/>
          </rPr>
          <t>======
ID#AAAB8I2bhwY
Michael Bezrukov    (2026-06-14 19:59:12)
PREDICTION — not sourced from any table. Estimated: ~15% of Q2 2025 revenue ($456,344). R&amp;D growing in absolute terms as product investment continues.</t>
        </r>
      </text>
    </comment>
    <comment ref="H29" authorId="0" shapeId="0" xr:uid="{00000000-0006-0000-0700-00000B000000}">
      <text>
        <r>
          <rPr>
            <sz val="11"/>
            <color theme="1"/>
            <rFont val="Calibri"/>
            <scheme val="minor"/>
          </rPr>
          <t>======
ID#AAAB9jjNMqQ
Michael Bezrukov    (2026-06-14 19:59:12)
PREDICTION — not sourced from any table. Estimated: ~16% of Q3 2025 revenue ($451,079). Continued product development investment; ratio stable.</t>
        </r>
      </text>
    </comment>
    <comment ref="I29" authorId="0" shapeId="0" xr:uid="{00000000-0006-0000-0700-00000C000000}">
      <text>
        <r>
          <rPr>
            <sz val="11"/>
            <color theme="1"/>
            <rFont val="Calibri"/>
            <scheme val="minor"/>
          </rPr>
          <t>======
ID#AAAB9jjNMog
Michael Bezrukov    (2026-06-14 19:59:12)
PREDICTION — not sourced from any table. Estimated: ~14% of Q4 2025 revenue ($452,756). Slight pullback consistent with S&amp;M pattern in Q4.</t>
        </r>
      </text>
    </comment>
    <comment ref="B30" authorId="0" shapeId="0" xr:uid="{00000000-0006-0000-0700-00000D000000}">
      <text>
        <r>
          <rPr>
            <sz val="11"/>
            <color theme="1"/>
            <rFont val="Calibri"/>
            <scheme val="minor"/>
          </rPr>
          <t>======
ID#AAAB9jjNMq0
Michael Bezrukov    (2026-06-14 19:59:12)
PREDICTION — not sourced from any table. Estimated: ~13% of Q1 2024 revenue. G&amp;A for an early-stage company (finance, legal, ops overhead) typically 10-15% of revenue.</t>
        </r>
      </text>
    </comment>
    <comment ref="C30" authorId="0" shapeId="0" xr:uid="{00000000-0006-0000-0700-00000E000000}">
      <text>
        <r>
          <rPr>
            <sz val="11"/>
            <color theme="1"/>
            <rFont val="Calibri"/>
            <scheme val="minor"/>
          </rPr>
          <t>======
ID#AAAB9jjNMpA
Michael Bezrukov    (2026-06-14 19:59:12)
PREDICTION — not sourced from any table. Estimated: ~12% of Q2 2024 revenue. G&amp;A growing modestly in absolute terms as company adds operational infrastructure.</t>
        </r>
      </text>
    </comment>
    <comment ref="D30" authorId="0" shapeId="0" xr:uid="{00000000-0006-0000-0700-00000F000000}">
      <text>
        <r>
          <rPr>
            <sz val="11"/>
            <color theme="1"/>
            <rFont val="Calibri"/>
            <scheme val="minor"/>
          </rPr>
          <t>======
ID#AAAB9jjNMqI
Michael Bezrukov    (2026-06-14 19:59:12)
PREDICTION — not sourced from any table. Estimated: ~11% of Q3 2024 revenue. G&amp;A ratio declining as revenue base grows faster than overhead.</t>
        </r>
      </text>
    </comment>
    <comment ref="E30" authorId="0" shapeId="0" xr:uid="{00000000-0006-0000-0700-000010000000}">
      <text>
        <r>
          <rPr>
            <sz val="11"/>
            <color theme="1"/>
            <rFont val="Calibri"/>
            <scheme val="minor"/>
          </rPr>
          <t>======
ID#AAAB9jjNMqo
Michael Bezrukov    (2026-06-14 19:59:12)
PREDICTION — not sourced from any table. Estimated: ~10% of Q4 2024 revenue. Approaching typical SaaS G&amp;A efficiency at this stage.</t>
        </r>
      </text>
    </comment>
    <comment ref="F30" authorId="0" shapeId="0" xr:uid="{00000000-0006-0000-0700-000011000000}">
      <text>
        <r>
          <rPr>
            <sz val="11"/>
            <color theme="1"/>
            <rFont val="Calibri"/>
            <scheme val="minor"/>
          </rPr>
          <t>======
ID#AAAB9jjNMpc
Michael Bezrukov    (2026-06-14 19:59:12)
PREDICTION — not sourced from any table. Estimated: ~8% of Q1 2025 revenue ($379,619), stepping up from Q4 2024 G&amp;A ($28,000). G&amp;A is largely fixed overhead growing slowly.</t>
        </r>
      </text>
    </comment>
    <comment ref="G30" authorId="0" shapeId="0" xr:uid="{00000000-0006-0000-0700-000012000000}">
      <text>
        <r>
          <rPr>
            <sz val="11"/>
            <color theme="1"/>
            <rFont val="Calibri"/>
            <scheme val="minor"/>
          </rPr>
          <t>======
ID#AAAB9jjNMp0
Michael Bezrukov    (2026-06-14 19:59:12)
PREDICTION — not sourced from any table. Estimated: ~7% of Q2 2025 revenue ($456,344). G&amp;A ratio declining as revenue scales faster than overhead.</t>
        </r>
      </text>
    </comment>
    <comment ref="H30" authorId="0" shapeId="0" xr:uid="{00000000-0006-0000-0700-000013000000}">
      <text>
        <r>
          <rPr>
            <sz val="11"/>
            <color theme="1"/>
            <rFont val="Calibri"/>
            <scheme val="minor"/>
          </rPr>
          <t>======
ID#AAAB9jjNMoQ
Michael Bezrukov    (2026-06-14 19:59:12)
PREDICTION — not sourced from any table. Estimated: ~8% of Q3 2025 revenue ($451,079). Modest absolute increase for ops/finance/legal headcount.</t>
        </r>
      </text>
    </comment>
    <comment ref="I30" authorId="0" shapeId="0" xr:uid="{00000000-0006-0000-0700-000014000000}">
      <text>
        <r>
          <rPr>
            <sz val="11"/>
            <color theme="1"/>
            <rFont val="Calibri"/>
            <scheme val="minor"/>
          </rPr>
          <t>======
ID#AAAB9jjNMoM
Michael Bezrukov    (2026-06-14 19:59:12)
PREDICTION — not sourced from any table. Estimated: ~7% of Q4 2025 revenue ($452,756). Broadly stable G&amp;A in Q4, consistent with cost discipline.</t>
        </r>
      </text>
    </comment>
    <comment ref="B31" authorId="0" shapeId="0" xr:uid="{00000000-0006-0000-0700-000015000000}">
      <text>
        <r>
          <rPr>
            <sz val="11"/>
            <color theme="1"/>
            <rFont val="Calibri"/>
            <scheme val="minor"/>
          </rPr>
          <t>======
ID#AAAB9jjNMpI
Michael Bezrukov    (2026-06-14 19:59:12)
PREDICTION — derived from estimated S&amp;M + R&amp;D + G&amp;A. Not sourced from any table.</t>
        </r>
      </text>
    </comment>
    <comment ref="C31" authorId="0" shapeId="0" xr:uid="{00000000-0006-0000-0700-000016000000}">
      <text>
        <r>
          <rPr>
            <sz val="11"/>
            <color theme="1"/>
            <rFont val="Calibri"/>
            <scheme val="minor"/>
          </rPr>
          <t>======
ID#AAAB9jjNMoo
Michael Bezrukov    (2026-06-14 19:59:12)
PREDICTION — derived from estimated S&amp;M + R&amp;D + G&amp;A. Not sourced from any table.</t>
        </r>
      </text>
    </comment>
    <comment ref="D31" authorId="0" shapeId="0" xr:uid="{00000000-0006-0000-0700-000017000000}">
      <text>
        <r>
          <rPr>
            <sz val="11"/>
            <color theme="1"/>
            <rFont val="Calibri"/>
            <scheme val="minor"/>
          </rPr>
          <t>======
ID#AAAB9jjNMpg
Michael Bezrukov    (2026-06-14 19:59:12)
PREDICTION — derived from estimated S&amp;M + R&amp;D + G&amp;A. Not sourced from any table.</t>
        </r>
      </text>
    </comment>
    <comment ref="E31" authorId="0" shapeId="0" xr:uid="{00000000-0006-0000-0700-000018000000}">
      <text>
        <r>
          <rPr>
            <sz val="11"/>
            <color theme="1"/>
            <rFont val="Calibri"/>
            <scheme val="minor"/>
          </rPr>
          <t>======
ID#AAAB9jjNMqw
Michael Bezrukov    (2026-06-14 19:59:12)
PREDICTION — derived from estimated S&amp;M + R&amp;D + G&amp;A. Not sourced from any table.</t>
        </r>
      </text>
    </comment>
    <comment ref="F31" authorId="0" shapeId="0" xr:uid="{00000000-0006-0000-0700-000019000000}">
      <text>
        <r>
          <rPr>
            <sz val="11"/>
            <color theme="1"/>
            <rFont val="Calibri"/>
            <scheme val="minor"/>
          </rPr>
          <t>======
ID#AAAB9jjNMrE
Michael Bezrukov    (2026-06-14 19:59:12)
PREDICTION — S&amp;M is actual (Unit Economics tab); R&amp;D and G&amp;A are estimated. Not fully sourced from any table.</t>
        </r>
      </text>
    </comment>
    <comment ref="G31" authorId="0" shapeId="0" xr:uid="{00000000-0006-0000-0700-00001A000000}">
      <text>
        <r>
          <rPr>
            <sz val="11"/>
            <color theme="1"/>
            <rFont val="Calibri"/>
            <scheme val="minor"/>
          </rPr>
          <t>======
ID#AAAB9jjNMoE
Michael Bezrukov    (2026-06-14 19:59:12)
PREDICTION — S&amp;M is actual (Unit Economics tab); R&amp;D and G&amp;A are estimated. Not fully sourced from any table.</t>
        </r>
      </text>
    </comment>
    <comment ref="H31" authorId="0" shapeId="0" xr:uid="{00000000-0006-0000-0700-00001B000000}">
      <text>
        <r>
          <rPr>
            <sz val="11"/>
            <color theme="1"/>
            <rFont val="Calibri"/>
            <scheme val="minor"/>
          </rPr>
          <t>======
ID#AAAB9jjNMpY
Michael Bezrukov    (2026-06-14 19:59:12)
PREDICTION — S&amp;M is actual (Unit Economics tab); R&amp;D and G&amp;A are estimated. Not fully sourced from any table.</t>
        </r>
      </text>
    </comment>
    <comment ref="I31" authorId="0" shapeId="0" xr:uid="{00000000-0006-0000-0700-00001C000000}">
      <text>
        <r>
          <rPr>
            <sz val="11"/>
            <color theme="1"/>
            <rFont val="Calibri"/>
            <scheme val="minor"/>
          </rPr>
          <t>======
ID#AAAB9jjNMok
Michael Bezrukov    (2026-06-14 19:59:12)
PREDICTION — S&amp;M is actual (Unit Economics tab); R&amp;D and G&amp;A are estimated. Not fully sourced from any table.</t>
        </r>
      </text>
    </comment>
    <comment ref="B32" authorId="0" shapeId="0" xr:uid="{00000000-0006-0000-0700-00001D000000}">
      <text>
        <r>
          <rPr>
            <sz val="11"/>
            <color theme="1"/>
            <rFont val="Calibri"/>
            <scheme val="minor"/>
          </rPr>
          <t>======
ID#AAAB9jjNMqc
Michael Bezrukov    (2026-06-14 19:59:12)
PREDICTION — derived from estimated OpEx. Not sourced from any table.</t>
        </r>
      </text>
    </comment>
    <comment ref="C32" authorId="0" shapeId="0" xr:uid="{00000000-0006-0000-0700-00001E000000}">
      <text>
        <r>
          <rPr>
            <sz val="11"/>
            <color theme="1"/>
            <rFont val="Calibri"/>
            <scheme val="minor"/>
          </rPr>
          <t>======
ID#AAAB9jjNMo8
Michael Bezrukov    (2026-06-14 19:59:12)
PREDICTION — derived from estimated OpEx. Not sourced from any table.</t>
        </r>
      </text>
    </comment>
    <comment ref="D32" authorId="0" shapeId="0" xr:uid="{00000000-0006-0000-0700-00001F000000}">
      <text>
        <r>
          <rPr>
            <sz val="11"/>
            <color theme="1"/>
            <rFont val="Calibri"/>
            <scheme val="minor"/>
          </rPr>
          <t>======
ID#AAAB9jjNMpM
Michael Bezrukov    (2026-06-14 19:59:12)
PREDICTION — derived from estimated OpEx. Not sourced from any table.</t>
        </r>
      </text>
    </comment>
    <comment ref="E32" authorId="0" shapeId="0" xr:uid="{00000000-0006-0000-0700-000020000000}">
      <text>
        <r>
          <rPr>
            <sz val="11"/>
            <color theme="1"/>
            <rFont val="Calibri"/>
            <scheme val="minor"/>
          </rPr>
          <t>======
ID#AAAB9jjNMpU
Michael Bezrukov    (2026-06-14 19:59:12)
PREDICTION — derived from estimated OpEx. Not sourced from any table.</t>
        </r>
      </text>
    </comment>
    <comment ref="F32" authorId="0" shapeId="0" xr:uid="{00000000-0006-0000-0700-000021000000}">
      <text>
        <r>
          <rPr>
            <sz val="11"/>
            <color theme="1"/>
            <rFont val="Calibri"/>
            <scheme val="minor"/>
          </rPr>
          <t>======
ID#AAAB9jjNMoc
Michael Bezrukov    (2026-06-14 19:59:12)
PREDICTION — derived from estimated Total OpEx (R&amp;D + G&amp;A estimated). Not fully sourced from any table.</t>
        </r>
      </text>
    </comment>
    <comment ref="G32" authorId="0" shapeId="0" xr:uid="{00000000-0006-0000-0700-000022000000}">
      <text>
        <r>
          <rPr>
            <sz val="11"/>
            <color theme="1"/>
            <rFont val="Calibri"/>
            <scheme val="minor"/>
          </rPr>
          <t>======
ID#AAAB9jjNMqs
Michael Bezrukov    (2026-06-14 19:59:12)
PREDICTION — derived from estimated Total OpEx (R&amp;D + G&amp;A estimated). Not fully sourced from any table.</t>
        </r>
      </text>
    </comment>
    <comment ref="H32" authorId="0" shapeId="0" xr:uid="{00000000-0006-0000-0700-000023000000}">
      <text>
        <r>
          <rPr>
            <sz val="11"/>
            <color theme="1"/>
            <rFont val="Calibri"/>
            <scheme val="minor"/>
          </rPr>
          <t>======
ID#AAAB9jjNMp8
Michael Bezrukov    (2026-06-14 19:59:12)
PREDICTION — derived from estimated Total OpEx (R&amp;D + G&amp;A estimated). Not fully sourced from any table.</t>
        </r>
      </text>
    </comment>
    <comment ref="I32" authorId="0" shapeId="0" xr:uid="{00000000-0006-0000-0700-000024000000}">
      <text>
        <r>
          <rPr>
            <sz val="11"/>
            <color theme="1"/>
            <rFont val="Calibri"/>
            <scheme val="minor"/>
          </rPr>
          <t>======
ID#AAAB9jjNMow
Michael Bezrukov    (2026-06-14 19:59:12)
PREDICTION — derived from estimated Total OpEx (R&amp;D + G&amp;A estimated). Not fully sourced from any table.</t>
        </r>
      </text>
    </comment>
    <comment ref="B33" authorId="0" shapeId="0" xr:uid="{00000000-0006-0000-0700-000025000000}">
      <text>
        <r>
          <rPr>
            <sz val="11"/>
            <color theme="1"/>
            <rFont val="Calibri"/>
            <scheme val="minor"/>
          </rPr>
          <t>======
ID#AAAB8I2bhwc
Michael Bezrukov    (2026-06-14 19:59:12)
PREDICTION — derived from estimated EBITDA. Not sourced from any table.</t>
        </r>
      </text>
    </comment>
    <comment ref="C33" authorId="0" shapeId="0" xr:uid="{00000000-0006-0000-0700-000026000000}">
      <text>
        <r>
          <rPr>
            <sz val="11"/>
            <color theme="1"/>
            <rFont val="Calibri"/>
            <scheme val="minor"/>
          </rPr>
          <t>======
ID#AAAB9jjNMqM
Michael Bezrukov    (2026-06-14 19:59:12)
PREDICTION — derived from estimated EBITDA. Not sourced from any table.</t>
        </r>
      </text>
    </comment>
    <comment ref="D33" authorId="0" shapeId="0" xr:uid="{00000000-0006-0000-0700-000027000000}">
      <text>
        <r>
          <rPr>
            <sz val="11"/>
            <color theme="1"/>
            <rFont val="Calibri"/>
            <scheme val="minor"/>
          </rPr>
          <t>======
ID#AAAB9jjNMqA
Michael Bezrukov    (2026-06-14 19:59:12)
PREDICTION — derived from estimated EBITDA. Not sourced from any table.</t>
        </r>
      </text>
    </comment>
    <comment ref="E33" authorId="0" shapeId="0" xr:uid="{00000000-0006-0000-0700-000028000000}">
      <text>
        <r>
          <rPr>
            <sz val="11"/>
            <color theme="1"/>
            <rFont val="Calibri"/>
            <scheme val="minor"/>
          </rPr>
          <t>======
ID#AAAB9jjNMpo
Michael Bezrukov    (2026-06-14 19:59:12)
PREDICTION — derived from estimated EBITDA. Not sourced from any table.</t>
        </r>
      </text>
    </comment>
    <comment ref="F33" authorId="0" shapeId="0" xr:uid="{00000000-0006-0000-0700-000029000000}">
      <text>
        <r>
          <rPr>
            <sz val="11"/>
            <color theme="1"/>
            <rFont val="Calibri"/>
            <scheme val="minor"/>
          </rPr>
          <t>======
ID#AAAB9jjNMrI
Michael Bezrukov    (2026-06-14 19:59:12)
PREDICTION — derived from estimated EBITDA. Not fully sourced from any table.</t>
        </r>
      </text>
    </comment>
    <comment ref="G33" authorId="0" shapeId="0" xr:uid="{00000000-0006-0000-0700-00002A000000}">
      <text>
        <r>
          <rPr>
            <sz val="11"/>
            <color theme="1"/>
            <rFont val="Calibri"/>
            <scheme val="minor"/>
          </rPr>
          <t>======
ID#AAAB9jjNMo4
Michael Bezrukov    (2026-06-14 19:59:12)
PREDICTION — derived from estimated EBITDA. Not fully sourced from any table.</t>
        </r>
      </text>
    </comment>
    <comment ref="H33" authorId="0" shapeId="0" xr:uid="{00000000-0006-0000-0700-00002B000000}">
      <text>
        <r>
          <rPr>
            <sz val="11"/>
            <color theme="1"/>
            <rFont val="Calibri"/>
            <scheme val="minor"/>
          </rPr>
          <t>======
ID#AAAB9jjNMpE
Michael Bezrukov    (2026-06-14 19:59:12)
PREDICTION — derived from estimated EBITDA. Not fully sourced from any table.</t>
        </r>
      </text>
    </comment>
    <comment ref="I33" authorId="0" shapeId="0" xr:uid="{00000000-0006-0000-0700-00002C000000}">
      <text>
        <r>
          <rPr>
            <sz val="11"/>
            <color theme="1"/>
            <rFont val="Calibri"/>
            <scheme val="minor"/>
          </rPr>
          <t>======
ID#AAAB9jjNMos
Michael Bezrukov    (2026-06-14 19:59:12)
PREDICTION — derived from estimated EBITDA. Not fully sourced from any table.</t>
        </r>
      </text>
    </comment>
    <comment ref="B44" authorId="0" shapeId="0" xr:uid="{00000000-0006-0000-0700-00002D000000}">
      <text>
        <r>
          <rPr>
            <sz val="11"/>
            <color theme="1"/>
            <rFont val="Calibri"/>
            <scheme val="minor"/>
          </rPr>
          <t>======
ID#AAAB9jjNMqU
Michael Bezrukov    (2026-06-14 19:59:12)
Waterfall tab, H26 (Dec 2025 closing row)</t>
        </r>
      </text>
    </comment>
    <comment ref="B45" authorId="0" shapeId="0" xr:uid="{00000000-0006-0000-0700-00002E000000}">
      <text>
        <r>
          <rPr>
            <sz val="11"/>
            <color theme="1"/>
            <rFont val="Calibri"/>
            <scheme val="minor"/>
          </rPr>
          <t>======
ID#AAAB9jjNMoI
Michael Bezrukov    (2026-06-14 19:59:12)
Unit Economics tab, B6 — current snapshot MRR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16" authorId="0" shapeId="0" xr:uid="{00000000-0006-0000-1200-000001000000}">
      <text>
        <r>
          <rPr>
            <sz val="11"/>
            <color theme="1"/>
            <rFont val="Calibri"/>
            <scheme val="minor"/>
          </rPr>
          <t>======
ID#AAAB9jjNMqk
Michael Bezrukov    (2026-06-14 19:59:12)
No subscriptions exist before month 1</t>
        </r>
      </text>
    </comment>
    <comment ref="A19" authorId="0" shapeId="0" xr:uid="{00000000-0006-0000-1200-000002000000}">
      <text>
        <r>
          <rPr>
            <sz val="11"/>
            <color theme="1"/>
            <rFont val="Calibri"/>
            <scheme val="minor"/>
          </rPr>
          <t>======
ID#AAAB9jjNMqg
Michael Bezrukov    (2026-06-14 19:59:12)
Distinct customer count (not subscriptions). Uses Engine helper columns: T (is_new_logo), U (is_logo_churn), V (is_logo_reactivation). Formula: cumulative new logos + cumulative reactivations − cumulative logo churns through end of prior month.</t>
        </r>
      </text>
    </comment>
    <comment ref="B19" authorId="0" shapeId="0" xr:uid="{00000000-0006-0000-1200-000003000000}">
      <text>
        <r>
          <rPr>
            <sz val="11"/>
            <color theme="1"/>
            <rFont val="Calibri"/>
            <scheme val="minor"/>
          </rPr>
          <t>======
ID#AAAB9jjNMo0
Michael Bezrukov    (2026-06-14 19:59:12)
No customers exist before month 1</t>
        </r>
      </text>
    </comment>
    <comment ref="A20" authorId="0" shapeId="0" xr:uid="{00000000-0006-0000-1200-000004000000}">
      <text>
        <r>
          <rPr>
            <sz val="11"/>
            <color theme="1"/>
            <rFont val="Calibri"/>
            <scheme val="minor"/>
          </rPr>
          <t>======
ID#AAAB9jjNMoY
Cancellations where the customer had NO remaining active subscriptions. Uses Engine!U (is_logo_churn) helper column. Of 11 total subscription cancellations, only 3 were true logo churns    (2026-06-14 19:59:12)
- CUST005 Atlantic Media Corp (Nov 2024)
- CUST013 Alberta Tech Innovators (Jan 2025)
- CUST023 Island Media Productions (Jun 2025)</t>
        </r>
      </text>
    </comment>
    <comment ref="L20" authorId="0" shapeId="0" xr:uid="{00000000-0006-0000-1200-000005000000}">
      <text>
        <r>
          <rPr>
            <sz val="11"/>
            <color theme="1"/>
            <rFont val="Calibri"/>
            <scheme val="minor"/>
          </rPr>
          <t>======
ID#AAAB9jjNMp4
Michael Bezrukov    (2026-06-14 19:59:12)
CUST005 Atlantic Media Corp — sole sub SUB005 cancelled (Price too high)</t>
        </r>
      </text>
    </comment>
    <comment ref="N20" authorId="0" shapeId="0" xr:uid="{00000000-0006-0000-1200-000006000000}">
      <text>
        <r>
          <rPr>
            <sz val="11"/>
            <color theme="1"/>
            <rFont val="Calibri"/>
            <scheme val="minor"/>
          </rPr>
          <t>======
ID#AAAB9jjNMpw
Michael Bezrukov    (2026-06-14 19:59:12)
CUST013 Alberta Tech Innovators — sole sub SUB013 cancelled (Switched to competitor)</t>
        </r>
      </text>
    </comment>
    <comment ref="S20" authorId="0" shapeId="0" xr:uid="{00000000-0006-0000-1200-000007000000}">
      <text>
        <r>
          <rPr>
            <sz val="11"/>
            <color theme="1"/>
            <rFont val="Calibri"/>
            <scheme val="minor"/>
          </rPr>
          <t>======
ID#AAAB9jjNMrM
Michael Bezrukov    (2026-06-14 19:59:12)
CUST023 Island Media Productions — sole sub SUB023 cancelled (Missing features)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<sst xmlns="http://schemas.openxmlformats.org/spreadsheetml/2006/main" count="3328" uniqueCount="1184">
  <si>
    <t>Scenario</t>
  </si>
  <si>
    <t>Quantity</t>
  </si>
  <si>
    <t>Price</t>
  </si>
  <si>
    <t>Δ Revenue</t>
  </si>
  <si>
    <t>Volume effect</t>
  </si>
  <si>
    <t>Price effect</t>
  </si>
  <si>
    <t>Dominant driver</t>
  </si>
  <si>
    <t>Northwind Retail:</t>
  </si>
  <si>
    <t>Prior</t>
  </si>
  <si>
    <t>Current</t>
  </si>
  <si>
    <t>Cascade Tools:</t>
  </si>
  <si>
    <t>Riverstone Supply:</t>
  </si>
  <si>
    <t>iDynamics:</t>
  </si>
  <si>
    <t>Prior (Q1 2025)</t>
  </si>
  <si>
    <t>Current (Q1 2026)</t>
  </si>
  <si>
    <t xml:space="preserve">Paragraph 1: </t>
  </si>
  <si>
    <t>Our total increase in revenue during this period was $29,200.</t>
  </si>
  <si>
    <t>This growth stemmed from an increase in volume of $18,000 from adding customers and a $11,200 increase in price.</t>
  </si>
  <si>
    <t>This indicates that our growth primarily comes from additional customers which is a healthy sign.</t>
  </si>
  <si>
    <t xml:space="preserve">This mix indicates that both the volume and price effect are positive and our growth was sustained from each side. </t>
  </si>
  <si>
    <t>The increase in volume means that we continue to grow our market share. The increase in price having a positive effect on revenue indicates that we have pricing power.</t>
  </si>
  <si>
    <t>Paragraph 2:</t>
  </si>
  <si>
    <t xml:space="preserve">Cascade saw an increase in revenue of $2,250 with the only gain coming from the price effect. </t>
  </si>
  <si>
    <t xml:space="preserve">This means that they have pricing power but the revenue increase comes at the cost of 50 customers. </t>
  </si>
  <si>
    <t xml:space="preserve">A price increase of 10% has come at the cost of a 5% decrease in customer base. </t>
  </si>
  <si>
    <t>I would look at the demand in future periods to see the effects of this price increase.</t>
  </si>
  <si>
    <t>Their strategy is to increase the price and lower the cost per unit.</t>
  </si>
  <si>
    <t xml:space="preserve">Based on the revenue delta, we can infer that a 1% price increase will create roughly a 2% decrease in customer base which is healthy. </t>
  </si>
  <si>
    <t>invoice_id</t>
  </si>
  <si>
    <t>invoice_number</t>
  </si>
  <si>
    <t>invoice_date</t>
  </si>
  <si>
    <t>customer_id</t>
  </si>
  <si>
    <t>customer_name</t>
  </si>
  <si>
    <t>subscription_id</t>
  </si>
  <si>
    <t>plan_name</t>
  </si>
  <si>
    <t>billing_cycle</t>
  </si>
  <si>
    <t>period_start</t>
  </si>
  <si>
    <t>period_end</t>
  </si>
  <si>
    <t>seats</t>
  </si>
  <si>
    <t>unit_price_usd</t>
  </si>
  <si>
    <t>subtotal</t>
  </si>
  <si>
    <t>discount_pct</t>
  </si>
  <si>
    <t>discount_amount</t>
  </si>
  <si>
    <t>amount_due_usd</t>
  </si>
  <si>
    <t>status</t>
  </si>
  <si>
    <t>payment_date</t>
  </si>
  <si>
    <t>failure_reason</t>
  </si>
  <si>
    <t>in_20260100001</t>
  </si>
  <si>
    <t>INV-2026-01-0001</t>
  </si>
  <si>
    <t>CUST007</t>
  </si>
  <si>
    <t>Ontario Manufacturing Tech</t>
  </si>
  <si>
    <t>SUB007</t>
  </si>
  <si>
    <t>Marketing Pro</t>
  </si>
  <si>
    <t>Monthly</t>
  </si>
  <si>
    <t>paid</t>
  </si>
  <si>
    <t>in_20260100002</t>
  </si>
  <si>
    <t>INV-2026-01-0002</t>
  </si>
  <si>
    <t>SUB050</t>
  </si>
  <si>
    <t>Analytics Starter</t>
  </si>
  <si>
    <t>in_20260100003</t>
  </si>
  <si>
    <t>INV-2026-01-0003</t>
  </si>
  <si>
    <t>CUST018</t>
  </si>
  <si>
    <t>Vancouver FinTech Labs</t>
  </si>
  <si>
    <t>SUB018</t>
  </si>
  <si>
    <t>Analytics Enterprise</t>
  </si>
  <si>
    <t>in_20260100004</t>
  </si>
  <si>
    <t>INV-2026-01-0004</t>
  </si>
  <si>
    <t>CUST029</t>
  </si>
  <si>
    <t>Halifax Healthcare Tech</t>
  </si>
  <si>
    <t>SUB029</t>
  </si>
  <si>
    <t>in_20260100005</t>
  </si>
  <si>
    <t>INV-2026-01-0005</t>
  </si>
  <si>
    <t>CUST003</t>
  </si>
  <si>
    <t>Maple Healthcare Systems</t>
  </si>
  <si>
    <t>SUB003</t>
  </si>
  <si>
    <t>in_20260100006</t>
  </si>
  <si>
    <t>INV-2026-01-0006</t>
  </si>
  <si>
    <t>CUST006</t>
  </si>
  <si>
    <t>Northern Retail Solutions</t>
  </si>
  <si>
    <t>SUB043</t>
  </si>
  <si>
    <t>in_20260100007</t>
  </si>
  <si>
    <t>INV-2026-01-0007</t>
  </si>
  <si>
    <t>CUST027</t>
  </si>
  <si>
    <t>Pacific Finance Corp</t>
  </si>
  <si>
    <t>SUB053</t>
  </si>
  <si>
    <t>in_20260100008</t>
  </si>
  <si>
    <t>INV-2026-01-0008</t>
  </si>
  <si>
    <t>CUST008</t>
  </si>
  <si>
    <t>Quantum Education Platform</t>
  </si>
  <si>
    <t>SUB059</t>
  </si>
  <si>
    <t>in_20260100009</t>
  </si>
  <si>
    <t>INV-2026-01-0009</t>
  </si>
  <si>
    <t>SUB027</t>
  </si>
  <si>
    <t>Sales Hub</t>
  </si>
  <si>
    <t>in_20260100010</t>
  </si>
  <si>
    <t>INV-2026-01-0010</t>
  </si>
  <si>
    <t>CUST014</t>
  </si>
  <si>
    <t>Toronto Media Group</t>
  </si>
  <si>
    <t>SUB014</t>
  </si>
  <si>
    <t>in_20260100011</t>
  </si>
  <si>
    <t>INV-2026-01-0011</t>
  </si>
  <si>
    <t>CUST010</t>
  </si>
  <si>
    <t>Montreal Finance Hub</t>
  </si>
  <si>
    <t>SUB045</t>
  </si>
  <si>
    <t>in_20260100012</t>
  </si>
  <si>
    <t>INV-2026-01-0012</t>
  </si>
  <si>
    <t>CUST024</t>
  </si>
  <si>
    <t>Western Retail Group</t>
  </si>
  <si>
    <t>SUB058</t>
  </si>
  <si>
    <t>in_20260100013</t>
  </si>
  <si>
    <t>INV-2026-01-0013</t>
  </si>
  <si>
    <t>CUST038</t>
  </si>
  <si>
    <t>Calgary Tech Partners</t>
  </si>
  <si>
    <t>SUB038</t>
  </si>
  <si>
    <t>in_20260100014</t>
  </si>
  <si>
    <t>INV-2026-01-0014</t>
  </si>
  <si>
    <t>CUST012</t>
  </si>
  <si>
    <t>Maritime E-commerce</t>
  </si>
  <si>
    <t>SUB012</t>
  </si>
  <si>
    <t>Analytics Growth</t>
  </si>
  <si>
    <t>in_20260100015</t>
  </si>
  <si>
    <t>INV-2026-01-0015</t>
  </si>
  <si>
    <t>SUB042</t>
  </si>
  <si>
    <t>in_20260100016</t>
  </si>
  <si>
    <t>INV-2026-01-0016</t>
  </si>
  <si>
    <t>SUB051</t>
  </si>
  <si>
    <t>in_20260100017</t>
  </si>
  <si>
    <t>INV-2026-01-0017</t>
  </si>
  <si>
    <t>CUST036</t>
  </si>
  <si>
    <t>Manitoba Finance Group</t>
  </si>
  <si>
    <t>SUB036</t>
  </si>
  <si>
    <t>in_20260100018</t>
  </si>
  <si>
    <t>INV-2026-01-0018</t>
  </si>
  <si>
    <t>CUST016</t>
  </si>
  <si>
    <t>Quebec Manufacturing</t>
  </si>
  <si>
    <t>SUB056</t>
  </si>
  <si>
    <t>in_20260100019</t>
  </si>
  <si>
    <t>INV-2026-01-0019</t>
  </si>
  <si>
    <t>SUB010</t>
  </si>
  <si>
    <t>in_20260100020</t>
  </si>
  <si>
    <t>INV-2026-01-0020</t>
  </si>
  <si>
    <t>CUST034</t>
  </si>
  <si>
    <t>Quebec Education Platform</t>
  </si>
  <si>
    <t>SUB034</t>
  </si>
  <si>
    <t>in_20260100021</t>
  </si>
  <si>
    <t>INV-2026-01-0021</t>
  </si>
  <si>
    <t>CUST001</t>
  </si>
  <si>
    <t>TechVision Solutions</t>
  </si>
  <si>
    <t>SUB041</t>
  </si>
  <si>
    <t>in_20260100022</t>
  </si>
  <si>
    <t>INV-2026-01-0022</t>
  </si>
  <si>
    <t>SUB052</t>
  </si>
  <si>
    <t>in_20260100023</t>
  </si>
  <si>
    <t>INV-2026-01-0023</t>
  </si>
  <si>
    <t>CUST023</t>
  </si>
  <si>
    <t>Island Media Productions</t>
  </si>
  <si>
    <t>SUB062</t>
  </si>
  <si>
    <t>in_20260100024</t>
  </si>
  <si>
    <t>INV-2026-01-0024</t>
  </si>
  <si>
    <t>CUST019</t>
  </si>
  <si>
    <t>Central Healthcare Partners</t>
  </si>
  <si>
    <t>SUB019</t>
  </si>
  <si>
    <t>in_20260100025</t>
  </si>
  <si>
    <t>INV-2026-01-0025</t>
  </si>
  <si>
    <t>CUST030</t>
  </si>
  <si>
    <t>Alberta E-commerce Hub</t>
  </si>
  <si>
    <t>SUB030</t>
  </si>
  <si>
    <t>in_20260100026</t>
  </si>
  <si>
    <t>INV-2026-01-0026</t>
  </si>
  <si>
    <t>CUST032</t>
  </si>
  <si>
    <t>BC Manufacturing Systems</t>
  </si>
  <si>
    <t>SUB032</t>
  </si>
  <si>
    <t>in_20260100027</t>
  </si>
  <si>
    <t>INV-2026-01-0027</t>
  </si>
  <si>
    <t>CUST022</t>
  </si>
  <si>
    <t>Toronto Tech Ventures</t>
  </si>
  <si>
    <t>SUB047</t>
  </si>
  <si>
    <t>in_20260100028</t>
  </si>
  <si>
    <t>INV-2026-01-0028</t>
  </si>
  <si>
    <t>CUST004</t>
  </si>
  <si>
    <t>Prairie Commerce Group</t>
  </si>
  <si>
    <t>SUB004</t>
  </si>
  <si>
    <t>in_20260100029</t>
  </si>
  <si>
    <t>INV-2026-01-0029</t>
  </si>
  <si>
    <t>CUST017</t>
  </si>
  <si>
    <t>Capital Education Tech</t>
  </si>
  <si>
    <t>SUB017</t>
  </si>
  <si>
    <t>in_20260100030</t>
  </si>
  <si>
    <t>INV-2026-01-0030</t>
  </si>
  <si>
    <t>CUST028</t>
  </si>
  <si>
    <t>Prairie SaaS Innovations</t>
  </si>
  <si>
    <t>SUB028</t>
  </si>
  <si>
    <t>failed</t>
  </si>
  <si>
    <t>Insufficient funds</t>
  </si>
  <si>
    <t>in_20260100031</t>
  </si>
  <si>
    <t>INV-2026-01-0031</t>
  </si>
  <si>
    <t>CUST009</t>
  </si>
  <si>
    <t>West Coast Logistics</t>
  </si>
  <si>
    <t>SUB044</t>
  </si>
  <si>
    <t>in_20260100032</t>
  </si>
  <si>
    <t>INV-2026-01-0032</t>
  </si>
  <si>
    <t>CUST013</t>
  </si>
  <si>
    <t>Alberta Tech Innovators</t>
  </si>
  <si>
    <t>SUB061</t>
  </si>
  <si>
    <t>in_20260100033</t>
  </si>
  <si>
    <t>INV-2026-01-0033</t>
  </si>
  <si>
    <t>CUST002</t>
  </si>
  <si>
    <t>Pacific Analytics Inc</t>
  </si>
  <si>
    <t>SUB002</t>
  </si>
  <si>
    <t>Platform Suite</t>
  </si>
  <si>
    <t>Annual</t>
  </si>
  <si>
    <t>in_20260100034</t>
  </si>
  <si>
    <t>INV-2026-01-0034</t>
  </si>
  <si>
    <t>CUST015</t>
  </si>
  <si>
    <t>BC Retail Networks</t>
  </si>
  <si>
    <t>SUB046</t>
  </si>
  <si>
    <t>in_20260100035</t>
  </si>
  <si>
    <t>INV-2026-01-0035</t>
  </si>
  <si>
    <t>CUST025</t>
  </si>
  <si>
    <t>Montreal Manufacturing Pro</t>
  </si>
  <si>
    <t>SUB048</t>
  </si>
  <si>
    <t>in_20260100036</t>
  </si>
  <si>
    <t>INV-2026-01-0036</t>
  </si>
  <si>
    <t>SUB054</t>
  </si>
  <si>
    <t>in_20260100037</t>
  </si>
  <si>
    <t>INV-2026-01-0037</t>
  </si>
  <si>
    <t>CUST026</t>
  </si>
  <si>
    <t>Ontario Education Connect</t>
  </si>
  <si>
    <t>SUB026</t>
  </si>
  <si>
    <t>in_20260100038</t>
  </si>
  <si>
    <t>INV-2026-01-0038</t>
  </si>
  <si>
    <t>CUST039</t>
  </si>
  <si>
    <t>Toronto Commerce Cloud</t>
  </si>
  <si>
    <t>SUB039</t>
  </si>
  <si>
    <t>in_20260100039</t>
  </si>
  <si>
    <t>INV-2026-01-0039</t>
  </si>
  <si>
    <t>SUB024</t>
  </si>
  <si>
    <t>in_20260100040</t>
  </si>
  <si>
    <t>INV-2026-01-0040</t>
  </si>
  <si>
    <t>CUST037</t>
  </si>
  <si>
    <t>Maritime SaaS Ventures</t>
  </si>
  <si>
    <t>SUB037</t>
  </si>
  <si>
    <t>in_20260100041</t>
  </si>
  <si>
    <t>INV-2026-01-0041</t>
  </si>
  <si>
    <t>CUST040</t>
  </si>
  <si>
    <t>BC Education Innovations</t>
  </si>
  <si>
    <t>SUB040</t>
  </si>
  <si>
    <t>in_20260100042</t>
  </si>
  <si>
    <t>INV-2026-01-0042</t>
  </si>
  <si>
    <t>CUST011</t>
  </si>
  <si>
    <t>Prairie Health Connect</t>
  </si>
  <si>
    <t>SUB011</t>
  </si>
  <si>
    <t>in_20260100043</t>
  </si>
  <si>
    <t>INV-2026-01-0043</t>
  </si>
  <si>
    <t>SUB022</t>
  </si>
  <si>
    <t>in_20260100044</t>
  </si>
  <si>
    <t>INV-2026-01-0044</t>
  </si>
  <si>
    <t>CUST035</t>
  </si>
  <si>
    <t>Vancouver Health Systems</t>
  </si>
  <si>
    <t>SUB035</t>
  </si>
  <si>
    <t>in_20260100045</t>
  </si>
  <si>
    <t>INV-2026-01-0045</t>
  </si>
  <si>
    <t>CUST021</t>
  </si>
  <si>
    <t>Calgary Commerce Solutions</t>
  </si>
  <si>
    <t>SUB057</t>
  </si>
  <si>
    <t>in_20260100046</t>
  </si>
  <si>
    <t>INV-2026-01-0046</t>
  </si>
  <si>
    <t>CUST020</t>
  </si>
  <si>
    <t>Atlantic SaaS Systems</t>
  </si>
  <si>
    <t>SUB020</t>
  </si>
  <si>
    <t>in_20260100047</t>
  </si>
  <si>
    <t>INV-2026-01-0047</t>
  </si>
  <si>
    <t>CUST033</t>
  </si>
  <si>
    <t>Ottawa Retail Solutions</t>
  </si>
  <si>
    <t>SUB033</t>
  </si>
  <si>
    <t>in_20260200001</t>
  </si>
  <si>
    <t>INV-2026-02-0001</t>
  </si>
  <si>
    <t>in_20260200002</t>
  </si>
  <si>
    <t>INV-2026-02-0002</t>
  </si>
  <si>
    <t>in_20260200003</t>
  </si>
  <si>
    <t>INV-2026-02-0003</t>
  </si>
  <si>
    <t>in_20260200004</t>
  </si>
  <si>
    <t>INV-2026-02-0004</t>
  </si>
  <si>
    <t>in_20260200005</t>
  </si>
  <si>
    <t>INV-2026-02-0005</t>
  </si>
  <si>
    <t>in_20260200006</t>
  </si>
  <si>
    <t>INV-2026-02-0006</t>
  </si>
  <si>
    <t>in_20260200007</t>
  </si>
  <si>
    <t>INV-2026-02-0007</t>
  </si>
  <si>
    <t>in_20260200008</t>
  </si>
  <si>
    <t>INV-2026-02-0008</t>
  </si>
  <si>
    <t>in_20260200009</t>
  </si>
  <si>
    <t>INV-2026-02-0009</t>
  </si>
  <si>
    <t>in_20260200010</t>
  </si>
  <si>
    <t>INV-2026-02-0010</t>
  </si>
  <si>
    <t>in_20260200011</t>
  </si>
  <si>
    <t>INV-2026-02-0011</t>
  </si>
  <si>
    <t>in_20260200012</t>
  </si>
  <si>
    <t>INV-2026-02-0012</t>
  </si>
  <si>
    <t>in_20260200013</t>
  </si>
  <si>
    <t>INV-2026-02-0013</t>
  </si>
  <si>
    <t>in_20260200014</t>
  </si>
  <si>
    <t>INV-2026-02-0014</t>
  </si>
  <si>
    <t>in_20260200015</t>
  </si>
  <si>
    <t>INV-2026-02-0015</t>
  </si>
  <si>
    <t>in_20260200016</t>
  </si>
  <si>
    <t>INV-2026-02-0016</t>
  </si>
  <si>
    <t>in_20260200017</t>
  </si>
  <si>
    <t>INV-2026-02-0017</t>
  </si>
  <si>
    <t>CUST041</t>
  </si>
  <si>
    <t>Dynamic Retail Solutions</t>
  </si>
  <si>
    <t>SUB063</t>
  </si>
  <si>
    <t>in_20260200018</t>
  </si>
  <si>
    <t>INV-2026-02-0018</t>
  </si>
  <si>
    <t>in_20260200019</t>
  </si>
  <si>
    <t>INV-2026-02-0019</t>
  </si>
  <si>
    <t>in_20260200020</t>
  </si>
  <si>
    <t>INV-2026-02-0020</t>
  </si>
  <si>
    <t>in_20260200021</t>
  </si>
  <si>
    <t>INV-2026-02-0021</t>
  </si>
  <si>
    <t>in_20260200022</t>
  </si>
  <si>
    <t>INV-2026-02-0022</t>
  </si>
  <si>
    <t>in_20260200023</t>
  </si>
  <si>
    <t>INV-2026-02-0023</t>
  </si>
  <si>
    <t>in_20260200024</t>
  </si>
  <si>
    <t>INV-2026-02-0024</t>
  </si>
  <si>
    <t>in_20260200025</t>
  </si>
  <si>
    <t>INV-2026-02-0025</t>
  </si>
  <si>
    <t>in_20260200026</t>
  </si>
  <si>
    <t>INV-2026-02-0026</t>
  </si>
  <si>
    <t>in_20260200027</t>
  </si>
  <si>
    <t>INV-2026-02-0027</t>
  </si>
  <si>
    <t>in_20260200028</t>
  </si>
  <si>
    <t>INV-2026-02-0028</t>
  </si>
  <si>
    <t>in_20260200029</t>
  </si>
  <si>
    <t>INV-2026-02-0029</t>
  </si>
  <si>
    <t>in_20260200030</t>
  </si>
  <si>
    <t>INV-2026-02-0030</t>
  </si>
  <si>
    <t>in_20260200031</t>
  </si>
  <si>
    <t>INV-2026-02-0031</t>
  </si>
  <si>
    <t>in_20260200032</t>
  </si>
  <si>
    <t>INV-2026-02-0032</t>
  </si>
  <si>
    <t>in_20260200033</t>
  </si>
  <si>
    <t>INV-2026-02-0033</t>
  </si>
  <si>
    <t>in_20260200034</t>
  </si>
  <si>
    <t>INV-2026-02-0034</t>
  </si>
  <si>
    <t>CUST042</t>
  </si>
  <si>
    <t>Pacific Coast Analytics</t>
  </si>
  <si>
    <t>SUB064</t>
  </si>
  <si>
    <t>in_20260299001</t>
  </si>
  <si>
    <t>CN-2026-02-0001</t>
  </si>
  <si>
    <t>refunded</t>
  </si>
  <si>
    <t>Prorated refund â€” subscription cancelled 2026-02-20</t>
  </si>
  <si>
    <t>in_20260200035</t>
  </si>
  <si>
    <t>INV-2026-02-0035</t>
  </si>
  <si>
    <t>in_20260200036</t>
  </si>
  <si>
    <t>INV-2026-02-0036</t>
  </si>
  <si>
    <t>in_20260200037</t>
  </si>
  <si>
    <t>INV-2026-02-0037</t>
  </si>
  <si>
    <t>in_20260200038</t>
  </si>
  <si>
    <t>INV-2026-02-0038</t>
  </si>
  <si>
    <t>in_20260200039</t>
  </si>
  <si>
    <t>INV-2026-02-0039</t>
  </si>
  <si>
    <t>in_20260200040</t>
  </si>
  <si>
    <t>INV-2026-02-0040</t>
  </si>
  <si>
    <t>in_20260200041</t>
  </si>
  <si>
    <t>INV-2026-02-0041</t>
  </si>
  <si>
    <t>in_20260200042</t>
  </si>
  <si>
    <t>INV-2026-02-0042</t>
  </si>
  <si>
    <t>in_20260200043</t>
  </si>
  <si>
    <t>INV-2026-02-0043</t>
  </si>
  <si>
    <t>in_20260200044</t>
  </si>
  <si>
    <t>INV-2026-02-0044</t>
  </si>
  <si>
    <t>in_20260200045</t>
  </si>
  <si>
    <t>INV-2026-02-0045</t>
  </si>
  <si>
    <t>in_20260200046</t>
  </si>
  <si>
    <t>INV-2026-02-0046</t>
  </si>
  <si>
    <t>in_20260200047</t>
  </si>
  <si>
    <t>INV-2026-02-0047</t>
  </si>
  <si>
    <t>Account: iDynamics SaaS Inc - Operating</t>
  </si>
  <si>
    <t>Period: January 2026</t>
  </si>
  <si>
    <t>Opening Balance:</t>
  </si>
  <si>
    <t>transaction_date</t>
  </si>
  <si>
    <t>post_date</t>
  </si>
  <si>
    <t>description</t>
  </si>
  <si>
    <t>type</t>
  </si>
  <si>
    <t>amount</t>
  </si>
  <si>
    <t>reference_number</t>
  </si>
  <si>
    <t>running_balance</t>
  </si>
  <si>
    <t>ACH CREDIT â€” ONTARIO MANUFACTURING TECH â€” REF:SUB007</t>
  </si>
  <si>
    <t>Credit</t>
  </si>
  <si>
    <t>TXN-2026-02-0001</t>
  </si>
  <si>
    <t>ACH CREDIT â€” ONTARIO MANUFACTURING TECH â€” REF:SUB050</t>
  </si>
  <si>
    <t>TXN-2026-02-0002</t>
  </si>
  <si>
    <t>ACH CREDIT â€” VANCOUVER FINTECH LABS â€” REF:SUB018</t>
  </si>
  <si>
    <t>TXN-2026-02-0003</t>
  </si>
  <si>
    <t>ACH CREDIT â€” HALIFAX HEALTHCARE TECH â€” REF:SUB029</t>
  </si>
  <si>
    <t>TXN-2026-02-0004</t>
  </si>
  <si>
    <t>ACH CREDIT â€” MAPLE HEALTHCARE SYSTEMS â€” REF:SUB003</t>
  </si>
  <si>
    <t>TXN-2026-02-0005</t>
  </si>
  <si>
    <t>ACH CREDIT â€” NORTHERN RETAIL SOLUTIONS â€” REF:SUB043</t>
  </si>
  <si>
    <t>TXN-2026-02-0006</t>
  </si>
  <si>
    <t>ACH CREDIT â€” PACIFIC FINANCE CORP â€” REF:SUB053</t>
  </si>
  <si>
    <t>TXN-2026-02-0007</t>
  </si>
  <si>
    <t>ACH CREDIT â€” QUANTUM EDUCATION PLATFORM â€” REF:SUB059</t>
  </si>
  <si>
    <t>TXN-2026-02-0008</t>
  </si>
  <si>
    <t>ACH CREDIT â€” PACIFIC FINANCE CORP â€” REF:SUB027</t>
  </si>
  <si>
    <t>TXN-2026-02-0009</t>
  </si>
  <si>
    <t>ACH CREDIT â€” TORONTO MEDIA GROUP â€” REF:SUB014</t>
  </si>
  <si>
    <t>TXN-2026-02-0010</t>
  </si>
  <si>
    <t>ACH CREDIT â€” MONTREAL FINANCE HUB â€” REF:SUB045</t>
  </si>
  <si>
    <t>TXN-2026-02-0011</t>
  </si>
  <si>
    <t>ACH CREDIT â€” WESTERN RETAIL GROUP â€” REF:SUB058</t>
  </si>
  <si>
    <t>TXN-2026-02-0012</t>
  </si>
  <si>
    <t>ACH CREDIT â€” CALGARY TECH PARTNERS â€” REF:SUB038</t>
  </si>
  <si>
    <t>TXN-2026-02-0013</t>
  </si>
  <si>
    <t>ACH CREDIT â€” MARITIME E-COMMERCE â€” REF:SUB012</t>
  </si>
  <si>
    <t>TXN-2026-02-0014</t>
  </si>
  <si>
    <t>ACH CREDIT â€” MAPLE HEALTHCARE SYSTEMS â€” REF:SUB042</t>
  </si>
  <si>
    <t>TXN-2026-02-0015</t>
  </si>
  <si>
    <t>ACH CREDIT â€” TORONTO MEDIA GROUP â€” REF:SUB051</t>
  </si>
  <si>
    <t>TXN-2026-02-0016</t>
  </si>
  <si>
    <t>ACH CREDIT â€” MANITOBA FINANCE GROUP â€” REF:SUB036</t>
  </si>
  <si>
    <t>TXN-2026-02-0017</t>
  </si>
  <si>
    <t>ACH CREDIT â€” QUEBEC MANUFACTURING â€” REF:SUB056</t>
  </si>
  <si>
    <t>TXN-2026-02-0018</t>
  </si>
  <si>
    <t>ACH CREDIT â€” MONTREAL FINANCE HUB â€” REF:SUB010</t>
  </si>
  <si>
    <t>TXN-2026-02-0019</t>
  </si>
  <si>
    <t>ACH CREDIT â€” QUEBEC EDUCATION PLATFORM â€” REF:SUB034</t>
  </si>
  <si>
    <t>TXN-2026-02-0020</t>
  </si>
  <si>
    <t>ACH CREDIT â€” TECHVISION SOLUTIONS â€” REF:SUB041</t>
  </si>
  <si>
    <t>TXN-2026-02-0021</t>
  </si>
  <si>
    <t>ACH CREDIT â€” VANCOUVER FINTECH LABS â€” REF:SUB052</t>
  </si>
  <si>
    <t>TXN-2026-02-0022</t>
  </si>
  <si>
    <t>ACH CREDIT â€” ISLAND MEDIA PRODUCTIONS â€” REF:SUB062</t>
  </si>
  <si>
    <t>TXN-2026-02-0023</t>
  </si>
  <si>
    <t>ACH CREDIT â€” CENTRAL HEALTHCARE PARTNERS â€” REF:SUB019</t>
  </si>
  <si>
    <t>TXN-2026-02-0024</t>
  </si>
  <si>
    <t>ACH CREDIT â€” ALBERTA E-COMMERCE HUB â€” REF:SUB030</t>
  </si>
  <si>
    <t>TXN-2026-02-0025</t>
  </si>
  <si>
    <t>ACH CREDIT â€” BC MANUFACTURING SYSTEMS â€” REF:SUB032</t>
  </si>
  <si>
    <t>TXN-2026-02-0026</t>
  </si>
  <si>
    <t>ACH CREDIT â€” TORONTO TECH VENTURES â€” REF:SUB047</t>
  </si>
  <si>
    <t>TXN-2026-02-0027</t>
  </si>
  <si>
    <t>ACH CREDIT â€” PRAIRIE COMMERCE GROUP â€” REF:SUB004</t>
  </si>
  <si>
    <t>TXN-2026-02-0028</t>
  </si>
  <si>
    <t>ACH CREDIT â€” CAPITAL EDUCATION TECH â€” REF:SUB017</t>
  </si>
  <si>
    <t>TXN-2026-02-0029</t>
  </si>
  <si>
    <t>ACH CREDIT â€” WEST COAST LOGISTICS â€” REF:SUB044</t>
  </si>
  <si>
    <t>TXN-2026-02-0030</t>
  </si>
  <si>
    <t>ACH CREDIT â€” ALBERTA TECH INNOVATORS â€” REF:SUB061</t>
  </si>
  <si>
    <t>TXN-2026-02-0031</t>
  </si>
  <si>
    <t>ACH CREDIT â€” PACIFIC ANALYTICS INC â€” ANNUAL RENEWAL REF:SUB002</t>
  </si>
  <si>
    <t>TXN-2026-02-0032</t>
  </si>
  <si>
    <t>ACH CREDIT â€” BC RETAIL NETWORKS â€” REF:SUB046</t>
  </si>
  <si>
    <t>TXN-2026-02-0033</t>
  </si>
  <si>
    <t>ACH CREDIT â€” MONTREAL MANUFACTURING PRO â€” REF:SUB048</t>
  </si>
  <si>
    <t>TXN-2026-02-0034</t>
  </si>
  <si>
    <t>ACH CREDIT â€” PACIFIC ANALYTICS INC â€” ANNUAL RENEWAL REF:SUB054</t>
  </si>
  <si>
    <t>TXN-2026-02-0035</t>
  </si>
  <si>
    <t>ACH CREDIT â€” ONTARIO EDUCATION CONNECT â€” REF:SUB026</t>
  </si>
  <si>
    <t>TXN-2026-02-0036</t>
  </si>
  <si>
    <t>ACH CREDIT â€” TORONTO COMMERCE CLOUD â€” REF:SUB039</t>
  </si>
  <si>
    <t>TXN-2026-02-0037</t>
  </si>
  <si>
    <t>ACH CREDIT â€” WESTERN RETAIL GROUP â€” REF:SUB024</t>
  </si>
  <si>
    <t>TXN-2026-02-0038</t>
  </si>
  <si>
    <t>ACH CREDIT â€” MARITIME SAAS VENTURES â€” REF:SUB037</t>
  </si>
  <si>
    <t>TXN-2026-02-0039</t>
  </si>
  <si>
    <t>ACH CREDIT â€” BC EDUCATION INNOVATIONS â€” REF:SUB040</t>
  </si>
  <si>
    <t>TXN-2026-02-0040</t>
  </si>
  <si>
    <t>ACH CREDIT â€” PRAIRIE HEALTH CONNECT â€” REF:SUB011</t>
  </si>
  <si>
    <t>TXN-2026-02-0041</t>
  </si>
  <si>
    <t>ACH CREDIT â€” TORONTO TECH VENTURES â€” REF:SUB022</t>
  </si>
  <si>
    <t>TXN-2026-02-0042</t>
  </si>
  <si>
    <t>ACH CREDIT â€” VANCOUVER HEALTH SYSTEMS â€” REF:SUB035</t>
  </si>
  <si>
    <t>TXN-2026-02-0043</t>
  </si>
  <si>
    <t>ACH CREDIT â€” CALGARY COMMERCE SOLUTIONS â€” REF:SUB057</t>
  </si>
  <si>
    <t>TXN-2026-02-0044</t>
  </si>
  <si>
    <t>ACH CREDIT â€” ATLANTIC SAAS SYSTEMS â€” REF:SUB020</t>
  </si>
  <si>
    <t>TXN-2026-02-0045</t>
  </si>
  <si>
    <t>ACH CREDIT â€” OTTAWA RETAIL SOLUTIONS â€” REF:SUB033</t>
  </si>
  <si>
    <t>TXN-2026-02-0046</t>
  </si>
  <si>
    <t>Period: February 2026</t>
  </si>
  <si>
    <t xml:space="preserve">Opening Balance: </t>
  </si>
  <si>
    <t>ACH CREDIT â€” PRAIRIE SAAS INNOVATIONS â€” RETRY REF:SUB028 INV:INV-2026-01-0030</t>
  </si>
  <si>
    <t>ACH CREDIT â€” DYNAMIC RETAIL SOLUTIONS â€” REF:SUB063</t>
  </si>
  <si>
    <t>ACH CREDIT â€” PRAIRIE SAAS INNOVATIONS â€” REF:SUB028</t>
  </si>
  <si>
    <t>ACH CREDIT â€” PACIFIC COAST ANALYTICS â€” REF:SUB064</t>
  </si>
  <si>
    <t>ACH DEBIT â€” REFUND TO ONTARIO MANUFACTURING TECH â€” REF:SUB050 CN-2026-02-0001</t>
  </si>
  <si>
    <t>Debit</t>
  </si>
  <si>
    <t>TXN-2026-02-0047</t>
  </si>
  <si>
    <t>TXN-2026-02-0048</t>
  </si>
  <si>
    <t>TXN-2026-02-0049</t>
  </si>
  <si>
    <t>Metric</t>
  </si>
  <si>
    <t>Opening MRR</t>
  </si>
  <si>
    <t>New MRR</t>
  </si>
  <si>
    <t>Expansion MRR</t>
  </si>
  <si>
    <t>Churned MRR</t>
  </si>
  <si>
    <t>Closing MRR</t>
  </si>
  <si>
    <t>S&amp;M</t>
  </si>
  <si>
    <t>R&amp;D</t>
  </si>
  <si>
    <t>G&amp;A</t>
  </si>
  <si>
    <t>Total OpEx</t>
  </si>
  <si>
    <t>COGS</t>
  </si>
  <si>
    <t>Gross Profit</t>
  </si>
  <si>
    <t>EBITDA</t>
  </si>
  <si>
    <t>New Customers</t>
  </si>
  <si>
    <t>Active Customers</t>
  </si>
  <si>
    <t>Active Subscriptions</t>
  </si>
  <si>
    <t>Legend:</t>
  </si>
  <si>
    <t>INPUT = type here</t>
  </si>
  <si>
    <t>FORMULA = never type here</t>
  </si>
  <si>
    <t>ANCHOR =  one-time historical</t>
  </si>
  <si>
    <t>Jan-26</t>
  </si>
  <si>
    <t>Feb-26</t>
  </si>
  <si>
    <t>MRR</t>
  </si>
  <si>
    <t>Total Invoiced</t>
  </si>
  <si>
    <t>Adjustment: SUB028</t>
  </si>
  <si>
    <t>Total Collected</t>
  </si>
  <si>
    <t>MRR vs Invoiced</t>
  </si>
  <si>
    <t>Invoiced vs Collected</t>
  </si>
  <si>
    <t>Bridge 1: MRR to Invoiced</t>
  </si>
  <si>
    <t>Item</t>
  </si>
  <si>
    <t>Annual MRR book (7 annual subs, monthly)</t>
  </si>
  <si>
    <t>_+ Annual billing excess</t>
  </si>
  <si>
    <t>_- Annual MRR with no billing this month</t>
  </si>
  <si>
    <t>Adjustment: SUB050</t>
  </si>
  <si>
    <t>_= Total Invoiced</t>
  </si>
  <si>
    <t>Total</t>
  </si>
  <si>
    <t>Difference</t>
  </si>
  <si>
    <t>Bridge 2: Invoiced to Collected</t>
  </si>
  <si>
    <t xml:space="preserve">Part 5: </t>
  </si>
  <si>
    <t>The database for January shows $2185 for SUB012.</t>
  </si>
  <si>
    <t xml:space="preserve">The billing file represents a point in time record while the database represents a historical period. </t>
  </si>
  <si>
    <t xml:space="preserve">They share the same number therefore $2185 is the correct number. </t>
  </si>
  <si>
    <t>Part 6:</t>
  </si>
  <si>
    <t>The negative row is row number 36.</t>
  </si>
  <si>
    <t>This row relates to Ontario Manufacturing Tech and their monthly Analytics Starter subscription.</t>
  </si>
  <si>
    <t>A refund was issued because OMT cancelled their subscription on 2026-02-20.</t>
  </si>
  <si>
    <t xml:space="preserve">Since a refund was issued, total collected will be lowered. They were billed at the beginning of the month and because of the cancellation occurring near the end, they received a prorated refund. </t>
  </si>
  <si>
    <t>Total billed will also be reduced since the billing system recorded that the invoice was partially reversed.</t>
  </si>
  <si>
    <t xml:space="preserve">Commentary: </t>
  </si>
  <si>
    <t>The difference between MRR and cash collected is driven by payment timing. Specifically, the prepayments from Pacific Analytics for SUB002 ($46,800) and SUB054 ($23,826) inflated the total invoiced amount above MRR.</t>
  </si>
  <si>
    <t>Not all of the January revenue was collected within the month. This is because of Prairie SaaS Innovations (SUB028) which failed a $675 payment on January 20th due to insufficient funds. This was resolved on February 5th.</t>
  </si>
  <si>
    <t>As of January 31st, 2026, the deferred revenue was $64,740.50 which was created by the two annuals from Pacific Analytics (SUB002 for $46,800 and SUB054 for $23,826). This is very critical to monitor as it reflects our future obligations to deliver services which have already been paid for.</t>
  </si>
  <si>
    <t>For data integrity, the reconcilliation check confirms that the billing file and database match for certain records like SUB012 ($2185) but it should be recognized by analysts that the billing file is a point in time snapshot while the database has historical records.</t>
  </si>
  <si>
    <t xml:space="preserve">Along with this, the negative entry from Ontario Manufacturing Tech (SUB050) comes from a prorated refund on February 20th following a cancellation in the middle of the month. This confirms that when the billing system properly records partial reversals, downstream reporting should be audited to make sure these changes are reflected. </t>
  </si>
  <si>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</si>
  <si>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</si>
  <si>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</si>
  <si>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</si>
  <si>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Q1 2024</t>
  </si>
  <si>
    <t>Q2 2024</t>
  </si>
  <si>
    <t>Q3 2024</t>
  </si>
  <si>
    <t>Q4 2024</t>
  </si>
  <si>
    <t>Q1 2025</t>
  </si>
  <si>
    <t>Q2 2025</t>
  </si>
  <si>
    <t>Q3 2025</t>
  </si>
  <si>
    <t>Q4 2025</t>
  </si>
  <si>
    <t>Source</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</si>
  <si>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</si>
  <si>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</si>
  <si>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</si>
  <si>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</si>
  <si>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</si>
  <si>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</si>
  <si>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</si>
  <si>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</si>
  <si>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</si>
  <si>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</si>
  <si>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</si>
  <si>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</si>
  <si>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</si>
  <si>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</si>
  <si>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</si>
  <si>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</si>
  <si>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</si>
  <si>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</si>
  <si>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</si>
  <si>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</si>
  <si>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</si>
  <si>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</si>
  <si>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</si>
  <si>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</si>
  <si>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</si>
  <si>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</si>
  <si>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Revenue − COGS</t>
  </si>
  <si>
    <t>Gross Margin %</t>
  </si>
  <si>
    <t>GP / Revenue</t>
  </si>
  <si>
    <t>Accounting data, Unit Economics tab</t>
  </si>
  <si>
    <t>Company cost structure</t>
  </si>
  <si>
    <t>S&amp;M + R&amp;D + G&amp;A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</si>
  <si>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</si>
  <si>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</si>
  <si>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</si>
  <si>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</si>
  <si>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</si>
  <si>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</si>
  <si>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</si>
  <si>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</si>
  <si>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</si>
  <si>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N/A</t>
  </si>
  <si>
    <t>New MRR / New customers</t>
  </si>
  <si>
    <t>CAC (quarterly S&amp;M / new custs)</t>
  </si>
  <si>
    <t>Only meaningful if new custs &gt; 0</t>
  </si>
  <si>
    <t>RECONCILIATION NOTES</t>
  </si>
  <si>
    <t>Dec 2025 closing MRR (this table):</t>
  </si>
  <si>
    <t>Feb 2026 snapshot MRR:</t>
  </si>
  <si>
    <t>Difference:</t>
  </si>
  <si>
    <t>Explanation:</t>
  </si>
  <si>
    <t>Waterfall closing ($150,918.50) exceeds Snapshot ($144,185.50) by $6,733. This gap exists because Snapshot only reflects currently active subscriptions while Waterfall has all movements including churned subs after Dec 2025.</t>
  </si>
  <si>
    <t>Which number are you using as the 2026 opening MRR, and why?</t>
  </si>
  <si>
    <t>Using $150,918.50 (Waterfall tab, Dec 2025 closing MRR, cell H26). This is the complete figure tied to month-by-month movement data.</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</si>
  <si>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</si>
  <si>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</si>
  <si>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</si>
  <si>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</si>
  <si>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</si>
  <si>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</si>
  <si>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</si>
  <si>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</si>
  <si>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</si>
  <si>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</si>
  <si>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</si>
  <si>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</si>
  <si>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</si>
  <si>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</si>
  <si>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</si>
  <si>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</si>
  <si>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</si>
  <si>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</si>
  <si>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</si>
  <si>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</si>
  <si>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</si>
  <si>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</si>
  <si>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</si>
  <si>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</si>
  <si>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</si>
  <si>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</si>
  <si>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</si>
  <si>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</si>
  <si>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</si>
  <si>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MRR Waterfall</t>
  </si>
  <si>
    <t>Actual - Jan 26</t>
  </si>
  <si>
    <t>Forecast - Jan 26</t>
  </si>
  <si>
    <t>$ Variance</t>
  </si>
  <si>
    <t>% Variance</t>
  </si>
  <si>
    <t>F/U</t>
  </si>
  <si>
    <t xml:space="preserve"> - Contraction MRR</t>
  </si>
  <si>
    <t>Closing ARR</t>
  </si>
  <si>
    <t>P&amp;L</t>
  </si>
  <si>
    <t>→ Revenue × (1 − gross margin)</t>
  </si>
  <si>
    <t>→ Revenue − COGS</t>
  </si>
  <si>
    <t>→ GP / Revenue</t>
  </si>
  <si>
    <t>← From Assumptions tab</t>
  </si>
  <si>
    <t>→ Gross Profit − Total OpEx</t>
  </si>
  <si>
    <t>→ EBITDA / Revenue</t>
  </si>
  <si>
    <t>Summary:</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</si>
  <si>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</si>
  <si>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</si>
  <si>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</si>
  <si>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The customers revenue was $1,710 which is 43% less than the planned rate of $3000 per customer.</t>
  </si>
  <si>
    <t>There was no expansion recorded this month versus the expected $715.35.</t>
  </si>
  <si>
    <t>Offsetting this was the lack of churned MRR this month which resulted in a favorable variance of $954.</t>
  </si>
  <si>
    <t>EBITDA of $27,345.65 was 5% lower than the expected $28,781.74. This was driven by the shortfall in Gross Profit due to the Closing MRR being less than anticipated.</t>
  </si>
  <si>
    <t>Operating Expenses were in line with expectation.</t>
  </si>
  <si>
    <t>Currently, Q1 is approximately $6000 less than planned, which could be fixed with a strong performance in February.</t>
  </si>
  <si>
    <t>January 2026 — SaaS KPIs</t>
  </si>
  <si>
    <t>Value</t>
  </si>
  <si>
    <t>Notes</t>
  </si>
  <si>
    <t>From your Jan 31 SQL snapshot</t>
  </si>
  <si>
    <t>ARPA</t>
  </si>
  <si>
    <t>Excel 04</t>
  </si>
  <si>
    <t>Gross Margin</t>
  </si>
  <si>
    <t>Already in your P&amp;L</t>
  </si>
  <si>
    <t>GRR</t>
  </si>
  <si>
    <t>Excel 03</t>
  </si>
  <si>
    <t>NRR</t>
  </si>
  <si>
    <t>Quick Ratio</t>
  </si>
  <si>
    <t>N/A — no losses</t>
  </si>
  <si>
    <t xml:space="preserve">Excel 02 </t>
  </si>
  <si>
    <t>S&amp;M (actual)</t>
  </si>
  <si>
    <t>From Lisa's monthly close message</t>
  </si>
  <si>
    <t>CAC — this month</t>
  </si>
  <si>
    <t>Excel 04 — S&amp;M ÷ new customers acquired this month (= 1 new logo Jan)</t>
  </si>
  <si>
    <t>LTV</t>
  </si>
  <si>
    <t>—</t>
  </si>
  <si>
    <t>Quarterly metric — calculated at Q1 close</t>
  </si>
  <si>
    <t>LTV:CAC</t>
  </si>
  <si>
    <t>CAC Payback</t>
  </si>
  <si>
    <t>* Monthly CAC note:</t>
  </si>
  <si>
    <t>Monthly CAC is noisy with one customer. Q1 CAC will be calculated after March closes using total Q1 S&amp;M spend ÷ total new customers acquired.</t>
  </si>
  <si>
    <t>† Quarterly metrics note:</t>
  </si>
  <si>
    <t>LTV, LTV:CAC, and CAC Payback are calculated quarterly using the trailing 12-month gross churn rate. See Q1 Roll-Up (coming in 06d).</t>
  </si>
  <si>
    <t>Self-Check — KPIs</t>
  </si>
  <si>
    <t>Your value</t>
  </si>
  <si>
    <t>CAC (monthly)</t>
  </si>
  <si>
    <t>Actual - Feb 26</t>
  </si>
  <si>
    <t>Forecast - Feb 26</t>
  </si>
  <si>
    <t>February 2026 — SaaS KPIs</t>
  </si>
  <si>
    <t>vs Jan 2026</t>
  </si>
  <si>
    <t>From your Feb 28 SQL snapshot</t>
  </si>
  <si>
    <t>Excel 02</t>
  </si>
  <si>
    <t>Excel 04 — S&amp;M ÷ new customers acquired this month</t>
  </si>
  <si>
    <t xml:space="preserve">  New customers acquired</t>
  </si>
  <si>
    <t>Enter count of new logos signed in Feb</t>
  </si>
  <si>
    <t>CAC — Q1 to date</t>
  </si>
  <si>
    <t>Cumulative S&amp;M ÷ cumulative new customers in Q1 so far</t>
  </si>
  <si>
    <t>Monthly CAC is noisy with small customer counts. Q1 CAC will be the definitive figure after March closes using total Q1 S&amp;M ÷ total Q1 new customers.</t>
  </si>
  <si>
    <t>Formula check</t>
  </si>
  <si>
    <t>February finished with a Closing MRR of $150,306. This is $1,764 above what we expected to have currently and has driven EBITDA to $30,214 which is $235 more than our current forecast and provides a margin of 20.1% compared to the planned 20.2%.</t>
  </si>
  <si>
    <t>Our New MRR of $6,120 beat the plan by $2,120 (a 53% plus) based on the strength of our 2 new logos vs the expected 1.3 per month from Q1. There was no Expansion MRR in this month which is a miss compared to the expected $715 and offsets some of the gain of the New MRR.</t>
  </si>
  <si>
    <t xml:space="preserve">The churn of $594 was subscription based, not customer based. This means that the only reduction was in the tier of subscription or seats, no accounts were lost. This is significantly better as not only did we gain 2 new accounts, we can recover the subscription churn with a potential upsell in the future. </t>
  </si>
  <si>
    <t>OpEx ran $1000 more than anticipated. The revenue beat was partially offset by the overrun in costs and the variance in COGS is due to the increase in revenue meaning it is mechanical and expected.  Overall, this leaves a EBITDA beat of $235</t>
  </si>
  <si>
    <t>MONTHLY CONFIG</t>
  </si>
  <si>
    <t>Forecast - Mar 26</t>
  </si>
  <si>
    <t>Current month:</t>
  </si>
  <si>
    <t>← change this when creating a new month</t>
  </si>
  <si>
    <t>Prior month tab:</t>
  </si>
  <si>
    <t>Feb 2026 A vs F</t>
  </si>
  <si>
    <t>Month-end date:</t>
  </si>
  <si>
    <t>← formula: last day of current month</t>
  </si>
  <si>
    <t>March 2026 — SaaS KPIs</t>
  </si>
  <si>
    <t>From your Mar 31SQL snapshot</t>
  </si>
  <si>
    <t>From your Mar 31 SQL snapshot</t>
  </si>
  <si>
    <t/>
  </si>
  <si>
    <t>Enter count of new logos signed in Mar</t>
  </si>
  <si>
    <t>INDEX(Retention!$B$6:$AZ$6,MATCH($I$2,Retention!$B$4:$AZ$4,0))</t>
  </si>
  <si>
    <t>March closed at $153,686 MRR, bringing Q1 total net new MRR to $10,616, which is a 7.4% gain on the opening value of $143,070.</t>
  </si>
  <si>
    <t>Every month in Q1 had NRR reaching 100%. $380 of expansion MRR from an existing account, combined with zero churn for the second consecutive month, signals that the installed base is healthy and beginning to grow.</t>
  </si>
  <si>
    <t>EBITDA margin improved each month of Q1. 18.9% in January, 20.1% in February, 22.5% in March, each driven by OpEx tracking below forecast and revenue compounding based mostly on fixed cost. The direction is positive, though improvement has come from maintaining low costs rather than outperforming revenue.</t>
  </si>
  <si>
    <t>The key watch item for Q2 is new logo conversion. New MRR missed forecast in every month of Q1 ($10,830 actual vs. $12,000 planned) and the March expansion signal came from a single account. If this trend doesn't change, Q2 could face the same issue.</t>
  </si>
  <si>
    <t>Q1 2026 Roll-Up</t>
  </si>
  <si>
    <t>Q1 MRR Summary</t>
  </si>
  <si>
    <t>Movement</t>
  </si>
  <si>
    <t>Q1 Total</t>
  </si>
  <si>
    <t>Q1 Total New MRR</t>
  </si>
  <si>
    <t>Q1 Total Expansion MRR</t>
  </si>
  <si>
    <t>Q1 Total Churned MRR</t>
  </si>
  <si>
    <t>Q1 Net New MRR</t>
  </si>
  <si>
    <t>Q1 Closing MRR</t>
  </si>
  <si>
    <t>Q1 P&amp;L Summary</t>
  </si>
  <si>
    <t>Line</t>
  </si>
  <si>
    <t>Q1 Revenue</t>
  </si>
  <si>
    <t>Q1 COGS</t>
  </si>
  <si>
    <t>Q1 Gross Profit</t>
  </si>
  <si>
    <t>Q1 Gross Margin %</t>
  </si>
  <si>
    <t>Q1 S&amp;M</t>
  </si>
  <si>
    <t>Q1 R&amp;D + G&amp;A</t>
  </si>
  <si>
    <t>Q1 Total OpEx</t>
  </si>
  <si>
    <t>Q1 EBITDA</t>
  </si>
  <si>
    <t>Q1 EBITDA Margin %</t>
  </si>
  <si>
    <t>Q1 Quarterly KPI's</t>
  </si>
  <si>
    <t>Q1 New Customers</t>
  </si>
  <si>
    <t>Quarterly CAC</t>
  </si>
  <si>
    <t>CAC Payback (months)</t>
  </si>
  <si>
    <t>Q1 Commentary:</t>
  </si>
  <si>
    <t>Q1 closed with $448,771 in revenue and $92,139.5 of EBITDA at a 20.5% margin. A solid first quarter, with margins expanding every month as the cost base remained largely fixed against compounding MRR.</t>
  </si>
  <si>
    <t>The unit economics require attention: LTV:CAC of 2.86x is below the 3x threshold that benchmarks a capital-efficient SaaS business, and CAC Payback of 7.03 months is significantly below the 12-month early-stage ceiling, leaves little margin for error. Both ratios reflect a business that is acquiring customers at a cost that outpaces the current lifetime value they generate.</t>
  </si>
  <si>
    <t>Across the quarter, MRR grew every month (+7.3% overall), EBITDA margin improved steadily, and March produced the first expansion MRR of Q1. The trend is directionally positive, though NRR spent two of three months exactly at 100% with no expansion.</t>
  </si>
  <si>
    <t>For Q2, the data points to one clear priority: expanding on our current logos. This would result in an improved LTV, push NRR above 100%,  and reduce our dependancy on new logo volume since it has underperformed the entire quarter.</t>
  </si>
  <si>
    <t>Forecast - Apr 26</t>
  </si>
  <si>
    <t>Mar 2026 A vs F</t>
  </si>
  <si>
    <t>April 2026 — SaaS KPIs</t>
  </si>
  <si>
    <t>From your Apr 30 SQL snapshot</t>
  </si>
  <si>
    <t>Enter count of new logos signed in Apr</t>
  </si>
  <si>
    <t>April closed at a Closing MRR of $156,830.50 — $3,633 (2.3%) below the April plan of $160,463. EBITDA of $34,781.35 landed $3,543 under plan, a 22.2% margin versus the 23.9% planned. The month missed plan on new-business quality and expansion; OpEx was essentially on target. Note the earlier read of a 'beat' compared April to the Q1/March-end target, not to April's own plan.</t>
  </si>
  <si>
    <t>New MRR of $3,810 was $2,590 short of the $6,400 plan. We signed 2 new logos — in line with the planned count — but at roughly $1,905 of MRR each versus the ~$3,200 assumed, so the shortfall is new-logo quality, not volume. Expansion MRR of $440 was $332 below the $772 plan, and churn ran slightly heavier than planned.</t>
  </si>
  <si>
    <t>The cancelled subscription this month was the Analytics Starter plan from Montreal Finance Hub. This is a revenue churn, not a logo churn: they still hold a Marketing Pro subscription, so we lost the revenue but kept the logo. That distinction matters because the active-customer count stays flat — Montreal Finance Hub remains a customer we can win back to multi-plan, unlike a full logo loss where the relationship ends entirely.</t>
  </si>
  <si>
    <t>OpEx ran $1,000 over plan ($75k vs $74k), from higher S&amp;M and G&amp;A. Combined with the revenue miss, that pulled EBITDA $3,543 below plan. The route back to plan is new-logo ARPA and expansion, not cost discipline — spend was close to target.</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</si>
  <si>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</si>
  <si>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</si>
  <si>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</si>
  <si>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</si>
  <si>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</si>
  <si>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</si>
  <si>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</si>
  <si>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</si>
  <si>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</si>
  <si>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</si>
  <si>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</si>
  <si>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 Closing MRR × 12</t>
  </si>
  <si>
    <t>← Opening = Q1</t>
  </si>
  <si>
    <t>← Sums for flows</t>
  </si>
  <si>
    <t>← Q4 closing for balances</t>
  </si>
  <si>
    <t>PROFIT &amp; LOSS</t>
  </si>
  <si>
    <t>→ Closing MRR × 3</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</si>
  <si>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</si>
  <si>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</si>
  <si>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</si>
  <si>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</si>
  <si>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</si>
  <si>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</si>
  <si>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</si>
  <si>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</si>
  <si>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</si>
  <si>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</si>
  <si>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</si>
  <si>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</si>
  <si>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</si>
  <si>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</si>
  <si>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</si>
  <si>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</si>
  <si>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Assumes opening MRR = $143,069.50. Our opening is $150,918.50 (Waterfall tab, Dec 2025 closing).  Same model logic, different starting MRR.</t>
  </si>
  <si>
    <t>Check</t>
  </si>
  <si>
    <t>Expected</t>
  </si>
  <si>
    <t>Your Value</t>
  </si>
  <si>
    <t>Match?</t>
  </si>
  <si>
    <t>Q2 Closing MRR</t>
  </si>
  <si>
    <t>Q3 Closing MRR</t>
  </si>
  <si>
    <t>Q4 Closing MRR</t>
  </si>
  <si>
    <t>FY EBITDA</t>
  </si>
  <si>
    <t>EBITDA Margin</t>
  </si>
  <si>
    <t>Total New Customers</t>
  </si>
  <si>
    <t>CMGR (monthly)</t>
  </si>
  <si>
    <t>KPI Tracker</t>
  </si>
  <si>
    <t>CAC — monthly</t>
  </si>
  <si>
    <t>CAC — trailing Q</t>
  </si>
  <si>
    <t>LTV, LTV:CAC, and CAC Payback appear in the Q1 column only. Monthly figures are too sensitive to single-month churn swings to be meaningful.</t>
  </si>
  <si>
    <t>Month</t>
  </si>
  <si>
    <t>Actual</t>
  </si>
  <si>
    <t>Forecast</t>
  </si>
  <si>
    <t>Variance</t>
  </si>
  <si>
    <t>Contraction MRR</t>
  </si>
  <si>
    <t>event_id</t>
  </si>
  <si>
    <t>company_name</t>
  </si>
  <si>
    <t>region</t>
  </si>
  <si>
    <t>month</t>
  </si>
  <si>
    <t>event_date</t>
  </si>
  <si>
    <t>event_type</t>
  </si>
  <si>
    <t>old_value</t>
  </si>
  <si>
    <t>new_value</t>
  </si>
  <si>
    <t>field_changed</t>
  </si>
  <si>
    <t>reason</t>
  </si>
  <si>
    <t>price_per_seat</t>
  </si>
  <si>
    <t>discount_percent</t>
  </si>
  <si>
    <t>movement</t>
  </si>
  <si>
    <t>mrr_delta</t>
  </si>
  <si>
    <t>is_new_logo</t>
  </si>
  <si>
    <t>is_logo_churn</t>
  </si>
  <si>
    <t>is_logo_reactivation</t>
  </si>
  <si>
    <t>EVT001</t>
  </si>
  <si>
    <t>SUB001</t>
  </si>
  <si>
    <t>Eastern Canada</t>
  </si>
  <si>
    <t>created</t>
  </si>
  <si>
    <t>EVT002</t>
  </si>
  <si>
    <t>Western Canada</t>
  </si>
  <si>
    <t>EVT003</t>
  </si>
  <si>
    <t>EVT004</t>
  </si>
  <si>
    <t>EVT005</t>
  </si>
  <si>
    <t>SUB055</t>
  </si>
  <si>
    <t>EVT006</t>
  </si>
  <si>
    <t>SUB005</t>
  </si>
  <si>
    <t>CUST005</t>
  </si>
  <si>
    <t>Atlantic Media Corp</t>
  </si>
  <si>
    <t>EVT007</t>
  </si>
  <si>
    <t>SUB006</t>
  </si>
  <si>
    <t>EVT008</t>
  </si>
  <si>
    <t>EVT009</t>
  </si>
  <si>
    <t>EVT010</t>
  </si>
  <si>
    <t>SUB008</t>
  </si>
  <si>
    <t>EVT011</t>
  </si>
  <si>
    <t>SUB009</t>
  </si>
  <si>
    <t>EVT012</t>
  </si>
  <si>
    <t>EVT013</t>
  </si>
  <si>
    <t>Central Canada</t>
  </si>
  <si>
    <t>EVT014</t>
  </si>
  <si>
    <t>EVT015</t>
  </si>
  <si>
    <t>SUB049</t>
  </si>
  <si>
    <t>EVT016</t>
  </si>
  <si>
    <t>SUB013</t>
  </si>
  <si>
    <t>EVT017</t>
  </si>
  <si>
    <t>EVT018</t>
  </si>
  <si>
    <t>EVT019</t>
  </si>
  <si>
    <t>SUB015</t>
  </si>
  <si>
    <t>EVT020</t>
  </si>
  <si>
    <t>EVT021</t>
  </si>
  <si>
    <t>SUB016</t>
  </si>
  <si>
    <t>EVT022</t>
  </si>
  <si>
    <t>EVT023</t>
  </si>
  <si>
    <t>cancelled</t>
  </si>
  <si>
    <t>active</t>
  </si>
  <si>
    <t>churned</t>
  </si>
  <si>
    <t>Missing features</t>
  </si>
  <si>
    <t>EVT024</t>
  </si>
  <si>
    <t>EVT025</t>
  </si>
  <si>
    <t>EVT026</t>
  </si>
  <si>
    <t>EVT027</t>
  </si>
  <si>
    <t>SUB060</t>
  </si>
  <si>
    <t>EVT028</t>
  </si>
  <si>
    <t>EVT029</t>
  </si>
  <si>
    <t>EVT030</t>
  </si>
  <si>
    <t>SUB021</t>
  </si>
  <si>
    <t>EVT031</t>
  </si>
  <si>
    <t>EVT032</t>
  </si>
  <si>
    <t>EVT033</t>
  </si>
  <si>
    <t>SUB023</t>
  </si>
  <si>
    <t>EVT034</t>
  </si>
  <si>
    <t>Price too high</t>
  </si>
  <si>
    <t>EVT035</t>
  </si>
  <si>
    <t>EVT036</t>
  </si>
  <si>
    <t>SUB025</t>
  </si>
  <si>
    <t>EVT037</t>
  </si>
  <si>
    <t>EVT038</t>
  </si>
  <si>
    <t>EVT039</t>
  </si>
  <si>
    <t>EVT040</t>
  </si>
  <si>
    <t>EVT041</t>
  </si>
  <si>
    <t>EVT042</t>
  </si>
  <si>
    <t>price_change</t>
  </si>
  <si>
    <t>Annual price increase applied at renewal</t>
  </si>
  <si>
    <t>EVT043</t>
  </si>
  <si>
    <t>Switched to competitor</t>
  </si>
  <si>
    <t>EVT044</t>
  </si>
  <si>
    <t>EVT045</t>
  </si>
  <si>
    <t>EVT046</t>
  </si>
  <si>
    <t>EVT047</t>
  </si>
  <si>
    <t>EVT048</t>
  </si>
  <si>
    <t>EVT049</t>
  </si>
  <si>
    <t>EVT050</t>
  </si>
  <si>
    <t>EVT051</t>
  </si>
  <si>
    <t>SUB031</t>
  </si>
  <si>
    <t>CUST031</t>
  </si>
  <si>
    <t>Toronto Digital Media</t>
  </si>
  <si>
    <t>EVT052</t>
  </si>
  <si>
    <t>EVT053</t>
  </si>
  <si>
    <t>plan_downgrade</t>
  </si>
  <si>
    <t>Cost reduction initiative - downgraded to starter tier</t>
  </si>
  <si>
    <t>EVT054</t>
  </si>
  <si>
    <t>EVT055</t>
  </si>
  <si>
    <t>discount_added</t>
  </si>
  <si>
    <t>Annual contract loyalty discount applied</t>
  </si>
  <si>
    <t>EVT056</t>
  </si>
  <si>
    <t>EVT057</t>
  </si>
  <si>
    <t>seats_change</t>
  </si>
  <si>
    <t>Headcount reduction - Q1 restructuring</t>
  </si>
  <si>
    <t>EVT058</t>
  </si>
  <si>
    <t>EVT059</t>
  </si>
  <si>
    <t>EVT060</t>
  </si>
  <si>
    <t>EVT061</t>
  </si>
  <si>
    <t>New hires onboarded - sales team expansion</t>
  </si>
  <si>
    <t>EVT062</t>
  </si>
  <si>
    <t>EVT063</t>
  </si>
  <si>
    <t>EVT064</t>
  </si>
  <si>
    <t>Team expansion - 3 new account managers onboarded</t>
  </si>
  <si>
    <t>EVT065</t>
  </si>
  <si>
    <t>EVT066</t>
  </si>
  <si>
    <t>Returning customer â€” reactivation</t>
  </si>
  <si>
    <t>EVT067</t>
  </si>
  <si>
    <t>EVT068</t>
  </si>
  <si>
    <t>Company downsizing</t>
  </si>
  <si>
    <t>EVT069</t>
  </si>
  <si>
    <t>EVT070</t>
  </si>
  <si>
    <t>Department growth - added analytics sub-team</t>
  </si>
  <si>
    <t>EVT071</t>
  </si>
  <si>
    <t>EVT072</t>
  </si>
  <si>
    <t>EVT073</t>
  </si>
  <si>
    <t>No longer needed</t>
  </si>
  <si>
    <t>EVT074</t>
  </si>
  <si>
    <t>plan_upgrade</t>
  </si>
  <si>
    <t>Growing usage - upgraded for advanced features and higher limits</t>
  </si>
  <si>
    <t>EVT075</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</si>
  <si>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</si>
  <si>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</si>
  <si>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</si>
  <si>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</si>
  <si>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</si>
  <si>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</si>
  <si>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</si>
  <si>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</si>
  <si>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</si>
  <si>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</si>
  <si>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</si>
  <si>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</si>
  <si>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</si>
  <si>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</si>
  <si>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</si>
  <si>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</si>
  <si>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</si>
  <si>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</si>
  <si>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</si>
  <si>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</si>
  <si>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</si>
  <si>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</si>
  <si>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</si>
  <si>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</si>
  <si>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</si>
  <si>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</si>
  <si>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</si>
  <si>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</si>
  <si>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</si>
  <si>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</si>
  <si>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</si>
  <si>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</si>
  <si>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</si>
  <si>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</si>
  <si>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</si>
  <si>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</si>
  <si>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EVT097</t>
  </si>
  <si>
    <t>Poor support</t>
  </si>
  <si>
    <t>EVT098</t>
  </si>
  <si>
    <t>EVT099</t>
  </si>
  <si>
    <t>EVT100</t>
  </si>
  <si>
    <t>SUB065</t>
  </si>
  <si>
    <t>CUST043</t>
  </si>
  <si>
    <t>Atlantic Financial Group</t>
  </si>
  <si>
    <t>EVT101</t>
  </si>
  <si>
    <t>Team expansion</t>
  </si>
  <si>
    <t>EVT102</t>
  </si>
  <si>
    <t>SUB066</t>
  </si>
  <si>
    <t>CUST044</t>
  </si>
  <si>
    <t>Lakeside Retail Group</t>
  </si>
  <si>
    <t>EVT103</t>
  </si>
  <si>
    <t>EVT104</t>
  </si>
  <si>
    <t>SUB067</t>
  </si>
  <si>
    <t>CUST045</t>
  </si>
  <si>
    <t>Summit Software Co</t>
  </si>
  <si>
    <t>EVT105</t>
  </si>
  <si>
    <t>MRR Waterfall - January 2024 to April 2026</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</si>
  <si>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</si>
  <si>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</si>
  <si>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</si>
  <si>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</si>
  <si>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</si>
  <si>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</si>
  <si>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</si>
  <si>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</si>
  <si>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</si>
  <si>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</si>
  <si>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</si>
  <si>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</si>
  <si>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</si>
  <si>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</si>
  <si>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</si>
  <si>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</si>
  <si>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</si>
  <si>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</si>
  <si>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</si>
  <si>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</si>
  <si>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</si>
  <si>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</si>
  <si>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</si>
  <si>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</si>
  <si>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</si>
  <si>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</si>
  <si>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</si>
  <si>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</si>
  <si>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</si>
  <si>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</si>
  <si>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</si>
  <si>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</si>
  <si>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</si>
  <si>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</si>
  <si>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</si>
  <si>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</si>
  <si>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Total MRR</t>
  </si>
  <si>
    <t>ARPA (MRR / Active Customers)</t>
  </si>
  <si>
    <t>ARPS (MRR / Active Subscriptions)</t>
  </si>
  <si>
    <t>ARPA by Plan</t>
  </si>
  <si>
    <t>Plan</t>
  </si>
  <si>
    <t>Subscriptions</t>
  </si>
  <si>
    <t>Avg MRR / Subscription</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</si>
  <si>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</si>
  <si>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</si>
  <si>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</si>
  <si>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</si>
  <si>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</si>
  <si>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</si>
  <si>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</si>
  <si>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</si>
  <si>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</si>
  <si>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</si>
  <si>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</si>
  <si>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</si>
  <si>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</si>
  <si>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</si>
  <si>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</si>
  <si>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</si>
  <si>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</si>
  <si>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</si>
  <si>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</si>
  <si>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</si>
  <si>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</si>
  <si>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</si>
  <si>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</si>
  <si>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</si>
  <si>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</si>
  <si>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</si>
  <si>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</si>
  <si>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</si>
  <si>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</si>
  <si>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</si>
  <si>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</si>
  <si>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</si>
  <si>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</si>
  <si>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</si>
  <si>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</si>
  <si>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2025-01</t>
  </si>
  <si>
    <t>2025-02</t>
  </si>
  <si>
    <t>2025-03</t>
  </si>
  <si>
    <t>2025-04</t>
  </si>
  <si>
    <t>2025-05</t>
  </si>
  <si>
    <t>2025-06</t>
  </si>
  <si>
    <t>2025-07</t>
  </si>
  <si>
    <t>2025-08</t>
  </si>
  <si>
    <t>2025-09</t>
  </si>
  <si>
    <t>2025-10</t>
  </si>
  <si>
    <t>2025-11</t>
  </si>
  <si>
    <t>2025-12</t>
  </si>
  <si>
    <t>2026-01</t>
  </si>
  <si>
    <t>2026-02</t>
  </si>
  <si>
    <t>CAC Calculations</t>
  </si>
  <si>
    <t>Period</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</si>
  <si>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</si>
  <si>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</si>
  <si>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</si>
  <si>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</si>
  <si>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</si>
  <si>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</si>
  <si>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</si>
  <si>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</si>
  <si>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</si>
  <si>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</si>
  <si>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</si>
  <si>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</si>
  <si>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</si>
  <si>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</si>
  <si>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</si>
  <si>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</si>
  <si>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</si>
  <si>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</si>
  <si>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</si>
  <si>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</si>
  <si>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monthly_price</t>
  </si>
  <si>
    <t>monthly_cost</t>
  </si>
  <si>
    <t>gross_margin</t>
  </si>
  <si>
    <t>2026 FORECAST — ASSUMPTIONS (monthly base)</t>
  </si>
  <si>
    <t>The 2026 Plan of Record (monthly). Driver-based from the Dec-2025 leadership assumptions. All values are hardcoded inputs; every formula on 'Monthly Forecast' references this tab. Actuals are compared against this plan month by month, starting January.</t>
  </si>
  <si>
    <t>Dec 2025 closing MRR (Historical Baseline)</t>
  </si>
  <si>
    <t>MONTHLY RATES (scalar)</t>
  </si>
  <si>
    <t>Expansion rate / month</t>
  </si>
  <si>
    <t>Plan: 0.50%/mo (compounds to ~1.5%/qtr). Applies to beginning-of-month MRR.</t>
  </si>
  <si>
    <t>Churn rate / month</t>
  </si>
  <si>
    <t>Plan: 0.67%/mo (compounds to ~2%/qtr). Beginning-of-month MRR.</t>
  </si>
  <si>
    <t>Plan — no cost-structure change (COGS = 1 − GM)</t>
  </si>
  <si>
    <t>MONTHLY DRIVERS</t>
  </si>
  <si>
    <t>Mar-26</t>
  </si>
  <si>
    <t>Apr-26</t>
  </si>
  <si>
    <t>May-26</t>
  </si>
  <si>
    <t>Jun-26</t>
  </si>
  <si>
    <t>Jul-26</t>
  </si>
  <si>
    <t>Aug-26</t>
  </si>
  <si>
    <t>Sep-26</t>
  </si>
  <si>
    <t>Oct-26</t>
  </si>
  <si>
    <t>Nov-26</t>
  </si>
  <si>
    <t>Dec-26</t>
  </si>
  <si>
    <t>Monthly phasing = analyst judgment; sums to Dec plan quarterly totals (4/6/9/9).</t>
  </si>
  <si>
    <t>Avg MRR / new customer</t>
  </si>
  <si>
    <t>Plan: Q1 $3,000 · Q2–Q3 $3,200 · Q4 $3,400 per new customer.</t>
  </si>
  <si>
    <t>Plan: $30k/mo H1, $36k/mo H2 (S&amp;M acquisition push).</t>
  </si>
  <si>
    <t>Plan: $75k/qtr ÷ 3.</t>
  </si>
  <si>
    <t>Plan: $57k/qtr ÷ 3.</t>
  </si>
  <si>
    <t>2026 PLAN OF RECORD — Monthly (driver-based). Every cell references Assumptions. Blue = subtotals.</t>
  </si>
  <si>
    <t>Month (key)</t>
  </si>
  <si>
    <t xml:space="preserve">Apr 2026 A vs F </t>
  </si>
  <si>
    <t>May 2026 — SaaS KPIs</t>
  </si>
  <si>
    <t>From your May 31 SQL snapshot</t>
  </si>
  <si>
    <t>Enter count of new logos signed in May</t>
  </si>
  <si>
    <t>Team downsizing</t>
  </si>
  <si>
    <t>Forecast - May 26</t>
  </si>
  <si>
    <t>EVT106</t>
  </si>
  <si>
    <t>SUB068</t>
  </si>
  <si>
    <t>CUST046</t>
  </si>
  <si>
    <t>Fraser Valley Logistics</t>
  </si>
  <si>
    <t>EVT107</t>
  </si>
  <si>
    <t>EVT108</t>
  </si>
  <si>
    <t>EVT109</t>
  </si>
  <si>
    <t>SUB069</t>
  </si>
  <si>
    <t>CUST047</t>
  </si>
  <si>
    <t>Capital Health Partners</t>
  </si>
  <si>
    <t>EVT110</t>
  </si>
  <si>
    <t>The cancelled subscription this month was the Analytics Growth plan from Ontario Education Connect. This is a logo churn meaning that we lost both the revenue and the logo.</t>
  </si>
  <si>
    <t>OpEx ran exactly on plan. Combined with the revenue miss, that pulled EBITDA $4,560.61 below plan. The route back to plan is new-logo ARPA and expansion, not cost discipline — spend was close to target.</t>
  </si>
  <si>
    <t xml:space="preserve">May closed at a Closing MRR of $160,076 — $6,515 (3.9%) below the plan of $166,591. EBITDA of $38,052.85 landed $4,561 under plan, a 23.8% margin versus the 25.6% planned. The month missed on expansion and new MRR and had more contraction and churned MRR than expected; OpEx was on target. </t>
  </si>
  <si>
    <t>New MRR of $4,780 was $1,620 short of the $6,400 plan. We signed 1 new logos — in line with the planned count — but at  $4,780 of MRR  versus the ~$6,400 assumed, so the shortfall is new-logo quality. Expansion MRR of $425 was $377 below the $802 plan, and churn ran  heavier than planned.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</si>
</sst>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1">
    <numFmt numFmtId="164" formatCode="&quot;$&quot;#,##0.00"/>
    <numFmt numFmtId="165" formatCode="_-&quot;$&quot;* #,##0.00_-;\-&quot;$&quot;* #,##0.00_-;_-&quot;$&quot;* &quot;-&quot;??_-;_-@"/>
    <numFmt numFmtId="166" formatCode="mmm\ yyyy"/>
    <numFmt numFmtId="167" formatCode="\$#,##0.00"/>
    <numFmt numFmtId="168" formatCode="&quot;$&quot;#,##0"/>
    <numFmt numFmtId="169" formatCode="0.0%"/>
    <numFmt numFmtId="170" formatCode="&quot;$&quot;#,##0.00;\(&quot;$&quot;#,##0.00\);&quot;-&quot;"/>
    <numFmt numFmtId="171" formatCode="\$#,##0"/>
    <numFmt numFmtId="172" formatCode="#,##0.0"/>
    <numFmt numFmtId="173" formatCode="&quot;$&quot;#,##0.00;\(&quot;$&quot;#,##0.00\);\-"/>
    <numFmt numFmtId="174" formatCode="0.0%;\(0.0%\);\-"/>
    <numFmt numFmtId="175" formatCode="\$#,##0;\(\$#,##0\);&quot;-&quot;"/>
    <numFmt numFmtId="176" formatCode="mmm_yyyyy"/>
    <numFmt numFmtId="177" formatCode="mm/dd/yyyy"/>
    <numFmt numFmtId="178" formatCode="0.0"/>
    <numFmt numFmtId="179" formatCode="0.00&quot;x&quot;"/>
    <numFmt numFmtId="180" formatCode="yyyy\-mm\-dd\ h:mm:ss"/>
    <numFmt numFmtId="181" formatCode="yyyy/mm"/>
    <numFmt numFmtId="182" formatCode="_(&quot;$&quot;* #,##0_);_(&quot;$&quot;* \(#,##0\);_(&quot;$&quot;* &quot;-&quot;??_);_(@_)"/>
    <numFmt numFmtId="183" formatCode="0.0\x"/>
    <numFmt numFmtId="184" formatCode="0.0&quot; months&quot;"/>
  </numFmts>
  <fonts count="45" x14ac:knownFonts="1">
    <font>
      <sz val="11"/>
      <color theme="1"/>
      <name val="Calibri"/>
      <scheme val="minor"/>
    </font>
    <font>
      <sz val="11"/>
      <color theme="1"/>
      <name val="Calibri"/>
      <scheme val="minor"/>
    </font>
    <font>
      <b/>
      <sz val="11"/>
      <color theme="1"/>
      <name val="Calibri"/>
      <scheme val="minor"/>
    </font>
    <font>
      <sz val="11"/>
      <color rgb="FFFFFFFF"/>
      <name val="Calibri"/>
      <scheme val="minor"/>
    </font>
    <font>
      <sz val="11"/>
      <color theme="1"/>
      <name val="Calibri"/>
    </font>
    <font>
      <b/>
      <sz val="11"/>
      <color rgb="FFFFFFFF"/>
      <name val="Calibri"/>
    </font>
    <font>
      <sz val="11"/>
      <color rgb="FF0000FF"/>
      <name val="Calibri"/>
    </font>
    <font>
      <sz val="11"/>
      <color rgb="FF000000"/>
      <name val="Calibri"/>
    </font>
    <font>
      <b/>
      <sz val="11"/>
      <color theme="1"/>
      <name val="Calibri"/>
    </font>
    <font>
      <b/>
      <sz val="11"/>
      <color rgb="FF000000"/>
      <name val="Calibri"/>
    </font>
    <font>
      <sz val="11"/>
      <color rgb="FFFFFFFF"/>
      <name val="Calibri"/>
    </font>
    <font>
      <b/>
      <sz val="13"/>
      <color rgb="FF1F3864"/>
      <name val="Arial"/>
    </font>
    <font>
      <i/>
      <sz val="9"/>
      <color rgb="FF666666"/>
      <name val="Arial"/>
    </font>
    <font>
      <b/>
      <sz val="10"/>
      <color rgb="FF1F3864"/>
      <name val="Arial"/>
    </font>
    <font>
      <b/>
      <sz val="10"/>
      <color rgb="FFFFFFFF"/>
      <name val="Arial"/>
    </font>
    <font>
      <b/>
      <sz val="10"/>
      <color theme="1"/>
      <name val="Arial"/>
    </font>
    <font>
      <sz val="10"/>
      <color theme="1"/>
      <name val="Arial"/>
    </font>
    <font>
      <i/>
      <sz val="9"/>
      <color theme="1"/>
      <name val="Calibri"/>
    </font>
    <font>
      <sz val="10"/>
      <color rgb="FFC00000"/>
      <name val="Arial"/>
    </font>
    <font>
      <sz val="10"/>
      <color rgb="FF0000FF"/>
      <name val="Arial"/>
    </font>
    <font>
      <b/>
      <i/>
      <sz val="9"/>
      <color rgb="FFC00000"/>
      <name val="Arial"/>
    </font>
    <font>
      <b/>
      <sz val="13"/>
      <color theme="1"/>
      <name val="Calibri"/>
    </font>
    <font>
      <i/>
      <sz val="11"/>
      <color theme="1"/>
      <name val="Calibri"/>
    </font>
    <font>
      <b/>
      <i/>
      <sz val="13"/>
      <color theme="1"/>
      <name val="Calibri"/>
    </font>
    <font>
      <b/>
      <sz val="10"/>
      <color theme="1"/>
      <name val="Calibri"/>
    </font>
    <font>
      <b/>
      <i/>
      <sz val="9"/>
      <color rgb="FF666666"/>
      <name val="Arial"/>
    </font>
    <font>
      <i/>
      <sz val="11"/>
      <color rgb="FF666666"/>
      <name val="Calibri"/>
    </font>
    <font>
      <b/>
      <i/>
      <sz val="10"/>
      <color rgb="FFFFFFFF"/>
      <name val="Arial"/>
    </font>
    <font>
      <b/>
      <sz val="10"/>
      <color rgb="FF0000FF"/>
      <name val="Arial"/>
    </font>
    <font>
      <i/>
      <sz val="10"/>
      <color theme="1"/>
      <name val="Arial"/>
    </font>
    <font>
      <sz val="10"/>
      <color rgb="FF000000"/>
      <name val="Arial"/>
    </font>
    <font>
      <b/>
      <sz val="11"/>
      <color rgb="FF1F3864"/>
      <name val="Calibri"/>
    </font>
    <font>
      <b/>
      <sz val="10"/>
      <color rgb="FF000000"/>
      <name val="Arial"/>
    </font>
    <font>
      <b/>
      <sz val="9"/>
      <color rgb="FF808080"/>
      <name val="Arial"/>
    </font>
    <font>
      <i/>
      <sz val="9"/>
      <color rgb="FFFF0000"/>
      <name val="Arial"/>
    </font>
    <font>
      <b/>
      <sz val="14"/>
      <color theme="1"/>
      <name val="Calibri"/>
    </font>
    <font>
      <sz val="11"/>
      <color rgb="FFFF0000"/>
      <name val="Calibri"/>
    </font>
    <font>
      <b/>
      <sz val="12"/>
      <color theme="1"/>
      <name val="Calibri"/>
    </font>
    <font>
      <sz val="10"/>
      <color rgb="FF333333"/>
      <name val="Calibri"/>
    </font>
    <font>
      <b/>
      <sz val="14"/>
      <color rgb="FF000000"/>
      <name val="Calibri"/>
    </font>
    <font>
      <b/>
      <sz val="10"/>
      <color rgb="FF333333"/>
      <name val="Calibri"/>
    </font>
    <font>
      <sz val="11"/>
      <color theme="0"/>
      <name val="Calibri"/>
    </font>
    <font>
      <sz val="11"/>
      <color theme="1"/>
      <name val="Calibri"/>
      <family val="2"/>
    </font>
    <font>
      <b/>
      <sz val="13"/>
      <color theme="1"/>
      <name val="Calibri"/>
      <family val="2"/>
    </font>
    <font>
      <i/>
      <sz val="11"/>
      <color rgb="FF666666"/>
      <name val="Calibri"/>
      <family val="2"/>
    </font>
  </fonts>
  <fills count="18">
    <fill>
      <patternFill patternType="none"/>
    </fill>
    <fill>
      <patternFill patternType="gray125"/>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
      <patternFill patternType="solid">
        <fgColor rgb="FFFFFF00"/>
        <bgColor rgb="FFFFFF00"/>
      </patternFill>
    </fill>
    <fill>
      <patternFill patternType="solid">
        <fgColor rgb="FFD6E4F0"/>
        <bgColor rgb="FFD6E4F0"/>
      </patternFill>
    </fill>
    <fill>
      <patternFill patternType="solid">
        <fgColor rgb="FFE2EFDA"/>
        <bgColor rgb="FFE2EFDA"/>
      </patternFill>
    </fill>
    <fill>
      <patternFill patternType="solid">
        <fgColor theme="0"/>
        <bgColor theme="0"/>
      </patternFill>
    </fill>
    <fill>
      <patternFill patternType="solid">
        <fgColor rgb="FFFFFFFF"/>
        <bgColor rgb="FFFFFFFF"/>
      </patternFill>
    </fill>
    <fill>
      <patternFill patternType="solid">
        <fgColor rgb="FF548235"/>
        <bgColor rgb="FF548235"/>
      </patternFill>
    </fill>
    <fill>
      <patternFill patternType="solid">
        <fgColor rgb="FFBDD7EE"/>
        <bgColor rgb="FFBDD7EE"/>
      </patternFill>
    </fill>
    <fill>
      <patternFill patternType="solid">
        <fgColor rgb="FFDCE6F1"/>
        <bgColor rgb="FFDCE6F1"/>
      </patternFill>
    </fill>
    <fill>
      <patternFill patternType="solid">
        <fgColor rgb="FFEBF3FB"/>
        <bgColor rgb="FFEBF3FB"/>
      </patternFill>
    </fill>
    <fill>
      <patternFill patternType="solid">
        <fgColor rgb="FF4472C4"/>
        <bgColor rgb="FF4472C4"/>
      </patternFill>
    </fill>
  </fills>
  <borders count="19">
    <border>
      <left/>
      <right/>
      <top/>
      <bottom/>
      <diagonal/>
    </border>
    <border>
      <left/>
      <right/>
      <top/>
      <bottom/>
      <diagonal/>
    </border>
    <border>
      <left/>
      <right/>
      <top/>
      <bottom style="thin">
        <color rgb="FF1F3864"/>
      </bottom>
      <diagonal/>
    </border>
    <border>
      <left/>
      <right/>
      <top/>
      <bottom style="thin">
        <color rgb="FF1F3864"/>
      </bottom>
      <diagonal/>
    </border>
    <border>
      <left/>
      <right/>
      <top style="thin">
        <color rgb="FF000000"/>
      </top>
      <bottom style="double">
        <color rgb="FF000000"/>
      </bottom>
      <diagonal/>
    </border>
    <border>
      <left/>
      <right/>
      <top style="thin">
        <color rgb="FF000000"/>
      </top>
      <bottom style="double">
        <color rgb="FF000000"/>
      </bottom>
      <diagonal/>
    </border>
    <border>
      <left/>
      <right/>
      <top/>
      <bottom/>
      <diagonal/>
    </border>
    <border>
      <left/>
      <right/>
      <top style="thin">
        <color rgb="FF000000"/>
      </top>
      <bottom/>
      <diagonal/>
    </border>
    <border>
      <left/>
      <right/>
      <top style="double">
        <color rgb="FF000000"/>
      </top>
      <bottom/>
      <diagonal/>
    </border>
    <border>
      <left/>
      <right/>
      <top style="double">
        <color rgb="FF000000"/>
      </top>
      <bottom/>
      <diagonal/>
    </border>
    <border>
      <left/>
      <right/>
      <top style="double">
        <color rgb="FF000000"/>
      </top>
      <bottom style="double">
        <color rgb="FF000000"/>
      </bottom>
      <diagonal/>
    </border>
    <border>
      <left style="thin">
        <color rgb="FFFFFFFF"/>
      </left>
      <right/>
      <top style="medium">
        <color rgb="FFFFFFFF"/>
      </top>
      <bottom style="thin">
        <color rgb="FFFFFFFF"/>
      </bottom>
      <diagonal/>
    </border>
    <border>
      <left style="thin">
        <color rgb="FFFFFFFF"/>
      </left>
      <right style="thin">
        <color rgb="FFFFFFFF"/>
      </right>
      <top style="medium">
        <color rgb="FFFFFFFF"/>
      </top>
      <bottom style="thin">
        <color rgb="FFFFFFFF"/>
      </bottom>
      <diagonal/>
    </border>
    <border>
      <left style="thin">
        <color rgb="FFFFFFFF"/>
      </left>
      <right/>
      <top/>
      <bottom/>
      <diagonal/>
    </border>
    <border>
      <left style="thin">
        <color rgb="FFFFFFFF"/>
      </left>
      <right style="thin">
        <color rgb="FFFFFFFF"/>
      </right>
      <top/>
      <bottom/>
      <diagonal/>
    </border>
    <border>
      <left style="thin">
        <color rgb="FFFFFFFF"/>
      </left>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57">
    <xf numFmtId="0" fontId="0" fillId="0" borderId="0" xfId="0"/>
    <xf numFmtId="0" fontId="1" fillId="0" borderId="0" xfId="0" applyFont="1"/>
    <xf numFmtId="164" fontId="1" fillId="0" borderId="0" xfId="0" applyNumberFormat="1" applyFont="1"/>
    <xf numFmtId="0" fontId="1" fillId="0" borderId="0" xfId="0" applyFont="1" applyAlignment="1">
      <alignment horizontal="right"/>
    </xf>
    <xf numFmtId="0" fontId="2" fillId="0" borderId="0" xfId="0" applyFont="1"/>
    <xf numFmtId="0" fontId="3" fillId="2" borderId="0" xfId="0" applyFont="1" applyFill="1"/>
    <xf numFmtId="0" fontId="1" fillId="3" borderId="0" xfId="0" applyFont="1" applyFill="1"/>
    <xf numFmtId="14" fontId="4" fillId="3" borderId="0" xfId="0" applyNumberFormat="1" applyFont="1" applyFill="1"/>
    <xf numFmtId="0" fontId="1" fillId="4" borderId="0" xfId="0" applyFont="1" applyFill="1"/>
    <xf numFmtId="14" fontId="4" fillId="4" borderId="0" xfId="0" applyNumberFormat="1" applyFont="1" applyFill="1"/>
    <xf numFmtId="4" fontId="4" fillId="0" borderId="0" xfId="0" applyNumberFormat="1" applyFont="1"/>
    <xf numFmtId="0" fontId="3" fillId="0" borderId="0" xfId="0" applyFont="1"/>
    <xf numFmtId="14" fontId="4" fillId="0" borderId="0" xfId="0" applyNumberFormat="1" applyFont="1"/>
    <xf numFmtId="165" fontId="4" fillId="0" borderId="0" xfId="0" applyNumberFormat="1" applyFont="1"/>
    <xf numFmtId="0" fontId="5" fillId="5" borderId="1" xfId="0" applyFont="1" applyFill="1" applyBorder="1"/>
    <xf numFmtId="166" fontId="5" fillId="5" borderId="1" xfId="0" applyNumberFormat="1" applyFont="1" applyFill="1" applyBorder="1" applyAlignment="1">
      <alignment horizontal="center"/>
    </xf>
    <xf numFmtId="0" fontId="4" fillId="0" borderId="0" xfId="0" applyFont="1"/>
    <xf numFmtId="164" fontId="6" fillId="6" borderId="1" xfId="0" applyNumberFormat="1" applyFont="1" applyFill="1" applyBorder="1"/>
    <xf numFmtId="164" fontId="7" fillId="7" borderId="1" xfId="0" applyNumberFormat="1" applyFont="1" applyFill="1" applyBorder="1"/>
    <xf numFmtId="164" fontId="6" fillId="8" borderId="1" xfId="0" applyNumberFormat="1" applyFont="1" applyFill="1" applyBorder="1"/>
    <xf numFmtId="0" fontId="8" fillId="0" borderId="2" xfId="0" applyFont="1" applyBorder="1"/>
    <xf numFmtId="164" fontId="9" fillId="7" borderId="3" xfId="0" applyNumberFormat="1" applyFont="1" applyFill="1" applyBorder="1"/>
    <xf numFmtId="0" fontId="8" fillId="0" borderId="0" xfId="0" applyFont="1"/>
    <xf numFmtId="164" fontId="9" fillId="7" borderId="1" xfId="0" applyNumberFormat="1" applyFont="1" applyFill="1" applyBorder="1"/>
    <xf numFmtId="1" fontId="6" fillId="8" borderId="1" xfId="0" applyNumberFormat="1" applyFont="1" applyFill="1" applyBorder="1"/>
    <xf numFmtId="0" fontId="4" fillId="0" borderId="2" xfId="0" applyFont="1" applyBorder="1"/>
    <xf numFmtId="1" fontId="6" fillId="8" borderId="3" xfId="0" applyNumberFormat="1" applyFont="1" applyFill="1" applyBorder="1"/>
    <xf numFmtId="0" fontId="6" fillId="8" borderId="1" xfId="0" applyFont="1" applyFill="1" applyBorder="1"/>
    <xf numFmtId="0" fontId="7" fillId="7" borderId="1" xfId="0" applyFont="1" applyFill="1" applyBorder="1"/>
    <xf numFmtId="0" fontId="6" fillId="6" borderId="1" xfId="0" applyFont="1" applyFill="1" applyBorder="1"/>
    <xf numFmtId="17" fontId="10" fillId="0" borderId="0" xfId="0" applyNumberFormat="1" applyFont="1"/>
    <xf numFmtId="165" fontId="2" fillId="0" borderId="0" xfId="0" applyNumberFormat="1" applyFont="1"/>
    <xf numFmtId="165" fontId="8" fillId="0" borderId="0" xfId="0" applyNumberFormat="1" applyFont="1"/>
    <xf numFmtId="10" fontId="1" fillId="0" borderId="0" xfId="0" applyNumberFormat="1" applyFont="1"/>
    <xf numFmtId="0" fontId="11" fillId="0" borderId="0" xfId="0" applyFont="1"/>
    <xf numFmtId="0" fontId="12" fillId="0" borderId="0" xfId="0" applyFont="1"/>
    <xf numFmtId="0" fontId="13" fillId="9" borderId="1" xfId="0" applyFont="1" applyFill="1" applyBorder="1"/>
    <xf numFmtId="0" fontId="4" fillId="9" borderId="1" xfId="0" applyFont="1" applyFill="1" applyBorder="1"/>
    <xf numFmtId="0" fontId="14" fillId="5" borderId="1" xfId="0" applyFont="1" applyFill="1" applyBorder="1" applyAlignment="1">
      <alignment horizontal="center" vertical="center" wrapText="1"/>
    </xf>
    <xf numFmtId="0" fontId="15" fillId="10" borderId="1" xfId="0" applyFont="1" applyFill="1" applyBorder="1"/>
    <xf numFmtId="0" fontId="16" fillId="0" borderId="0" xfId="0" applyFont="1"/>
    <xf numFmtId="167" fontId="16" fillId="6" borderId="1" xfId="0" applyNumberFormat="1" applyFont="1" applyFill="1" applyBorder="1"/>
    <xf numFmtId="0" fontId="15" fillId="0" borderId="4" xfId="0" applyFont="1" applyBorder="1"/>
    <xf numFmtId="167" fontId="15" fillId="6" borderId="5" xfId="0" applyNumberFormat="1" applyFont="1" applyFill="1" applyBorder="1"/>
    <xf numFmtId="3" fontId="4" fillId="0" borderId="0" xfId="0" applyNumberFormat="1" applyFont="1"/>
    <xf numFmtId="3" fontId="1" fillId="0" borderId="0" xfId="0" applyNumberFormat="1" applyFont="1"/>
    <xf numFmtId="168" fontId="4" fillId="6" borderId="1" xfId="0" applyNumberFormat="1" applyFont="1" applyFill="1" applyBorder="1"/>
    <xf numFmtId="168" fontId="4" fillId="6" borderId="5" xfId="0" applyNumberFormat="1" applyFont="1" applyFill="1" applyBorder="1"/>
    <xf numFmtId="169" fontId="4" fillId="6" borderId="1" xfId="0" applyNumberFormat="1" applyFont="1" applyFill="1" applyBorder="1"/>
    <xf numFmtId="164" fontId="4" fillId="6" borderId="1" xfId="0" applyNumberFormat="1" applyFont="1" applyFill="1" applyBorder="1"/>
    <xf numFmtId="170" fontId="4" fillId="6" borderId="1" xfId="0" applyNumberFormat="1" applyFont="1" applyFill="1" applyBorder="1"/>
    <xf numFmtId="0" fontId="18" fillId="0" borderId="0" xfId="0" applyFont="1"/>
    <xf numFmtId="167" fontId="19" fillId="6" borderId="1" xfId="0" applyNumberFormat="1" applyFont="1" applyFill="1" applyBorder="1"/>
    <xf numFmtId="3" fontId="19" fillId="6" borderId="1" xfId="0" applyNumberFormat="1" applyFont="1" applyFill="1" applyBorder="1"/>
    <xf numFmtId="3" fontId="19" fillId="0" borderId="0" xfId="0" applyNumberFormat="1" applyFont="1"/>
    <xf numFmtId="171" fontId="19" fillId="0" borderId="0" xfId="0" applyNumberFormat="1" applyFont="1"/>
    <xf numFmtId="169" fontId="19" fillId="0" borderId="0" xfId="0" applyNumberFormat="1" applyFont="1"/>
    <xf numFmtId="0" fontId="20" fillId="0" borderId="0" xfId="0" applyFont="1"/>
    <xf numFmtId="171" fontId="15" fillId="0" borderId="4" xfId="0" applyNumberFormat="1" applyFont="1" applyBorder="1"/>
    <xf numFmtId="17" fontId="14" fillId="5" borderId="1" xfId="0" applyNumberFormat="1" applyFont="1" applyFill="1" applyBorder="1" applyAlignment="1">
      <alignment horizontal="center" vertical="center" wrapText="1"/>
    </xf>
    <xf numFmtId="167" fontId="16" fillId="0" borderId="0" xfId="0" applyNumberFormat="1" applyFont="1"/>
    <xf numFmtId="9" fontId="16" fillId="0" borderId="0" xfId="0" applyNumberFormat="1" applyFont="1"/>
    <xf numFmtId="0" fontId="4" fillId="0" borderId="0" xfId="0" applyFont="1" applyAlignment="1">
      <alignment horizontal="center"/>
    </xf>
    <xf numFmtId="167" fontId="15" fillId="0" borderId="4" xfId="0" applyNumberFormat="1" applyFont="1" applyBorder="1"/>
    <xf numFmtId="9" fontId="15" fillId="0" borderId="4" xfId="0" applyNumberFormat="1" applyFont="1" applyBorder="1"/>
    <xf numFmtId="9" fontId="15" fillId="0" borderId="4" xfId="0" applyNumberFormat="1" applyFont="1" applyBorder="1" applyAlignment="1">
      <alignment horizontal="center"/>
    </xf>
    <xf numFmtId="0" fontId="15" fillId="0" borderId="0" xfId="0" applyFont="1"/>
    <xf numFmtId="164" fontId="4" fillId="0" borderId="0" xfId="0" applyNumberFormat="1" applyFont="1"/>
    <xf numFmtId="9" fontId="4" fillId="0" borderId="0" xfId="0" applyNumberFormat="1" applyFont="1"/>
    <xf numFmtId="164" fontId="8" fillId="0" borderId="0" xfId="0" applyNumberFormat="1" applyFont="1"/>
    <xf numFmtId="0" fontId="21" fillId="0" borderId="0" xfId="0" applyFont="1"/>
    <xf numFmtId="0" fontId="8" fillId="7" borderId="1" xfId="0" applyFont="1" applyFill="1" applyBorder="1"/>
    <xf numFmtId="0" fontId="6" fillId="0" borderId="0" xfId="0" applyFont="1"/>
    <xf numFmtId="169" fontId="4" fillId="0" borderId="0" xfId="0" applyNumberFormat="1" applyFont="1"/>
    <xf numFmtId="168" fontId="4" fillId="0" borderId="0" xfId="0" applyNumberFormat="1" applyFont="1"/>
    <xf numFmtId="0" fontId="22" fillId="0" borderId="0" xfId="0" applyFont="1"/>
    <xf numFmtId="0" fontId="23" fillId="0" borderId="0" xfId="0" applyFont="1"/>
    <xf numFmtId="0" fontId="14" fillId="5" borderId="1" xfId="0" applyFont="1" applyFill="1" applyBorder="1" applyAlignment="1">
      <alignment horizontal="center"/>
    </xf>
    <xf numFmtId="49" fontId="16" fillId="0" borderId="0" xfId="0" applyNumberFormat="1" applyFont="1"/>
    <xf numFmtId="0" fontId="24" fillId="0" borderId="0" xfId="0" applyFont="1" applyAlignment="1">
      <alignment horizontal="center"/>
    </xf>
    <xf numFmtId="0" fontId="15" fillId="0" borderId="7" xfId="0" applyFont="1" applyBorder="1"/>
    <xf numFmtId="167" fontId="15" fillId="0" borderId="7" xfId="0" applyNumberFormat="1" applyFont="1" applyBorder="1"/>
    <xf numFmtId="9" fontId="15" fillId="0" borderId="7" xfId="0" applyNumberFormat="1" applyFont="1" applyBorder="1"/>
    <xf numFmtId="0" fontId="15" fillId="0" borderId="7" xfId="0" applyFont="1" applyBorder="1" applyAlignment="1">
      <alignment horizontal="center"/>
    </xf>
    <xf numFmtId="0" fontId="15" fillId="0" borderId="8" xfId="0" applyFont="1" applyBorder="1"/>
    <xf numFmtId="167" fontId="15" fillId="0" borderId="8" xfId="0" applyNumberFormat="1" applyFont="1" applyBorder="1"/>
    <xf numFmtId="9" fontId="15" fillId="0" borderId="8" xfId="0" applyNumberFormat="1" applyFont="1" applyBorder="1"/>
    <xf numFmtId="0" fontId="15" fillId="0" borderId="8" xfId="0" applyFont="1" applyBorder="1" applyAlignment="1">
      <alignment horizontal="center"/>
    </xf>
    <xf numFmtId="171" fontId="15" fillId="0" borderId="0" xfId="0" applyNumberFormat="1" applyFont="1"/>
    <xf numFmtId="9" fontId="15" fillId="0" borderId="0" xfId="0" applyNumberFormat="1" applyFont="1"/>
    <xf numFmtId="0" fontId="15" fillId="0" borderId="0" xfId="0" applyFont="1" applyAlignment="1">
      <alignment horizontal="center"/>
    </xf>
    <xf numFmtId="0" fontId="4" fillId="0" borderId="8" xfId="0" applyFont="1" applyBorder="1"/>
    <xf numFmtId="164" fontId="8" fillId="0" borderId="7" xfId="0" applyNumberFormat="1" applyFont="1" applyBorder="1"/>
    <xf numFmtId="9" fontId="4" fillId="0" borderId="7" xfId="0" applyNumberFormat="1" applyFont="1" applyBorder="1"/>
    <xf numFmtId="0" fontId="4" fillId="0" borderId="7" xfId="0" applyFont="1" applyBorder="1" applyAlignment="1">
      <alignment horizontal="center"/>
    </xf>
    <xf numFmtId="9" fontId="4" fillId="8" borderId="9" xfId="0" applyNumberFormat="1" applyFont="1" applyFill="1" applyBorder="1"/>
    <xf numFmtId="9" fontId="4" fillId="0" borderId="8" xfId="0" applyNumberFormat="1" applyFont="1" applyBorder="1"/>
    <xf numFmtId="0" fontId="4" fillId="0" borderId="8" xfId="0" applyFont="1" applyBorder="1" applyAlignment="1">
      <alignment horizontal="center"/>
    </xf>
    <xf numFmtId="9" fontId="8" fillId="0" borderId="7" xfId="0" applyNumberFormat="1" applyFont="1" applyBorder="1"/>
    <xf numFmtId="0" fontId="15" fillId="0" borderId="10" xfId="0" applyFont="1" applyBorder="1"/>
    <xf numFmtId="164" fontId="8" fillId="0" borderId="10" xfId="0" applyNumberFormat="1" applyFont="1" applyBorder="1"/>
    <xf numFmtId="9" fontId="8" fillId="0" borderId="10" xfId="0" applyNumberFormat="1" applyFont="1" applyBorder="1"/>
    <xf numFmtId="0" fontId="4" fillId="0" borderId="10" xfId="0" applyFont="1" applyBorder="1" applyAlignment="1">
      <alignment horizontal="center"/>
    </xf>
    <xf numFmtId="0" fontId="25" fillId="0" borderId="0" xfId="0" applyFont="1"/>
    <xf numFmtId="0" fontId="26" fillId="0" borderId="0" xfId="0" applyFont="1"/>
    <xf numFmtId="2" fontId="6" fillId="0" borderId="0" xfId="0" applyNumberFormat="1" applyFont="1"/>
    <xf numFmtId="0" fontId="14" fillId="5" borderId="1" xfId="0" applyFont="1" applyFill="1" applyBorder="1"/>
    <xf numFmtId="0" fontId="4" fillId="5" borderId="1" xfId="0" applyFont="1" applyFill="1" applyBorder="1"/>
    <xf numFmtId="0" fontId="27" fillId="5" borderId="1" xfId="0" applyFont="1" applyFill="1" applyBorder="1" applyAlignment="1">
      <alignment horizontal="center"/>
    </xf>
    <xf numFmtId="15" fontId="28" fillId="8" borderId="1" xfId="0" applyNumberFormat="1" applyFont="1" applyFill="1" applyBorder="1"/>
    <xf numFmtId="0" fontId="29" fillId="0" borderId="0" xfId="0" applyFont="1"/>
    <xf numFmtId="49" fontId="28" fillId="8" borderId="1" xfId="0" applyNumberFormat="1" applyFont="1" applyFill="1" applyBorder="1"/>
    <xf numFmtId="15" fontId="30" fillId="7" borderId="1" xfId="0" applyNumberFormat="1" applyFont="1" applyFill="1" applyBorder="1"/>
    <xf numFmtId="172" fontId="4" fillId="0" borderId="0" xfId="0" applyNumberFormat="1" applyFont="1"/>
    <xf numFmtId="1" fontId="6" fillId="0" borderId="0" xfId="0" applyNumberFormat="1" applyFont="1"/>
    <xf numFmtId="1" fontId="4" fillId="0" borderId="0" xfId="0" applyNumberFormat="1" applyFont="1"/>
    <xf numFmtId="10" fontId="4" fillId="0" borderId="0" xfId="0" applyNumberFormat="1" applyFont="1"/>
    <xf numFmtId="0" fontId="31" fillId="11" borderId="1" xfId="0" applyFont="1" applyFill="1" applyBorder="1"/>
    <xf numFmtId="0" fontId="7" fillId="12" borderId="1" xfId="0" applyFont="1" applyFill="1" applyBorder="1"/>
    <xf numFmtId="0" fontId="9" fillId="12" borderId="1" xfId="0" applyFont="1" applyFill="1" applyBorder="1"/>
    <xf numFmtId="0" fontId="32" fillId="12" borderId="1" xfId="0" applyFont="1" applyFill="1" applyBorder="1"/>
    <xf numFmtId="173" fontId="16" fillId="0" borderId="0" xfId="0" applyNumberFormat="1" applyFont="1"/>
    <xf numFmtId="173" fontId="15" fillId="0" borderId="0" xfId="0" applyNumberFormat="1" applyFont="1"/>
    <xf numFmtId="167" fontId="4" fillId="0" borderId="0" xfId="0" applyNumberFormat="1" applyFont="1"/>
    <xf numFmtId="174" fontId="16" fillId="0" borderId="0" xfId="0" applyNumberFormat="1" applyFont="1"/>
    <xf numFmtId="2" fontId="4" fillId="0" borderId="0" xfId="0" applyNumberFormat="1" applyFont="1"/>
    <xf numFmtId="0" fontId="33" fillId="0" borderId="0" xfId="0" applyFont="1"/>
    <xf numFmtId="171" fontId="4" fillId="0" borderId="0" xfId="0" applyNumberFormat="1" applyFont="1"/>
    <xf numFmtId="175" fontId="15" fillId="0" borderId="4" xfId="0" applyNumberFormat="1" applyFont="1" applyBorder="1"/>
    <xf numFmtId="0" fontId="13" fillId="10" borderId="1" xfId="0" applyFont="1" applyFill="1" applyBorder="1"/>
    <xf numFmtId="0" fontId="4" fillId="10" borderId="1" xfId="0" applyFont="1" applyFill="1" applyBorder="1"/>
    <xf numFmtId="0" fontId="34" fillId="0" borderId="0" xfId="0" applyFont="1"/>
    <xf numFmtId="0" fontId="14" fillId="13" borderId="1" xfId="0" applyFont="1" applyFill="1" applyBorder="1" applyAlignment="1">
      <alignment horizontal="center" vertical="center" wrapText="1"/>
    </xf>
    <xf numFmtId="167" fontId="4" fillId="6" borderId="1" xfId="0" applyNumberFormat="1" applyFont="1" applyFill="1" applyBorder="1"/>
    <xf numFmtId="0" fontId="4" fillId="6" borderId="1" xfId="0" applyFont="1" applyFill="1" applyBorder="1"/>
    <xf numFmtId="169" fontId="16" fillId="0" borderId="0" xfId="0" applyNumberFormat="1" applyFont="1"/>
    <xf numFmtId="3" fontId="16" fillId="0" borderId="0" xfId="0" applyNumberFormat="1" applyFont="1"/>
    <xf numFmtId="3" fontId="4" fillId="6" borderId="1" xfId="0" applyNumberFormat="1" applyFont="1" applyFill="1" applyBorder="1"/>
    <xf numFmtId="0" fontId="35" fillId="0" borderId="0" xfId="0" applyFont="1"/>
    <xf numFmtId="0" fontId="5" fillId="7" borderId="1" xfId="0" applyFont="1" applyFill="1" applyBorder="1"/>
    <xf numFmtId="176" fontId="10" fillId="0" borderId="0" xfId="0" applyNumberFormat="1" applyFont="1" applyAlignment="1">
      <alignment horizontal="center"/>
    </xf>
    <xf numFmtId="0" fontId="5" fillId="14" borderId="1" xfId="0" applyFont="1" applyFill="1" applyBorder="1" applyAlignment="1">
      <alignment horizontal="center"/>
    </xf>
    <xf numFmtId="166" fontId="10" fillId="14" borderId="1" xfId="0" applyNumberFormat="1" applyFont="1" applyFill="1" applyBorder="1" applyAlignment="1">
      <alignment horizontal="center"/>
    </xf>
    <xf numFmtId="2" fontId="1" fillId="0" borderId="0" xfId="0" applyNumberFormat="1" applyFont="1"/>
    <xf numFmtId="164" fontId="4" fillId="3" borderId="1" xfId="0" applyNumberFormat="1" applyFont="1" applyFill="1" applyBorder="1"/>
    <xf numFmtId="167" fontId="4" fillId="3" borderId="0" xfId="0" applyNumberFormat="1" applyFont="1" applyFill="1"/>
    <xf numFmtId="1" fontId="1" fillId="0" borderId="0" xfId="0" applyNumberFormat="1" applyFont="1"/>
    <xf numFmtId="1" fontId="4" fillId="15" borderId="1" xfId="0" applyNumberFormat="1" applyFont="1" applyFill="1" applyBorder="1"/>
    <xf numFmtId="1" fontId="4" fillId="15" borderId="0" xfId="0" applyNumberFormat="1" applyFont="1" applyFill="1"/>
    <xf numFmtId="177" fontId="1" fillId="0" borderId="0" xfId="0" applyNumberFormat="1" applyFont="1"/>
    <xf numFmtId="164" fontId="4" fillId="3" borderId="0" xfId="0" applyNumberFormat="1" applyFont="1" applyFill="1"/>
    <xf numFmtId="169" fontId="4" fillId="15" borderId="1" xfId="0" applyNumberFormat="1" applyFont="1" applyFill="1" applyBorder="1"/>
    <xf numFmtId="169" fontId="4" fillId="15" borderId="0" xfId="0" applyNumberFormat="1" applyFont="1" applyFill="1"/>
    <xf numFmtId="169" fontId="1" fillId="0" borderId="0" xfId="0" applyNumberFormat="1" applyFont="1"/>
    <xf numFmtId="169" fontId="4" fillId="3" borderId="1" xfId="0" applyNumberFormat="1" applyFont="1" applyFill="1" applyBorder="1"/>
    <xf numFmtId="169" fontId="4" fillId="3" borderId="0" xfId="0" applyNumberFormat="1" applyFont="1" applyFill="1"/>
    <xf numFmtId="0" fontId="4" fillId="3" borderId="1" xfId="0" applyFont="1" applyFill="1" applyBorder="1" applyAlignment="1">
      <alignment horizontal="center"/>
    </xf>
    <xf numFmtId="2" fontId="4" fillId="3" borderId="0" xfId="0" applyNumberFormat="1" applyFont="1" applyFill="1" applyAlignment="1">
      <alignment horizontal="right"/>
    </xf>
    <xf numFmtId="168" fontId="4" fillId="15" borderId="1" xfId="0" applyNumberFormat="1" applyFont="1" applyFill="1" applyBorder="1"/>
    <xf numFmtId="168" fontId="4" fillId="15" borderId="0" xfId="0" applyNumberFormat="1" applyFont="1" applyFill="1"/>
    <xf numFmtId="168" fontId="4" fillId="3" borderId="1" xfId="0" applyNumberFormat="1" applyFont="1" applyFill="1" applyBorder="1"/>
    <xf numFmtId="168" fontId="4" fillId="3" borderId="0" xfId="0" applyNumberFormat="1" applyFont="1" applyFill="1"/>
    <xf numFmtId="0" fontId="4" fillId="16" borderId="1" xfId="0" applyFont="1" applyFill="1" applyBorder="1"/>
    <xf numFmtId="0" fontId="4" fillId="16" borderId="1" xfId="0" applyFont="1" applyFill="1" applyBorder="1" applyAlignment="1">
      <alignment horizontal="center"/>
    </xf>
    <xf numFmtId="168" fontId="22" fillId="16" borderId="1" xfId="0" applyNumberFormat="1" applyFont="1" applyFill="1" applyBorder="1" applyAlignment="1">
      <alignment horizontal="center"/>
    </xf>
    <xf numFmtId="0" fontId="22" fillId="16" borderId="0" xfId="0" applyFont="1" applyFill="1" applyAlignment="1">
      <alignment horizontal="center"/>
    </xf>
    <xf numFmtId="164" fontId="22" fillId="16" borderId="1" xfId="0" applyNumberFormat="1" applyFont="1" applyFill="1" applyBorder="1" applyAlignment="1">
      <alignment horizontal="center"/>
    </xf>
    <xf numFmtId="178" fontId="1" fillId="0" borderId="0" xfId="0" applyNumberFormat="1" applyFont="1"/>
    <xf numFmtId="179" fontId="22" fillId="16" borderId="1" xfId="0" applyNumberFormat="1" applyFont="1" applyFill="1" applyBorder="1" applyAlignment="1">
      <alignment horizontal="center"/>
    </xf>
    <xf numFmtId="178" fontId="22" fillId="16" borderId="1" xfId="0" applyNumberFormat="1" applyFont="1" applyFill="1" applyBorder="1" applyAlignment="1">
      <alignment horizontal="center"/>
    </xf>
    <xf numFmtId="0" fontId="4" fillId="0" borderId="0" xfId="0" applyFont="1" applyAlignment="1">
      <alignment wrapText="1"/>
    </xf>
    <xf numFmtId="17" fontId="4" fillId="0" borderId="0" xfId="0" applyNumberFormat="1" applyFont="1" applyAlignment="1">
      <alignment horizontal="left"/>
    </xf>
    <xf numFmtId="0" fontId="4" fillId="3" borderId="1" xfId="0" applyFont="1" applyFill="1" applyBorder="1"/>
    <xf numFmtId="0" fontId="4" fillId="15" borderId="1" xfId="0" applyFont="1" applyFill="1" applyBorder="1"/>
    <xf numFmtId="164" fontId="4" fillId="15" borderId="1" xfId="0" applyNumberFormat="1" applyFont="1" applyFill="1" applyBorder="1"/>
    <xf numFmtId="0" fontId="7" fillId="3" borderId="11" xfId="0" applyFont="1" applyFill="1" applyBorder="1"/>
    <xf numFmtId="164" fontId="7" fillId="3" borderId="12" xfId="0" applyNumberFormat="1" applyFont="1" applyFill="1" applyBorder="1"/>
    <xf numFmtId="164" fontId="7" fillId="3" borderId="11" xfId="0" applyNumberFormat="1" applyFont="1" applyFill="1" applyBorder="1"/>
    <xf numFmtId="0" fontId="7" fillId="15" borderId="13" xfId="0" applyFont="1" applyFill="1" applyBorder="1"/>
    <xf numFmtId="164" fontId="7" fillId="15" borderId="14" xfId="0" applyNumberFormat="1" applyFont="1" applyFill="1" applyBorder="1"/>
    <xf numFmtId="164" fontId="7" fillId="15" borderId="13" xfId="0" applyNumberFormat="1" applyFont="1" applyFill="1" applyBorder="1"/>
    <xf numFmtId="0" fontId="7" fillId="3" borderId="15" xfId="0" applyFont="1" applyFill="1" applyBorder="1"/>
    <xf numFmtId="164" fontId="7" fillId="3" borderId="16" xfId="0" applyNumberFormat="1" applyFont="1" applyFill="1" applyBorder="1"/>
    <xf numFmtId="164" fontId="7" fillId="3" borderId="15" xfId="0" applyNumberFormat="1" applyFont="1" applyFill="1" applyBorder="1"/>
    <xf numFmtId="0" fontId="7" fillId="15" borderId="15" xfId="0" applyFont="1" applyFill="1" applyBorder="1"/>
    <xf numFmtId="164" fontId="7" fillId="15" borderId="16" xfId="0" applyNumberFormat="1" applyFont="1" applyFill="1" applyBorder="1"/>
    <xf numFmtId="164" fontId="7" fillId="15" borderId="15" xfId="0" applyNumberFormat="1" applyFont="1" applyFill="1" applyBorder="1"/>
    <xf numFmtId="0" fontId="7" fillId="3" borderId="17" xfId="0" applyFont="1" applyFill="1" applyBorder="1"/>
    <xf numFmtId="164" fontId="7" fillId="3" borderId="18" xfId="0" applyNumberFormat="1" applyFont="1" applyFill="1" applyBorder="1"/>
    <xf numFmtId="164" fontId="7" fillId="3" borderId="17" xfId="0" applyNumberFormat="1" applyFont="1" applyFill="1" applyBorder="1"/>
    <xf numFmtId="0" fontId="1" fillId="0" borderId="0" xfId="0" applyFont="1" applyAlignment="1">
      <alignment horizontal="left" vertical="center"/>
    </xf>
    <xf numFmtId="178" fontId="4" fillId="0" borderId="0" xfId="0" applyNumberFormat="1" applyFont="1" applyAlignment="1">
      <alignment horizontal="left" vertical="center"/>
    </xf>
    <xf numFmtId="0" fontId="8" fillId="0" borderId="0" xfId="0" applyFont="1" applyAlignment="1">
      <alignment horizontal="left" vertical="center"/>
    </xf>
    <xf numFmtId="0" fontId="1" fillId="0" borderId="0" xfId="0" applyFont="1" applyAlignment="1">
      <alignment vertical="center"/>
    </xf>
    <xf numFmtId="17" fontId="4" fillId="0" borderId="0" xfId="0" applyNumberFormat="1" applyFont="1" applyAlignment="1">
      <alignment vertical="center"/>
    </xf>
    <xf numFmtId="14" fontId="4" fillId="0" borderId="0" xfId="0" applyNumberFormat="1" applyFont="1" applyAlignment="1">
      <alignment vertical="center"/>
    </xf>
    <xf numFmtId="178" fontId="4" fillId="0" borderId="0" xfId="0" applyNumberFormat="1" applyFont="1" applyAlignment="1">
      <alignment vertical="center"/>
    </xf>
    <xf numFmtId="14" fontId="1" fillId="0" borderId="0" xfId="0" applyNumberFormat="1" applyFont="1" applyAlignment="1">
      <alignment vertical="center"/>
    </xf>
    <xf numFmtId="0" fontId="4" fillId="0" borderId="0" xfId="0" applyFont="1" applyAlignment="1">
      <alignment vertical="center"/>
    </xf>
    <xf numFmtId="180" fontId="1" fillId="0" borderId="0" xfId="0" applyNumberFormat="1" applyFont="1"/>
    <xf numFmtId="178" fontId="4" fillId="0" borderId="0" xfId="0" applyNumberFormat="1" applyFont="1"/>
    <xf numFmtId="181" fontId="4" fillId="0" borderId="0" xfId="0" applyNumberFormat="1" applyFont="1" applyAlignment="1">
      <alignment vertical="center"/>
    </xf>
    <xf numFmtId="165" fontId="4" fillId="0" borderId="0" xfId="0" applyNumberFormat="1" applyFont="1" applyAlignment="1">
      <alignment vertical="center"/>
    </xf>
    <xf numFmtId="165" fontId="36" fillId="0" borderId="0" xfId="0" applyNumberFormat="1" applyFont="1" applyAlignment="1">
      <alignment vertical="center"/>
    </xf>
    <xf numFmtId="0" fontId="37" fillId="0" borderId="0" xfId="0" applyFont="1"/>
    <xf numFmtId="166" fontId="8" fillId="0" borderId="0" xfId="0" applyNumberFormat="1" applyFont="1"/>
    <xf numFmtId="0" fontId="8" fillId="10" borderId="1" xfId="0" applyFont="1" applyFill="1" applyBorder="1"/>
    <xf numFmtId="3" fontId="7" fillId="10" borderId="1" xfId="0" applyNumberFormat="1" applyFont="1" applyFill="1" applyBorder="1"/>
    <xf numFmtId="3" fontId="4" fillId="10" borderId="0" xfId="0" applyNumberFormat="1" applyFont="1" applyFill="1"/>
    <xf numFmtId="3" fontId="4" fillId="10" borderId="1" xfId="0" applyNumberFormat="1" applyFont="1" applyFill="1" applyBorder="1"/>
    <xf numFmtId="169" fontId="4" fillId="10" borderId="1" xfId="0" applyNumberFormat="1" applyFont="1" applyFill="1" applyBorder="1"/>
    <xf numFmtId="169" fontId="4" fillId="10" borderId="0" xfId="0" applyNumberFormat="1" applyFont="1" applyFill="1"/>
    <xf numFmtId="0" fontId="39" fillId="0" borderId="0" xfId="0" applyFont="1"/>
    <xf numFmtId="0" fontId="5" fillId="17" borderId="1" xfId="0" applyFont="1" applyFill="1" applyBorder="1"/>
    <xf numFmtId="0" fontId="4" fillId="17" borderId="1" xfId="0" applyFont="1" applyFill="1" applyBorder="1"/>
    <xf numFmtId="0" fontId="9" fillId="0" borderId="0" xfId="0" applyFont="1"/>
    <xf numFmtId="3" fontId="7" fillId="0" borderId="0" xfId="0" applyNumberFormat="1" applyFont="1" applyAlignment="1">
      <alignment horizontal="right"/>
    </xf>
    <xf numFmtId="182" fontId="7" fillId="0" borderId="0" xfId="0" applyNumberFormat="1" applyFont="1" applyAlignment="1">
      <alignment horizontal="right"/>
    </xf>
    <xf numFmtId="0" fontId="7" fillId="0" borderId="0" xfId="0" applyFont="1"/>
    <xf numFmtId="3" fontId="4" fillId="0" borderId="0" xfId="0" applyNumberFormat="1" applyFont="1" applyAlignment="1">
      <alignment horizontal="right"/>
    </xf>
    <xf numFmtId="3" fontId="8" fillId="0" borderId="0" xfId="0" applyNumberFormat="1" applyFont="1" applyAlignment="1">
      <alignment horizontal="right"/>
    </xf>
    <xf numFmtId="169" fontId="7" fillId="0" borderId="0" xfId="0" applyNumberFormat="1" applyFont="1" applyAlignment="1">
      <alignment horizontal="right"/>
    </xf>
    <xf numFmtId="182" fontId="4" fillId="0" borderId="0" xfId="0" applyNumberFormat="1" applyFont="1" applyAlignment="1">
      <alignment horizontal="right"/>
    </xf>
    <xf numFmtId="169" fontId="4" fillId="0" borderId="0" xfId="0" applyNumberFormat="1" applyFont="1" applyAlignment="1">
      <alignment horizontal="right"/>
    </xf>
    <xf numFmtId="178" fontId="7" fillId="0" borderId="0" xfId="0" applyNumberFormat="1" applyFont="1" applyAlignment="1">
      <alignment horizontal="right"/>
    </xf>
    <xf numFmtId="0" fontId="9" fillId="10" borderId="1" xfId="0" applyFont="1" applyFill="1" applyBorder="1"/>
    <xf numFmtId="182" fontId="7" fillId="10" borderId="1" xfId="0" applyNumberFormat="1" applyFont="1" applyFill="1" applyBorder="1" applyAlignment="1">
      <alignment horizontal="right"/>
    </xf>
    <xf numFmtId="0" fontId="40" fillId="0" borderId="0" xfId="0" applyFont="1" applyAlignment="1">
      <alignment wrapText="1"/>
    </xf>
    <xf numFmtId="0" fontId="41" fillId="0" borderId="0" xfId="0" applyFont="1"/>
    <xf numFmtId="49" fontId="7" fillId="0" borderId="0" xfId="0" applyNumberFormat="1" applyFont="1"/>
    <xf numFmtId="182" fontId="7" fillId="0" borderId="0" xfId="0" applyNumberFormat="1" applyFont="1"/>
    <xf numFmtId="3" fontId="7" fillId="0" borderId="0" xfId="0" applyNumberFormat="1" applyFont="1"/>
    <xf numFmtId="49" fontId="9" fillId="0" borderId="0" xfId="0" applyNumberFormat="1" applyFont="1"/>
    <xf numFmtId="182" fontId="8" fillId="0" borderId="0" xfId="0" applyNumberFormat="1" applyFont="1"/>
    <xf numFmtId="3" fontId="8" fillId="0" borderId="0" xfId="0" applyNumberFormat="1" applyFont="1"/>
    <xf numFmtId="0" fontId="9" fillId="8" borderId="1" xfId="0" applyFont="1" applyFill="1" applyBorder="1"/>
    <xf numFmtId="0" fontId="4" fillId="8" borderId="1" xfId="0" applyFont="1" applyFill="1" applyBorder="1" applyAlignment="1">
      <alignment horizontal="right"/>
    </xf>
    <xf numFmtId="0" fontId="7" fillId="8" borderId="1" xfId="0" applyFont="1" applyFill="1" applyBorder="1"/>
    <xf numFmtId="183" fontId="7" fillId="10" borderId="1" xfId="0" applyNumberFormat="1" applyFont="1" applyFill="1" applyBorder="1" applyAlignment="1">
      <alignment horizontal="right"/>
    </xf>
    <xf numFmtId="0" fontId="7" fillId="10" borderId="1" xfId="0" applyFont="1" applyFill="1" applyBorder="1"/>
    <xf numFmtId="183" fontId="7" fillId="0" borderId="0" xfId="0" applyNumberFormat="1" applyFont="1" applyAlignment="1">
      <alignment horizontal="right"/>
    </xf>
    <xf numFmtId="184" fontId="7" fillId="10" borderId="1" xfId="0" applyNumberFormat="1" applyFont="1" applyFill="1" applyBorder="1" applyAlignment="1">
      <alignment horizontal="right"/>
    </xf>
    <xf numFmtId="184" fontId="7" fillId="0" borderId="0" xfId="0" applyNumberFormat="1" applyFont="1" applyAlignment="1">
      <alignment horizontal="right"/>
    </xf>
    <xf numFmtId="0" fontId="38" fillId="0" borderId="0" xfId="0" applyFont="1" applyAlignment="1">
      <alignment wrapText="1"/>
    </xf>
    <xf numFmtId="164" fontId="7" fillId="0" borderId="0" xfId="0" applyNumberFormat="1" applyFont="1"/>
    <xf numFmtId="9" fontId="7" fillId="0" borderId="0" xfId="0" applyNumberFormat="1" applyFont="1"/>
    <xf numFmtId="164" fontId="6" fillId="8" borderId="6" xfId="0" applyNumberFormat="1" applyFont="1" applyFill="1" applyBorder="1"/>
    <xf numFmtId="0" fontId="42" fillId="0" borderId="0" xfId="0" applyFont="1"/>
    <xf numFmtId="0" fontId="43" fillId="0" borderId="0" xfId="0" applyFont="1"/>
    <xf numFmtId="0" fontId="44" fillId="0" borderId="0" xfId="0" applyFont="1"/>
    <xf numFmtId="17" fontId="0" fillId="0" borderId="0" xfId="0" applyNumberFormat="1"/>
    <xf numFmtId="14" fontId="0" fillId="0" borderId="0" xfId="0" applyNumberFormat="1"/>
    <xf numFmtId="0" fontId="17" fillId="6" borderId="1" xfId="0" applyFont="1" applyFill="1" applyBorder="1"/>
    <xf numFmtId="0" fontId="0" fillId="0" borderId="0" xfId="0"/>
    <xf numFmtId="0" fontId="22" fillId="16" borderId="1" xfId="0" applyFont="1" applyFill="1" applyBorder="1" applyAlignment="1">
      <alignment horizontal="center" wrapText="1"/>
    </xf>
    <xf numFmtId="0" fontId="38" fillId="0" borderId="0" xfId="0" applyFont="1" applyAlignment="1">
      <alignment vertical="top" wrapText="1"/>
    </xf>
    <xf numFmtId="0" fontId="5" fillId="17" borderId="1" xfId="0" applyFont="1" applyFill="1" applyBorder="1"/>
  </cellXfs>
  <cellStyles count="1">
    <cellStyle name="Normal" xfId="0" builtinId="0"/>
  </cellStyles>
  <dxfs count="35">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1" defaultTableStyle="TableStyleMedium9" defaultPivotStyle="PivotStyleLight16">
    <tableStyle name="bank_statement_jan_2026-style" pivot="0" count="3" xr9:uid="{00000000-0011-0000-FFFF-FFFF00000000}">
      <tableStyleElement type="headerRow" dxfId="34"/>
      <tableStyleElement type="firstRowStripe" dxfId="33"/>
      <tableStyleElement type="secondRowStripe" dxfId="32"/>
    </tableStyle>
    <tableStyle name="bank_statement_feb_2026-style" pivot="0" count="3" xr9:uid="{00000000-0011-0000-FFFF-FFFF01000000}">
      <tableStyleElement type="headerRow" dxfId="31"/>
      <tableStyleElement type="firstRowStripe" dxfId="30"/>
      <tableStyleElement type="secondRowStripe" dxfId="29"/>
    </tableStyle>
    <tableStyle name="Billing Reconciliation-style" pivot="0" count="3" xr9:uid="{00000000-0011-0000-FFFF-FFFF02000000}">
      <tableStyleElement type="headerRow" dxfId="28"/>
      <tableStyleElement type="firstRowStripe" dxfId="27"/>
      <tableStyleElement type="secondRowStripe" dxfId="26"/>
    </tableStyle>
    <tableStyle name="Billing Reconciliation-style 2" pivot="0" count="3" xr9:uid="{00000000-0011-0000-FFFF-FFFF03000000}">
      <tableStyleElement type="headerRow" dxfId="25"/>
      <tableStyleElement type="firstRowStripe" dxfId="24"/>
      <tableStyleElement type="secondRowStripe" dxfId="23"/>
    </tableStyle>
    <tableStyle name="Billing Reconciliation-style 3" pivot="0" count="3" xr9:uid="{00000000-0011-0000-FFFF-FFFF04000000}">
      <tableStyleElement type="headerRow" dxfId="22"/>
      <tableStyleElement type="firstRowStripe" dxfId="21"/>
      <tableStyleElement type="secondRowStripe" dxfId="20"/>
    </tableStyle>
    <tableStyle name="KPI Tracker-style" pivot="0" count="3" xr9:uid="{00000000-0011-0000-FFFF-FFFF05000000}">
      <tableStyleElement type="headerRow" dxfId="19"/>
      <tableStyleElement type="firstRowStripe" dxfId="18"/>
      <tableStyleElement type="secondRowStripe" dxfId="17"/>
    </tableStyle>
    <tableStyle name="Waterfall Data-style" pivot="0" count="3" xr9:uid="{00000000-0011-0000-FFFF-FFFF06000000}">
      <tableStyleElement type="headerRow" dxfId="16"/>
      <tableStyleElement type="firstRowStripe" dxfId="15"/>
      <tableStyleElement type="secondRowStripe" dxfId="14"/>
    </tableStyle>
    <tableStyle name="Engine-style" pivot="0" count="4" xr9:uid="{00000000-0011-0000-FFFF-FFFF07000000}">
      <tableStyleElement type="wholeTable" size="0" dxfId="13"/>
      <tableStyleElement type="headerRow" dxfId="12"/>
      <tableStyleElement type="firstRowStripe" dxfId="11"/>
      <tableStyleElement type="secondRowStripe" dxfId="10"/>
    </tableStyle>
    <tableStyle name="Waterfall-style" pivot="0" count="4" xr9:uid="{00000000-0011-0000-FFFF-FFFF08000000}">
      <tableStyleElement type="wholeTable" size="0" dxfId="9"/>
      <tableStyleElement type="headerRow" dxfId="8"/>
      <tableStyleElement type="firstRowStripe" dxfId="7"/>
      <tableStyleElement type="secondRowStripe" dxfId="6"/>
    </tableStyle>
    <tableStyle name="Unit Economics-style" pivot="0" count="3" xr9:uid="{00000000-0011-0000-FFFF-FFFF09000000}">
      <tableStyleElement type="headerRow" dxfId="5"/>
      <tableStyleElement type="firstRowStripe" dxfId="4"/>
      <tableStyleElement type="secondRowStripe" dxfId="3"/>
    </tableStyle>
    <tableStyle name="Ref-style" pivot="0" count="3" xr9:uid="{00000000-0011-0000-FFFF-FFFF0A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G51">
  <tableColumns count="7">
    <tableColumn id="1" xr3:uid="{00000000-0010-0000-0000-000001000000}" name="transaction_date"/>
    <tableColumn id="2" xr3:uid="{00000000-0010-0000-0000-000002000000}" name="post_date"/>
    <tableColumn id="3" xr3:uid="{00000000-0010-0000-0000-000003000000}" name="description"/>
    <tableColumn id="4" xr3:uid="{00000000-0010-0000-0000-000004000000}" name="type"/>
    <tableColumn id="5" xr3:uid="{00000000-0010-0000-0000-000005000000}" name="amount"/>
    <tableColumn id="6" xr3:uid="{00000000-0010-0000-0000-000006000000}" name="reference_number"/>
    <tableColumn id="7" xr3:uid="{00000000-0010-0000-0000-000007000000}" name="running_balance"/>
  </tableColumns>
  <tableStyleInfo name="bank_statement_jan_2026-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5:G54">
  <tableColumns count="7">
    <tableColumn id="1" xr3:uid="{00000000-0010-0000-0100-000001000000}" name="transaction_date"/>
    <tableColumn id="2" xr3:uid="{00000000-0010-0000-0100-000002000000}" name="post_date"/>
    <tableColumn id="3" xr3:uid="{00000000-0010-0000-0100-000003000000}" name="description"/>
    <tableColumn id="4" xr3:uid="{00000000-0010-0000-0100-000004000000}" name="type"/>
    <tableColumn id="5" xr3:uid="{00000000-0010-0000-0100-000005000000}" name="amount"/>
    <tableColumn id="6" xr3:uid="{00000000-0010-0000-0100-000006000000}" name="reference_number"/>
    <tableColumn id="7" xr3:uid="{00000000-0010-0000-0100-000007000000}" name="running_balance"/>
  </tableColumns>
  <tableStyleInfo name="bank_statement_feb_2026-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C7">
  <tableColumns count="3">
    <tableColumn id="1" xr3:uid="{00000000-0010-0000-0200-000001000000}" name="Metric"/>
    <tableColumn id="2" xr3:uid="{00000000-0010-0000-0200-000002000000}" name="Jan-26"/>
    <tableColumn id="3" xr3:uid="{00000000-0010-0000-0200-000003000000}" name="Feb-26"/>
  </tableColumns>
  <tableStyleInfo name="Billing Reconciliation-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0:C17">
  <tableColumns count="3">
    <tableColumn id="1" xr3:uid="{00000000-0010-0000-0300-000001000000}" name="Item"/>
    <tableColumn id="2" xr3:uid="{00000000-0010-0000-0300-000002000000}" name="Jan-26"/>
    <tableColumn id="3" xr3:uid="{00000000-0010-0000-0300-000003000000}" name="Feb-26"/>
  </tableColumns>
  <tableStyleInfo name="Billing Reconciliation-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0:C24">
  <tableColumns count="3">
    <tableColumn id="1" xr3:uid="{00000000-0010-0000-0400-000001000000}" name="Item"/>
    <tableColumn id="2" xr3:uid="{00000000-0010-0000-0400-000002000000}" name="Jan-26"/>
    <tableColumn id="3" xr3:uid="{00000000-0010-0000-0400-000003000000}" name="Feb-26"/>
  </tableColumns>
  <tableStyleInfo name="Billing Reconciliation-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F16" headerRowCount="0">
  <tableColumns count="6">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s>
  <tableStyleInfo name="KPI Tracker-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E29">
  <tableColumns count="5">
    <tableColumn id="1" xr3:uid="{00000000-0010-0000-0600-000001000000}" name="Month"/>
    <tableColumn id="2" xr3:uid="{00000000-0010-0000-0600-000002000000}" name="Movement"/>
    <tableColumn id="3" xr3:uid="{00000000-0010-0000-0600-000003000000}" name="Actual"/>
    <tableColumn id="4" xr3:uid="{00000000-0010-0000-0600-000004000000}" name="Forecast"/>
    <tableColumn id="5" xr3:uid="{00000000-0010-0000-0600-000005000000}" name="Variance"/>
  </tableColumns>
  <tableStyleInfo name="Waterfall Data-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ngine" displayName="Engine" ref="A1:V111">
  <autoFilter ref="A1:V111" xr:uid="{00000000-0009-0000-0100-000008000000}"/>
  <tableColumns count="22">
    <tableColumn id="1" xr3:uid="{00000000-0010-0000-0700-000001000000}" name="event_id"/>
    <tableColumn id="2" xr3:uid="{00000000-0010-0000-0700-000002000000}" name="subscription_id"/>
    <tableColumn id="3" xr3:uid="{00000000-0010-0000-0700-000003000000}" name="customer_id"/>
    <tableColumn id="4" xr3:uid="{00000000-0010-0000-0700-000004000000}" name="company_name"/>
    <tableColumn id="5" xr3:uid="{00000000-0010-0000-0700-000005000000}" name="region"/>
    <tableColumn id="6" xr3:uid="{00000000-0010-0000-0700-000006000000}" name="month"/>
    <tableColumn id="7" xr3:uid="{00000000-0010-0000-0700-000007000000}" name="event_date"/>
    <tableColumn id="8" xr3:uid="{00000000-0010-0000-0700-000008000000}" name="event_type"/>
    <tableColumn id="9" xr3:uid="{00000000-0010-0000-0700-000009000000}" name="old_value"/>
    <tableColumn id="10" xr3:uid="{00000000-0010-0000-0700-00000A000000}" name="new_value"/>
    <tableColumn id="11" xr3:uid="{00000000-0010-0000-0700-00000B000000}" name="field_changed"/>
    <tableColumn id="12" xr3:uid="{00000000-0010-0000-0700-00000C000000}" name="reason"/>
    <tableColumn id="13" xr3:uid="{00000000-0010-0000-0700-00000D000000}" name="plan_name"/>
    <tableColumn id="14" xr3:uid="{00000000-0010-0000-0700-00000E000000}" name="billing_cycle"/>
    <tableColumn id="15" xr3:uid="{00000000-0010-0000-0700-00000F000000}" name="seats"/>
    <tableColumn id="16" xr3:uid="{00000000-0010-0000-0700-000010000000}" name="price_per_seat"/>
    <tableColumn id="17" xr3:uid="{00000000-0010-0000-0700-000011000000}" name="discount_percent"/>
    <tableColumn id="18" xr3:uid="{00000000-0010-0000-0700-000012000000}" name="movement"/>
    <tableColumn id="19" xr3:uid="{00000000-0010-0000-0700-000013000000}" name="mrr_delta"/>
    <tableColumn id="20" xr3:uid="{00000000-0010-0000-0700-000014000000}" name="is_new_logo"/>
    <tableColumn id="21" xr3:uid="{00000000-0010-0000-0700-000015000000}" name="is_logo_churn"/>
    <tableColumn id="22" xr3:uid="{00000000-0010-0000-0700-000016000000}" name="is_logo_reactivation"/>
  </tableColumns>
  <tableStyleInfo name="Engine-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Waterfall" displayName="Waterfall" ref="A3:H32">
  <tableColumns count="8">
    <tableColumn id="1" xr3:uid="{00000000-0010-0000-0800-000001000000}" name="Month"/>
    <tableColumn id="2" xr3:uid="{00000000-0010-0000-0800-000002000000}" name="Opening MRR"/>
    <tableColumn id="3" xr3:uid="{00000000-0010-0000-0800-000003000000}" name="New"/>
    <tableColumn id="4" xr3:uid="{00000000-0010-0000-0800-000004000000}" name="Expansion"/>
    <tableColumn id="5" xr3:uid="{00000000-0010-0000-0800-000005000000}" name="Contraction"/>
    <tableColumn id="6" xr3:uid="{00000000-0010-0000-0800-000006000000}" name="Churned"/>
    <tableColumn id="7" xr3:uid="{00000000-0010-0000-0800-000007000000}" name="Net"/>
    <tableColumn id="8" xr3:uid="{00000000-0010-0000-0800-000008000000}" name="Closing"/>
  </tableColumns>
  <tableStyleInfo name="Waterfall-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8" displayName="Table_8" ref="A66:J80">
  <tableColumns count="10">
    <tableColumn id="1" xr3:uid="{00000000-0010-0000-0900-000001000000}" name="Month"/>
    <tableColumn id="2" xr3:uid="{00000000-0010-0000-0900-000002000000}" name="Sales Comp"/>
    <tableColumn id="3" xr3:uid="{00000000-0010-0000-0900-000003000000}" name="Marketing Comp"/>
    <tableColumn id="4" xr3:uid="{00000000-0010-0000-0900-000004000000}" name="Paid Ads"/>
    <tableColumn id="5" xr3:uid="{00000000-0010-0000-0900-000005000000}" name="Content &amp; SEO"/>
    <tableColumn id="6" xr3:uid="{00000000-0010-0000-0900-000006000000}" name="Partner Commissions"/>
    <tableColumn id="7" xr3:uid="{00000000-0010-0000-0900-000007000000}" name="Tools &amp; Software"/>
    <tableColumn id="8" xr3:uid="{00000000-0010-0000-0900-000008000000}" name="Events"/>
    <tableColumn id="9" xr3:uid="{00000000-0010-0000-0900-000009000000}" name="Total S&amp;M"/>
    <tableColumn id="10" xr3:uid="{00000000-0010-0000-0900-00000A000000}" name="New Customers"/>
  </tableColumns>
  <tableStyleInfo name="Unit Economic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9" displayName="Table_9" ref="A1:D7">
  <tableColumns count="4">
    <tableColumn id="1" xr3:uid="{00000000-0010-0000-0A00-000001000000}" name="plan_name"/>
    <tableColumn id="2" xr3:uid="{00000000-0010-0000-0A00-000002000000}" name="monthly_price"/>
    <tableColumn id="3" xr3:uid="{00000000-0010-0000-0A00-000003000000}" name="monthly_cost"/>
    <tableColumn id="4" xr3:uid="{00000000-0010-0000-0A00-000004000000}" name="gross_margin"/>
  </tableColumns>
  <tableStyleInfo nam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FC353A-CC90-4FDB-99E3-16E88AEADD4B}">
  <we:reference id="wa200009404" version="1.0.0.8" store="en-US" storeType="OMEX"/>
  <we:alternateReferences>
    <we:reference id="wa200009404" version="1.0.0.8" store="" storeType="OMEX"/>
  </we:alternateReferences>
  <we:properties>
    <we:property name="claude.fileId" value="&quot;61fe4ea4-2963-4f43-be5f-ca671ff6b0e8&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G38"/>
  <sheetViews>
    <sheetView workbookViewId="0">
      <selection activeCell="N17" sqref="N17"/>
    </sheetView>
  </sheetViews>
  <sheetFormatPr defaultColWidth="14.42578125" defaultRowHeight="15" customHeight="1" x14ac:dyDescent="0.25"/>
  <cols>
    <col min="1" max="1" width="16.28515625" customWidth="1"/>
  </cols>
  <sheetData>
    <row r="2" spans="1:7" x14ac:dyDescent="0.25">
      <c r="A2" s="1" t="s">
        <v>0</v>
      </c>
      <c r="B2" s="1" t="s">
        <v>1</v>
      </c>
      <c r="C2" s="1" t="s">
        <v>2</v>
      </c>
      <c r="D2" s="1" t="s">
        <v>3</v>
      </c>
      <c r="E2" s="1" t="s">
        <v>4</v>
      </c>
      <c r="F2" s="1" t="s">
        <v>5</v>
      </c>
      <c r="G2" s="1" t="s">
        <v>6</v>
      </c>
    </row>
    <row r="3" spans="1:7" x14ac:dyDescent="0.25">
      <c r="A3" s="1" t="s">
        <v>7</v>
      </c>
      <c r="C3" s="2"/>
    </row>
    <row r="4" spans="1:7" x14ac:dyDescent="0.25">
      <c r="A4" s="3" t="s">
        <v>8</v>
      </c>
      <c r="B4" s="1">
        <v>500</v>
      </c>
      <c r="C4" s="2">
        <v>20</v>
      </c>
      <c r="D4" s="2">
        <f>E4+F4</f>
        <v>1340</v>
      </c>
      <c r="E4" s="2">
        <f>(B5-B4)*C4</f>
        <v>800</v>
      </c>
      <c r="F4" s="2">
        <f>(C5-C4)*B5</f>
        <v>540</v>
      </c>
      <c r="G4" s="1" t="str">
        <f>IF(E4&gt;F4, "Volume", "Price")</f>
        <v>Volume</v>
      </c>
    </row>
    <row r="5" spans="1:7" x14ac:dyDescent="0.25">
      <c r="A5" s="3" t="s">
        <v>9</v>
      </c>
      <c r="B5" s="1">
        <v>540</v>
      </c>
      <c r="C5" s="2">
        <v>21</v>
      </c>
    </row>
    <row r="6" spans="1:7" x14ac:dyDescent="0.25">
      <c r="A6" s="1" t="s">
        <v>10</v>
      </c>
      <c r="C6" s="2"/>
    </row>
    <row r="7" spans="1:7" x14ac:dyDescent="0.25">
      <c r="A7" s="3" t="s">
        <v>8</v>
      </c>
      <c r="B7" s="1">
        <v>1000</v>
      </c>
      <c r="C7" s="2">
        <v>50</v>
      </c>
      <c r="D7" s="2">
        <f>E7+F7</f>
        <v>2250</v>
      </c>
      <c r="E7" s="2">
        <f>(B8-B7)*C7</f>
        <v>-2500</v>
      </c>
      <c r="F7" s="2">
        <f>(C8-C7)*B8</f>
        <v>4750</v>
      </c>
      <c r="G7" s="1" t="str">
        <f>IF(E7&gt;F7, "Volume", "Price")</f>
        <v>Price</v>
      </c>
    </row>
    <row r="8" spans="1:7" x14ac:dyDescent="0.25">
      <c r="A8" s="3" t="s">
        <v>9</v>
      </c>
      <c r="B8" s="1">
        <v>950</v>
      </c>
      <c r="C8" s="2">
        <v>55</v>
      </c>
    </row>
    <row r="9" spans="1:7" x14ac:dyDescent="0.25">
      <c r="A9" s="1" t="s">
        <v>11</v>
      </c>
      <c r="C9" s="2"/>
    </row>
    <row r="10" spans="1:7" x14ac:dyDescent="0.25">
      <c r="A10" s="3" t="s">
        <v>8</v>
      </c>
      <c r="B10" s="1">
        <v>2000</v>
      </c>
      <c r="C10" s="2">
        <v>8</v>
      </c>
      <c r="D10" s="2">
        <f>E10+F10</f>
        <v>2000</v>
      </c>
      <c r="E10" s="2">
        <f>(B11-B10)*C10</f>
        <v>3200</v>
      </c>
      <c r="F10" s="2">
        <f>(C11-C10)*B11</f>
        <v>-1200</v>
      </c>
      <c r="G10" s="1" t="str">
        <f>IF(E10&gt;F10, "Volume", "Price")</f>
        <v>Volume</v>
      </c>
    </row>
    <row r="11" spans="1:7" x14ac:dyDescent="0.25">
      <c r="A11" s="3" t="s">
        <v>9</v>
      </c>
      <c r="B11" s="1">
        <v>2400</v>
      </c>
      <c r="C11" s="2">
        <v>7.5</v>
      </c>
    </row>
    <row r="12" spans="1:7" x14ac:dyDescent="0.25">
      <c r="A12" s="1" t="s">
        <v>12</v>
      </c>
      <c r="C12" s="2"/>
    </row>
    <row r="13" spans="1:7" x14ac:dyDescent="0.25">
      <c r="A13" s="3" t="s">
        <v>13</v>
      </c>
      <c r="B13" s="1">
        <v>50</v>
      </c>
      <c r="C13" s="2">
        <v>3000</v>
      </c>
      <c r="D13" s="2">
        <f>E13+F13</f>
        <v>29200</v>
      </c>
      <c r="E13" s="2">
        <f>(B14-B13)*C13</f>
        <v>18000</v>
      </c>
      <c r="F13" s="2">
        <f>(C14-C13)*B14</f>
        <v>11200</v>
      </c>
      <c r="G13" s="1" t="str">
        <f>IF(E13&gt;F13, "Volume", "Price")</f>
        <v>Volume</v>
      </c>
    </row>
    <row r="14" spans="1:7" x14ac:dyDescent="0.25">
      <c r="A14" s="3" t="s">
        <v>14</v>
      </c>
      <c r="B14" s="1">
        <v>56</v>
      </c>
      <c r="C14" s="2">
        <v>3200</v>
      </c>
    </row>
    <row r="15" spans="1:7" x14ac:dyDescent="0.25">
      <c r="C15" s="2"/>
    </row>
    <row r="16" spans="1:7" x14ac:dyDescent="0.25">
      <c r="A16" s="4" t="s">
        <v>15</v>
      </c>
      <c r="C16" s="2"/>
    </row>
    <row r="17" spans="1:3" x14ac:dyDescent="0.25">
      <c r="A17" s="1" t="s">
        <v>16</v>
      </c>
      <c r="C17" s="2"/>
    </row>
    <row r="18" spans="1:3" x14ac:dyDescent="0.25">
      <c r="A18" s="1" t="s">
        <v>17</v>
      </c>
      <c r="C18" s="2"/>
    </row>
    <row r="19" spans="1:3" x14ac:dyDescent="0.25">
      <c r="A19" s="1" t="s">
        <v>18</v>
      </c>
      <c r="C19" s="2"/>
    </row>
    <row r="20" spans="1:3" x14ac:dyDescent="0.25">
      <c r="A20" s="1" t="s">
        <v>19</v>
      </c>
      <c r="C20" s="2"/>
    </row>
    <row r="21" spans="1:3" x14ac:dyDescent="0.25">
      <c r="A21" s="1" t="s">
        <v>20</v>
      </c>
      <c r="C21" s="2"/>
    </row>
    <row r="22" spans="1:3" x14ac:dyDescent="0.25">
      <c r="C22" s="2"/>
    </row>
    <row r="23" spans="1:3" x14ac:dyDescent="0.25">
      <c r="A23" s="4" t="s">
        <v>21</v>
      </c>
      <c r="C23" s="2"/>
    </row>
    <row r="24" spans="1:3" x14ac:dyDescent="0.25">
      <c r="A24" s="1" t="s">
        <v>22</v>
      </c>
      <c r="C24" s="2"/>
    </row>
    <row r="25" spans="1:3" x14ac:dyDescent="0.25">
      <c r="A25" s="1" t="s">
        <v>23</v>
      </c>
      <c r="C25" s="2"/>
    </row>
    <row r="26" spans="1:3" x14ac:dyDescent="0.25">
      <c r="A26" s="1" t="s">
        <v>24</v>
      </c>
      <c r="C26" s="2"/>
    </row>
    <row r="27" spans="1:3" x14ac:dyDescent="0.25">
      <c r="A27" s="1" t="s">
        <v>25</v>
      </c>
      <c r="C27" s="2"/>
    </row>
    <row r="28" spans="1:3" x14ac:dyDescent="0.25">
      <c r="A28" s="1" t="s">
        <v>26</v>
      </c>
      <c r="C28" s="2"/>
    </row>
    <row r="29" spans="1:3" x14ac:dyDescent="0.25">
      <c r="A29" s="1" t="s">
        <v>27</v>
      </c>
      <c r="C29" s="2"/>
    </row>
    <row r="30" spans="1:3" x14ac:dyDescent="0.25">
      <c r="C30" s="2"/>
    </row>
    <row r="31" spans="1:3" x14ac:dyDescent="0.25">
      <c r="C31" s="2"/>
    </row>
    <row r="32" spans="1:3" x14ac:dyDescent="0.25">
      <c r="C32" s="2"/>
    </row>
    <row r="33" spans="3:3" x14ac:dyDescent="0.25">
      <c r="C33" s="2"/>
    </row>
    <row r="34" spans="3:3" x14ac:dyDescent="0.25">
      <c r="C34" s="2"/>
    </row>
    <row r="35" spans="3:3" x14ac:dyDescent="0.25">
      <c r="C35" s="2"/>
    </row>
    <row r="36" spans="3:3" x14ac:dyDescent="0.25">
      <c r="C36" s="2"/>
    </row>
    <row r="37" spans="3:3" x14ac:dyDescent="0.25">
      <c r="C37" s="2"/>
    </row>
    <row r="38" spans="3:3" x14ac:dyDescent="0.25">
      <c r="C38"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workbookViewId="0"/>
  </sheetViews>
  <sheetFormatPr defaultColWidth="14.42578125" defaultRowHeight="15" customHeight="1" x14ac:dyDescent="0.25"/>
  <cols>
    <col min="1" max="1" width="14.140625" customWidth="1"/>
    <col min="2" max="2" width="16.28515625" customWidth="1"/>
    <col min="3" max="3" width="13.42578125" customWidth="1"/>
    <col min="4" max="4" width="13.28515625" customWidth="1"/>
    <col min="5" max="5" width="24.42578125" customWidth="1"/>
    <col min="6" max="6" width="15.5703125" customWidth="1"/>
    <col min="7" max="7" width="17" customWidth="1"/>
    <col min="8" max="8" width="12.7109375" customWidth="1"/>
    <col min="9" max="9" width="13.28515625" customWidth="1"/>
    <col min="10" max="10" width="12.42578125" customWidth="1"/>
    <col min="11" max="11" width="7.140625" customWidth="1"/>
    <col min="12" max="12" width="15.28515625" customWidth="1"/>
    <col min="13" max="13" width="9.85546875" customWidth="1"/>
    <col min="14" max="14" width="13.5703125" customWidth="1"/>
    <col min="15" max="16" width="17.5703125" customWidth="1"/>
    <col min="17" max="17" width="8" customWidth="1"/>
    <col min="18" max="18" width="15.140625" customWidth="1"/>
    <col min="19" max="19" width="14.85546875" customWidth="1"/>
    <col min="20" max="26" width="8.7109375" customWidth="1"/>
  </cols>
  <sheetData>
    <row r="1" spans="1:19" ht="14.25" customHeight="1" x14ac:dyDescent="0.25">
      <c r="A1" s="5" t="s">
        <v>28</v>
      </c>
      <c r="B1" s="5" t="s">
        <v>29</v>
      </c>
      <c r="C1" s="5" t="s">
        <v>30</v>
      </c>
      <c r="D1" s="5" t="s">
        <v>31</v>
      </c>
      <c r="E1" s="5" t="s">
        <v>32</v>
      </c>
      <c r="F1" s="5" t="s">
        <v>33</v>
      </c>
      <c r="G1" s="5" t="s">
        <v>34</v>
      </c>
      <c r="H1" s="5" t="s">
        <v>35</v>
      </c>
      <c r="I1" s="5" t="s">
        <v>36</v>
      </c>
      <c r="J1" s="5" t="s">
        <v>37</v>
      </c>
      <c r="K1" s="5" t="s">
        <v>38</v>
      </c>
      <c r="L1" s="5" t="s">
        <v>39</v>
      </c>
      <c r="M1" s="5" t="s">
        <v>40</v>
      </c>
      <c r="N1" s="5" t="s">
        <v>41</v>
      </c>
      <c r="O1" s="5" t="s">
        <v>42</v>
      </c>
      <c r="P1" s="5" t="s">
        <v>43</v>
      </c>
      <c r="Q1" s="5" t="s">
        <v>44</v>
      </c>
      <c r="R1" s="5" t="s">
        <v>45</v>
      </c>
      <c r="S1" s="5" t="s">
        <v>46</v>
      </c>
    </row>
    <row r="2" spans="1:19" ht="14.25" customHeight="1" x14ac:dyDescent="0.25">
      <c r="A2" s="6" t="s">
        <v>47</v>
      </c>
      <c r="B2" s="6" t="s">
        <v>48</v>
      </c>
      <c r="C2" s="7">
        <v>46023</v>
      </c>
      <c r="D2" s="6" t="s">
        <v>49</v>
      </c>
      <c r="E2" s="6" t="s">
        <v>50</v>
      </c>
      <c r="F2" s="6" t="s">
        <v>51</v>
      </c>
      <c r="G2" s="6" t="s">
        <v>52</v>
      </c>
      <c r="H2" s="6" t="s">
        <v>53</v>
      </c>
      <c r="I2" s="7">
        <v>46023</v>
      </c>
      <c r="J2" s="7">
        <v>46053</v>
      </c>
      <c r="K2" s="6">
        <v>16</v>
      </c>
      <c r="L2" s="6">
        <v>85</v>
      </c>
      <c r="M2" s="6">
        <v>1360</v>
      </c>
      <c r="N2" s="6">
        <v>0</v>
      </c>
      <c r="O2" s="6">
        <v>0</v>
      </c>
      <c r="P2" s="6">
        <v>1360</v>
      </c>
      <c r="Q2" s="6" t="s">
        <v>54</v>
      </c>
      <c r="R2" s="7">
        <v>46023</v>
      </c>
      <c r="S2" s="6"/>
    </row>
    <row r="3" spans="1:19" ht="14.25" customHeight="1" x14ac:dyDescent="0.25">
      <c r="A3" s="8" t="s">
        <v>55</v>
      </c>
      <c r="B3" s="8" t="s">
        <v>56</v>
      </c>
      <c r="C3" s="9">
        <v>46023</v>
      </c>
      <c r="D3" s="8" t="s">
        <v>49</v>
      </c>
      <c r="E3" s="8" t="s">
        <v>50</v>
      </c>
      <c r="F3" s="8" t="s">
        <v>57</v>
      </c>
      <c r="G3" s="8" t="s">
        <v>58</v>
      </c>
      <c r="H3" s="8" t="s">
        <v>53</v>
      </c>
      <c r="I3" s="9">
        <v>46023</v>
      </c>
      <c r="J3" s="9">
        <v>46053</v>
      </c>
      <c r="K3" s="8">
        <v>15</v>
      </c>
      <c r="L3" s="8">
        <v>45</v>
      </c>
      <c r="M3" s="8">
        <v>675</v>
      </c>
      <c r="N3" s="8">
        <v>12</v>
      </c>
      <c r="O3" s="8">
        <v>81</v>
      </c>
      <c r="P3" s="8">
        <v>594</v>
      </c>
      <c r="Q3" s="8" t="s">
        <v>54</v>
      </c>
      <c r="R3" s="9">
        <v>46023</v>
      </c>
      <c r="S3" s="8"/>
    </row>
    <row r="4" spans="1:19" ht="14.25" customHeight="1" x14ac:dyDescent="0.25">
      <c r="A4" s="6" t="s">
        <v>59</v>
      </c>
      <c r="B4" s="6" t="s">
        <v>60</v>
      </c>
      <c r="C4" s="7">
        <v>46024</v>
      </c>
      <c r="D4" s="6" t="s">
        <v>61</v>
      </c>
      <c r="E4" s="6" t="s">
        <v>62</v>
      </c>
      <c r="F4" s="6" t="s">
        <v>63</v>
      </c>
      <c r="G4" s="6" t="s">
        <v>64</v>
      </c>
      <c r="H4" s="6" t="s">
        <v>53</v>
      </c>
      <c r="I4" s="7">
        <v>46024</v>
      </c>
      <c r="J4" s="7">
        <v>46053</v>
      </c>
      <c r="K4" s="6">
        <v>35</v>
      </c>
      <c r="L4" s="6">
        <v>180</v>
      </c>
      <c r="M4" s="6">
        <v>6300</v>
      </c>
      <c r="N4" s="6">
        <v>0</v>
      </c>
      <c r="O4" s="6">
        <v>0</v>
      </c>
      <c r="P4" s="6">
        <v>6300</v>
      </c>
      <c r="Q4" s="6" t="s">
        <v>54</v>
      </c>
      <c r="R4" s="7">
        <v>46024</v>
      </c>
      <c r="S4" s="6"/>
    </row>
    <row r="5" spans="1:19" ht="14.25" customHeight="1" x14ac:dyDescent="0.25">
      <c r="A5" s="8" t="s">
        <v>65</v>
      </c>
      <c r="B5" s="8" t="s">
        <v>66</v>
      </c>
      <c r="C5" s="9">
        <v>46025</v>
      </c>
      <c r="D5" s="8" t="s">
        <v>67</v>
      </c>
      <c r="E5" s="8" t="s">
        <v>68</v>
      </c>
      <c r="F5" s="8" t="s">
        <v>69</v>
      </c>
      <c r="G5" s="8" t="s">
        <v>52</v>
      </c>
      <c r="H5" s="8" t="s">
        <v>53</v>
      </c>
      <c r="I5" s="9">
        <v>46025</v>
      </c>
      <c r="J5" s="9">
        <v>46053</v>
      </c>
      <c r="K5" s="8">
        <v>22</v>
      </c>
      <c r="L5" s="8">
        <v>85</v>
      </c>
      <c r="M5" s="8">
        <v>1870</v>
      </c>
      <c r="N5" s="8">
        <v>0</v>
      </c>
      <c r="O5" s="8">
        <v>0</v>
      </c>
      <c r="P5" s="8">
        <v>1870</v>
      </c>
      <c r="Q5" s="8" t="s">
        <v>54</v>
      </c>
      <c r="R5" s="9">
        <v>46025</v>
      </c>
      <c r="S5" s="8"/>
    </row>
    <row r="6" spans="1:19" ht="14.25" customHeight="1" x14ac:dyDescent="0.25">
      <c r="A6" s="6" t="s">
        <v>70</v>
      </c>
      <c r="B6" s="6" t="s">
        <v>71</v>
      </c>
      <c r="C6" s="7">
        <v>46027</v>
      </c>
      <c r="D6" s="6" t="s">
        <v>72</v>
      </c>
      <c r="E6" s="6" t="s">
        <v>73</v>
      </c>
      <c r="F6" s="6" t="s">
        <v>74</v>
      </c>
      <c r="G6" s="6" t="s">
        <v>52</v>
      </c>
      <c r="H6" s="6" t="s">
        <v>53</v>
      </c>
      <c r="I6" s="7">
        <v>46027</v>
      </c>
      <c r="J6" s="7">
        <v>46053</v>
      </c>
      <c r="K6" s="6">
        <v>23</v>
      </c>
      <c r="L6" s="6">
        <v>85</v>
      </c>
      <c r="M6" s="6">
        <v>1955</v>
      </c>
      <c r="N6" s="6">
        <v>0</v>
      </c>
      <c r="O6" s="6">
        <v>0</v>
      </c>
      <c r="P6" s="6">
        <v>1955</v>
      </c>
      <c r="Q6" s="6" t="s">
        <v>54</v>
      </c>
      <c r="R6" s="7">
        <v>46027</v>
      </c>
      <c r="S6" s="6"/>
    </row>
    <row r="7" spans="1:19" ht="14.25" customHeight="1" x14ac:dyDescent="0.25">
      <c r="A7" s="8" t="s">
        <v>75</v>
      </c>
      <c r="B7" s="8" t="s">
        <v>76</v>
      </c>
      <c r="C7" s="9">
        <v>46027</v>
      </c>
      <c r="D7" s="8" t="s">
        <v>77</v>
      </c>
      <c r="E7" s="8" t="s">
        <v>78</v>
      </c>
      <c r="F7" s="8" t="s">
        <v>79</v>
      </c>
      <c r="G7" s="8" t="s">
        <v>52</v>
      </c>
      <c r="H7" s="8" t="s">
        <v>53</v>
      </c>
      <c r="I7" s="9">
        <v>46027</v>
      </c>
      <c r="J7" s="9">
        <v>46053</v>
      </c>
      <c r="K7" s="8">
        <v>33</v>
      </c>
      <c r="L7" s="8">
        <v>85</v>
      </c>
      <c r="M7" s="8">
        <v>2805</v>
      </c>
      <c r="N7" s="8">
        <v>0</v>
      </c>
      <c r="O7" s="8">
        <v>0</v>
      </c>
      <c r="P7" s="8">
        <v>2805</v>
      </c>
      <c r="Q7" s="8" t="s">
        <v>54</v>
      </c>
      <c r="R7" s="9">
        <v>46027</v>
      </c>
      <c r="S7" s="8"/>
    </row>
    <row r="8" spans="1:19" ht="14.25" customHeight="1" x14ac:dyDescent="0.25">
      <c r="A8" s="6" t="s">
        <v>80</v>
      </c>
      <c r="B8" s="6" t="s">
        <v>81</v>
      </c>
      <c r="C8" s="7">
        <v>46027</v>
      </c>
      <c r="D8" s="6" t="s">
        <v>82</v>
      </c>
      <c r="E8" s="6" t="s">
        <v>83</v>
      </c>
      <c r="F8" s="6" t="s">
        <v>84</v>
      </c>
      <c r="G8" s="6" t="s">
        <v>64</v>
      </c>
      <c r="H8" s="6" t="s">
        <v>53</v>
      </c>
      <c r="I8" s="7">
        <v>46027</v>
      </c>
      <c r="J8" s="7">
        <v>46053</v>
      </c>
      <c r="K8" s="6">
        <v>31</v>
      </c>
      <c r="L8" s="6">
        <v>180</v>
      </c>
      <c r="M8" s="6">
        <v>5580</v>
      </c>
      <c r="N8" s="6">
        <v>0</v>
      </c>
      <c r="O8" s="6">
        <v>0</v>
      </c>
      <c r="P8" s="6">
        <v>5580</v>
      </c>
      <c r="Q8" s="6" t="s">
        <v>54</v>
      </c>
      <c r="R8" s="7">
        <v>46027</v>
      </c>
      <c r="S8" s="6"/>
    </row>
    <row r="9" spans="1:19" ht="14.25" customHeight="1" x14ac:dyDescent="0.25">
      <c r="A9" s="8" t="s">
        <v>85</v>
      </c>
      <c r="B9" s="8" t="s">
        <v>86</v>
      </c>
      <c r="C9" s="9">
        <v>46027</v>
      </c>
      <c r="D9" s="8" t="s">
        <v>87</v>
      </c>
      <c r="E9" s="8" t="s">
        <v>88</v>
      </c>
      <c r="F9" s="8" t="s">
        <v>89</v>
      </c>
      <c r="G9" s="8" t="s">
        <v>52</v>
      </c>
      <c r="H9" s="8" t="s">
        <v>53</v>
      </c>
      <c r="I9" s="9">
        <v>46027</v>
      </c>
      <c r="J9" s="9">
        <v>46053</v>
      </c>
      <c r="K9" s="8">
        <v>22</v>
      </c>
      <c r="L9" s="8">
        <v>85</v>
      </c>
      <c r="M9" s="8">
        <v>1870</v>
      </c>
      <c r="N9" s="8">
        <v>0</v>
      </c>
      <c r="O9" s="8">
        <v>0</v>
      </c>
      <c r="P9" s="8">
        <v>1870</v>
      </c>
      <c r="Q9" s="8" t="s">
        <v>54</v>
      </c>
      <c r="R9" s="9">
        <v>46027</v>
      </c>
      <c r="S9" s="8"/>
    </row>
    <row r="10" spans="1:19" ht="14.25" customHeight="1" x14ac:dyDescent="0.25">
      <c r="A10" s="6" t="s">
        <v>90</v>
      </c>
      <c r="B10" s="6" t="s">
        <v>91</v>
      </c>
      <c r="C10" s="7">
        <v>46028</v>
      </c>
      <c r="D10" s="6" t="s">
        <v>82</v>
      </c>
      <c r="E10" s="6" t="s">
        <v>83</v>
      </c>
      <c r="F10" s="6" t="s">
        <v>92</v>
      </c>
      <c r="G10" s="6" t="s">
        <v>93</v>
      </c>
      <c r="H10" s="6" t="s">
        <v>53</v>
      </c>
      <c r="I10" s="7">
        <v>46028</v>
      </c>
      <c r="J10" s="7">
        <v>46053</v>
      </c>
      <c r="K10" s="6">
        <v>28</v>
      </c>
      <c r="L10" s="6">
        <v>110</v>
      </c>
      <c r="M10" s="6">
        <v>3080</v>
      </c>
      <c r="N10" s="6">
        <v>0</v>
      </c>
      <c r="O10" s="6">
        <v>0</v>
      </c>
      <c r="P10" s="6">
        <v>3080</v>
      </c>
      <c r="Q10" s="6" t="s">
        <v>54</v>
      </c>
      <c r="R10" s="7">
        <v>46028</v>
      </c>
      <c r="S10" s="6"/>
    </row>
    <row r="11" spans="1:19" ht="14.25" customHeight="1" x14ac:dyDescent="0.25">
      <c r="A11" s="8" t="s">
        <v>94</v>
      </c>
      <c r="B11" s="8" t="s">
        <v>95</v>
      </c>
      <c r="C11" s="9">
        <v>46030</v>
      </c>
      <c r="D11" s="8" t="s">
        <v>96</v>
      </c>
      <c r="E11" s="8" t="s">
        <v>97</v>
      </c>
      <c r="F11" s="8" t="s">
        <v>98</v>
      </c>
      <c r="G11" s="8" t="s">
        <v>52</v>
      </c>
      <c r="H11" s="8" t="s">
        <v>53</v>
      </c>
      <c r="I11" s="9">
        <v>46030</v>
      </c>
      <c r="J11" s="9">
        <v>46053</v>
      </c>
      <c r="K11" s="8">
        <v>28</v>
      </c>
      <c r="L11" s="8">
        <v>85</v>
      </c>
      <c r="M11" s="8">
        <v>2380</v>
      </c>
      <c r="N11" s="8">
        <v>0</v>
      </c>
      <c r="O11" s="8">
        <v>0</v>
      </c>
      <c r="P11" s="8">
        <v>2380</v>
      </c>
      <c r="Q11" s="8" t="s">
        <v>54</v>
      </c>
      <c r="R11" s="9">
        <v>46030</v>
      </c>
      <c r="S11" s="8"/>
    </row>
    <row r="12" spans="1:19" ht="14.25" customHeight="1" x14ac:dyDescent="0.25">
      <c r="A12" s="6" t="s">
        <v>99</v>
      </c>
      <c r="B12" s="6" t="s">
        <v>100</v>
      </c>
      <c r="C12" s="7">
        <v>46030</v>
      </c>
      <c r="D12" s="6" t="s">
        <v>101</v>
      </c>
      <c r="E12" s="6" t="s">
        <v>102</v>
      </c>
      <c r="F12" s="6" t="s">
        <v>103</v>
      </c>
      <c r="G12" s="6" t="s">
        <v>52</v>
      </c>
      <c r="H12" s="6" t="s">
        <v>53</v>
      </c>
      <c r="I12" s="7">
        <v>46030</v>
      </c>
      <c r="J12" s="7">
        <v>46053</v>
      </c>
      <c r="K12" s="6">
        <v>13</v>
      </c>
      <c r="L12" s="6">
        <v>85</v>
      </c>
      <c r="M12" s="6">
        <v>1105</v>
      </c>
      <c r="N12" s="6">
        <v>0</v>
      </c>
      <c r="O12" s="6">
        <v>0</v>
      </c>
      <c r="P12" s="6">
        <v>1105</v>
      </c>
      <c r="Q12" s="6" t="s">
        <v>54</v>
      </c>
      <c r="R12" s="7">
        <v>46030</v>
      </c>
      <c r="S12" s="6"/>
    </row>
    <row r="13" spans="1:19" ht="14.25" customHeight="1" x14ac:dyDescent="0.25">
      <c r="A13" s="8" t="s">
        <v>104</v>
      </c>
      <c r="B13" s="8" t="s">
        <v>105</v>
      </c>
      <c r="C13" s="9">
        <v>46030</v>
      </c>
      <c r="D13" s="8" t="s">
        <v>106</v>
      </c>
      <c r="E13" s="8" t="s">
        <v>107</v>
      </c>
      <c r="F13" s="8" t="s">
        <v>108</v>
      </c>
      <c r="G13" s="8" t="s">
        <v>93</v>
      </c>
      <c r="H13" s="8" t="s">
        <v>53</v>
      </c>
      <c r="I13" s="9">
        <v>46030</v>
      </c>
      <c r="J13" s="9">
        <v>46053</v>
      </c>
      <c r="K13" s="8">
        <v>26</v>
      </c>
      <c r="L13" s="8">
        <v>110</v>
      </c>
      <c r="M13" s="8">
        <v>2860</v>
      </c>
      <c r="N13" s="8">
        <v>0</v>
      </c>
      <c r="O13" s="8">
        <v>0</v>
      </c>
      <c r="P13" s="8">
        <v>2860</v>
      </c>
      <c r="Q13" s="8" t="s">
        <v>54</v>
      </c>
      <c r="R13" s="9">
        <v>46030</v>
      </c>
      <c r="S13" s="8"/>
    </row>
    <row r="14" spans="1:19" ht="14.25" customHeight="1" x14ac:dyDescent="0.25">
      <c r="A14" s="6" t="s">
        <v>109</v>
      </c>
      <c r="B14" s="6" t="s">
        <v>110</v>
      </c>
      <c r="C14" s="7">
        <v>46031</v>
      </c>
      <c r="D14" s="6" t="s">
        <v>111</v>
      </c>
      <c r="E14" s="6" t="s">
        <v>112</v>
      </c>
      <c r="F14" s="6" t="s">
        <v>113</v>
      </c>
      <c r="G14" s="6" t="s">
        <v>58</v>
      </c>
      <c r="H14" s="6" t="s">
        <v>53</v>
      </c>
      <c r="I14" s="7">
        <v>46031</v>
      </c>
      <c r="J14" s="7">
        <v>46053</v>
      </c>
      <c r="K14" s="6">
        <v>13</v>
      </c>
      <c r="L14" s="6">
        <v>45</v>
      </c>
      <c r="M14" s="6">
        <v>585</v>
      </c>
      <c r="N14" s="6">
        <v>0</v>
      </c>
      <c r="O14" s="6">
        <v>0</v>
      </c>
      <c r="P14" s="6">
        <v>585</v>
      </c>
      <c r="Q14" s="6" t="s">
        <v>54</v>
      </c>
      <c r="R14" s="7">
        <v>46031</v>
      </c>
      <c r="S14" s="6"/>
    </row>
    <row r="15" spans="1:19" ht="14.25" customHeight="1" x14ac:dyDescent="0.25">
      <c r="A15" s="8" t="s">
        <v>114</v>
      </c>
      <c r="B15" s="8" t="s">
        <v>115</v>
      </c>
      <c r="C15" s="9">
        <v>46032</v>
      </c>
      <c r="D15" s="8" t="s">
        <v>116</v>
      </c>
      <c r="E15" s="8" t="s">
        <v>117</v>
      </c>
      <c r="F15" s="8" t="s">
        <v>118</v>
      </c>
      <c r="G15" s="8" t="s">
        <v>119</v>
      </c>
      <c r="H15" s="8" t="s">
        <v>53</v>
      </c>
      <c r="I15" s="9">
        <v>46032</v>
      </c>
      <c r="J15" s="9">
        <v>46053</v>
      </c>
      <c r="K15" s="8">
        <v>23</v>
      </c>
      <c r="L15" s="8">
        <v>95</v>
      </c>
      <c r="M15" s="8">
        <v>2185</v>
      </c>
      <c r="N15" s="8">
        <v>0</v>
      </c>
      <c r="O15" s="8">
        <v>0</v>
      </c>
      <c r="P15" s="8">
        <v>2185</v>
      </c>
      <c r="Q15" s="8" t="s">
        <v>54</v>
      </c>
      <c r="R15" s="9">
        <v>46032</v>
      </c>
      <c r="S15" s="8"/>
    </row>
    <row r="16" spans="1:19" ht="14.25" customHeight="1" x14ac:dyDescent="0.25">
      <c r="A16" s="6" t="s">
        <v>120</v>
      </c>
      <c r="B16" s="6" t="s">
        <v>121</v>
      </c>
      <c r="C16" s="7">
        <v>46032</v>
      </c>
      <c r="D16" s="6" t="s">
        <v>72</v>
      </c>
      <c r="E16" s="6" t="s">
        <v>73</v>
      </c>
      <c r="F16" s="6" t="s">
        <v>122</v>
      </c>
      <c r="G16" s="6" t="s">
        <v>93</v>
      </c>
      <c r="H16" s="6" t="s">
        <v>53</v>
      </c>
      <c r="I16" s="7">
        <v>46032</v>
      </c>
      <c r="J16" s="7">
        <v>46053</v>
      </c>
      <c r="K16" s="6">
        <v>19</v>
      </c>
      <c r="L16" s="6">
        <v>110</v>
      </c>
      <c r="M16" s="6">
        <v>2090</v>
      </c>
      <c r="N16" s="6">
        <v>0</v>
      </c>
      <c r="O16" s="6">
        <v>0</v>
      </c>
      <c r="P16" s="6">
        <v>2090</v>
      </c>
      <c r="Q16" s="6" t="s">
        <v>54</v>
      </c>
      <c r="R16" s="7">
        <v>46032</v>
      </c>
      <c r="S16" s="6"/>
    </row>
    <row r="17" spans="1:19" ht="14.25" customHeight="1" x14ac:dyDescent="0.25">
      <c r="A17" s="8" t="s">
        <v>123</v>
      </c>
      <c r="B17" s="8" t="s">
        <v>124</v>
      </c>
      <c r="C17" s="9">
        <v>46032</v>
      </c>
      <c r="D17" s="8" t="s">
        <v>96</v>
      </c>
      <c r="E17" s="8" t="s">
        <v>97</v>
      </c>
      <c r="F17" s="8" t="s">
        <v>125</v>
      </c>
      <c r="G17" s="8" t="s">
        <v>93</v>
      </c>
      <c r="H17" s="8" t="s">
        <v>53</v>
      </c>
      <c r="I17" s="9">
        <v>46032</v>
      </c>
      <c r="J17" s="9">
        <v>46053</v>
      </c>
      <c r="K17" s="8">
        <v>23</v>
      </c>
      <c r="L17" s="8">
        <v>110</v>
      </c>
      <c r="M17" s="8">
        <v>2530</v>
      </c>
      <c r="N17" s="8">
        <v>0</v>
      </c>
      <c r="O17" s="8">
        <v>0</v>
      </c>
      <c r="P17" s="8">
        <v>2530</v>
      </c>
      <c r="Q17" s="8" t="s">
        <v>54</v>
      </c>
      <c r="R17" s="9">
        <v>46032</v>
      </c>
      <c r="S17" s="8"/>
    </row>
    <row r="18" spans="1:19" ht="14.25" customHeight="1" x14ac:dyDescent="0.25">
      <c r="A18" s="6" t="s">
        <v>126</v>
      </c>
      <c r="B18" s="6" t="s">
        <v>127</v>
      </c>
      <c r="C18" s="7">
        <v>46034</v>
      </c>
      <c r="D18" s="6" t="s">
        <v>128</v>
      </c>
      <c r="E18" s="6" t="s">
        <v>129</v>
      </c>
      <c r="F18" s="6" t="s">
        <v>130</v>
      </c>
      <c r="G18" s="6" t="s">
        <v>119</v>
      </c>
      <c r="H18" s="6" t="s">
        <v>53</v>
      </c>
      <c r="I18" s="7">
        <v>46034</v>
      </c>
      <c r="J18" s="7">
        <v>46053</v>
      </c>
      <c r="K18" s="6">
        <v>18</v>
      </c>
      <c r="L18" s="6">
        <v>95</v>
      </c>
      <c r="M18" s="6">
        <v>1710</v>
      </c>
      <c r="N18" s="6">
        <v>0</v>
      </c>
      <c r="O18" s="6">
        <v>0</v>
      </c>
      <c r="P18" s="6">
        <v>1710</v>
      </c>
      <c r="Q18" s="6" t="s">
        <v>54</v>
      </c>
      <c r="R18" s="7">
        <v>46034</v>
      </c>
      <c r="S18" s="6"/>
    </row>
    <row r="19" spans="1:19" ht="14.25" customHeight="1" x14ac:dyDescent="0.25">
      <c r="A19" s="8" t="s">
        <v>131</v>
      </c>
      <c r="B19" s="8" t="s">
        <v>132</v>
      </c>
      <c r="C19" s="9">
        <v>46034</v>
      </c>
      <c r="D19" s="8" t="s">
        <v>133</v>
      </c>
      <c r="E19" s="8" t="s">
        <v>134</v>
      </c>
      <c r="F19" s="8" t="s">
        <v>135</v>
      </c>
      <c r="G19" s="8" t="s">
        <v>52</v>
      </c>
      <c r="H19" s="8" t="s">
        <v>53</v>
      </c>
      <c r="I19" s="9">
        <v>46034</v>
      </c>
      <c r="J19" s="9">
        <v>46053</v>
      </c>
      <c r="K19" s="8">
        <v>38</v>
      </c>
      <c r="L19" s="8">
        <v>85</v>
      </c>
      <c r="M19" s="8">
        <v>3230</v>
      </c>
      <c r="N19" s="8">
        <v>0</v>
      </c>
      <c r="O19" s="8">
        <v>0</v>
      </c>
      <c r="P19" s="8">
        <v>3230</v>
      </c>
      <c r="Q19" s="8" t="s">
        <v>54</v>
      </c>
      <c r="R19" s="9">
        <v>46034</v>
      </c>
      <c r="S19" s="8"/>
    </row>
    <row r="20" spans="1:19" ht="14.25" customHeight="1" x14ac:dyDescent="0.25">
      <c r="A20" s="6" t="s">
        <v>136</v>
      </c>
      <c r="B20" s="6" t="s">
        <v>137</v>
      </c>
      <c r="C20" s="7">
        <v>46035</v>
      </c>
      <c r="D20" s="6" t="s">
        <v>101</v>
      </c>
      <c r="E20" s="6" t="s">
        <v>102</v>
      </c>
      <c r="F20" s="6" t="s">
        <v>138</v>
      </c>
      <c r="G20" s="6" t="s">
        <v>58</v>
      </c>
      <c r="H20" s="6" t="s">
        <v>53</v>
      </c>
      <c r="I20" s="7">
        <v>46035</v>
      </c>
      <c r="J20" s="7">
        <v>46053</v>
      </c>
      <c r="K20" s="6">
        <v>13</v>
      </c>
      <c r="L20" s="6">
        <v>45</v>
      </c>
      <c r="M20" s="6">
        <v>585</v>
      </c>
      <c r="N20" s="6">
        <v>0</v>
      </c>
      <c r="O20" s="6">
        <v>0</v>
      </c>
      <c r="P20" s="6">
        <v>585</v>
      </c>
      <c r="Q20" s="6" t="s">
        <v>54</v>
      </c>
      <c r="R20" s="7">
        <v>46035</v>
      </c>
      <c r="S20" s="6"/>
    </row>
    <row r="21" spans="1:19" ht="14.25" customHeight="1" x14ac:dyDescent="0.25">
      <c r="A21" s="8" t="s">
        <v>139</v>
      </c>
      <c r="B21" s="8" t="s">
        <v>140</v>
      </c>
      <c r="C21" s="9">
        <v>46036</v>
      </c>
      <c r="D21" s="8" t="s">
        <v>141</v>
      </c>
      <c r="E21" s="8" t="s">
        <v>142</v>
      </c>
      <c r="F21" s="8" t="s">
        <v>143</v>
      </c>
      <c r="G21" s="8" t="s">
        <v>58</v>
      </c>
      <c r="H21" s="8" t="s">
        <v>53</v>
      </c>
      <c r="I21" s="9">
        <v>46036</v>
      </c>
      <c r="J21" s="9">
        <v>46053</v>
      </c>
      <c r="K21" s="8">
        <v>16</v>
      </c>
      <c r="L21" s="8">
        <v>45</v>
      </c>
      <c r="M21" s="8">
        <v>720</v>
      </c>
      <c r="N21" s="8">
        <v>0</v>
      </c>
      <c r="O21" s="8">
        <v>0</v>
      </c>
      <c r="P21" s="8">
        <v>720</v>
      </c>
      <c r="Q21" s="8" t="s">
        <v>54</v>
      </c>
      <c r="R21" s="9">
        <v>46036</v>
      </c>
      <c r="S21" s="8"/>
    </row>
    <row r="22" spans="1:19" ht="14.25" customHeight="1" x14ac:dyDescent="0.25">
      <c r="A22" s="6" t="s">
        <v>144</v>
      </c>
      <c r="B22" s="6" t="s">
        <v>145</v>
      </c>
      <c r="C22" s="7">
        <v>46037</v>
      </c>
      <c r="D22" s="6" t="s">
        <v>146</v>
      </c>
      <c r="E22" s="6" t="s">
        <v>147</v>
      </c>
      <c r="F22" s="6" t="s">
        <v>148</v>
      </c>
      <c r="G22" s="6" t="s">
        <v>93</v>
      </c>
      <c r="H22" s="6" t="s">
        <v>53</v>
      </c>
      <c r="I22" s="7">
        <v>46037</v>
      </c>
      <c r="J22" s="7">
        <v>46053</v>
      </c>
      <c r="K22" s="6">
        <v>16</v>
      </c>
      <c r="L22" s="6">
        <v>110</v>
      </c>
      <c r="M22" s="6">
        <v>1760</v>
      </c>
      <c r="N22" s="6">
        <v>0</v>
      </c>
      <c r="O22" s="6">
        <v>0</v>
      </c>
      <c r="P22" s="6">
        <v>1760</v>
      </c>
      <c r="Q22" s="6" t="s">
        <v>54</v>
      </c>
      <c r="R22" s="7">
        <v>46037</v>
      </c>
      <c r="S22" s="6"/>
    </row>
    <row r="23" spans="1:19" ht="14.25" customHeight="1" x14ac:dyDescent="0.25">
      <c r="A23" s="8" t="s">
        <v>149</v>
      </c>
      <c r="B23" s="8" t="s">
        <v>150</v>
      </c>
      <c r="C23" s="9">
        <v>46037</v>
      </c>
      <c r="D23" s="8" t="s">
        <v>61</v>
      </c>
      <c r="E23" s="8" t="s">
        <v>62</v>
      </c>
      <c r="F23" s="8" t="s">
        <v>151</v>
      </c>
      <c r="G23" s="8" t="s">
        <v>52</v>
      </c>
      <c r="H23" s="8" t="s">
        <v>53</v>
      </c>
      <c r="I23" s="9">
        <v>46037</v>
      </c>
      <c r="J23" s="9">
        <v>46053</v>
      </c>
      <c r="K23" s="8">
        <v>35</v>
      </c>
      <c r="L23" s="8">
        <v>85</v>
      </c>
      <c r="M23" s="8">
        <v>2975</v>
      </c>
      <c r="N23" s="8">
        <v>0</v>
      </c>
      <c r="O23" s="8">
        <v>0</v>
      </c>
      <c r="P23" s="8">
        <v>2975</v>
      </c>
      <c r="Q23" s="8" t="s">
        <v>54</v>
      </c>
      <c r="R23" s="9">
        <v>46037</v>
      </c>
      <c r="S23" s="8"/>
    </row>
    <row r="24" spans="1:19" ht="14.25" customHeight="1" x14ac:dyDescent="0.25">
      <c r="A24" s="6" t="s">
        <v>152</v>
      </c>
      <c r="B24" s="6" t="s">
        <v>153</v>
      </c>
      <c r="C24" s="7">
        <v>46037</v>
      </c>
      <c r="D24" s="6" t="s">
        <v>154</v>
      </c>
      <c r="E24" s="6" t="s">
        <v>155</v>
      </c>
      <c r="F24" s="6" t="s">
        <v>156</v>
      </c>
      <c r="G24" s="6" t="s">
        <v>52</v>
      </c>
      <c r="H24" s="6" t="s">
        <v>53</v>
      </c>
      <c r="I24" s="7">
        <v>46037</v>
      </c>
      <c r="J24" s="7">
        <v>46053</v>
      </c>
      <c r="K24" s="6">
        <v>11</v>
      </c>
      <c r="L24" s="6">
        <v>85</v>
      </c>
      <c r="M24" s="6">
        <v>935</v>
      </c>
      <c r="N24" s="6">
        <v>0</v>
      </c>
      <c r="O24" s="6">
        <v>0</v>
      </c>
      <c r="P24" s="6">
        <v>935</v>
      </c>
      <c r="Q24" s="6" t="s">
        <v>54</v>
      </c>
      <c r="R24" s="7">
        <v>46037</v>
      </c>
      <c r="S24" s="6"/>
    </row>
    <row r="25" spans="1:19" ht="14.25" customHeight="1" x14ac:dyDescent="0.25">
      <c r="A25" s="8" t="s">
        <v>157</v>
      </c>
      <c r="B25" s="8" t="s">
        <v>158</v>
      </c>
      <c r="C25" s="9">
        <v>46038</v>
      </c>
      <c r="D25" s="8" t="s">
        <v>159</v>
      </c>
      <c r="E25" s="8" t="s">
        <v>160</v>
      </c>
      <c r="F25" s="8" t="s">
        <v>161</v>
      </c>
      <c r="G25" s="8" t="s">
        <v>52</v>
      </c>
      <c r="H25" s="8" t="s">
        <v>53</v>
      </c>
      <c r="I25" s="9">
        <v>46038</v>
      </c>
      <c r="J25" s="9">
        <v>46053</v>
      </c>
      <c r="K25" s="8">
        <v>19</v>
      </c>
      <c r="L25" s="8">
        <v>85</v>
      </c>
      <c r="M25" s="8">
        <v>1615</v>
      </c>
      <c r="N25" s="8">
        <v>0</v>
      </c>
      <c r="O25" s="8">
        <v>0</v>
      </c>
      <c r="P25" s="8">
        <v>1615</v>
      </c>
      <c r="Q25" s="8" t="s">
        <v>54</v>
      </c>
      <c r="R25" s="9">
        <v>46038</v>
      </c>
      <c r="S25" s="8"/>
    </row>
    <row r="26" spans="1:19" ht="14.25" customHeight="1" x14ac:dyDescent="0.25">
      <c r="A26" s="6" t="s">
        <v>162</v>
      </c>
      <c r="B26" s="6" t="s">
        <v>163</v>
      </c>
      <c r="C26" s="7">
        <v>46039</v>
      </c>
      <c r="D26" s="6" t="s">
        <v>164</v>
      </c>
      <c r="E26" s="6" t="s">
        <v>165</v>
      </c>
      <c r="F26" s="6" t="s">
        <v>166</v>
      </c>
      <c r="G26" s="6" t="s">
        <v>119</v>
      </c>
      <c r="H26" s="6" t="s">
        <v>53</v>
      </c>
      <c r="I26" s="7">
        <v>46039</v>
      </c>
      <c r="J26" s="7">
        <v>46053</v>
      </c>
      <c r="K26" s="6">
        <v>20</v>
      </c>
      <c r="L26" s="6">
        <v>95</v>
      </c>
      <c r="M26" s="6">
        <v>1900</v>
      </c>
      <c r="N26" s="6">
        <v>0</v>
      </c>
      <c r="O26" s="6">
        <v>0</v>
      </c>
      <c r="P26" s="6">
        <v>1900</v>
      </c>
      <c r="Q26" s="6" t="s">
        <v>54</v>
      </c>
      <c r="R26" s="7">
        <v>46039</v>
      </c>
      <c r="S26" s="6"/>
    </row>
    <row r="27" spans="1:19" ht="14.25" customHeight="1" x14ac:dyDescent="0.25">
      <c r="A27" s="8" t="s">
        <v>167</v>
      </c>
      <c r="B27" s="8" t="s">
        <v>168</v>
      </c>
      <c r="C27" s="9">
        <v>46039</v>
      </c>
      <c r="D27" s="8" t="s">
        <v>169</v>
      </c>
      <c r="E27" s="8" t="s">
        <v>170</v>
      </c>
      <c r="F27" s="8" t="s">
        <v>171</v>
      </c>
      <c r="G27" s="8" t="s">
        <v>64</v>
      </c>
      <c r="H27" s="8" t="s">
        <v>53</v>
      </c>
      <c r="I27" s="9">
        <v>46039</v>
      </c>
      <c r="J27" s="9">
        <v>46053</v>
      </c>
      <c r="K27" s="8">
        <v>26</v>
      </c>
      <c r="L27" s="8">
        <v>180</v>
      </c>
      <c r="M27" s="8">
        <v>4680</v>
      </c>
      <c r="N27" s="8">
        <v>0</v>
      </c>
      <c r="O27" s="8">
        <v>0</v>
      </c>
      <c r="P27" s="8">
        <v>4680</v>
      </c>
      <c r="Q27" s="8" t="s">
        <v>54</v>
      </c>
      <c r="R27" s="9">
        <v>46039</v>
      </c>
      <c r="S27" s="8"/>
    </row>
    <row r="28" spans="1:19" ht="14.25" customHeight="1" x14ac:dyDescent="0.25">
      <c r="A28" s="6" t="s">
        <v>172</v>
      </c>
      <c r="B28" s="6" t="s">
        <v>173</v>
      </c>
      <c r="C28" s="7">
        <v>46040</v>
      </c>
      <c r="D28" s="6" t="s">
        <v>174</v>
      </c>
      <c r="E28" s="6" t="s">
        <v>175</v>
      </c>
      <c r="F28" s="6" t="s">
        <v>176</v>
      </c>
      <c r="G28" s="6" t="s">
        <v>93</v>
      </c>
      <c r="H28" s="6" t="s">
        <v>53</v>
      </c>
      <c r="I28" s="7">
        <v>46040</v>
      </c>
      <c r="J28" s="7">
        <v>46053</v>
      </c>
      <c r="K28" s="6">
        <v>26</v>
      </c>
      <c r="L28" s="6">
        <v>110</v>
      </c>
      <c r="M28" s="6">
        <v>2860</v>
      </c>
      <c r="N28" s="6">
        <v>0</v>
      </c>
      <c r="O28" s="6">
        <v>0</v>
      </c>
      <c r="P28" s="6">
        <v>2860</v>
      </c>
      <c r="Q28" s="6" t="s">
        <v>54</v>
      </c>
      <c r="R28" s="7">
        <v>46040</v>
      </c>
      <c r="S28" s="6"/>
    </row>
    <row r="29" spans="1:19" ht="14.25" customHeight="1" x14ac:dyDescent="0.25">
      <c r="A29" s="8" t="s">
        <v>177</v>
      </c>
      <c r="B29" s="8" t="s">
        <v>178</v>
      </c>
      <c r="C29" s="9">
        <v>46041</v>
      </c>
      <c r="D29" s="8" t="s">
        <v>179</v>
      </c>
      <c r="E29" s="8" t="s">
        <v>180</v>
      </c>
      <c r="F29" s="8" t="s">
        <v>181</v>
      </c>
      <c r="G29" s="8" t="s">
        <v>93</v>
      </c>
      <c r="H29" s="8" t="s">
        <v>53</v>
      </c>
      <c r="I29" s="9">
        <v>46041</v>
      </c>
      <c r="J29" s="9">
        <v>46053</v>
      </c>
      <c r="K29" s="8">
        <v>18</v>
      </c>
      <c r="L29" s="8">
        <v>110</v>
      </c>
      <c r="M29" s="8">
        <v>1980</v>
      </c>
      <c r="N29" s="8">
        <v>0</v>
      </c>
      <c r="O29" s="8">
        <v>0</v>
      </c>
      <c r="P29" s="8">
        <v>1980</v>
      </c>
      <c r="Q29" s="8" t="s">
        <v>54</v>
      </c>
      <c r="R29" s="9">
        <v>46041</v>
      </c>
      <c r="S29" s="8"/>
    </row>
    <row r="30" spans="1:19" ht="14.25" customHeight="1" x14ac:dyDescent="0.25">
      <c r="A30" s="6" t="s">
        <v>182</v>
      </c>
      <c r="B30" s="6" t="s">
        <v>183</v>
      </c>
      <c r="C30" s="7">
        <v>46041</v>
      </c>
      <c r="D30" s="6" t="s">
        <v>184</v>
      </c>
      <c r="E30" s="6" t="s">
        <v>185</v>
      </c>
      <c r="F30" s="6" t="s">
        <v>186</v>
      </c>
      <c r="G30" s="6" t="s">
        <v>58</v>
      </c>
      <c r="H30" s="6" t="s">
        <v>53</v>
      </c>
      <c r="I30" s="7">
        <v>46041</v>
      </c>
      <c r="J30" s="7">
        <v>46053</v>
      </c>
      <c r="K30" s="6">
        <v>12</v>
      </c>
      <c r="L30" s="6">
        <v>45</v>
      </c>
      <c r="M30" s="6">
        <v>540</v>
      </c>
      <c r="N30" s="6">
        <v>0</v>
      </c>
      <c r="O30" s="6">
        <v>0</v>
      </c>
      <c r="P30" s="6">
        <v>540</v>
      </c>
      <c r="Q30" s="6" t="s">
        <v>54</v>
      </c>
      <c r="R30" s="7">
        <v>46041</v>
      </c>
      <c r="S30" s="6"/>
    </row>
    <row r="31" spans="1:19" ht="14.25" customHeight="1" x14ac:dyDescent="0.25">
      <c r="A31" s="8" t="s">
        <v>187</v>
      </c>
      <c r="B31" s="8" t="s">
        <v>188</v>
      </c>
      <c r="C31" s="9">
        <v>46042</v>
      </c>
      <c r="D31" s="8" t="s">
        <v>189</v>
      </c>
      <c r="E31" s="8" t="s">
        <v>190</v>
      </c>
      <c r="F31" s="8" t="s">
        <v>191</v>
      </c>
      <c r="G31" s="8" t="s">
        <v>58</v>
      </c>
      <c r="H31" s="8" t="s">
        <v>53</v>
      </c>
      <c r="I31" s="9">
        <v>46042</v>
      </c>
      <c r="J31" s="9">
        <v>46053</v>
      </c>
      <c r="K31" s="8">
        <v>15</v>
      </c>
      <c r="L31" s="8">
        <v>45</v>
      </c>
      <c r="M31" s="8">
        <v>675</v>
      </c>
      <c r="N31" s="8">
        <v>0</v>
      </c>
      <c r="O31" s="8">
        <v>0</v>
      </c>
      <c r="P31" s="8">
        <v>675</v>
      </c>
      <c r="Q31" s="8" t="s">
        <v>192</v>
      </c>
      <c r="R31" s="8"/>
      <c r="S31" s="8" t="s">
        <v>193</v>
      </c>
    </row>
    <row r="32" spans="1:19" ht="14.25" customHeight="1" x14ac:dyDescent="0.25">
      <c r="A32" s="6" t="s">
        <v>194</v>
      </c>
      <c r="B32" s="6" t="s">
        <v>195</v>
      </c>
      <c r="C32" s="7">
        <v>46042</v>
      </c>
      <c r="D32" s="6" t="s">
        <v>196</v>
      </c>
      <c r="E32" s="6" t="s">
        <v>197</v>
      </c>
      <c r="F32" s="6" t="s">
        <v>198</v>
      </c>
      <c r="G32" s="6" t="s">
        <v>119</v>
      </c>
      <c r="H32" s="6" t="s">
        <v>53</v>
      </c>
      <c r="I32" s="7">
        <v>46042</v>
      </c>
      <c r="J32" s="7">
        <v>46053</v>
      </c>
      <c r="K32" s="6">
        <v>35</v>
      </c>
      <c r="L32" s="6">
        <v>95</v>
      </c>
      <c r="M32" s="6">
        <v>3325</v>
      </c>
      <c r="N32" s="6">
        <v>0</v>
      </c>
      <c r="O32" s="6">
        <v>0</v>
      </c>
      <c r="P32" s="6">
        <v>3325</v>
      </c>
      <c r="Q32" s="6" t="s">
        <v>54</v>
      </c>
      <c r="R32" s="7">
        <v>46042</v>
      </c>
      <c r="S32" s="6"/>
    </row>
    <row r="33" spans="1:19" ht="14.25" customHeight="1" x14ac:dyDescent="0.25">
      <c r="A33" s="8" t="s">
        <v>199</v>
      </c>
      <c r="B33" s="8" t="s">
        <v>200</v>
      </c>
      <c r="C33" s="9">
        <v>46042</v>
      </c>
      <c r="D33" s="8" t="s">
        <v>201</v>
      </c>
      <c r="E33" s="8" t="s">
        <v>202</v>
      </c>
      <c r="F33" s="8" t="s">
        <v>203</v>
      </c>
      <c r="G33" s="8" t="s">
        <v>119</v>
      </c>
      <c r="H33" s="8" t="s">
        <v>53</v>
      </c>
      <c r="I33" s="9">
        <v>46042</v>
      </c>
      <c r="J33" s="9">
        <v>46053</v>
      </c>
      <c r="K33" s="8">
        <v>12</v>
      </c>
      <c r="L33" s="8">
        <v>95</v>
      </c>
      <c r="M33" s="8">
        <v>1140</v>
      </c>
      <c r="N33" s="8">
        <v>0</v>
      </c>
      <c r="O33" s="8">
        <v>0</v>
      </c>
      <c r="P33" s="8">
        <v>1140</v>
      </c>
      <c r="Q33" s="8" t="s">
        <v>54</v>
      </c>
      <c r="R33" s="9">
        <v>46042</v>
      </c>
      <c r="S33" s="8"/>
    </row>
    <row r="34" spans="1:19" ht="14.25" customHeight="1" x14ac:dyDescent="0.25">
      <c r="A34" s="6" t="s">
        <v>204</v>
      </c>
      <c r="B34" s="6" t="s">
        <v>205</v>
      </c>
      <c r="C34" s="7">
        <v>46044</v>
      </c>
      <c r="D34" s="6" t="s">
        <v>206</v>
      </c>
      <c r="E34" s="6" t="s">
        <v>207</v>
      </c>
      <c r="F34" s="6" t="s">
        <v>208</v>
      </c>
      <c r="G34" s="6" t="s">
        <v>209</v>
      </c>
      <c r="H34" s="6" t="s">
        <v>210</v>
      </c>
      <c r="I34" s="7">
        <v>46044</v>
      </c>
      <c r="J34" s="7">
        <v>46408</v>
      </c>
      <c r="K34" s="6">
        <v>26</v>
      </c>
      <c r="L34" s="6">
        <v>1800</v>
      </c>
      <c r="M34" s="6">
        <v>46800</v>
      </c>
      <c r="N34" s="6">
        <v>0</v>
      </c>
      <c r="O34" s="6">
        <v>0</v>
      </c>
      <c r="P34" s="6">
        <v>46800</v>
      </c>
      <c r="Q34" s="6" t="s">
        <v>54</v>
      </c>
      <c r="R34" s="7">
        <v>46044</v>
      </c>
      <c r="S34" s="6"/>
    </row>
    <row r="35" spans="1:19" ht="14.25" customHeight="1" x14ac:dyDescent="0.25">
      <c r="A35" s="8" t="s">
        <v>211</v>
      </c>
      <c r="B35" s="8" t="s">
        <v>212</v>
      </c>
      <c r="C35" s="9">
        <v>46044</v>
      </c>
      <c r="D35" s="8" t="s">
        <v>213</v>
      </c>
      <c r="E35" s="8" t="s">
        <v>214</v>
      </c>
      <c r="F35" s="8" t="s">
        <v>215</v>
      </c>
      <c r="G35" s="8" t="s">
        <v>64</v>
      </c>
      <c r="H35" s="8" t="s">
        <v>53</v>
      </c>
      <c r="I35" s="9">
        <v>46044</v>
      </c>
      <c r="J35" s="9">
        <v>46053</v>
      </c>
      <c r="K35" s="8">
        <v>20</v>
      </c>
      <c r="L35" s="8">
        <v>180</v>
      </c>
      <c r="M35" s="8">
        <v>3600</v>
      </c>
      <c r="N35" s="8">
        <v>0</v>
      </c>
      <c r="O35" s="8">
        <v>0</v>
      </c>
      <c r="P35" s="8">
        <v>3600</v>
      </c>
      <c r="Q35" s="8" t="s">
        <v>54</v>
      </c>
      <c r="R35" s="9">
        <v>46044</v>
      </c>
      <c r="S35" s="8"/>
    </row>
    <row r="36" spans="1:19" ht="14.25" customHeight="1" x14ac:dyDescent="0.25">
      <c r="A36" s="6" t="s">
        <v>216</v>
      </c>
      <c r="B36" s="6" t="s">
        <v>217</v>
      </c>
      <c r="C36" s="7">
        <v>46044</v>
      </c>
      <c r="D36" s="6" t="s">
        <v>218</v>
      </c>
      <c r="E36" s="6" t="s">
        <v>219</v>
      </c>
      <c r="F36" s="6" t="s">
        <v>220</v>
      </c>
      <c r="G36" s="6" t="s">
        <v>93</v>
      </c>
      <c r="H36" s="6" t="s">
        <v>53</v>
      </c>
      <c r="I36" s="7">
        <v>46044</v>
      </c>
      <c r="J36" s="7">
        <v>46053</v>
      </c>
      <c r="K36" s="6">
        <v>36</v>
      </c>
      <c r="L36" s="6">
        <v>110</v>
      </c>
      <c r="M36" s="6">
        <v>3960</v>
      </c>
      <c r="N36" s="6">
        <v>0</v>
      </c>
      <c r="O36" s="6">
        <v>0</v>
      </c>
      <c r="P36" s="6">
        <v>3960</v>
      </c>
      <c r="Q36" s="6" t="s">
        <v>54</v>
      </c>
      <c r="R36" s="7">
        <v>46044</v>
      </c>
      <c r="S36" s="6"/>
    </row>
    <row r="37" spans="1:19" ht="14.25" customHeight="1" x14ac:dyDescent="0.25">
      <c r="A37" s="8" t="s">
        <v>221</v>
      </c>
      <c r="B37" s="8" t="s">
        <v>222</v>
      </c>
      <c r="C37" s="9">
        <v>46044</v>
      </c>
      <c r="D37" s="8" t="s">
        <v>206</v>
      </c>
      <c r="E37" s="8" t="s">
        <v>207</v>
      </c>
      <c r="F37" s="8" t="s">
        <v>223</v>
      </c>
      <c r="G37" s="8" t="s">
        <v>119</v>
      </c>
      <c r="H37" s="8" t="s">
        <v>210</v>
      </c>
      <c r="I37" s="9">
        <v>46044</v>
      </c>
      <c r="J37" s="9">
        <v>46408</v>
      </c>
      <c r="K37" s="8">
        <v>22</v>
      </c>
      <c r="L37" s="8">
        <v>1140</v>
      </c>
      <c r="M37" s="8">
        <v>25080</v>
      </c>
      <c r="N37" s="8">
        <v>5</v>
      </c>
      <c r="O37" s="8">
        <v>1254</v>
      </c>
      <c r="P37" s="8">
        <v>23826</v>
      </c>
      <c r="Q37" s="8" t="s">
        <v>54</v>
      </c>
      <c r="R37" s="9">
        <v>46044</v>
      </c>
      <c r="S37" s="8"/>
    </row>
    <row r="38" spans="1:19" ht="14.25" customHeight="1" x14ac:dyDescent="0.25">
      <c r="A38" s="6" t="s">
        <v>224</v>
      </c>
      <c r="B38" s="6" t="s">
        <v>225</v>
      </c>
      <c r="C38" s="7">
        <v>46045</v>
      </c>
      <c r="D38" s="6" t="s">
        <v>226</v>
      </c>
      <c r="E38" s="6" t="s">
        <v>227</v>
      </c>
      <c r="F38" s="6" t="s">
        <v>228</v>
      </c>
      <c r="G38" s="6" t="s">
        <v>119</v>
      </c>
      <c r="H38" s="6" t="s">
        <v>53</v>
      </c>
      <c r="I38" s="7">
        <v>46045</v>
      </c>
      <c r="J38" s="7">
        <v>46053</v>
      </c>
      <c r="K38" s="6">
        <v>16</v>
      </c>
      <c r="L38" s="6">
        <v>95</v>
      </c>
      <c r="M38" s="6">
        <v>1520</v>
      </c>
      <c r="N38" s="6">
        <v>0</v>
      </c>
      <c r="O38" s="6">
        <v>0</v>
      </c>
      <c r="P38" s="6">
        <v>1520</v>
      </c>
      <c r="Q38" s="6" t="s">
        <v>54</v>
      </c>
      <c r="R38" s="7">
        <v>46045</v>
      </c>
      <c r="S38" s="6"/>
    </row>
    <row r="39" spans="1:19" ht="14.25" customHeight="1" x14ac:dyDescent="0.25">
      <c r="A39" s="8" t="s">
        <v>229</v>
      </c>
      <c r="B39" s="8" t="s">
        <v>230</v>
      </c>
      <c r="C39" s="9">
        <v>46045</v>
      </c>
      <c r="D39" s="8" t="s">
        <v>231</v>
      </c>
      <c r="E39" s="8" t="s">
        <v>232</v>
      </c>
      <c r="F39" s="8" t="s">
        <v>233</v>
      </c>
      <c r="G39" s="8" t="s">
        <v>52</v>
      </c>
      <c r="H39" s="8" t="s">
        <v>53</v>
      </c>
      <c r="I39" s="9">
        <v>46045</v>
      </c>
      <c r="J39" s="9">
        <v>46053</v>
      </c>
      <c r="K39" s="8">
        <v>29</v>
      </c>
      <c r="L39" s="8">
        <v>85</v>
      </c>
      <c r="M39" s="8">
        <v>2465</v>
      </c>
      <c r="N39" s="8">
        <v>0</v>
      </c>
      <c r="O39" s="8">
        <v>0</v>
      </c>
      <c r="P39" s="8">
        <v>2465</v>
      </c>
      <c r="Q39" s="8" t="s">
        <v>54</v>
      </c>
      <c r="R39" s="9">
        <v>46045</v>
      </c>
      <c r="S39" s="8"/>
    </row>
    <row r="40" spans="1:19" ht="14.25" customHeight="1" x14ac:dyDescent="0.25">
      <c r="A40" s="6" t="s">
        <v>234</v>
      </c>
      <c r="B40" s="6" t="s">
        <v>235</v>
      </c>
      <c r="C40" s="7">
        <v>46047</v>
      </c>
      <c r="D40" s="6" t="s">
        <v>106</v>
      </c>
      <c r="E40" s="6" t="s">
        <v>107</v>
      </c>
      <c r="F40" s="6" t="s">
        <v>236</v>
      </c>
      <c r="G40" s="6" t="s">
        <v>52</v>
      </c>
      <c r="H40" s="6" t="s">
        <v>53</v>
      </c>
      <c r="I40" s="7">
        <v>46047</v>
      </c>
      <c r="J40" s="7">
        <v>46053</v>
      </c>
      <c r="K40" s="6">
        <v>31</v>
      </c>
      <c r="L40" s="6">
        <v>85</v>
      </c>
      <c r="M40" s="6">
        <v>2635</v>
      </c>
      <c r="N40" s="6">
        <v>0</v>
      </c>
      <c r="O40" s="6">
        <v>0</v>
      </c>
      <c r="P40" s="6">
        <v>2635</v>
      </c>
      <c r="Q40" s="6" t="s">
        <v>54</v>
      </c>
      <c r="R40" s="7">
        <v>46047</v>
      </c>
      <c r="S40" s="6"/>
    </row>
    <row r="41" spans="1:19" ht="14.25" customHeight="1" x14ac:dyDescent="0.25">
      <c r="A41" s="8" t="s">
        <v>237</v>
      </c>
      <c r="B41" s="8" t="s">
        <v>238</v>
      </c>
      <c r="C41" s="9">
        <v>46048</v>
      </c>
      <c r="D41" s="8" t="s">
        <v>239</v>
      </c>
      <c r="E41" s="8" t="s">
        <v>240</v>
      </c>
      <c r="F41" s="8" t="s">
        <v>241</v>
      </c>
      <c r="G41" s="8" t="s">
        <v>209</v>
      </c>
      <c r="H41" s="8" t="s">
        <v>53</v>
      </c>
      <c r="I41" s="9">
        <v>46048</v>
      </c>
      <c r="J41" s="9">
        <v>46053</v>
      </c>
      <c r="K41" s="8">
        <v>35</v>
      </c>
      <c r="L41" s="8">
        <v>150</v>
      </c>
      <c r="M41" s="8">
        <v>5250</v>
      </c>
      <c r="N41" s="8">
        <v>0</v>
      </c>
      <c r="O41" s="8">
        <v>0</v>
      </c>
      <c r="P41" s="8">
        <v>5250</v>
      </c>
      <c r="Q41" s="8" t="s">
        <v>54</v>
      </c>
      <c r="R41" s="9">
        <v>46048</v>
      </c>
      <c r="S41" s="8"/>
    </row>
    <row r="42" spans="1:19" ht="14.25" customHeight="1" x14ac:dyDescent="0.25">
      <c r="A42" s="6" t="s">
        <v>242</v>
      </c>
      <c r="B42" s="6" t="s">
        <v>243</v>
      </c>
      <c r="C42" s="7">
        <v>46048</v>
      </c>
      <c r="D42" s="6" t="s">
        <v>244</v>
      </c>
      <c r="E42" s="6" t="s">
        <v>245</v>
      </c>
      <c r="F42" s="6" t="s">
        <v>246</v>
      </c>
      <c r="G42" s="6" t="s">
        <v>119</v>
      </c>
      <c r="H42" s="6" t="s">
        <v>53</v>
      </c>
      <c r="I42" s="7">
        <v>46048</v>
      </c>
      <c r="J42" s="7">
        <v>46053</v>
      </c>
      <c r="K42" s="6">
        <v>18</v>
      </c>
      <c r="L42" s="6">
        <v>95</v>
      </c>
      <c r="M42" s="6">
        <v>1710</v>
      </c>
      <c r="N42" s="6">
        <v>0</v>
      </c>
      <c r="O42" s="6">
        <v>0</v>
      </c>
      <c r="P42" s="6">
        <v>1710</v>
      </c>
      <c r="Q42" s="6" t="s">
        <v>54</v>
      </c>
      <c r="R42" s="7">
        <v>46048</v>
      </c>
      <c r="S42" s="6"/>
    </row>
    <row r="43" spans="1:19" ht="14.25" customHeight="1" x14ac:dyDescent="0.25">
      <c r="A43" s="8" t="s">
        <v>247</v>
      </c>
      <c r="B43" s="8" t="s">
        <v>248</v>
      </c>
      <c r="C43" s="9">
        <v>46049</v>
      </c>
      <c r="D43" s="8" t="s">
        <v>249</v>
      </c>
      <c r="E43" s="8" t="s">
        <v>250</v>
      </c>
      <c r="F43" s="8" t="s">
        <v>251</v>
      </c>
      <c r="G43" s="8" t="s">
        <v>93</v>
      </c>
      <c r="H43" s="8" t="s">
        <v>53</v>
      </c>
      <c r="I43" s="9">
        <v>46049</v>
      </c>
      <c r="J43" s="9">
        <v>46053</v>
      </c>
      <c r="K43" s="8">
        <v>18</v>
      </c>
      <c r="L43" s="8">
        <v>110</v>
      </c>
      <c r="M43" s="8">
        <v>1980</v>
      </c>
      <c r="N43" s="8">
        <v>0</v>
      </c>
      <c r="O43" s="8">
        <v>0</v>
      </c>
      <c r="P43" s="8">
        <v>1980</v>
      </c>
      <c r="Q43" s="8" t="s">
        <v>54</v>
      </c>
      <c r="R43" s="9">
        <v>46049</v>
      </c>
      <c r="S43" s="8"/>
    </row>
    <row r="44" spans="1:19" ht="14.25" customHeight="1" x14ac:dyDescent="0.25">
      <c r="A44" s="6" t="s">
        <v>252</v>
      </c>
      <c r="B44" s="6" t="s">
        <v>253</v>
      </c>
      <c r="C44" s="7">
        <v>46050</v>
      </c>
      <c r="D44" s="6" t="s">
        <v>174</v>
      </c>
      <c r="E44" s="6" t="s">
        <v>175</v>
      </c>
      <c r="F44" s="6" t="s">
        <v>254</v>
      </c>
      <c r="G44" s="6" t="s">
        <v>209</v>
      </c>
      <c r="H44" s="6" t="s">
        <v>53</v>
      </c>
      <c r="I44" s="7">
        <v>46050</v>
      </c>
      <c r="J44" s="7">
        <v>46053</v>
      </c>
      <c r="K44" s="6">
        <v>33</v>
      </c>
      <c r="L44" s="6">
        <v>150</v>
      </c>
      <c r="M44" s="6">
        <v>4950</v>
      </c>
      <c r="N44" s="6">
        <v>0</v>
      </c>
      <c r="O44" s="6">
        <v>0</v>
      </c>
      <c r="P44" s="6">
        <v>4950</v>
      </c>
      <c r="Q44" s="6" t="s">
        <v>54</v>
      </c>
      <c r="R44" s="7">
        <v>46050</v>
      </c>
      <c r="S44" s="6"/>
    </row>
    <row r="45" spans="1:19" ht="14.25" customHeight="1" x14ac:dyDescent="0.25">
      <c r="A45" s="8" t="s">
        <v>255</v>
      </c>
      <c r="B45" s="8" t="s">
        <v>256</v>
      </c>
      <c r="C45" s="9">
        <v>46050</v>
      </c>
      <c r="D45" s="8" t="s">
        <v>257</v>
      </c>
      <c r="E45" s="8" t="s">
        <v>258</v>
      </c>
      <c r="F45" s="8" t="s">
        <v>259</v>
      </c>
      <c r="G45" s="8" t="s">
        <v>93</v>
      </c>
      <c r="H45" s="8" t="s">
        <v>53</v>
      </c>
      <c r="I45" s="9">
        <v>46050</v>
      </c>
      <c r="J45" s="9">
        <v>46053</v>
      </c>
      <c r="K45" s="8">
        <v>20</v>
      </c>
      <c r="L45" s="8">
        <v>110</v>
      </c>
      <c r="M45" s="8">
        <v>2200</v>
      </c>
      <c r="N45" s="8">
        <v>0</v>
      </c>
      <c r="O45" s="8">
        <v>0</v>
      </c>
      <c r="P45" s="8">
        <v>2200</v>
      </c>
      <c r="Q45" s="8" t="s">
        <v>54</v>
      </c>
      <c r="R45" s="9">
        <v>46050</v>
      </c>
      <c r="S45" s="8"/>
    </row>
    <row r="46" spans="1:19" ht="14.25" customHeight="1" x14ac:dyDescent="0.25">
      <c r="A46" s="6" t="s">
        <v>260</v>
      </c>
      <c r="B46" s="6" t="s">
        <v>261</v>
      </c>
      <c r="C46" s="7">
        <v>46050</v>
      </c>
      <c r="D46" s="6" t="s">
        <v>262</v>
      </c>
      <c r="E46" s="6" t="s">
        <v>263</v>
      </c>
      <c r="F46" s="6" t="s">
        <v>264</v>
      </c>
      <c r="G46" s="6" t="s">
        <v>209</v>
      </c>
      <c r="H46" s="6" t="s">
        <v>53</v>
      </c>
      <c r="I46" s="7">
        <v>46050</v>
      </c>
      <c r="J46" s="7">
        <v>46053</v>
      </c>
      <c r="K46" s="6">
        <v>28</v>
      </c>
      <c r="L46" s="6">
        <v>150</v>
      </c>
      <c r="M46" s="6">
        <v>4200</v>
      </c>
      <c r="N46" s="6">
        <v>0</v>
      </c>
      <c r="O46" s="6">
        <v>0</v>
      </c>
      <c r="P46" s="6">
        <v>4200</v>
      </c>
      <c r="Q46" s="6" t="s">
        <v>54</v>
      </c>
      <c r="R46" s="7">
        <v>46050</v>
      </c>
      <c r="S46" s="6"/>
    </row>
    <row r="47" spans="1:19" ht="14.25" customHeight="1" x14ac:dyDescent="0.25">
      <c r="A47" s="8" t="s">
        <v>265</v>
      </c>
      <c r="B47" s="8" t="s">
        <v>266</v>
      </c>
      <c r="C47" s="9">
        <v>46052</v>
      </c>
      <c r="D47" s="8" t="s">
        <v>267</v>
      </c>
      <c r="E47" s="8" t="s">
        <v>268</v>
      </c>
      <c r="F47" s="8" t="s">
        <v>269</v>
      </c>
      <c r="G47" s="8" t="s">
        <v>93</v>
      </c>
      <c r="H47" s="8" t="s">
        <v>53</v>
      </c>
      <c r="I47" s="9">
        <v>46052</v>
      </c>
      <c r="J47" s="9">
        <v>46053</v>
      </c>
      <c r="K47" s="8">
        <v>15</v>
      </c>
      <c r="L47" s="8">
        <v>110</v>
      </c>
      <c r="M47" s="8">
        <v>1650</v>
      </c>
      <c r="N47" s="8">
        <v>0</v>
      </c>
      <c r="O47" s="8">
        <v>0</v>
      </c>
      <c r="P47" s="8">
        <v>1650</v>
      </c>
      <c r="Q47" s="8" t="s">
        <v>54</v>
      </c>
      <c r="R47" s="9">
        <v>46052</v>
      </c>
      <c r="S47" s="8"/>
    </row>
    <row r="48" spans="1:19" ht="14.25" customHeight="1" x14ac:dyDescent="0.25">
      <c r="A48" s="6" t="s">
        <v>270</v>
      </c>
      <c r="B48" s="6" t="s">
        <v>271</v>
      </c>
      <c r="C48" s="7">
        <v>46053</v>
      </c>
      <c r="D48" s="6" t="s">
        <v>272</v>
      </c>
      <c r="E48" s="6" t="s">
        <v>273</v>
      </c>
      <c r="F48" s="6" t="s">
        <v>274</v>
      </c>
      <c r="G48" s="6" t="s">
        <v>52</v>
      </c>
      <c r="H48" s="6" t="s">
        <v>53</v>
      </c>
      <c r="I48" s="7">
        <v>46053</v>
      </c>
      <c r="J48" s="7">
        <v>46053</v>
      </c>
      <c r="K48" s="6">
        <v>25</v>
      </c>
      <c r="L48" s="6">
        <v>85</v>
      </c>
      <c r="M48" s="6">
        <v>2125</v>
      </c>
      <c r="N48" s="6">
        <v>0</v>
      </c>
      <c r="O48" s="6">
        <v>0</v>
      </c>
      <c r="P48" s="6">
        <v>2125</v>
      </c>
      <c r="Q48" s="6" t="s">
        <v>54</v>
      </c>
      <c r="R48" s="7">
        <v>46053</v>
      </c>
      <c r="S48" s="6"/>
    </row>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S48"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workbookViewId="0"/>
  </sheetViews>
  <sheetFormatPr defaultColWidth="14.42578125" defaultRowHeight="15" customHeight="1" x14ac:dyDescent="0.25"/>
  <cols>
    <col min="1" max="1" width="14.42578125" customWidth="1"/>
    <col min="2" max="2" width="16.28515625" customWidth="1"/>
    <col min="3" max="3" width="13.42578125" customWidth="1"/>
    <col min="4" max="4" width="13.28515625" customWidth="1"/>
    <col min="5" max="5" width="24.42578125" customWidth="1"/>
    <col min="6" max="6" width="15.5703125" customWidth="1"/>
    <col min="7" max="7" width="17" customWidth="1"/>
    <col min="8" max="8" width="12.7109375" customWidth="1"/>
    <col min="9" max="9" width="13.28515625" customWidth="1"/>
    <col min="10" max="10" width="12.42578125" customWidth="1"/>
    <col min="11" max="11" width="7.140625" customWidth="1"/>
    <col min="12" max="12" width="15.28515625" customWidth="1"/>
    <col min="13" max="13" width="9.85546875" customWidth="1"/>
    <col min="14" max="14" width="13.5703125" customWidth="1"/>
    <col min="15" max="16" width="17.5703125" customWidth="1"/>
    <col min="17" max="17" width="8" customWidth="1"/>
    <col min="18" max="18" width="15.140625" customWidth="1"/>
    <col min="19" max="19" width="14.85546875" customWidth="1"/>
    <col min="20" max="26" width="8.7109375" customWidth="1"/>
  </cols>
  <sheetData>
    <row r="1" spans="1:19" ht="14.25" customHeight="1" x14ac:dyDescent="0.25">
      <c r="A1" s="5" t="s">
        <v>28</v>
      </c>
      <c r="B1" s="5" t="s">
        <v>29</v>
      </c>
      <c r="C1" s="5" t="s">
        <v>30</v>
      </c>
      <c r="D1" s="5" t="s">
        <v>31</v>
      </c>
      <c r="E1" s="5" t="s">
        <v>32</v>
      </c>
      <c r="F1" s="5" t="s">
        <v>33</v>
      </c>
      <c r="G1" s="5" t="s">
        <v>34</v>
      </c>
      <c r="H1" s="5" t="s">
        <v>35</v>
      </c>
      <c r="I1" s="5" t="s">
        <v>36</v>
      </c>
      <c r="J1" s="5" t="s">
        <v>37</v>
      </c>
      <c r="K1" s="5" t="s">
        <v>38</v>
      </c>
      <c r="L1" s="5" t="s">
        <v>39</v>
      </c>
      <c r="M1" s="5" t="s">
        <v>40</v>
      </c>
      <c r="N1" s="5" t="s">
        <v>41</v>
      </c>
      <c r="O1" s="5" t="s">
        <v>42</v>
      </c>
      <c r="P1" s="5" t="s">
        <v>43</v>
      </c>
      <c r="Q1" s="5" t="s">
        <v>44</v>
      </c>
      <c r="R1" s="5" t="s">
        <v>45</v>
      </c>
      <c r="S1" s="5" t="s">
        <v>46</v>
      </c>
    </row>
    <row r="2" spans="1:19" ht="14.25" customHeight="1" x14ac:dyDescent="0.25">
      <c r="A2" s="6" t="s">
        <v>275</v>
      </c>
      <c r="B2" s="6" t="s">
        <v>276</v>
      </c>
      <c r="C2" s="7">
        <v>46054</v>
      </c>
      <c r="D2" s="6" t="s">
        <v>49</v>
      </c>
      <c r="E2" s="6" t="s">
        <v>50</v>
      </c>
      <c r="F2" s="6" t="s">
        <v>51</v>
      </c>
      <c r="G2" s="6" t="s">
        <v>52</v>
      </c>
      <c r="H2" s="6" t="s">
        <v>53</v>
      </c>
      <c r="I2" s="7">
        <v>46054</v>
      </c>
      <c r="J2" s="7">
        <v>46081</v>
      </c>
      <c r="K2" s="6">
        <v>16</v>
      </c>
      <c r="L2" s="6">
        <v>85</v>
      </c>
      <c r="M2" s="6">
        <v>1360</v>
      </c>
      <c r="N2" s="6">
        <v>0</v>
      </c>
      <c r="O2" s="6">
        <v>0</v>
      </c>
      <c r="P2" s="6">
        <v>1360</v>
      </c>
      <c r="Q2" s="6" t="s">
        <v>54</v>
      </c>
      <c r="R2" s="7">
        <v>46054</v>
      </c>
      <c r="S2" s="6"/>
    </row>
    <row r="3" spans="1:19" ht="14.25" customHeight="1" x14ac:dyDescent="0.25">
      <c r="A3" s="8" t="s">
        <v>277</v>
      </c>
      <c r="B3" s="8" t="s">
        <v>278</v>
      </c>
      <c r="C3" s="9">
        <v>46054</v>
      </c>
      <c r="D3" s="8" t="s">
        <v>49</v>
      </c>
      <c r="E3" s="8" t="s">
        <v>50</v>
      </c>
      <c r="F3" s="8" t="s">
        <v>57</v>
      </c>
      <c r="G3" s="8" t="s">
        <v>58</v>
      </c>
      <c r="H3" s="8" t="s">
        <v>53</v>
      </c>
      <c r="I3" s="9">
        <v>46054</v>
      </c>
      <c r="J3" s="9">
        <v>46081</v>
      </c>
      <c r="K3" s="8">
        <v>15</v>
      </c>
      <c r="L3" s="8">
        <v>45</v>
      </c>
      <c r="M3" s="8">
        <v>675</v>
      </c>
      <c r="N3" s="8">
        <v>12</v>
      </c>
      <c r="O3" s="8">
        <v>81</v>
      </c>
      <c r="P3" s="8">
        <v>594</v>
      </c>
      <c r="Q3" s="8" t="s">
        <v>54</v>
      </c>
      <c r="R3" s="9">
        <v>46054</v>
      </c>
      <c r="S3" s="8"/>
    </row>
    <row r="4" spans="1:19" ht="14.25" customHeight="1" x14ac:dyDescent="0.25">
      <c r="A4" s="6" t="s">
        <v>279</v>
      </c>
      <c r="B4" s="6" t="s">
        <v>280</v>
      </c>
      <c r="C4" s="7">
        <v>46055</v>
      </c>
      <c r="D4" s="6" t="s">
        <v>61</v>
      </c>
      <c r="E4" s="6" t="s">
        <v>62</v>
      </c>
      <c r="F4" s="6" t="s">
        <v>63</v>
      </c>
      <c r="G4" s="6" t="s">
        <v>64</v>
      </c>
      <c r="H4" s="6" t="s">
        <v>53</v>
      </c>
      <c r="I4" s="7">
        <v>46055</v>
      </c>
      <c r="J4" s="7">
        <v>46081</v>
      </c>
      <c r="K4" s="6">
        <v>35</v>
      </c>
      <c r="L4" s="6">
        <v>180</v>
      </c>
      <c r="M4" s="6">
        <v>6300</v>
      </c>
      <c r="N4" s="6">
        <v>0</v>
      </c>
      <c r="O4" s="6">
        <v>0</v>
      </c>
      <c r="P4" s="6">
        <v>6300</v>
      </c>
      <c r="Q4" s="6" t="s">
        <v>54</v>
      </c>
      <c r="R4" s="7">
        <v>46055</v>
      </c>
      <c r="S4" s="6"/>
    </row>
    <row r="5" spans="1:19" ht="14.25" customHeight="1" x14ac:dyDescent="0.25">
      <c r="A5" s="8" t="s">
        <v>281</v>
      </c>
      <c r="B5" s="8" t="s">
        <v>282</v>
      </c>
      <c r="C5" s="9">
        <v>46056</v>
      </c>
      <c r="D5" s="8" t="s">
        <v>67</v>
      </c>
      <c r="E5" s="8" t="s">
        <v>68</v>
      </c>
      <c r="F5" s="8" t="s">
        <v>69</v>
      </c>
      <c r="G5" s="8" t="s">
        <v>52</v>
      </c>
      <c r="H5" s="8" t="s">
        <v>53</v>
      </c>
      <c r="I5" s="9">
        <v>46056</v>
      </c>
      <c r="J5" s="9">
        <v>46081</v>
      </c>
      <c r="K5" s="8">
        <v>22</v>
      </c>
      <c r="L5" s="8">
        <v>85</v>
      </c>
      <c r="M5" s="8">
        <v>1870</v>
      </c>
      <c r="N5" s="8">
        <v>0</v>
      </c>
      <c r="O5" s="8">
        <v>0</v>
      </c>
      <c r="P5" s="8">
        <v>1870</v>
      </c>
      <c r="Q5" s="8" t="s">
        <v>54</v>
      </c>
      <c r="R5" s="9">
        <v>46056</v>
      </c>
      <c r="S5" s="8"/>
    </row>
    <row r="6" spans="1:19" ht="14.25" customHeight="1" x14ac:dyDescent="0.25">
      <c r="A6" s="6" t="s">
        <v>283</v>
      </c>
      <c r="B6" s="6" t="s">
        <v>284</v>
      </c>
      <c r="C6" s="7">
        <v>46058</v>
      </c>
      <c r="D6" s="6" t="s">
        <v>72</v>
      </c>
      <c r="E6" s="6" t="s">
        <v>73</v>
      </c>
      <c r="F6" s="6" t="s">
        <v>74</v>
      </c>
      <c r="G6" s="6" t="s">
        <v>52</v>
      </c>
      <c r="H6" s="6" t="s">
        <v>53</v>
      </c>
      <c r="I6" s="7">
        <v>46058</v>
      </c>
      <c r="J6" s="7">
        <v>46081</v>
      </c>
      <c r="K6" s="6">
        <v>23</v>
      </c>
      <c r="L6" s="6">
        <v>85</v>
      </c>
      <c r="M6" s="6">
        <v>1955</v>
      </c>
      <c r="N6" s="6">
        <v>0</v>
      </c>
      <c r="O6" s="6">
        <v>0</v>
      </c>
      <c r="P6" s="6">
        <v>1955</v>
      </c>
      <c r="Q6" s="6" t="s">
        <v>54</v>
      </c>
      <c r="R6" s="7">
        <v>46058</v>
      </c>
      <c r="S6" s="6"/>
    </row>
    <row r="7" spans="1:19" ht="14.25" customHeight="1" x14ac:dyDescent="0.25">
      <c r="A7" s="8" t="s">
        <v>285</v>
      </c>
      <c r="B7" s="8" t="s">
        <v>286</v>
      </c>
      <c r="C7" s="9">
        <v>46058</v>
      </c>
      <c r="D7" s="8" t="s">
        <v>77</v>
      </c>
      <c r="E7" s="8" t="s">
        <v>78</v>
      </c>
      <c r="F7" s="8" t="s">
        <v>79</v>
      </c>
      <c r="G7" s="8" t="s">
        <v>52</v>
      </c>
      <c r="H7" s="8" t="s">
        <v>53</v>
      </c>
      <c r="I7" s="9">
        <v>46058</v>
      </c>
      <c r="J7" s="9">
        <v>46081</v>
      </c>
      <c r="K7" s="8">
        <v>33</v>
      </c>
      <c r="L7" s="8">
        <v>85</v>
      </c>
      <c r="M7" s="8">
        <v>2805</v>
      </c>
      <c r="N7" s="8">
        <v>0</v>
      </c>
      <c r="O7" s="8">
        <v>0</v>
      </c>
      <c r="P7" s="8">
        <v>2805</v>
      </c>
      <c r="Q7" s="8" t="s">
        <v>54</v>
      </c>
      <c r="R7" s="9">
        <v>46058</v>
      </c>
      <c r="S7" s="8"/>
    </row>
    <row r="8" spans="1:19" ht="14.25" customHeight="1" x14ac:dyDescent="0.25">
      <c r="A8" s="6" t="s">
        <v>287</v>
      </c>
      <c r="B8" s="6" t="s">
        <v>288</v>
      </c>
      <c r="C8" s="7">
        <v>46058</v>
      </c>
      <c r="D8" s="6" t="s">
        <v>82</v>
      </c>
      <c r="E8" s="6" t="s">
        <v>83</v>
      </c>
      <c r="F8" s="6" t="s">
        <v>84</v>
      </c>
      <c r="G8" s="6" t="s">
        <v>64</v>
      </c>
      <c r="H8" s="6" t="s">
        <v>53</v>
      </c>
      <c r="I8" s="7">
        <v>46058</v>
      </c>
      <c r="J8" s="7">
        <v>46081</v>
      </c>
      <c r="K8" s="6">
        <v>31</v>
      </c>
      <c r="L8" s="6">
        <v>180</v>
      </c>
      <c r="M8" s="6">
        <v>5580</v>
      </c>
      <c r="N8" s="6">
        <v>0</v>
      </c>
      <c r="O8" s="6">
        <v>0</v>
      </c>
      <c r="P8" s="6">
        <v>5580</v>
      </c>
      <c r="Q8" s="6" t="s">
        <v>54</v>
      </c>
      <c r="R8" s="7">
        <v>46058</v>
      </c>
      <c r="S8" s="6"/>
    </row>
    <row r="9" spans="1:19" ht="14.25" customHeight="1" x14ac:dyDescent="0.25">
      <c r="A9" s="8" t="s">
        <v>289</v>
      </c>
      <c r="B9" s="8" t="s">
        <v>290</v>
      </c>
      <c r="C9" s="9">
        <v>46058</v>
      </c>
      <c r="D9" s="8" t="s">
        <v>87</v>
      </c>
      <c r="E9" s="8" t="s">
        <v>88</v>
      </c>
      <c r="F9" s="8" t="s">
        <v>89</v>
      </c>
      <c r="G9" s="8" t="s">
        <v>52</v>
      </c>
      <c r="H9" s="8" t="s">
        <v>53</v>
      </c>
      <c r="I9" s="9">
        <v>46058</v>
      </c>
      <c r="J9" s="9">
        <v>46081</v>
      </c>
      <c r="K9" s="8">
        <v>22</v>
      </c>
      <c r="L9" s="8">
        <v>85</v>
      </c>
      <c r="M9" s="8">
        <v>1870</v>
      </c>
      <c r="N9" s="8">
        <v>0</v>
      </c>
      <c r="O9" s="8">
        <v>0</v>
      </c>
      <c r="P9" s="8">
        <v>1870</v>
      </c>
      <c r="Q9" s="8" t="s">
        <v>54</v>
      </c>
      <c r="R9" s="9">
        <v>46058</v>
      </c>
      <c r="S9" s="8"/>
    </row>
    <row r="10" spans="1:19" ht="14.25" customHeight="1" x14ac:dyDescent="0.25">
      <c r="A10" s="6" t="s">
        <v>291</v>
      </c>
      <c r="B10" s="6" t="s">
        <v>292</v>
      </c>
      <c r="C10" s="7">
        <v>46059</v>
      </c>
      <c r="D10" s="6" t="s">
        <v>82</v>
      </c>
      <c r="E10" s="6" t="s">
        <v>83</v>
      </c>
      <c r="F10" s="6" t="s">
        <v>92</v>
      </c>
      <c r="G10" s="6" t="s">
        <v>93</v>
      </c>
      <c r="H10" s="6" t="s">
        <v>53</v>
      </c>
      <c r="I10" s="7">
        <v>46059</v>
      </c>
      <c r="J10" s="7">
        <v>46081</v>
      </c>
      <c r="K10" s="6">
        <v>28</v>
      </c>
      <c r="L10" s="6">
        <v>110</v>
      </c>
      <c r="M10" s="6">
        <v>3080</v>
      </c>
      <c r="N10" s="6">
        <v>0</v>
      </c>
      <c r="O10" s="6">
        <v>0</v>
      </c>
      <c r="P10" s="6">
        <v>3080</v>
      </c>
      <c r="Q10" s="6" t="s">
        <v>54</v>
      </c>
      <c r="R10" s="7">
        <v>46059</v>
      </c>
      <c r="S10" s="6"/>
    </row>
    <row r="11" spans="1:19" ht="14.25" customHeight="1" x14ac:dyDescent="0.25">
      <c r="A11" s="8" t="s">
        <v>293</v>
      </c>
      <c r="B11" s="8" t="s">
        <v>294</v>
      </c>
      <c r="C11" s="9">
        <v>46061</v>
      </c>
      <c r="D11" s="8" t="s">
        <v>96</v>
      </c>
      <c r="E11" s="8" t="s">
        <v>97</v>
      </c>
      <c r="F11" s="8" t="s">
        <v>98</v>
      </c>
      <c r="G11" s="8" t="s">
        <v>52</v>
      </c>
      <c r="H11" s="8" t="s">
        <v>53</v>
      </c>
      <c r="I11" s="9">
        <v>46061</v>
      </c>
      <c r="J11" s="9">
        <v>46081</v>
      </c>
      <c r="K11" s="8">
        <v>28</v>
      </c>
      <c r="L11" s="8">
        <v>85</v>
      </c>
      <c r="M11" s="8">
        <v>2380</v>
      </c>
      <c r="N11" s="8">
        <v>0</v>
      </c>
      <c r="O11" s="8">
        <v>0</v>
      </c>
      <c r="P11" s="8">
        <v>2380</v>
      </c>
      <c r="Q11" s="8" t="s">
        <v>54</v>
      </c>
      <c r="R11" s="9">
        <v>46061</v>
      </c>
      <c r="S11" s="8"/>
    </row>
    <row r="12" spans="1:19" ht="14.25" customHeight="1" x14ac:dyDescent="0.25">
      <c r="A12" s="6" t="s">
        <v>295</v>
      </c>
      <c r="B12" s="6" t="s">
        <v>296</v>
      </c>
      <c r="C12" s="7">
        <v>46061</v>
      </c>
      <c r="D12" s="6" t="s">
        <v>101</v>
      </c>
      <c r="E12" s="6" t="s">
        <v>102</v>
      </c>
      <c r="F12" s="6" t="s">
        <v>103</v>
      </c>
      <c r="G12" s="6" t="s">
        <v>52</v>
      </c>
      <c r="H12" s="6" t="s">
        <v>53</v>
      </c>
      <c r="I12" s="7">
        <v>46061</v>
      </c>
      <c r="J12" s="7">
        <v>46081</v>
      </c>
      <c r="K12" s="6">
        <v>13</v>
      </c>
      <c r="L12" s="6">
        <v>85</v>
      </c>
      <c r="M12" s="6">
        <v>1105</v>
      </c>
      <c r="N12" s="6">
        <v>0</v>
      </c>
      <c r="O12" s="6">
        <v>0</v>
      </c>
      <c r="P12" s="6">
        <v>1105</v>
      </c>
      <c r="Q12" s="6" t="s">
        <v>54</v>
      </c>
      <c r="R12" s="7">
        <v>46061</v>
      </c>
      <c r="S12" s="6"/>
    </row>
    <row r="13" spans="1:19" ht="14.25" customHeight="1" x14ac:dyDescent="0.25">
      <c r="A13" s="8" t="s">
        <v>297</v>
      </c>
      <c r="B13" s="8" t="s">
        <v>298</v>
      </c>
      <c r="C13" s="9">
        <v>46061</v>
      </c>
      <c r="D13" s="8" t="s">
        <v>106</v>
      </c>
      <c r="E13" s="8" t="s">
        <v>107</v>
      </c>
      <c r="F13" s="8" t="s">
        <v>108</v>
      </c>
      <c r="G13" s="8" t="s">
        <v>93</v>
      </c>
      <c r="H13" s="8" t="s">
        <v>53</v>
      </c>
      <c r="I13" s="9">
        <v>46061</v>
      </c>
      <c r="J13" s="9">
        <v>46081</v>
      </c>
      <c r="K13" s="8">
        <v>26</v>
      </c>
      <c r="L13" s="8">
        <v>110</v>
      </c>
      <c r="M13" s="8">
        <v>2860</v>
      </c>
      <c r="N13" s="8">
        <v>0</v>
      </c>
      <c r="O13" s="8">
        <v>0</v>
      </c>
      <c r="P13" s="8">
        <v>2860</v>
      </c>
      <c r="Q13" s="8" t="s">
        <v>54</v>
      </c>
      <c r="R13" s="9">
        <v>46061</v>
      </c>
      <c r="S13" s="8"/>
    </row>
    <row r="14" spans="1:19" ht="14.25" customHeight="1" x14ac:dyDescent="0.25">
      <c r="A14" s="6" t="s">
        <v>299</v>
      </c>
      <c r="B14" s="6" t="s">
        <v>300</v>
      </c>
      <c r="C14" s="7">
        <v>46062</v>
      </c>
      <c r="D14" s="6" t="s">
        <v>111</v>
      </c>
      <c r="E14" s="6" t="s">
        <v>112</v>
      </c>
      <c r="F14" s="6" t="s">
        <v>113</v>
      </c>
      <c r="G14" s="6" t="s">
        <v>58</v>
      </c>
      <c r="H14" s="6" t="s">
        <v>53</v>
      </c>
      <c r="I14" s="7">
        <v>46062</v>
      </c>
      <c r="J14" s="7">
        <v>46081</v>
      </c>
      <c r="K14" s="6">
        <v>13</v>
      </c>
      <c r="L14" s="6">
        <v>45</v>
      </c>
      <c r="M14" s="6">
        <v>585</v>
      </c>
      <c r="N14" s="6">
        <v>0</v>
      </c>
      <c r="O14" s="6">
        <v>0</v>
      </c>
      <c r="P14" s="6">
        <v>585</v>
      </c>
      <c r="Q14" s="6" t="s">
        <v>54</v>
      </c>
      <c r="R14" s="7">
        <v>46062</v>
      </c>
      <c r="S14" s="6"/>
    </row>
    <row r="15" spans="1:19" ht="14.25" customHeight="1" x14ac:dyDescent="0.25">
      <c r="A15" s="8" t="s">
        <v>301</v>
      </c>
      <c r="B15" s="8" t="s">
        <v>302</v>
      </c>
      <c r="C15" s="9">
        <v>46063</v>
      </c>
      <c r="D15" s="8" t="s">
        <v>116</v>
      </c>
      <c r="E15" s="8" t="s">
        <v>117</v>
      </c>
      <c r="F15" s="8" t="s">
        <v>118</v>
      </c>
      <c r="G15" s="8" t="s">
        <v>119</v>
      </c>
      <c r="H15" s="8" t="s">
        <v>53</v>
      </c>
      <c r="I15" s="9">
        <v>46063</v>
      </c>
      <c r="J15" s="9">
        <v>46081</v>
      </c>
      <c r="K15" s="8">
        <v>23</v>
      </c>
      <c r="L15" s="8">
        <v>95</v>
      </c>
      <c r="M15" s="8">
        <v>2185</v>
      </c>
      <c r="N15" s="8">
        <v>0</v>
      </c>
      <c r="O15" s="8">
        <v>0</v>
      </c>
      <c r="P15" s="8">
        <v>2185</v>
      </c>
      <c r="Q15" s="8" t="s">
        <v>54</v>
      </c>
      <c r="R15" s="9">
        <v>46063</v>
      </c>
      <c r="S15" s="8"/>
    </row>
    <row r="16" spans="1:19" ht="14.25" customHeight="1" x14ac:dyDescent="0.25">
      <c r="A16" s="6" t="s">
        <v>303</v>
      </c>
      <c r="B16" s="6" t="s">
        <v>304</v>
      </c>
      <c r="C16" s="7">
        <v>46063</v>
      </c>
      <c r="D16" s="6" t="s">
        <v>72</v>
      </c>
      <c r="E16" s="6" t="s">
        <v>73</v>
      </c>
      <c r="F16" s="6" t="s">
        <v>122</v>
      </c>
      <c r="G16" s="6" t="s">
        <v>93</v>
      </c>
      <c r="H16" s="6" t="s">
        <v>53</v>
      </c>
      <c r="I16" s="7">
        <v>46063</v>
      </c>
      <c r="J16" s="7">
        <v>46081</v>
      </c>
      <c r="K16" s="6">
        <v>19</v>
      </c>
      <c r="L16" s="6">
        <v>110</v>
      </c>
      <c r="M16" s="6">
        <v>2090</v>
      </c>
      <c r="N16" s="6">
        <v>0</v>
      </c>
      <c r="O16" s="6">
        <v>0</v>
      </c>
      <c r="P16" s="6">
        <v>2090</v>
      </c>
      <c r="Q16" s="6" t="s">
        <v>54</v>
      </c>
      <c r="R16" s="7">
        <v>46063</v>
      </c>
      <c r="S16" s="6"/>
    </row>
    <row r="17" spans="1:19" ht="14.25" customHeight="1" x14ac:dyDescent="0.25">
      <c r="A17" s="8" t="s">
        <v>305</v>
      </c>
      <c r="B17" s="8" t="s">
        <v>306</v>
      </c>
      <c r="C17" s="9">
        <v>46063</v>
      </c>
      <c r="D17" s="8" t="s">
        <v>96</v>
      </c>
      <c r="E17" s="8" t="s">
        <v>97</v>
      </c>
      <c r="F17" s="8" t="s">
        <v>125</v>
      </c>
      <c r="G17" s="8" t="s">
        <v>93</v>
      </c>
      <c r="H17" s="8" t="s">
        <v>53</v>
      </c>
      <c r="I17" s="9">
        <v>46063</v>
      </c>
      <c r="J17" s="9">
        <v>46081</v>
      </c>
      <c r="K17" s="8">
        <v>23</v>
      </c>
      <c r="L17" s="8">
        <v>110</v>
      </c>
      <c r="M17" s="8">
        <v>2530</v>
      </c>
      <c r="N17" s="8">
        <v>0</v>
      </c>
      <c r="O17" s="8">
        <v>0</v>
      </c>
      <c r="P17" s="8">
        <v>2530</v>
      </c>
      <c r="Q17" s="8" t="s">
        <v>54</v>
      </c>
      <c r="R17" s="9">
        <v>46063</v>
      </c>
      <c r="S17" s="8"/>
    </row>
    <row r="18" spans="1:19" ht="14.25" customHeight="1" x14ac:dyDescent="0.25">
      <c r="A18" s="6" t="s">
        <v>307</v>
      </c>
      <c r="B18" s="6" t="s">
        <v>308</v>
      </c>
      <c r="C18" s="7">
        <v>46063</v>
      </c>
      <c r="D18" s="6" t="s">
        <v>309</v>
      </c>
      <c r="E18" s="6" t="s">
        <v>310</v>
      </c>
      <c r="F18" s="6" t="s">
        <v>311</v>
      </c>
      <c r="G18" s="6" t="s">
        <v>93</v>
      </c>
      <c r="H18" s="6" t="s">
        <v>53</v>
      </c>
      <c r="I18" s="7">
        <v>46063</v>
      </c>
      <c r="J18" s="7">
        <v>46081</v>
      </c>
      <c r="K18" s="6">
        <v>28</v>
      </c>
      <c r="L18" s="6">
        <v>110</v>
      </c>
      <c r="M18" s="6">
        <v>3080</v>
      </c>
      <c r="N18" s="6">
        <v>0</v>
      </c>
      <c r="O18" s="6">
        <v>0</v>
      </c>
      <c r="P18" s="6">
        <v>3080</v>
      </c>
      <c r="Q18" s="6" t="s">
        <v>54</v>
      </c>
      <c r="R18" s="7">
        <v>46063</v>
      </c>
      <c r="S18" s="6"/>
    </row>
    <row r="19" spans="1:19" ht="14.25" customHeight="1" x14ac:dyDescent="0.25">
      <c r="A19" s="8" t="s">
        <v>312</v>
      </c>
      <c r="B19" s="8" t="s">
        <v>313</v>
      </c>
      <c r="C19" s="9">
        <v>46065</v>
      </c>
      <c r="D19" s="8" t="s">
        <v>128</v>
      </c>
      <c r="E19" s="8" t="s">
        <v>129</v>
      </c>
      <c r="F19" s="8" t="s">
        <v>130</v>
      </c>
      <c r="G19" s="8" t="s">
        <v>119</v>
      </c>
      <c r="H19" s="8" t="s">
        <v>53</v>
      </c>
      <c r="I19" s="9">
        <v>46065</v>
      </c>
      <c r="J19" s="9">
        <v>46081</v>
      </c>
      <c r="K19" s="8">
        <v>18</v>
      </c>
      <c r="L19" s="8">
        <v>95</v>
      </c>
      <c r="M19" s="8">
        <v>1710</v>
      </c>
      <c r="N19" s="8">
        <v>0</v>
      </c>
      <c r="O19" s="8">
        <v>0</v>
      </c>
      <c r="P19" s="8">
        <v>1710</v>
      </c>
      <c r="Q19" s="8" t="s">
        <v>54</v>
      </c>
      <c r="R19" s="9">
        <v>46065</v>
      </c>
      <c r="S19" s="8"/>
    </row>
    <row r="20" spans="1:19" ht="14.25" customHeight="1" x14ac:dyDescent="0.25">
      <c r="A20" s="6" t="s">
        <v>314</v>
      </c>
      <c r="B20" s="6" t="s">
        <v>315</v>
      </c>
      <c r="C20" s="7">
        <v>46065</v>
      </c>
      <c r="D20" s="6" t="s">
        <v>133</v>
      </c>
      <c r="E20" s="6" t="s">
        <v>134</v>
      </c>
      <c r="F20" s="6" t="s">
        <v>135</v>
      </c>
      <c r="G20" s="6" t="s">
        <v>52</v>
      </c>
      <c r="H20" s="6" t="s">
        <v>53</v>
      </c>
      <c r="I20" s="7">
        <v>46065</v>
      </c>
      <c r="J20" s="7">
        <v>46081</v>
      </c>
      <c r="K20" s="6">
        <v>38</v>
      </c>
      <c r="L20" s="6">
        <v>85</v>
      </c>
      <c r="M20" s="6">
        <v>3230</v>
      </c>
      <c r="N20" s="6">
        <v>0</v>
      </c>
      <c r="O20" s="6">
        <v>0</v>
      </c>
      <c r="P20" s="6">
        <v>3230</v>
      </c>
      <c r="Q20" s="6" t="s">
        <v>54</v>
      </c>
      <c r="R20" s="7">
        <v>46065</v>
      </c>
      <c r="S20" s="6"/>
    </row>
    <row r="21" spans="1:19" ht="14.25" customHeight="1" x14ac:dyDescent="0.25">
      <c r="A21" s="8" t="s">
        <v>316</v>
      </c>
      <c r="B21" s="8" t="s">
        <v>317</v>
      </c>
      <c r="C21" s="9">
        <v>46066</v>
      </c>
      <c r="D21" s="8" t="s">
        <v>101</v>
      </c>
      <c r="E21" s="8" t="s">
        <v>102</v>
      </c>
      <c r="F21" s="8" t="s">
        <v>138</v>
      </c>
      <c r="G21" s="8" t="s">
        <v>58</v>
      </c>
      <c r="H21" s="8" t="s">
        <v>53</v>
      </c>
      <c r="I21" s="9">
        <v>46066</v>
      </c>
      <c r="J21" s="9">
        <v>46081</v>
      </c>
      <c r="K21" s="8">
        <v>13</v>
      </c>
      <c r="L21" s="8">
        <v>45</v>
      </c>
      <c r="M21" s="8">
        <v>585</v>
      </c>
      <c r="N21" s="8">
        <v>0</v>
      </c>
      <c r="O21" s="8">
        <v>0</v>
      </c>
      <c r="P21" s="8">
        <v>585</v>
      </c>
      <c r="Q21" s="8" t="s">
        <v>54</v>
      </c>
      <c r="R21" s="9">
        <v>46066</v>
      </c>
      <c r="S21" s="8"/>
    </row>
    <row r="22" spans="1:19" ht="14.25" customHeight="1" x14ac:dyDescent="0.25">
      <c r="A22" s="6" t="s">
        <v>318</v>
      </c>
      <c r="B22" s="6" t="s">
        <v>319</v>
      </c>
      <c r="C22" s="7">
        <v>46067</v>
      </c>
      <c r="D22" s="6" t="s">
        <v>141</v>
      </c>
      <c r="E22" s="6" t="s">
        <v>142</v>
      </c>
      <c r="F22" s="6" t="s">
        <v>143</v>
      </c>
      <c r="G22" s="6" t="s">
        <v>58</v>
      </c>
      <c r="H22" s="6" t="s">
        <v>53</v>
      </c>
      <c r="I22" s="7">
        <v>46067</v>
      </c>
      <c r="J22" s="7">
        <v>46081</v>
      </c>
      <c r="K22" s="6">
        <v>16</v>
      </c>
      <c r="L22" s="6">
        <v>45</v>
      </c>
      <c r="M22" s="6">
        <v>720</v>
      </c>
      <c r="N22" s="6">
        <v>0</v>
      </c>
      <c r="O22" s="6">
        <v>0</v>
      </c>
      <c r="P22" s="6">
        <v>720</v>
      </c>
      <c r="Q22" s="6" t="s">
        <v>54</v>
      </c>
      <c r="R22" s="7">
        <v>46067</v>
      </c>
      <c r="S22" s="6"/>
    </row>
    <row r="23" spans="1:19" ht="14.25" customHeight="1" x14ac:dyDescent="0.25">
      <c r="A23" s="8" t="s">
        <v>320</v>
      </c>
      <c r="B23" s="8" t="s">
        <v>321</v>
      </c>
      <c r="C23" s="9">
        <v>46068</v>
      </c>
      <c r="D23" s="8" t="s">
        <v>146</v>
      </c>
      <c r="E23" s="8" t="s">
        <v>147</v>
      </c>
      <c r="F23" s="8" t="s">
        <v>148</v>
      </c>
      <c r="G23" s="8" t="s">
        <v>93</v>
      </c>
      <c r="H23" s="8" t="s">
        <v>53</v>
      </c>
      <c r="I23" s="9">
        <v>46068</v>
      </c>
      <c r="J23" s="9">
        <v>46081</v>
      </c>
      <c r="K23" s="8">
        <v>16</v>
      </c>
      <c r="L23" s="8">
        <v>110</v>
      </c>
      <c r="M23" s="8">
        <v>1760</v>
      </c>
      <c r="N23" s="8">
        <v>0</v>
      </c>
      <c r="O23" s="8">
        <v>0</v>
      </c>
      <c r="P23" s="8">
        <v>1760</v>
      </c>
      <c r="Q23" s="8" t="s">
        <v>54</v>
      </c>
      <c r="R23" s="9">
        <v>46068</v>
      </c>
      <c r="S23" s="8"/>
    </row>
    <row r="24" spans="1:19" ht="14.25" customHeight="1" x14ac:dyDescent="0.25">
      <c r="A24" s="6" t="s">
        <v>322</v>
      </c>
      <c r="B24" s="6" t="s">
        <v>323</v>
      </c>
      <c r="C24" s="7">
        <v>46068</v>
      </c>
      <c r="D24" s="6" t="s">
        <v>61</v>
      </c>
      <c r="E24" s="6" t="s">
        <v>62</v>
      </c>
      <c r="F24" s="6" t="s">
        <v>151</v>
      </c>
      <c r="G24" s="6" t="s">
        <v>52</v>
      </c>
      <c r="H24" s="6" t="s">
        <v>53</v>
      </c>
      <c r="I24" s="7">
        <v>46068</v>
      </c>
      <c r="J24" s="7">
        <v>46081</v>
      </c>
      <c r="K24" s="6">
        <v>35</v>
      </c>
      <c r="L24" s="6">
        <v>85</v>
      </c>
      <c r="M24" s="6">
        <v>2975</v>
      </c>
      <c r="N24" s="6">
        <v>0</v>
      </c>
      <c r="O24" s="6">
        <v>0</v>
      </c>
      <c r="P24" s="6">
        <v>2975</v>
      </c>
      <c r="Q24" s="6" t="s">
        <v>54</v>
      </c>
      <c r="R24" s="7">
        <v>46068</v>
      </c>
      <c r="S24" s="6"/>
    </row>
    <row r="25" spans="1:19" ht="14.25" customHeight="1" x14ac:dyDescent="0.25">
      <c r="A25" s="8" t="s">
        <v>324</v>
      </c>
      <c r="B25" s="8" t="s">
        <v>325</v>
      </c>
      <c r="C25" s="9">
        <v>46068</v>
      </c>
      <c r="D25" s="8" t="s">
        <v>154</v>
      </c>
      <c r="E25" s="8" t="s">
        <v>155</v>
      </c>
      <c r="F25" s="8" t="s">
        <v>156</v>
      </c>
      <c r="G25" s="8" t="s">
        <v>52</v>
      </c>
      <c r="H25" s="8" t="s">
        <v>53</v>
      </c>
      <c r="I25" s="9">
        <v>46068</v>
      </c>
      <c r="J25" s="9">
        <v>46081</v>
      </c>
      <c r="K25" s="8">
        <v>11</v>
      </c>
      <c r="L25" s="8">
        <v>85</v>
      </c>
      <c r="M25" s="8">
        <v>935</v>
      </c>
      <c r="N25" s="8">
        <v>0</v>
      </c>
      <c r="O25" s="8">
        <v>0</v>
      </c>
      <c r="P25" s="8">
        <v>935</v>
      </c>
      <c r="Q25" s="8" t="s">
        <v>54</v>
      </c>
      <c r="R25" s="9">
        <v>46068</v>
      </c>
      <c r="S25" s="8"/>
    </row>
    <row r="26" spans="1:19" ht="14.25" customHeight="1" x14ac:dyDescent="0.25">
      <c r="A26" s="6" t="s">
        <v>326</v>
      </c>
      <c r="B26" s="6" t="s">
        <v>327</v>
      </c>
      <c r="C26" s="7">
        <v>46069</v>
      </c>
      <c r="D26" s="6" t="s">
        <v>159</v>
      </c>
      <c r="E26" s="6" t="s">
        <v>160</v>
      </c>
      <c r="F26" s="6" t="s">
        <v>161</v>
      </c>
      <c r="G26" s="6" t="s">
        <v>52</v>
      </c>
      <c r="H26" s="6" t="s">
        <v>53</v>
      </c>
      <c r="I26" s="7">
        <v>46069</v>
      </c>
      <c r="J26" s="7">
        <v>46081</v>
      </c>
      <c r="K26" s="6">
        <v>19</v>
      </c>
      <c r="L26" s="6">
        <v>85</v>
      </c>
      <c r="M26" s="6">
        <v>1615</v>
      </c>
      <c r="N26" s="6">
        <v>0</v>
      </c>
      <c r="O26" s="6">
        <v>0</v>
      </c>
      <c r="P26" s="6">
        <v>1615</v>
      </c>
      <c r="Q26" s="6" t="s">
        <v>54</v>
      </c>
      <c r="R26" s="7">
        <v>46069</v>
      </c>
      <c r="S26" s="6"/>
    </row>
    <row r="27" spans="1:19" ht="14.25" customHeight="1" x14ac:dyDescent="0.25">
      <c r="A27" s="8" t="s">
        <v>328</v>
      </c>
      <c r="B27" s="8" t="s">
        <v>329</v>
      </c>
      <c r="C27" s="9">
        <v>46070</v>
      </c>
      <c r="D27" s="8" t="s">
        <v>164</v>
      </c>
      <c r="E27" s="8" t="s">
        <v>165</v>
      </c>
      <c r="F27" s="8" t="s">
        <v>166</v>
      </c>
      <c r="G27" s="8" t="s">
        <v>119</v>
      </c>
      <c r="H27" s="8" t="s">
        <v>53</v>
      </c>
      <c r="I27" s="9">
        <v>46070</v>
      </c>
      <c r="J27" s="9">
        <v>46081</v>
      </c>
      <c r="K27" s="8">
        <v>20</v>
      </c>
      <c r="L27" s="8">
        <v>95</v>
      </c>
      <c r="M27" s="8">
        <v>1900</v>
      </c>
      <c r="N27" s="8">
        <v>0</v>
      </c>
      <c r="O27" s="8">
        <v>0</v>
      </c>
      <c r="P27" s="8">
        <v>1900</v>
      </c>
      <c r="Q27" s="8" t="s">
        <v>54</v>
      </c>
      <c r="R27" s="9">
        <v>46070</v>
      </c>
      <c r="S27" s="8"/>
    </row>
    <row r="28" spans="1:19" ht="14.25" customHeight="1" x14ac:dyDescent="0.25">
      <c r="A28" s="6" t="s">
        <v>330</v>
      </c>
      <c r="B28" s="6" t="s">
        <v>331</v>
      </c>
      <c r="C28" s="7">
        <v>46070</v>
      </c>
      <c r="D28" s="6" t="s">
        <v>169</v>
      </c>
      <c r="E28" s="6" t="s">
        <v>170</v>
      </c>
      <c r="F28" s="6" t="s">
        <v>171</v>
      </c>
      <c r="G28" s="6" t="s">
        <v>64</v>
      </c>
      <c r="H28" s="6" t="s">
        <v>53</v>
      </c>
      <c r="I28" s="7">
        <v>46070</v>
      </c>
      <c r="J28" s="7">
        <v>46081</v>
      </c>
      <c r="K28" s="6">
        <v>26</v>
      </c>
      <c r="L28" s="6">
        <v>180</v>
      </c>
      <c r="M28" s="6">
        <v>4680</v>
      </c>
      <c r="N28" s="6">
        <v>0</v>
      </c>
      <c r="O28" s="6">
        <v>0</v>
      </c>
      <c r="P28" s="6">
        <v>4680</v>
      </c>
      <c r="Q28" s="6" t="s">
        <v>54</v>
      </c>
      <c r="R28" s="7">
        <v>46070</v>
      </c>
      <c r="S28" s="6"/>
    </row>
    <row r="29" spans="1:19" ht="14.25" customHeight="1" x14ac:dyDescent="0.25">
      <c r="A29" s="8" t="s">
        <v>332</v>
      </c>
      <c r="B29" s="8" t="s">
        <v>333</v>
      </c>
      <c r="C29" s="9">
        <v>46071</v>
      </c>
      <c r="D29" s="8" t="s">
        <v>174</v>
      </c>
      <c r="E29" s="8" t="s">
        <v>175</v>
      </c>
      <c r="F29" s="8" t="s">
        <v>176</v>
      </c>
      <c r="G29" s="8" t="s">
        <v>93</v>
      </c>
      <c r="H29" s="8" t="s">
        <v>53</v>
      </c>
      <c r="I29" s="9">
        <v>46071</v>
      </c>
      <c r="J29" s="9">
        <v>46081</v>
      </c>
      <c r="K29" s="8">
        <v>26</v>
      </c>
      <c r="L29" s="8">
        <v>110</v>
      </c>
      <c r="M29" s="8">
        <v>2860</v>
      </c>
      <c r="N29" s="8">
        <v>0</v>
      </c>
      <c r="O29" s="8">
        <v>0</v>
      </c>
      <c r="P29" s="8">
        <v>2860</v>
      </c>
      <c r="Q29" s="8" t="s">
        <v>54</v>
      </c>
      <c r="R29" s="9">
        <v>46071</v>
      </c>
      <c r="S29" s="8"/>
    </row>
    <row r="30" spans="1:19" ht="14.25" customHeight="1" x14ac:dyDescent="0.25">
      <c r="A30" s="6" t="s">
        <v>334</v>
      </c>
      <c r="B30" s="6" t="s">
        <v>335</v>
      </c>
      <c r="C30" s="7">
        <v>46072</v>
      </c>
      <c r="D30" s="6" t="s">
        <v>179</v>
      </c>
      <c r="E30" s="6" t="s">
        <v>180</v>
      </c>
      <c r="F30" s="6" t="s">
        <v>181</v>
      </c>
      <c r="G30" s="6" t="s">
        <v>93</v>
      </c>
      <c r="H30" s="6" t="s">
        <v>53</v>
      </c>
      <c r="I30" s="7">
        <v>46072</v>
      </c>
      <c r="J30" s="7">
        <v>46081</v>
      </c>
      <c r="K30" s="6">
        <v>18</v>
      </c>
      <c r="L30" s="6">
        <v>110</v>
      </c>
      <c r="M30" s="6">
        <v>1980</v>
      </c>
      <c r="N30" s="6">
        <v>0</v>
      </c>
      <c r="O30" s="6">
        <v>0</v>
      </c>
      <c r="P30" s="6">
        <v>1980</v>
      </c>
      <c r="Q30" s="6" t="s">
        <v>54</v>
      </c>
      <c r="R30" s="7">
        <v>46072</v>
      </c>
      <c r="S30" s="6"/>
    </row>
    <row r="31" spans="1:19" ht="14.25" customHeight="1" x14ac:dyDescent="0.25">
      <c r="A31" s="8" t="s">
        <v>336</v>
      </c>
      <c r="B31" s="8" t="s">
        <v>337</v>
      </c>
      <c r="C31" s="9">
        <v>46072</v>
      </c>
      <c r="D31" s="8" t="s">
        <v>184</v>
      </c>
      <c r="E31" s="8" t="s">
        <v>185</v>
      </c>
      <c r="F31" s="8" t="s">
        <v>186</v>
      </c>
      <c r="G31" s="8" t="s">
        <v>58</v>
      </c>
      <c r="H31" s="8" t="s">
        <v>53</v>
      </c>
      <c r="I31" s="9">
        <v>46072</v>
      </c>
      <c r="J31" s="9">
        <v>46081</v>
      </c>
      <c r="K31" s="8">
        <v>12</v>
      </c>
      <c r="L31" s="8">
        <v>45</v>
      </c>
      <c r="M31" s="8">
        <v>540</v>
      </c>
      <c r="N31" s="8">
        <v>0</v>
      </c>
      <c r="O31" s="8">
        <v>0</v>
      </c>
      <c r="P31" s="8">
        <v>540</v>
      </c>
      <c r="Q31" s="8" t="s">
        <v>54</v>
      </c>
      <c r="R31" s="9">
        <v>46072</v>
      </c>
      <c r="S31" s="8"/>
    </row>
    <row r="32" spans="1:19" ht="14.25" customHeight="1" x14ac:dyDescent="0.25">
      <c r="A32" s="6" t="s">
        <v>338</v>
      </c>
      <c r="B32" s="6" t="s">
        <v>339</v>
      </c>
      <c r="C32" s="7">
        <v>46073</v>
      </c>
      <c r="D32" s="6" t="s">
        <v>189</v>
      </c>
      <c r="E32" s="6" t="s">
        <v>190</v>
      </c>
      <c r="F32" s="6" t="s">
        <v>191</v>
      </c>
      <c r="G32" s="6" t="s">
        <v>58</v>
      </c>
      <c r="H32" s="6" t="s">
        <v>53</v>
      </c>
      <c r="I32" s="7">
        <v>46073</v>
      </c>
      <c r="J32" s="7">
        <v>46081</v>
      </c>
      <c r="K32" s="6">
        <v>15</v>
      </c>
      <c r="L32" s="6">
        <v>45</v>
      </c>
      <c r="M32" s="6">
        <v>675</v>
      </c>
      <c r="N32" s="6">
        <v>0</v>
      </c>
      <c r="O32" s="6">
        <v>0</v>
      </c>
      <c r="P32" s="6">
        <v>675</v>
      </c>
      <c r="Q32" s="6" t="s">
        <v>54</v>
      </c>
      <c r="R32" s="7">
        <v>46073</v>
      </c>
      <c r="S32" s="6"/>
    </row>
    <row r="33" spans="1:19" ht="14.25" customHeight="1" x14ac:dyDescent="0.25">
      <c r="A33" s="8" t="s">
        <v>340</v>
      </c>
      <c r="B33" s="8" t="s">
        <v>341</v>
      </c>
      <c r="C33" s="9">
        <v>46073</v>
      </c>
      <c r="D33" s="8" t="s">
        <v>196</v>
      </c>
      <c r="E33" s="8" t="s">
        <v>197</v>
      </c>
      <c r="F33" s="8" t="s">
        <v>198</v>
      </c>
      <c r="G33" s="8" t="s">
        <v>119</v>
      </c>
      <c r="H33" s="8" t="s">
        <v>53</v>
      </c>
      <c r="I33" s="9">
        <v>46073</v>
      </c>
      <c r="J33" s="9">
        <v>46081</v>
      </c>
      <c r="K33" s="8">
        <v>35</v>
      </c>
      <c r="L33" s="8">
        <v>95</v>
      </c>
      <c r="M33" s="8">
        <v>3325</v>
      </c>
      <c r="N33" s="8">
        <v>0</v>
      </c>
      <c r="O33" s="8">
        <v>0</v>
      </c>
      <c r="P33" s="8">
        <v>3325</v>
      </c>
      <c r="Q33" s="8" t="s">
        <v>54</v>
      </c>
      <c r="R33" s="9">
        <v>46073</v>
      </c>
      <c r="S33" s="8"/>
    </row>
    <row r="34" spans="1:19" ht="14.25" customHeight="1" x14ac:dyDescent="0.25">
      <c r="A34" s="6" t="s">
        <v>342</v>
      </c>
      <c r="B34" s="6" t="s">
        <v>343</v>
      </c>
      <c r="C34" s="7">
        <v>46073</v>
      </c>
      <c r="D34" s="6" t="s">
        <v>201</v>
      </c>
      <c r="E34" s="6" t="s">
        <v>202</v>
      </c>
      <c r="F34" s="6" t="s">
        <v>203</v>
      </c>
      <c r="G34" s="6" t="s">
        <v>119</v>
      </c>
      <c r="H34" s="6" t="s">
        <v>53</v>
      </c>
      <c r="I34" s="7">
        <v>46073</v>
      </c>
      <c r="J34" s="7">
        <v>46081</v>
      </c>
      <c r="K34" s="6">
        <v>12</v>
      </c>
      <c r="L34" s="6">
        <v>95</v>
      </c>
      <c r="M34" s="6">
        <v>1140</v>
      </c>
      <c r="N34" s="6">
        <v>0</v>
      </c>
      <c r="O34" s="6">
        <v>0</v>
      </c>
      <c r="P34" s="6">
        <v>1140</v>
      </c>
      <c r="Q34" s="6" t="s">
        <v>54</v>
      </c>
      <c r="R34" s="7">
        <v>46073</v>
      </c>
      <c r="S34" s="6"/>
    </row>
    <row r="35" spans="1:19" ht="14.25" customHeight="1" x14ac:dyDescent="0.25">
      <c r="A35" s="8" t="s">
        <v>344</v>
      </c>
      <c r="B35" s="8" t="s">
        <v>345</v>
      </c>
      <c r="C35" s="9">
        <v>46073</v>
      </c>
      <c r="D35" s="8" t="s">
        <v>346</v>
      </c>
      <c r="E35" s="8" t="s">
        <v>347</v>
      </c>
      <c r="F35" s="8" t="s">
        <v>348</v>
      </c>
      <c r="G35" s="8" t="s">
        <v>119</v>
      </c>
      <c r="H35" s="8" t="s">
        <v>53</v>
      </c>
      <c r="I35" s="9">
        <v>46073</v>
      </c>
      <c r="J35" s="9">
        <v>46081</v>
      </c>
      <c r="K35" s="8">
        <v>32</v>
      </c>
      <c r="L35" s="8">
        <v>95</v>
      </c>
      <c r="M35" s="8">
        <v>3040</v>
      </c>
      <c r="N35" s="8">
        <v>0</v>
      </c>
      <c r="O35" s="8">
        <v>0</v>
      </c>
      <c r="P35" s="8">
        <v>3040</v>
      </c>
      <c r="Q35" s="8" t="s">
        <v>54</v>
      </c>
      <c r="R35" s="9">
        <v>46073</v>
      </c>
      <c r="S35" s="8"/>
    </row>
    <row r="36" spans="1:19" ht="14.25" customHeight="1" x14ac:dyDescent="0.25">
      <c r="A36" s="6" t="s">
        <v>349</v>
      </c>
      <c r="B36" s="6" t="s">
        <v>350</v>
      </c>
      <c r="C36" s="7">
        <v>46074</v>
      </c>
      <c r="D36" s="6" t="s">
        <v>49</v>
      </c>
      <c r="E36" s="6" t="s">
        <v>50</v>
      </c>
      <c r="F36" s="6" t="s">
        <v>57</v>
      </c>
      <c r="G36" s="6" t="s">
        <v>58</v>
      </c>
      <c r="H36" s="6" t="s">
        <v>53</v>
      </c>
      <c r="I36" s="7">
        <v>46074</v>
      </c>
      <c r="J36" s="7">
        <v>46081</v>
      </c>
      <c r="K36" s="6">
        <v>15</v>
      </c>
      <c r="L36" s="6">
        <v>45</v>
      </c>
      <c r="M36" s="6">
        <v>675</v>
      </c>
      <c r="N36" s="6">
        <v>12</v>
      </c>
      <c r="O36" s="6">
        <v>81</v>
      </c>
      <c r="P36" s="6">
        <v>-169.71</v>
      </c>
      <c r="Q36" s="6" t="s">
        <v>351</v>
      </c>
      <c r="R36" s="7">
        <v>46074</v>
      </c>
      <c r="S36" s="6" t="s">
        <v>352</v>
      </c>
    </row>
    <row r="37" spans="1:19" ht="14.25" customHeight="1" x14ac:dyDescent="0.25">
      <c r="A37" s="8" t="s">
        <v>353</v>
      </c>
      <c r="B37" s="8" t="s">
        <v>354</v>
      </c>
      <c r="C37" s="9">
        <v>46075</v>
      </c>
      <c r="D37" s="8" t="s">
        <v>213</v>
      </c>
      <c r="E37" s="8" t="s">
        <v>214</v>
      </c>
      <c r="F37" s="8" t="s">
        <v>215</v>
      </c>
      <c r="G37" s="8" t="s">
        <v>64</v>
      </c>
      <c r="H37" s="8" t="s">
        <v>53</v>
      </c>
      <c r="I37" s="9">
        <v>46075</v>
      </c>
      <c r="J37" s="9">
        <v>46081</v>
      </c>
      <c r="K37" s="8">
        <v>20</v>
      </c>
      <c r="L37" s="8">
        <v>180</v>
      </c>
      <c r="M37" s="8">
        <v>3600</v>
      </c>
      <c r="N37" s="8">
        <v>0</v>
      </c>
      <c r="O37" s="8">
        <v>0</v>
      </c>
      <c r="P37" s="8">
        <v>3600</v>
      </c>
      <c r="Q37" s="8" t="s">
        <v>54</v>
      </c>
      <c r="R37" s="9">
        <v>46075</v>
      </c>
      <c r="S37" s="8"/>
    </row>
    <row r="38" spans="1:19" ht="14.25" customHeight="1" x14ac:dyDescent="0.25">
      <c r="A38" s="6" t="s">
        <v>355</v>
      </c>
      <c r="B38" s="6" t="s">
        <v>356</v>
      </c>
      <c r="C38" s="7">
        <v>46075</v>
      </c>
      <c r="D38" s="6" t="s">
        <v>218</v>
      </c>
      <c r="E38" s="6" t="s">
        <v>219</v>
      </c>
      <c r="F38" s="6" t="s">
        <v>220</v>
      </c>
      <c r="G38" s="6" t="s">
        <v>93</v>
      </c>
      <c r="H38" s="6" t="s">
        <v>53</v>
      </c>
      <c r="I38" s="7">
        <v>46075</v>
      </c>
      <c r="J38" s="7">
        <v>46081</v>
      </c>
      <c r="K38" s="6">
        <v>36</v>
      </c>
      <c r="L38" s="6">
        <v>110</v>
      </c>
      <c r="M38" s="6">
        <v>3960</v>
      </c>
      <c r="N38" s="6">
        <v>0</v>
      </c>
      <c r="O38" s="6">
        <v>0</v>
      </c>
      <c r="P38" s="6">
        <v>3960</v>
      </c>
      <c r="Q38" s="6" t="s">
        <v>54</v>
      </c>
      <c r="R38" s="7">
        <v>46075</v>
      </c>
      <c r="S38" s="6"/>
    </row>
    <row r="39" spans="1:19" ht="14.25" customHeight="1" x14ac:dyDescent="0.25">
      <c r="A39" s="8" t="s">
        <v>357</v>
      </c>
      <c r="B39" s="8" t="s">
        <v>358</v>
      </c>
      <c r="C39" s="9">
        <v>46076</v>
      </c>
      <c r="D39" s="8" t="s">
        <v>226</v>
      </c>
      <c r="E39" s="8" t="s">
        <v>227</v>
      </c>
      <c r="F39" s="8" t="s">
        <v>228</v>
      </c>
      <c r="G39" s="8" t="s">
        <v>119</v>
      </c>
      <c r="H39" s="8" t="s">
        <v>53</v>
      </c>
      <c r="I39" s="9">
        <v>46076</v>
      </c>
      <c r="J39" s="9">
        <v>46081</v>
      </c>
      <c r="K39" s="8">
        <v>16</v>
      </c>
      <c r="L39" s="8">
        <v>95</v>
      </c>
      <c r="M39" s="8">
        <v>1520</v>
      </c>
      <c r="N39" s="8">
        <v>0</v>
      </c>
      <c r="O39" s="8">
        <v>0</v>
      </c>
      <c r="P39" s="8">
        <v>1520</v>
      </c>
      <c r="Q39" s="8" t="s">
        <v>54</v>
      </c>
      <c r="R39" s="9">
        <v>46076</v>
      </c>
      <c r="S39" s="8"/>
    </row>
    <row r="40" spans="1:19" ht="14.25" customHeight="1" x14ac:dyDescent="0.25">
      <c r="A40" s="6" t="s">
        <v>359</v>
      </c>
      <c r="B40" s="6" t="s">
        <v>360</v>
      </c>
      <c r="C40" s="7">
        <v>46076</v>
      </c>
      <c r="D40" s="6" t="s">
        <v>231</v>
      </c>
      <c r="E40" s="6" t="s">
        <v>232</v>
      </c>
      <c r="F40" s="6" t="s">
        <v>233</v>
      </c>
      <c r="G40" s="6" t="s">
        <v>52</v>
      </c>
      <c r="H40" s="6" t="s">
        <v>53</v>
      </c>
      <c r="I40" s="7">
        <v>46076</v>
      </c>
      <c r="J40" s="7">
        <v>46081</v>
      </c>
      <c r="K40" s="6">
        <v>29</v>
      </c>
      <c r="L40" s="6">
        <v>85</v>
      </c>
      <c r="M40" s="6">
        <v>2465</v>
      </c>
      <c r="N40" s="6">
        <v>0</v>
      </c>
      <c r="O40" s="6">
        <v>0</v>
      </c>
      <c r="P40" s="6">
        <v>2465</v>
      </c>
      <c r="Q40" s="6" t="s">
        <v>54</v>
      </c>
      <c r="R40" s="7">
        <v>46076</v>
      </c>
      <c r="S40" s="6"/>
    </row>
    <row r="41" spans="1:19" ht="14.25" customHeight="1" x14ac:dyDescent="0.25">
      <c r="A41" s="8" t="s">
        <v>361</v>
      </c>
      <c r="B41" s="8" t="s">
        <v>362</v>
      </c>
      <c r="C41" s="9">
        <v>46078</v>
      </c>
      <c r="D41" s="8" t="s">
        <v>106</v>
      </c>
      <c r="E41" s="8" t="s">
        <v>107</v>
      </c>
      <c r="F41" s="8" t="s">
        <v>236</v>
      </c>
      <c r="G41" s="8" t="s">
        <v>52</v>
      </c>
      <c r="H41" s="8" t="s">
        <v>53</v>
      </c>
      <c r="I41" s="9">
        <v>46078</v>
      </c>
      <c r="J41" s="9">
        <v>46081</v>
      </c>
      <c r="K41" s="8">
        <v>31</v>
      </c>
      <c r="L41" s="8">
        <v>85</v>
      </c>
      <c r="M41" s="8">
        <v>2635</v>
      </c>
      <c r="N41" s="8">
        <v>0</v>
      </c>
      <c r="O41" s="8">
        <v>0</v>
      </c>
      <c r="P41" s="8">
        <v>2635</v>
      </c>
      <c r="Q41" s="8" t="s">
        <v>54</v>
      </c>
      <c r="R41" s="9">
        <v>46078</v>
      </c>
      <c r="S41" s="8"/>
    </row>
    <row r="42" spans="1:19" ht="14.25" customHeight="1" x14ac:dyDescent="0.25">
      <c r="A42" s="6" t="s">
        <v>363</v>
      </c>
      <c r="B42" s="6" t="s">
        <v>364</v>
      </c>
      <c r="C42" s="7">
        <v>46079</v>
      </c>
      <c r="D42" s="6" t="s">
        <v>239</v>
      </c>
      <c r="E42" s="6" t="s">
        <v>240</v>
      </c>
      <c r="F42" s="6" t="s">
        <v>241</v>
      </c>
      <c r="G42" s="6" t="s">
        <v>209</v>
      </c>
      <c r="H42" s="6" t="s">
        <v>53</v>
      </c>
      <c r="I42" s="7">
        <v>46079</v>
      </c>
      <c r="J42" s="7">
        <v>46081</v>
      </c>
      <c r="K42" s="6">
        <v>35</v>
      </c>
      <c r="L42" s="6">
        <v>150</v>
      </c>
      <c r="M42" s="6">
        <v>5250</v>
      </c>
      <c r="N42" s="6">
        <v>0</v>
      </c>
      <c r="O42" s="6">
        <v>0</v>
      </c>
      <c r="P42" s="6">
        <v>5250</v>
      </c>
      <c r="Q42" s="6" t="s">
        <v>54</v>
      </c>
      <c r="R42" s="7">
        <v>46079</v>
      </c>
      <c r="S42" s="6"/>
    </row>
    <row r="43" spans="1:19" ht="14.25" customHeight="1" x14ac:dyDescent="0.25">
      <c r="A43" s="8" t="s">
        <v>365</v>
      </c>
      <c r="B43" s="8" t="s">
        <v>366</v>
      </c>
      <c r="C43" s="9">
        <v>46079</v>
      </c>
      <c r="D43" s="8" t="s">
        <v>244</v>
      </c>
      <c r="E43" s="8" t="s">
        <v>245</v>
      </c>
      <c r="F43" s="8" t="s">
        <v>246</v>
      </c>
      <c r="G43" s="8" t="s">
        <v>119</v>
      </c>
      <c r="H43" s="8" t="s">
        <v>53</v>
      </c>
      <c r="I43" s="9">
        <v>46079</v>
      </c>
      <c r="J43" s="9">
        <v>46081</v>
      </c>
      <c r="K43" s="8">
        <v>18</v>
      </c>
      <c r="L43" s="8">
        <v>95</v>
      </c>
      <c r="M43" s="8">
        <v>1710</v>
      </c>
      <c r="N43" s="8">
        <v>0</v>
      </c>
      <c r="O43" s="8">
        <v>0</v>
      </c>
      <c r="P43" s="8">
        <v>1710</v>
      </c>
      <c r="Q43" s="8" t="s">
        <v>54</v>
      </c>
      <c r="R43" s="9">
        <v>46079</v>
      </c>
      <c r="S43" s="8"/>
    </row>
    <row r="44" spans="1:19" ht="14.25" customHeight="1" x14ac:dyDescent="0.25">
      <c r="A44" s="6" t="s">
        <v>367</v>
      </c>
      <c r="B44" s="6" t="s">
        <v>368</v>
      </c>
      <c r="C44" s="7">
        <v>46080</v>
      </c>
      <c r="D44" s="6" t="s">
        <v>249</v>
      </c>
      <c r="E44" s="6" t="s">
        <v>250</v>
      </c>
      <c r="F44" s="6" t="s">
        <v>251</v>
      </c>
      <c r="G44" s="6" t="s">
        <v>93</v>
      </c>
      <c r="H44" s="6" t="s">
        <v>53</v>
      </c>
      <c r="I44" s="7">
        <v>46080</v>
      </c>
      <c r="J44" s="7">
        <v>46081</v>
      </c>
      <c r="K44" s="6">
        <v>18</v>
      </c>
      <c r="L44" s="6">
        <v>110</v>
      </c>
      <c r="M44" s="6">
        <v>1980</v>
      </c>
      <c r="N44" s="6">
        <v>0</v>
      </c>
      <c r="O44" s="6">
        <v>0</v>
      </c>
      <c r="P44" s="6">
        <v>1980</v>
      </c>
      <c r="Q44" s="6" t="s">
        <v>54</v>
      </c>
      <c r="R44" s="7">
        <v>46080</v>
      </c>
      <c r="S44" s="6"/>
    </row>
    <row r="45" spans="1:19" ht="14.25" customHeight="1" x14ac:dyDescent="0.25">
      <c r="A45" s="8" t="s">
        <v>369</v>
      </c>
      <c r="B45" s="8" t="s">
        <v>370</v>
      </c>
      <c r="C45" s="9">
        <v>46081</v>
      </c>
      <c r="D45" s="8" t="s">
        <v>267</v>
      </c>
      <c r="E45" s="8" t="s">
        <v>268</v>
      </c>
      <c r="F45" s="8" t="s">
        <v>269</v>
      </c>
      <c r="G45" s="8" t="s">
        <v>93</v>
      </c>
      <c r="H45" s="8" t="s">
        <v>53</v>
      </c>
      <c r="I45" s="9">
        <v>46081</v>
      </c>
      <c r="J45" s="9">
        <v>46081</v>
      </c>
      <c r="K45" s="8">
        <v>15</v>
      </c>
      <c r="L45" s="8">
        <v>110</v>
      </c>
      <c r="M45" s="8">
        <v>1650</v>
      </c>
      <c r="N45" s="8">
        <v>0</v>
      </c>
      <c r="O45" s="8">
        <v>0</v>
      </c>
      <c r="P45" s="8">
        <v>1650</v>
      </c>
      <c r="Q45" s="8" t="s">
        <v>54</v>
      </c>
      <c r="R45" s="9">
        <v>46081</v>
      </c>
      <c r="S45" s="8"/>
    </row>
    <row r="46" spans="1:19" ht="14.25" customHeight="1" x14ac:dyDescent="0.25">
      <c r="A46" s="6" t="s">
        <v>371</v>
      </c>
      <c r="B46" s="6" t="s">
        <v>372</v>
      </c>
      <c r="C46" s="7">
        <v>46081</v>
      </c>
      <c r="D46" s="6" t="s">
        <v>174</v>
      </c>
      <c r="E46" s="6" t="s">
        <v>175</v>
      </c>
      <c r="F46" s="6" t="s">
        <v>254</v>
      </c>
      <c r="G46" s="6" t="s">
        <v>209</v>
      </c>
      <c r="H46" s="6" t="s">
        <v>53</v>
      </c>
      <c r="I46" s="7">
        <v>46081</v>
      </c>
      <c r="J46" s="7">
        <v>46081</v>
      </c>
      <c r="K46" s="6">
        <v>33</v>
      </c>
      <c r="L46" s="6">
        <v>150</v>
      </c>
      <c r="M46" s="6">
        <v>4950</v>
      </c>
      <c r="N46" s="6">
        <v>0</v>
      </c>
      <c r="O46" s="6">
        <v>0</v>
      </c>
      <c r="P46" s="6">
        <v>4950</v>
      </c>
      <c r="Q46" s="6" t="s">
        <v>54</v>
      </c>
      <c r="R46" s="7">
        <v>46081</v>
      </c>
      <c r="S46" s="6"/>
    </row>
    <row r="47" spans="1:19" ht="14.25" customHeight="1" x14ac:dyDescent="0.25">
      <c r="A47" s="8" t="s">
        <v>373</v>
      </c>
      <c r="B47" s="8" t="s">
        <v>374</v>
      </c>
      <c r="C47" s="9">
        <v>46081</v>
      </c>
      <c r="D47" s="8" t="s">
        <v>272</v>
      </c>
      <c r="E47" s="8" t="s">
        <v>273</v>
      </c>
      <c r="F47" s="8" t="s">
        <v>274</v>
      </c>
      <c r="G47" s="8" t="s">
        <v>52</v>
      </c>
      <c r="H47" s="8" t="s">
        <v>53</v>
      </c>
      <c r="I47" s="9">
        <v>46081</v>
      </c>
      <c r="J47" s="9">
        <v>46081</v>
      </c>
      <c r="K47" s="8">
        <v>25</v>
      </c>
      <c r="L47" s="8">
        <v>85</v>
      </c>
      <c r="M47" s="8">
        <v>2125</v>
      </c>
      <c r="N47" s="8">
        <v>0</v>
      </c>
      <c r="O47" s="8">
        <v>0</v>
      </c>
      <c r="P47" s="8">
        <v>2125</v>
      </c>
      <c r="Q47" s="8" t="s">
        <v>54</v>
      </c>
      <c r="R47" s="9">
        <v>46081</v>
      </c>
      <c r="S47" s="8"/>
    </row>
    <row r="48" spans="1:19" ht="14.25" customHeight="1" x14ac:dyDescent="0.25">
      <c r="A48" s="6" t="s">
        <v>375</v>
      </c>
      <c r="B48" s="6" t="s">
        <v>376</v>
      </c>
      <c r="C48" s="7">
        <v>46081</v>
      </c>
      <c r="D48" s="6" t="s">
        <v>257</v>
      </c>
      <c r="E48" s="6" t="s">
        <v>258</v>
      </c>
      <c r="F48" s="6" t="s">
        <v>259</v>
      </c>
      <c r="G48" s="6" t="s">
        <v>93</v>
      </c>
      <c r="H48" s="6" t="s">
        <v>53</v>
      </c>
      <c r="I48" s="7">
        <v>46081</v>
      </c>
      <c r="J48" s="7">
        <v>46081</v>
      </c>
      <c r="K48" s="6">
        <v>20</v>
      </c>
      <c r="L48" s="6">
        <v>110</v>
      </c>
      <c r="M48" s="6">
        <v>2200</v>
      </c>
      <c r="N48" s="6">
        <v>0</v>
      </c>
      <c r="O48" s="6">
        <v>0</v>
      </c>
      <c r="P48" s="6">
        <v>2200</v>
      </c>
      <c r="Q48" s="6" t="s">
        <v>54</v>
      </c>
      <c r="R48" s="7">
        <v>46081</v>
      </c>
      <c r="S48" s="6"/>
    </row>
    <row r="49" spans="1:19" ht="14.25" customHeight="1" x14ac:dyDescent="0.25">
      <c r="A49" s="8" t="s">
        <v>377</v>
      </c>
      <c r="B49" s="8" t="s">
        <v>378</v>
      </c>
      <c r="C49" s="9">
        <v>46081</v>
      </c>
      <c r="D49" s="8" t="s">
        <v>262</v>
      </c>
      <c r="E49" s="8" t="s">
        <v>263</v>
      </c>
      <c r="F49" s="8" t="s">
        <v>264</v>
      </c>
      <c r="G49" s="8" t="s">
        <v>209</v>
      </c>
      <c r="H49" s="8" t="s">
        <v>53</v>
      </c>
      <c r="I49" s="9">
        <v>46081</v>
      </c>
      <c r="J49" s="9">
        <v>46081</v>
      </c>
      <c r="K49" s="8">
        <v>28</v>
      </c>
      <c r="L49" s="8">
        <v>150</v>
      </c>
      <c r="M49" s="8">
        <v>4200</v>
      </c>
      <c r="N49" s="8">
        <v>0</v>
      </c>
      <c r="O49" s="8">
        <v>0</v>
      </c>
      <c r="P49" s="8">
        <v>4200</v>
      </c>
      <c r="Q49" s="8" t="s">
        <v>54</v>
      </c>
      <c r="R49" s="9">
        <v>46081</v>
      </c>
      <c r="S49" s="8"/>
    </row>
    <row r="50" spans="1:19" ht="14.25" customHeight="1" x14ac:dyDescent="0.25"/>
    <row r="51" spans="1:19" ht="14.25" customHeight="1" x14ac:dyDescent="0.25"/>
    <row r="52" spans="1:19" ht="14.25" customHeight="1" x14ac:dyDescent="0.25"/>
    <row r="53" spans="1:19" ht="14.25" customHeight="1" x14ac:dyDescent="0.25"/>
    <row r="54" spans="1:19" ht="14.25" customHeight="1" x14ac:dyDescent="0.25"/>
    <row r="55" spans="1:19" ht="14.25" customHeight="1" x14ac:dyDescent="0.25"/>
    <row r="56" spans="1:19" ht="14.25" customHeight="1" x14ac:dyDescent="0.25"/>
    <row r="57" spans="1:19" ht="14.25" customHeight="1" x14ac:dyDescent="0.25"/>
    <row r="58" spans="1:19" ht="14.25" customHeight="1" x14ac:dyDescent="0.25"/>
    <row r="59" spans="1:19" ht="14.25" customHeight="1" x14ac:dyDescent="0.25"/>
    <row r="60" spans="1:19" ht="14.25" customHeight="1" x14ac:dyDescent="0.25"/>
    <row r="61" spans="1:19" ht="14.25" customHeight="1" x14ac:dyDescent="0.25"/>
    <row r="62" spans="1:19" ht="14.25" customHeight="1" x14ac:dyDescent="0.25"/>
    <row r="63" spans="1:19" ht="14.25" customHeight="1" x14ac:dyDescent="0.25"/>
    <row r="64" spans="1:19"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S49"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defaultColWidth="14.42578125" defaultRowHeight="15" customHeight="1" x14ac:dyDescent="0.25"/>
  <cols>
    <col min="1" max="1" width="36.140625" customWidth="1"/>
    <col min="2" max="2" width="11.42578125" customWidth="1"/>
    <col min="3" max="3" width="64.140625" customWidth="1"/>
    <col min="4" max="4" width="8.7109375" customWidth="1"/>
    <col min="5" max="5" width="12.140625" customWidth="1"/>
    <col min="6" max="6" width="18.42578125" customWidth="1"/>
    <col min="7" max="7" width="16.7109375" customWidth="1"/>
    <col min="8" max="26" width="8.7109375" customWidth="1"/>
  </cols>
  <sheetData>
    <row r="1" spans="1:7" ht="14.25" customHeight="1" x14ac:dyDescent="0.25">
      <c r="A1" s="1" t="s">
        <v>379</v>
      </c>
    </row>
    <row r="2" spans="1:7" ht="14.25" customHeight="1" x14ac:dyDescent="0.25">
      <c r="A2" s="1" t="s">
        <v>380</v>
      </c>
    </row>
    <row r="3" spans="1:7" ht="14.25" customHeight="1" x14ac:dyDescent="0.25">
      <c r="A3" s="1" t="s">
        <v>381</v>
      </c>
      <c r="B3" s="10">
        <v>1250000</v>
      </c>
    </row>
    <row r="4" spans="1:7" ht="14.25" customHeight="1" x14ac:dyDescent="0.25"/>
    <row r="5" spans="1:7" ht="14.25" customHeight="1" x14ac:dyDescent="0.25">
      <c r="A5" s="11" t="s">
        <v>382</v>
      </c>
      <c r="B5" s="11" t="s">
        <v>383</v>
      </c>
      <c r="C5" s="11" t="s">
        <v>384</v>
      </c>
      <c r="D5" s="11" t="s">
        <v>385</v>
      </c>
      <c r="E5" s="11" t="s">
        <v>386</v>
      </c>
      <c r="F5" s="11" t="s">
        <v>387</v>
      </c>
      <c r="G5" s="11" t="s">
        <v>388</v>
      </c>
    </row>
    <row r="6" spans="1:7" ht="14.25" customHeight="1" x14ac:dyDescent="0.25">
      <c r="A6" s="12">
        <v>46023</v>
      </c>
      <c r="B6" s="12">
        <v>46023</v>
      </c>
      <c r="C6" s="1" t="s">
        <v>389</v>
      </c>
      <c r="D6" s="1" t="s">
        <v>390</v>
      </c>
      <c r="E6" s="13">
        <v>1360</v>
      </c>
      <c r="F6" s="1" t="s">
        <v>391</v>
      </c>
      <c r="G6" s="13">
        <v>1251360</v>
      </c>
    </row>
    <row r="7" spans="1:7" ht="14.25" customHeight="1" x14ac:dyDescent="0.25">
      <c r="A7" s="12">
        <v>46023</v>
      </c>
      <c r="B7" s="12">
        <v>46023</v>
      </c>
      <c r="C7" s="1" t="s">
        <v>392</v>
      </c>
      <c r="D7" s="1" t="s">
        <v>390</v>
      </c>
      <c r="E7" s="13">
        <v>594</v>
      </c>
      <c r="F7" s="1" t="s">
        <v>393</v>
      </c>
      <c r="G7" s="13">
        <v>1251954</v>
      </c>
    </row>
    <row r="8" spans="1:7" ht="14.25" customHeight="1" x14ac:dyDescent="0.25">
      <c r="A8" s="12">
        <v>46024</v>
      </c>
      <c r="B8" s="12">
        <v>46024</v>
      </c>
      <c r="C8" s="1" t="s">
        <v>394</v>
      </c>
      <c r="D8" s="1" t="s">
        <v>390</v>
      </c>
      <c r="E8" s="13">
        <v>6300</v>
      </c>
      <c r="F8" s="1" t="s">
        <v>395</v>
      </c>
      <c r="G8" s="13">
        <v>1258254</v>
      </c>
    </row>
    <row r="9" spans="1:7" ht="14.25" customHeight="1" x14ac:dyDescent="0.25">
      <c r="A9" s="12">
        <v>46025</v>
      </c>
      <c r="B9" s="12">
        <v>46025</v>
      </c>
      <c r="C9" s="1" t="s">
        <v>396</v>
      </c>
      <c r="D9" s="1" t="s">
        <v>390</v>
      </c>
      <c r="E9" s="13">
        <v>1870</v>
      </c>
      <c r="F9" s="1" t="s">
        <v>397</v>
      </c>
      <c r="G9" s="13">
        <v>1260124</v>
      </c>
    </row>
    <row r="10" spans="1:7" ht="14.25" customHeight="1" x14ac:dyDescent="0.25">
      <c r="A10" s="12">
        <v>46027</v>
      </c>
      <c r="B10" s="12">
        <v>46027</v>
      </c>
      <c r="C10" s="1" t="s">
        <v>398</v>
      </c>
      <c r="D10" s="1" t="s">
        <v>390</v>
      </c>
      <c r="E10" s="13">
        <v>1955</v>
      </c>
      <c r="F10" s="1" t="s">
        <v>399</v>
      </c>
      <c r="G10" s="13">
        <v>1262079</v>
      </c>
    </row>
    <row r="11" spans="1:7" ht="14.25" customHeight="1" x14ac:dyDescent="0.25">
      <c r="A11" s="12">
        <v>46027</v>
      </c>
      <c r="B11" s="12">
        <v>46027</v>
      </c>
      <c r="C11" s="1" t="s">
        <v>400</v>
      </c>
      <c r="D11" s="1" t="s">
        <v>390</v>
      </c>
      <c r="E11" s="13">
        <v>2805</v>
      </c>
      <c r="F11" s="1" t="s">
        <v>401</v>
      </c>
      <c r="G11" s="13">
        <v>1264884</v>
      </c>
    </row>
    <row r="12" spans="1:7" ht="14.25" customHeight="1" x14ac:dyDescent="0.25">
      <c r="A12" s="12">
        <v>46027</v>
      </c>
      <c r="B12" s="12">
        <v>46027</v>
      </c>
      <c r="C12" s="1" t="s">
        <v>402</v>
      </c>
      <c r="D12" s="1" t="s">
        <v>390</v>
      </c>
      <c r="E12" s="13">
        <v>5580</v>
      </c>
      <c r="F12" s="1" t="s">
        <v>403</v>
      </c>
      <c r="G12" s="13">
        <v>1270464</v>
      </c>
    </row>
    <row r="13" spans="1:7" ht="14.25" customHeight="1" x14ac:dyDescent="0.25">
      <c r="A13" s="12">
        <v>46027</v>
      </c>
      <c r="B13" s="12">
        <v>46027</v>
      </c>
      <c r="C13" s="1" t="s">
        <v>404</v>
      </c>
      <c r="D13" s="1" t="s">
        <v>390</v>
      </c>
      <c r="E13" s="13">
        <v>1870</v>
      </c>
      <c r="F13" s="1" t="s">
        <v>405</v>
      </c>
      <c r="G13" s="13">
        <v>1272334</v>
      </c>
    </row>
    <row r="14" spans="1:7" ht="14.25" customHeight="1" x14ac:dyDescent="0.25">
      <c r="A14" s="12">
        <v>46028</v>
      </c>
      <c r="B14" s="12">
        <v>46028</v>
      </c>
      <c r="C14" s="1" t="s">
        <v>406</v>
      </c>
      <c r="D14" s="1" t="s">
        <v>390</v>
      </c>
      <c r="E14" s="13">
        <v>3080</v>
      </c>
      <c r="F14" s="1" t="s">
        <v>407</v>
      </c>
      <c r="G14" s="13">
        <v>1275414</v>
      </c>
    </row>
    <row r="15" spans="1:7" ht="14.25" customHeight="1" x14ac:dyDescent="0.25">
      <c r="A15" s="12">
        <v>46030</v>
      </c>
      <c r="B15" s="12">
        <v>46030</v>
      </c>
      <c r="C15" s="1" t="s">
        <v>408</v>
      </c>
      <c r="D15" s="1" t="s">
        <v>390</v>
      </c>
      <c r="E15" s="13">
        <v>2380</v>
      </c>
      <c r="F15" s="1" t="s">
        <v>409</v>
      </c>
      <c r="G15" s="13">
        <v>1277794</v>
      </c>
    </row>
    <row r="16" spans="1:7" ht="14.25" customHeight="1" x14ac:dyDescent="0.25">
      <c r="A16" s="12">
        <v>46030</v>
      </c>
      <c r="B16" s="12">
        <v>46030</v>
      </c>
      <c r="C16" s="1" t="s">
        <v>410</v>
      </c>
      <c r="D16" s="1" t="s">
        <v>390</v>
      </c>
      <c r="E16" s="13">
        <v>1105</v>
      </c>
      <c r="F16" s="1" t="s">
        <v>411</v>
      </c>
      <c r="G16" s="13">
        <v>1278899</v>
      </c>
    </row>
    <row r="17" spans="1:7" ht="14.25" customHeight="1" x14ac:dyDescent="0.25">
      <c r="A17" s="12">
        <v>46030</v>
      </c>
      <c r="B17" s="12">
        <v>46030</v>
      </c>
      <c r="C17" s="1" t="s">
        <v>412</v>
      </c>
      <c r="D17" s="1" t="s">
        <v>390</v>
      </c>
      <c r="E17" s="13">
        <v>2860</v>
      </c>
      <c r="F17" s="1" t="s">
        <v>413</v>
      </c>
      <c r="G17" s="13">
        <v>1281759</v>
      </c>
    </row>
    <row r="18" spans="1:7" ht="14.25" customHeight="1" x14ac:dyDescent="0.25">
      <c r="A18" s="12">
        <v>46031</v>
      </c>
      <c r="B18" s="12">
        <v>46031</v>
      </c>
      <c r="C18" s="1" t="s">
        <v>414</v>
      </c>
      <c r="D18" s="1" t="s">
        <v>390</v>
      </c>
      <c r="E18" s="13">
        <v>585</v>
      </c>
      <c r="F18" s="1" t="s">
        <v>415</v>
      </c>
      <c r="G18" s="13">
        <v>1282344</v>
      </c>
    </row>
    <row r="19" spans="1:7" ht="14.25" customHeight="1" x14ac:dyDescent="0.25">
      <c r="A19" s="12">
        <v>46032</v>
      </c>
      <c r="B19" s="12">
        <v>46032</v>
      </c>
      <c r="C19" s="1" t="s">
        <v>416</v>
      </c>
      <c r="D19" s="1" t="s">
        <v>390</v>
      </c>
      <c r="E19" s="13">
        <v>2185</v>
      </c>
      <c r="F19" s="1" t="s">
        <v>417</v>
      </c>
      <c r="G19" s="13">
        <v>1284529</v>
      </c>
    </row>
    <row r="20" spans="1:7" ht="14.25" customHeight="1" x14ac:dyDescent="0.25">
      <c r="A20" s="12">
        <v>46032</v>
      </c>
      <c r="B20" s="12">
        <v>46032</v>
      </c>
      <c r="C20" s="1" t="s">
        <v>418</v>
      </c>
      <c r="D20" s="1" t="s">
        <v>390</v>
      </c>
      <c r="E20" s="13">
        <v>2090</v>
      </c>
      <c r="F20" s="1" t="s">
        <v>419</v>
      </c>
      <c r="G20" s="13">
        <v>1286619</v>
      </c>
    </row>
    <row r="21" spans="1:7" ht="14.25" customHeight="1" x14ac:dyDescent="0.25">
      <c r="A21" s="12">
        <v>46032</v>
      </c>
      <c r="B21" s="12">
        <v>46032</v>
      </c>
      <c r="C21" s="1" t="s">
        <v>420</v>
      </c>
      <c r="D21" s="1" t="s">
        <v>390</v>
      </c>
      <c r="E21" s="13">
        <v>2530</v>
      </c>
      <c r="F21" s="1" t="s">
        <v>421</v>
      </c>
      <c r="G21" s="13">
        <v>1289149</v>
      </c>
    </row>
    <row r="22" spans="1:7" ht="14.25" customHeight="1" x14ac:dyDescent="0.25">
      <c r="A22" s="12">
        <v>46034</v>
      </c>
      <c r="B22" s="12">
        <v>46034</v>
      </c>
      <c r="C22" s="1" t="s">
        <v>422</v>
      </c>
      <c r="D22" s="1" t="s">
        <v>390</v>
      </c>
      <c r="E22" s="13">
        <v>1710</v>
      </c>
      <c r="F22" s="1" t="s">
        <v>423</v>
      </c>
      <c r="G22" s="13">
        <v>1290859</v>
      </c>
    </row>
    <row r="23" spans="1:7" ht="14.25" customHeight="1" x14ac:dyDescent="0.25">
      <c r="A23" s="12">
        <v>46034</v>
      </c>
      <c r="B23" s="12">
        <v>46034</v>
      </c>
      <c r="C23" s="1" t="s">
        <v>424</v>
      </c>
      <c r="D23" s="1" t="s">
        <v>390</v>
      </c>
      <c r="E23" s="13">
        <v>3230</v>
      </c>
      <c r="F23" s="1" t="s">
        <v>425</v>
      </c>
      <c r="G23" s="13">
        <v>1294089</v>
      </c>
    </row>
    <row r="24" spans="1:7" ht="14.25" customHeight="1" x14ac:dyDescent="0.25">
      <c r="A24" s="12">
        <v>46035</v>
      </c>
      <c r="B24" s="12">
        <v>46035</v>
      </c>
      <c r="C24" s="1" t="s">
        <v>426</v>
      </c>
      <c r="D24" s="1" t="s">
        <v>390</v>
      </c>
      <c r="E24" s="13">
        <v>585</v>
      </c>
      <c r="F24" s="1" t="s">
        <v>427</v>
      </c>
      <c r="G24" s="13">
        <v>1294674</v>
      </c>
    </row>
    <row r="25" spans="1:7" ht="14.25" customHeight="1" x14ac:dyDescent="0.25">
      <c r="A25" s="12">
        <v>46036</v>
      </c>
      <c r="B25" s="12">
        <v>46036</v>
      </c>
      <c r="C25" s="1" t="s">
        <v>428</v>
      </c>
      <c r="D25" s="1" t="s">
        <v>390</v>
      </c>
      <c r="E25" s="13">
        <v>720</v>
      </c>
      <c r="F25" s="1" t="s">
        <v>429</v>
      </c>
      <c r="G25" s="13">
        <v>1295394</v>
      </c>
    </row>
    <row r="26" spans="1:7" ht="14.25" customHeight="1" x14ac:dyDescent="0.25">
      <c r="A26" s="12">
        <v>46037</v>
      </c>
      <c r="B26" s="12">
        <v>46037</v>
      </c>
      <c r="C26" s="1" t="s">
        <v>430</v>
      </c>
      <c r="D26" s="1" t="s">
        <v>390</v>
      </c>
      <c r="E26" s="13">
        <v>1760</v>
      </c>
      <c r="F26" s="1" t="s">
        <v>431</v>
      </c>
      <c r="G26" s="13">
        <v>1297154</v>
      </c>
    </row>
    <row r="27" spans="1:7" ht="14.25" customHeight="1" x14ac:dyDescent="0.25">
      <c r="A27" s="12">
        <v>46037</v>
      </c>
      <c r="B27" s="12">
        <v>46037</v>
      </c>
      <c r="C27" s="1" t="s">
        <v>432</v>
      </c>
      <c r="D27" s="1" t="s">
        <v>390</v>
      </c>
      <c r="E27" s="13">
        <v>2975</v>
      </c>
      <c r="F27" s="1" t="s">
        <v>433</v>
      </c>
      <c r="G27" s="13">
        <v>1300129</v>
      </c>
    </row>
    <row r="28" spans="1:7" ht="14.25" customHeight="1" x14ac:dyDescent="0.25">
      <c r="A28" s="12">
        <v>46037</v>
      </c>
      <c r="B28" s="12">
        <v>46037</v>
      </c>
      <c r="C28" s="1" t="s">
        <v>434</v>
      </c>
      <c r="D28" s="1" t="s">
        <v>390</v>
      </c>
      <c r="E28" s="13">
        <v>935</v>
      </c>
      <c r="F28" s="1" t="s">
        <v>435</v>
      </c>
      <c r="G28" s="13">
        <v>1301064</v>
      </c>
    </row>
    <row r="29" spans="1:7" ht="14.25" customHeight="1" x14ac:dyDescent="0.25">
      <c r="A29" s="12">
        <v>46038</v>
      </c>
      <c r="B29" s="12">
        <v>46038</v>
      </c>
      <c r="C29" s="1" t="s">
        <v>436</v>
      </c>
      <c r="D29" s="1" t="s">
        <v>390</v>
      </c>
      <c r="E29" s="13">
        <v>1615</v>
      </c>
      <c r="F29" s="1" t="s">
        <v>437</v>
      </c>
      <c r="G29" s="13">
        <v>1302679</v>
      </c>
    </row>
    <row r="30" spans="1:7" ht="14.25" customHeight="1" x14ac:dyDescent="0.25">
      <c r="A30" s="12">
        <v>46039</v>
      </c>
      <c r="B30" s="12">
        <v>46039</v>
      </c>
      <c r="C30" s="1" t="s">
        <v>438</v>
      </c>
      <c r="D30" s="1" t="s">
        <v>390</v>
      </c>
      <c r="E30" s="13">
        <v>1900</v>
      </c>
      <c r="F30" s="1" t="s">
        <v>439</v>
      </c>
      <c r="G30" s="13">
        <v>1304579</v>
      </c>
    </row>
    <row r="31" spans="1:7" ht="14.25" customHeight="1" x14ac:dyDescent="0.25">
      <c r="A31" s="12">
        <v>46039</v>
      </c>
      <c r="B31" s="12">
        <v>46039</v>
      </c>
      <c r="C31" s="1" t="s">
        <v>440</v>
      </c>
      <c r="D31" s="1" t="s">
        <v>390</v>
      </c>
      <c r="E31" s="13">
        <v>4680</v>
      </c>
      <c r="F31" s="1" t="s">
        <v>441</v>
      </c>
      <c r="G31" s="13">
        <v>1309259</v>
      </c>
    </row>
    <row r="32" spans="1:7" ht="14.25" customHeight="1" x14ac:dyDescent="0.25">
      <c r="A32" s="12">
        <v>46040</v>
      </c>
      <c r="B32" s="12">
        <v>46040</v>
      </c>
      <c r="C32" s="1" t="s">
        <v>442</v>
      </c>
      <c r="D32" s="1" t="s">
        <v>390</v>
      </c>
      <c r="E32" s="13">
        <v>2860</v>
      </c>
      <c r="F32" s="1" t="s">
        <v>443</v>
      </c>
      <c r="G32" s="13">
        <v>1312119</v>
      </c>
    </row>
    <row r="33" spans="1:7" ht="14.25" customHeight="1" x14ac:dyDescent="0.25">
      <c r="A33" s="12">
        <v>46041</v>
      </c>
      <c r="B33" s="12">
        <v>46041</v>
      </c>
      <c r="C33" s="1" t="s">
        <v>444</v>
      </c>
      <c r="D33" s="1" t="s">
        <v>390</v>
      </c>
      <c r="E33" s="13">
        <v>1980</v>
      </c>
      <c r="F33" s="1" t="s">
        <v>445</v>
      </c>
      <c r="G33" s="13">
        <v>1314099</v>
      </c>
    </row>
    <row r="34" spans="1:7" ht="14.25" customHeight="1" x14ac:dyDescent="0.25">
      <c r="A34" s="12">
        <v>46041</v>
      </c>
      <c r="B34" s="12">
        <v>46041</v>
      </c>
      <c r="C34" s="1" t="s">
        <v>446</v>
      </c>
      <c r="D34" s="1" t="s">
        <v>390</v>
      </c>
      <c r="E34" s="13">
        <v>540</v>
      </c>
      <c r="F34" s="1" t="s">
        <v>447</v>
      </c>
      <c r="G34" s="13">
        <v>1314639</v>
      </c>
    </row>
    <row r="35" spans="1:7" ht="14.25" customHeight="1" x14ac:dyDescent="0.25">
      <c r="A35" s="12">
        <v>46042</v>
      </c>
      <c r="B35" s="12">
        <v>46042</v>
      </c>
      <c r="C35" s="1" t="s">
        <v>448</v>
      </c>
      <c r="D35" s="1" t="s">
        <v>390</v>
      </c>
      <c r="E35" s="13">
        <v>3325</v>
      </c>
      <c r="F35" s="1" t="s">
        <v>449</v>
      </c>
      <c r="G35" s="13">
        <v>1317964</v>
      </c>
    </row>
    <row r="36" spans="1:7" ht="14.25" customHeight="1" x14ac:dyDescent="0.25">
      <c r="A36" s="12">
        <v>46042</v>
      </c>
      <c r="B36" s="12">
        <v>46042</v>
      </c>
      <c r="C36" s="1" t="s">
        <v>450</v>
      </c>
      <c r="D36" s="1" t="s">
        <v>390</v>
      </c>
      <c r="E36" s="13">
        <v>1140</v>
      </c>
      <c r="F36" s="1" t="s">
        <v>451</v>
      </c>
      <c r="G36" s="13">
        <v>1319104</v>
      </c>
    </row>
    <row r="37" spans="1:7" ht="14.25" customHeight="1" x14ac:dyDescent="0.25">
      <c r="A37" s="12">
        <v>46044</v>
      </c>
      <c r="B37" s="12">
        <v>46044</v>
      </c>
      <c r="C37" s="1" t="s">
        <v>452</v>
      </c>
      <c r="D37" s="1" t="s">
        <v>390</v>
      </c>
      <c r="E37" s="13">
        <v>46800</v>
      </c>
      <c r="F37" s="1" t="s">
        <v>453</v>
      </c>
      <c r="G37" s="13">
        <v>1365904</v>
      </c>
    </row>
    <row r="38" spans="1:7" ht="14.25" customHeight="1" x14ac:dyDescent="0.25">
      <c r="A38" s="12">
        <v>46044</v>
      </c>
      <c r="B38" s="12">
        <v>46044</v>
      </c>
      <c r="C38" s="1" t="s">
        <v>454</v>
      </c>
      <c r="D38" s="1" t="s">
        <v>390</v>
      </c>
      <c r="E38" s="13">
        <v>3600</v>
      </c>
      <c r="F38" s="1" t="s">
        <v>455</v>
      </c>
      <c r="G38" s="13">
        <v>1369504</v>
      </c>
    </row>
    <row r="39" spans="1:7" ht="14.25" customHeight="1" x14ac:dyDescent="0.25">
      <c r="A39" s="12">
        <v>46044</v>
      </c>
      <c r="B39" s="12">
        <v>46044</v>
      </c>
      <c r="C39" s="1" t="s">
        <v>456</v>
      </c>
      <c r="D39" s="1" t="s">
        <v>390</v>
      </c>
      <c r="E39" s="13">
        <v>3960</v>
      </c>
      <c r="F39" s="1" t="s">
        <v>457</v>
      </c>
      <c r="G39" s="13">
        <v>1373464</v>
      </c>
    </row>
    <row r="40" spans="1:7" ht="14.25" customHeight="1" x14ac:dyDescent="0.25">
      <c r="A40" s="12">
        <v>46044</v>
      </c>
      <c r="B40" s="12">
        <v>46044</v>
      </c>
      <c r="C40" s="1" t="s">
        <v>458</v>
      </c>
      <c r="D40" s="1" t="s">
        <v>390</v>
      </c>
      <c r="E40" s="13">
        <v>23826</v>
      </c>
      <c r="F40" s="1" t="s">
        <v>459</v>
      </c>
      <c r="G40" s="13">
        <v>1397290</v>
      </c>
    </row>
    <row r="41" spans="1:7" ht="14.25" customHeight="1" x14ac:dyDescent="0.25">
      <c r="A41" s="12">
        <v>46045</v>
      </c>
      <c r="B41" s="12">
        <v>46045</v>
      </c>
      <c r="C41" s="1" t="s">
        <v>460</v>
      </c>
      <c r="D41" s="1" t="s">
        <v>390</v>
      </c>
      <c r="E41" s="13">
        <v>1520</v>
      </c>
      <c r="F41" s="1" t="s">
        <v>461</v>
      </c>
      <c r="G41" s="13">
        <v>1398810</v>
      </c>
    </row>
    <row r="42" spans="1:7" ht="14.25" customHeight="1" x14ac:dyDescent="0.25">
      <c r="A42" s="12">
        <v>46045</v>
      </c>
      <c r="B42" s="12">
        <v>46045</v>
      </c>
      <c r="C42" s="1" t="s">
        <v>462</v>
      </c>
      <c r="D42" s="1" t="s">
        <v>390</v>
      </c>
      <c r="E42" s="13">
        <v>2465</v>
      </c>
      <c r="F42" s="1" t="s">
        <v>463</v>
      </c>
      <c r="G42" s="13">
        <v>1401275</v>
      </c>
    </row>
    <row r="43" spans="1:7" ht="14.25" customHeight="1" x14ac:dyDescent="0.25">
      <c r="A43" s="12">
        <v>46047</v>
      </c>
      <c r="B43" s="12">
        <v>46047</v>
      </c>
      <c r="C43" s="1" t="s">
        <v>464</v>
      </c>
      <c r="D43" s="1" t="s">
        <v>390</v>
      </c>
      <c r="E43" s="13">
        <v>2635</v>
      </c>
      <c r="F43" s="1" t="s">
        <v>465</v>
      </c>
      <c r="G43" s="13">
        <v>1403910</v>
      </c>
    </row>
    <row r="44" spans="1:7" ht="14.25" customHeight="1" x14ac:dyDescent="0.25">
      <c r="A44" s="12">
        <v>46048</v>
      </c>
      <c r="B44" s="12">
        <v>46048</v>
      </c>
      <c r="C44" s="1" t="s">
        <v>466</v>
      </c>
      <c r="D44" s="1" t="s">
        <v>390</v>
      </c>
      <c r="E44" s="13">
        <v>5250</v>
      </c>
      <c r="F44" s="1" t="s">
        <v>467</v>
      </c>
      <c r="G44" s="13">
        <v>1409160</v>
      </c>
    </row>
    <row r="45" spans="1:7" ht="14.25" customHeight="1" x14ac:dyDescent="0.25">
      <c r="A45" s="12">
        <v>46048</v>
      </c>
      <c r="B45" s="12">
        <v>46048</v>
      </c>
      <c r="C45" s="1" t="s">
        <v>468</v>
      </c>
      <c r="D45" s="1" t="s">
        <v>390</v>
      </c>
      <c r="E45" s="13">
        <v>1710</v>
      </c>
      <c r="F45" s="1" t="s">
        <v>469</v>
      </c>
      <c r="G45" s="13">
        <v>1410870</v>
      </c>
    </row>
    <row r="46" spans="1:7" ht="14.25" customHeight="1" x14ac:dyDescent="0.25">
      <c r="A46" s="12">
        <v>46049</v>
      </c>
      <c r="B46" s="12">
        <v>46049</v>
      </c>
      <c r="C46" s="1" t="s">
        <v>470</v>
      </c>
      <c r="D46" s="1" t="s">
        <v>390</v>
      </c>
      <c r="E46" s="13">
        <v>1980</v>
      </c>
      <c r="F46" s="1" t="s">
        <v>471</v>
      </c>
      <c r="G46" s="13">
        <v>1412850</v>
      </c>
    </row>
    <row r="47" spans="1:7" ht="14.25" customHeight="1" x14ac:dyDescent="0.25">
      <c r="A47" s="12">
        <v>46050</v>
      </c>
      <c r="B47" s="12">
        <v>46050</v>
      </c>
      <c r="C47" s="1" t="s">
        <v>472</v>
      </c>
      <c r="D47" s="1" t="s">
        <v>390</v>
      </c>
      <c r="E47" s="13">
        <v>4950</v>
      </c>
      <c r="F47" s="1" t="s">
        <v>473</v>
      </c>
      <c r="G47" s="13">
        <v>1417800</v>
      </c>
    </row>
    <row r="48" spans="1:7" ht="14.25" customHeight="1" x14ac:dyDescent="0.25">
      <c r="A48" s="12">
        <v>46050</v>
      </c>
      <c r="B48" s="12">
        <v>46050</v>
      </c>
      <c r="C48" s="1" t="s">
        <v>474</v>
      </c>
      <c r="D48" s="1" t="s">
        <v>390</v>
      </c>
      <c r="E48" s="13">
        <v>2200</v>
      </c>
      <c r="F48" s="1" t="s">
        <v>475</v>
      </c>
      <c r="G48" s="13">
        <v>1420000</v>
      </c>
    </row>
    <row r="49" spans="1:7" ht="14.25" customHeight="1" x14ac:dyDescent="0.25">
      <c r="A49" s="12">
        <v>46050</v>
      </c>
      <c r="B49" s="12">
        <v>46050</v>
      </c>
      <c r="C49" s="1" t="s">
        <v>476</v>
      </c>
      <c r="D49" s="1" t="s">
        <v>390</v>
      </c>
      <c r="E49" s="13">
        <v>4200</v>
      </c>
      <c r="F49" s="1" t="s">
        <v>477</v>
      </c>
      <c r="G49" s="13">
        <v>1424200</v>
      </c>
    </row>
    <row r="50" spans="1:7" ht="14.25" customHeight="1" x14ac:dyDescent="0.25">
      <c r="A50" s="12">
        <v>46052</v>
      </c>
      <c r="B50" s="12">
        <v>46052</v>
      </c>
      <c r="C50" s="1" t="s">
        <v>478</v>
      </c>
      <c r="D50" s="1" t="s">
        <v>390</v>
      </c>
      <c r="E50" s="13">
        <v>1650</v>
      </c>
      <c r="F50" s="1" t="s">
        <v>479</v>
      </c>
      <c r="G50" s="13">
        <v>1425850</v>
      </c>
    </row>
    <row r="51" spans="1:7" ht="14.25" customHeight="1" x14ac:dyDescent="0.25">
      <c r="A51" s="12">
        <v>46053</v>
      </c>
      <c r="B51" s="12">
        <v>46053</v>
      </c>
      <c r="C51" s="1" t="s">
        <v>480</v>
      </c>
      <c r="D51" s="1" t="s">
        <v>390</v>
      </c>
      <c r="E51" s="13">
        <v>2125</v>
      </c>
      <c r="F51" s="1" t="s">
        <v>481</v>
      </c>
      <c r="G51" s="13">
        <v>1427975</v>
      </c>
    </row>
    <row r="52" spans="1:7" ht="14.25" customHeight="1" x14ac:dyDescent="0.25"/>
    <row r="53" spans="1:7" ht="14.25" customHeight="1" x14ac:dyDescent="0.25"/>
    <row r="54" spans="1:7" ht="14.25" customHeight="1" x14ac:dyDescent="0.25"/>
    <row r="55" spans="1:7" ht="14.25" customHeight="1" x14ac:dyDescent="0.25"/>
    <row r="56" spans="1:7" ht="14.25" customHeight="1" x14ac:dyDescent="0.25"/>
    <row r="57" spans="1:7" ht="14.25" customHeight="1" x14ac:dyDescent="0.25"/>
    <row r="58" spans="1:7" ht="14.25" customHeight="1" x14ac:dyDescent="0.25"/>
    <row r="59" spans="1:7" ht="14.25" customHeight="1" x14ac:dyDescent="0.25"/>
    <row r="60" spans="1:7" ht="14.25" customHeight="1" x14ac:dyDescent="0.25"/>
    <row r="61" spans="1:7" ht="14.25" customHeight="1" x14ac:dyDescent="0.25"/>
    <row r="62" spans="1:7" ht="14.25" customHeight="1" x14ac:dyDescent="0.25"/>
    <row r="63" spans="1:7" ht="14.25" customHeight="1" x14ac:dyDescent="0.25"/>
    <row r="64" spans="1:7"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heetViews>
  <sheetFormatPr defaultColWidth="14.42578125" defaultRowHeight="15" customHeight="1" x14ac:dyDescent="0.25"/>
  <cols>
    <col min="1" max="1" width="36.140625" customWidth="1"/>
    <col min="2" max="2" width="11.42578125" customWidth="1"/>
    <col min="3" max="3" width="80.42578125" customWidth="1"/>
    <col min="4" max="4" width="8.7109375" customWidth="1"/>
    <col min="5" max="5" width="10.140625" customWidth="1"/>
    <col min="6" max="6" width="18.42578125" customWidth="1"/>
    <col min="7" max="7" width="16.7109375" customWidth="1"/>
    <col min="8" max="26" width="8.7109375" customWidth="1"/>
  </cols>
  <sheetData>
    <row r="1" spans="1:7" ht="14.25" customHeight="1" x14ac:dyDescent="0.25">
      <c r="A1" s="1" t="s">
        <v>379</v>
      </c>
    </row>
    <row r="2" spans="1:7" ht="14.25" customHeight="1" x14ac:dyDescent="0.25">
      <c r="A2" s="1" t="s">
        <v>482</v>
      </c>
    </row>
    <row r="3" spans="1:7" ht="14.25" customHeight="1" x14ac:dyDescent="0.25">
      <c r="A3" s="1" t="s">
        <v>483</v>
      </c>
      <c r="B3" s="10">
        <v>1427945</v>
      </c>
    </row>
    <row r="4" spans="1:7" ht="14.25" customHeight="1" x14ac:dyDescent="0.25"/>
    <row r="5" spans="1:7" ht="14.25" customHeight="1" x14ac:dyDescent="0.25">
      <c r="A5" s="11" t="s">
        <v>382</v>
      </c>
      <c r="B5" s="11" t="s">
        <v>383</v>
      </c>
      <c r="C5" s="11" t="s">
        <v>384</v>
      </c>
      <c r="D5" s="11" t="s">
        <v>385</v>
      </c>
      <c r="E5" s="11" t="s">
        <v>386</v>
      </c>
      <c r="F5" s="11" t="s">
        <v>387</v>
      </c>
      <c r="G5" s="11" t="s">
        <v>388</v>
      </c>
    </row>
    <row r="6" spans="1:7" ht="14.25" customHeight="1" x14ac:dyDescent="0.25">
      <c r="A6" s="12">
        <v>46058</v>
      </c>
      <c r="B6" s="12">
        <v>46058</v>
      </c>
      <c r="C6" s="1" t="s">
        <v>484</v>
      </c>
      <c r="D6" s="1" t="s">
        <v>390</v>
      </c>
      <c r="E6" s="13">
        <v>675</v>
      </c>
      <c r="F6" s="1" t="s">
        <v>391</v>
      </c>
      <c r="G6" s="13">
        <v>1428650</v>
      </c>
    </row>
    <row r="7" spans="1:7" ht="14.25" customHeight="1" x14ac:dyDescent="0.25">
      <c r="A7" s="12">
        <v>46054</v>
      </c>
      <c r="B7" s="12">
        <v>46054</v>
      </c>
      <c r="C7" s="1" t="s">
        <v>389</v>
      </c>
      <c r="D7" s="1" t="s">
        <v>390</v>
      </c>
      <c r="E7" s="13">
        <v>1360</v>
      </c>
      <c r="F7" s="1" t="s">
        <v>393</v>
      </c>
      <c r="G7" s="13">
        <v>1430010</v>
      </c>
    </row>
    <row r="8" spans="1:7" ht="14.25" customHeight="1" x14ac:dyDescent="0.25">
      <c r="A8" s="12">
        <v>46054</v>
      </c>
      <c r="B8" s="12">
        <v>46054</v>
      </c>
      <c r="C8" s="1" t="s">
        <v>392</v>
      </c>
      <c r="D8" s="1" t="s">
        <v>390</v>
      </c>
      <c r="E8" s="13">
        <v>594</v>
      </c>
      <c r="F8" s="1" t="s">
        <v>395</v>
      </c>
      <c r="G8" s="13">
        <v>1430604</v>
      </c>
    </row>
    <row r="9" spans="1:7" ht="14.25" customHeight="1" x14ac:dyDescent="0.25">
      <c r="A9" s="12">
        <v>46055</v>
      </c>
      <c r="B9" s="12">
        <v>46055</v>
      </c>
      <c r="C9" s="1" t="s">
        <v>394</v>
      </c>
      <c r="D9" s="1" t="s">
        <v>390</v>
      </c>
      <c r="E9" s="13">
        <v>6300</v>
      </c>
      <c r="F9" s="1" t="s">
        <v>397</v>
      </c>
      <c r="G9" s="13">
        <v>1436904</v>
      </c>
    </row>
    <row r="10" spans="1:7" ht="14.25" customHeight="1" x14ac:dyDescent="0.25">
      <c r="A10" s="12">
        <v>46056</v>
      </c>
      <c r="B10" s="12">
        <v>46056</v>
      </c>
      <c r="C10" s="1" t="s">
        <v>396</v>
      </c>
      <c r="D10" s="1" t="s">
        <v>390</v>
      </c>
      <c r="E10" s="13">
        <v>1870</v>
      </c>
      <c r="F10" s="1" t="s">
        <v>399</v>
      </c>
      <c r="G10" s="13">
        <v>1438774</v>
      </c>
    </row>
    <row r="11" spans="1:7" ht="14.25" customHeight="1" x14ac:dyDescent="0.25">
      <c r="A11" s="12">
        <v>46058</v>
      </c>
      <c r="B11" s="12">
        <v>46058</v>
      </c>
      <c r="C11" s="1" t="s">
        <v>398</v>
      </c>
      <c r="D11" s="1" t="s">
        <v>390</v>
      </c>
      <c r="E11" s="13">
        <v>1955</v>
      </c>
      <c r="F11" s="1" t="s">
        <v>401</v>
      </c>
      <c r="G11" s="13">
        <v>1440729</v>
      </c>
    </row>
    <row r="12" spans="1:7" ht="14.25" customHeight="1" x14ac:dyDescent="0.25">
      <c r="A12" s="12">
        <v>46058</v>
      </c>
      <c r="B12" s="12">
        <v>46058</v>
      </c>
      <c r="C12" s="1" t="s">
        <v>400</v>
      </c>
      <c r="D12" s="1" t="s">
        <v>390</v>
      </c>
      <c r="E12" s="13">
        <v>2805</v>
      </c>
      <c r="F12" s="1" t="s">
        <v>403</v>
      </c>
      <c r="G12" s="13">
        <v>1443534</v>
      </c>
    </row>
    <row r="13" spans="1:7" ht="14.25" customHeight="1" x14ac:dyDescent="0.25">
      <c r="A13" s="12">
        <v>46058</v>
      </c>
      <c r="B13" s="12">
        <v>46058</v>
      </c>
      <c r="C13" s="1" t="s">
        <v>402</v>
      </c>
      <c r="D13" s="1" t="s">
        <v>390</v>
      </c>
      <c r="E13" s="13">
        <v>5580</v>
      </c>
      <c r="F13" s="1" t="s">
        <v>405</v>
      </c>
      <c r="G13" s="13">
        <v>1449114</v>
      </c>
    </row>
    <row r="14" spans="1:7" ht="14.25" customHeight="1" x14ac:dyDescent="0.25">
      <c r="A14" s="12">
        <v>46058</v>
      </c>
      <c r="B14" s="12">
        <v>46058</v>
      </c>
      <c r="C14" s="1" t="s">
        <v>404</v>
      </c>
      <c r="D14" s="1" t="s">
        <v>390</v>
      </c>
      <c r="E14" s="13">
        <v>1870</v>
      </c>
      <c r="F14" s="1" t="s">
        <v>407</v>
      </c>
      <c r="G14" s="13">
        <v>1450984</v>
      </c>
    </row>
    <row r="15" spans="1:7" ht="14.25" customHeight="1" x14ac:dyDescent="0.25">
      <c r="A15" s="12">
        <v>46059</v>
      </c>
      <c r="B15" s="12">
        <v>46059</v>
      </c>
      <c r="C15" s="1" t="s">
        <v>406</v>
      </c>
      <c r="D15" s="1" t="s">
        <v>390</v>
      </c>
      <c r="E15" s="13">
        <v>3080</v>
      </c>
      <c r="F15" s="1" t="s">
        <v>409</v>
      </c>
      <c r="G15" s="13">
        <v>1454064</v>
      </c>
    </row>
    <row r="16" spans="1:7" ht="14.25" customHeight="1" x14ac:dyDescent="0.25">
      <c r="A16" s="12">
        <v>46061</v>
      </c>
      <c r="B16" s="12">
        <v>46061</v>
      </c>
      <c r="C16" s="1" t="s">
        <v>408</v>
      </c>
      <c r="D16" s="1" t="s">
        <v>390</v>
      </c>
      <c r="E16" s="13">
        <v>2380</v>
      </c>
      <c r="F16" s="1" t="s">
        <v>411</v>
      </c>
      <c r="G16" s="13">
        <v>1456444</v>
      </c>
    </row>
    <row r="17" spans="1:7" ht="14.25" customHeight="1" x14ac:dyDescent="0.25">
      <c r="A17" s="12">
        <v>46061</v>
      </c>
      <c r="B17" s="12">
        <v>46061</v>
      </c>
      <c r="C17" s="1" t="s">
        <v>410</v>
      </c>
      <c r="D17" s="1" t="s">
        <v>390</v>
      </c>
      <c r="E17" s="13">
        <v>1105</v>
      </c>
      <c r="F17" s="1" t="s">
        <v>413</v>
      </c>
      <c r="G17" s="13">
        <v>1457549</v>
      </c>
    </row>
    <row r="18" spans="1:7" ht="14.25" customHeight="1" x14ac:dyDescent="0.25">
      <c r="A18" s="12">
        <v>46061</v>
      </c>
      <c r="B18" s="12">
        <v>46061</v>
      </c>
      <c r="C18" s="1" t="s">
        <v>412</v>
      </c>
      <c r="D18" s="1" t="s">
        <v>390</v>
      </c>
      <c r="E18" s="13">
        <v>2860</v>
      </c>
      <c r="F18" s="1" t="s">
        <v>415</v>
      </c>
      <c r="G18" s="13">
        <v>1460409</v>
      </c>
    </row>
    <row r="19" spans="1:7" ht="14.25" customHeight="1" x14ac:dyDescent="0.25">
      <c r="A19" s="12">
        <v>46062</v>
      </c>
      <c r="B19" s="12">
        <v>46062</v>
      </c>
      <c r="C19" s="1" t="s">
        <v>414</v>
      </c>
      <c r="D19" s="1" t="s">
        <v>390</v>
      </c>
      <c r="E19" s="13">
        <v>585</v>
      </c>
      <c r="F19" s="1" t="s">
        <v>417</v>
      </c>
      <c r="G19" s="13">
        <v>1460994</v>
      </c>
    </row>
    <row r="20" spans="1:7" ht="14.25" customHeight="1" x14ac:dyDescent="0.25">
      <c r="A20" s="12">
        <v>46063</v>
      </c>
      <c r="B20" s="12">
        <v>46063</v>
      </c>
      <c r="C20" s="1" t="s">
        <v>416</v>
      </c>
      <c r="D20" s="1" t="s">
        <v>390</v>
      </c>
      <c r="E20" s="13">
        <v>2185</v>
      </c>
      <c r="F20" s="1" t="s">
        <v>419</v>
      </c>
      <c r="G20" s="13">
        <v>1463179</v>
      </c>
    </row>
    <row r="21" spans="1:7" ht="14.25" customHeight="1" x14ac:dyDescent="0.25">
      <c r="A21" s="12">
        <v>46063</v>
      </c>
      <c r="B21" s="12">
        <v>46063</v>
      </c>
      <c r="C21" s="1" t="s">
        <v>418</v>
      </c>
      <c r="D21" s="1" t="s">
        <v>390</v>
      </c>
      <c r="E21" s="13">
        <v>2090</v>
      </c>
      <c r="F21" s="1" t="s">
        <v>421</v>
      </c>
      <c r="G21" s="13">
        <v>1465269</v>
      </c>
    </row>
    <row r="22" spans="1:7" ht="14.25" customHeight="1" x14ac:dyDescent="0.25">
      <c r="A22" s="12">
        <v>46063</v>
      </c>
      <c r="B22" s="12">
        <v>46063</v>
      </c>
      <c r="C22" s="1" t="s">
        <v>420</v>
      </c>
      <c r="D22" s="1" t="s">
        <v>390</v>
      </c>
      <c r="E22" s="13">
        <v>2530</v>
      </c>
      <c r="F22" s="1" t="s">
        <v>423</v>
      </c>
      <c r="G22" s="13">
        <v>1467799</v>
      </c>
    </row>
    <row r="23" spans="1:7" ht="14.25" customHeight="1" x14ac:dyDescent="0.25">
      <c r="A23" s="12">
        <v>46063</v>
      </c>
      <c r="B23" s="12">
        <v>46063</v>
      </c>
      <c r="C23" s="1" t="s">
        <v>485</v>
      </c>
      <c r="D23" s="1" t="s">
        <v>390</v>
      </c>
      <c r="E23" s="13">
        <v>3080</v>
      </c>
      <c r="F23" s="1" t="s">
        <v>425</v>
      </c>
      <c r="G23" s="13">
        <v>1470879</v>
      </c>
    </row>
    <row r="24" spans="1:7" ht="14.25" customHeight="1" x14ac:dyDescent="0.25">
      <c r="A24" s="12">
        <v>46065</v>
      </c>
      <c r="B24" s="12">
        <v>46065</v>
      </c>
      <c r="C24" s="1" t="s">
        <v>422</v>
      </c>
      <c r="D24" s="1" t="s">
        <v>390</v>
      </c>
      <c r="E24" s="13">
        <v>1710</v>
      </c>
      <c r="F24" s="1" t="s">
        <v>427</v>
      </c>
      <c r="G24" s="13">
        <v>1472589</v>
      </c>
    </row>
    <row r="25" spans="1:7" ht="14.25" customHeight="1" x14ac:dyDescent="0.25">
      <c r="A25" s="12">
        <v>46065</v>
      </c>
      <c r="B25" s="12">
        <v>46065</v>
      </c>
      <c r="C25" s="1" t="s">
        <v>424</v>
      </c>
      <c r="D25" s="1" t="s">
        <v>390</v>
      </c>
      <c r="E25" s="13">
        <v>3230</v>
      </c>
      <c r="F25" s="1" t="s">
        <v>429</v>
      </c>
      <c r="G25" s="13">
        <v>1475819</v>
      </c>
    </row>
    <row r="26" spans="1:7" ht="14.25" customHeight="1" x14ac:dyDescent="0.25">
      <c r="A26" s="12">
        <v>46066</v>
      </c>
      <c r="B26" s="12">
        <v>46066</v>
      </c>
      <c r="C26" s="1" t="s">
        <v>426</v>
      </c>
      <c r="D26" s="1" t="s">
        <v>390</v>
      </c>
      <c r="E26" s="13">
        <v>585</v>
      </c>
      <c r="F26" s="1" t="s">
        <v>431</v>
      </c>
      <c r="G26" s="13">
        <v>1476404</v>
      </c>
    </row>
    <row r="27" spans="1:7" ht="14.25" customHeight="1" x14ac:dyDescent="0.25">
      <c r="A27" s="12">
        <v>46067</v>
      </c>
      <c r="B27" s="12">
        <v>46067</v>
      </c>
      <c r="C27" s="1" t="s">
        <v>428</v>
      </c>
      <c r="D27" s="1" t="s">
        <v>390</v>
      </c>
      <c r="E27" s="13">
        <v>720</v>
      </c>
      <c r="F27" s="1" t="s">
        <v>433</v>
      </c>
      <c r="G27" s="13">
        <v>1477124</v>
      </c>
    </row>
    <row r="28" spans="1:7" ht="14.25" customHeight="1" x14ac:dyDescent="0.25">
      <c r="A28" s="12">
        <v>46068</v>
      </c>
      <c r="B28" s="12">
        <v>46068</v>
      </c>
      <c r="C28" s="1" t="s">
        <v>430</v>
      </c>
      <c r="D28" s="1" t="s">
        <v>390</v>
      </c>
      <c r="E28" s="13">
        <v>1760</v>
      </c>
      <c r="F28" s="1" t="s">
        <v>435</v>
      </c>
      <c r="G28" s="13">
        <v>1478884</v>
      </c>
    </row>
    <row r="29" spans="1:7" ht="14.25" customHeight="1" x14ac:dyDescent="0.25">
      <c r="A29" s="12">
        <v>46068</v>
      </c>
      <c r="B29" s="12">
        <v>46068</v>
      </c>
      <c r="C29" s="1" t="s">
        <v>432</v>
      </c>
      <c r="D29" s="1" t="s">
        <v>390</v>
      </c>
      <c r="E29" s="13">
        <v>2975</v>
      </c>
      <c r="F29" s="1" t="s">
        <v>437</v>
      </c>
      <c r="G29" s="13">
        <v>1481859</v>
      </c>
    </row>
    <row r="30" spans="1:7" ht="14.25" customHeight="1" x14ac:dyDescent="0.25">
      <c r="A30" s="12">
        <v>46068</v>
      </c>
      <c r="B30" s="12">
        <v>46068</v>
      </c>
      <c r="C30" s="1" t="s">
        <v>434</v>
      </c>
      <c r="D30" s="1" t="s">
        <v>390</v>
      </c>
      <c r="E30" s="13">
        <v>935</v>
      </c>
      <c r="F30" s="1" t="s">
        <v>439</v>
      </c>
      <c r="G30" s="13">
        <v>1482794</v>
      </c>
    </row>
    <row r="31" spans="1:7" ht="14.25" customHeight="1" x14ac:dyDescent="0.25">
      <c r="A31" s="12">
        <v>46069</v>
      </c>
      <c r="B31" s="12">
        <v>46069</v>
      </c>
      <c r="C31" s="1" t="s">
        <v>436</v>
      </c>
      <c r="D31" s="1" t="s">
        <v>390</v>
      </c>
      <c r="E31" s="13">
        <v>1615</v>
      </c>
      <c r="F31" s="1" t="s">
        <v>441</v>
      </c>
      <c r="G31" s="13">
        <v>1484409</v>
      </c>
    </row>
    <row r="32" spans="1:7" ht="14.25" customHeight="1" x14ac:dyDescent="0.25">
      <c r="A32" s="12">
        <v>46070</v>
      </c>
      <c r="B32" s="12">
        <v>46070</v>
      </c>
      <c r="C32" s="1" t="s">
        <v>438</v>
      </c>
      <c r="D32" s="1" t="s">
        <v>390</v>
      </c>
      <c r="E32" s="13">
        <v>1900</v>
      </c>
      <c r="F32" s="1" t="s">
        <v>443</v>
      </c>
      <c r="G32" s="13">
        <v>1486309</v>
      </c>
    </row>
    <row r="33" spans="1:7" ht="14.25" customHeight="1" x14ac:dyDescent="0.25">
      <c r="A33" s="12">
        <v>46070</v>
      </c>
      <c r="B33" s="12">
        <v>46070</v>
      </c>
      <c r="C33" s="1" t="s">
        <v>440</v>
      </c>
      <c r="D33" s="1" t="s">
        <v>390</v>
      </c>
      <c r="E33" s="13">
        <v>4680</v>
      </c>
      <c r="F33" s="1" t="s">
        <v>445</v>
      </c>
      <c r="G33" s="13">
        <v>1490989</v>
      </c>
    </row>
    <row r="34" spans="1:7" ht="14.25" customHeight="1" x14ac:dyDescent="0.25">
      <c r="A34" s="12">
        <v>46071</v>
      </c>
      <c r="B34" s="12">
        <v>46071</v>
      </c>
      <c r="C34" s="1" t="s">
        <v>442</v>
      </c>
      <c r="D34" s="1" t="s">
        <v>390</v>
      </c>
      <c r="E34" s="13">
        <v>2860</v>
      </c>
      <c r="F34" s="1" t="s">
        <v>447</v>
      </c>
      <c r="G34" s="13">
        <v>1493849</v>
      </c>
    </row>
    <row r="35" spans="1:7" ht="14.25" customHeight="1" x14ac:dyDescent="0.25">
      <c r="A35" s="12">
        <v>46072</v>
      </c>
      <c r="B35" s="12">
        <v>46072</v>
      </c>
      <c r="C35" s="1" t="s">
        <v>444</v>
      </c>
      <c r="D35" s="1" t="s">
        <v>390</v>
      </c>
      <c r="E35" s="13">
        <v>1980</v>
      </c>
      <c r="F35" s="1" t="s">
        <v>449</v>
      </c>
      <c r="G35" s="13">
        <v>1495829</v>
      </c>
    </row>
    <row r="36" spans="1:7" ht="14.25" customHeight="1" x14ac:dyDescent="0.25">
      <c r="A36" s="12">
        <v>46072</v>
      </c>
      <c r="B36" s="12">
        <v>46072</v>
      </c>
      <c r="C36" s="1" t="s">
        <v>446</v>
      </c>
      <c r="D36" s="1" t="s">
        <v>390</v>
      </c>
      <c r="E36" s="13">
        <v>540</v>
      </c>
      <c r="F36" s="1" t="s">
        <v>451</v>
      </c>
      <c r="G36" s="13">
        <v>1496369</v>
      </c>
    </row>
    <row r="37" spans="1:7" ht="14.25" customHeight="1" x14ac:dyDescent="0.25">
      <c r="A37" s="12">
        <v>46073</v>
      </c>
      <c r="B37" s="12">
        <v>46073</v>
      </c>
      <c r="C37" s="1" t="s">
        <v>486</v>
      </c>
      <c r="D37" s="1" t="s">
        <v>390</v>
      </c>
      <c r="E37" s="13">
        <v>675</v>
      </c>
      <c r="F37" s="1" t="s">
        <v>453</v>
      </c>
      <c r="G37" s="13">
        <v>1497044</v>
      </c>
    </row>
    <row r="38" spans="1:7" ht="14.25" customHeight="1" x14ac:dyDescent="0.25">
      <c r="A38" s="12">
        <v>46073</v>
      </c>
      <c r="B38" s="12">
        <v>46073</v>
      </c>
      <c r="C38" s="1" t="s">
        <v>448</v>
      </c>
      <c r="D38" s="1" t="s">
        <v>390</v>
      </c>
      <c r="E38" s="13">
        <v>3325</v>
      </c>
      <c r="F38" s="1" t="s">
        <v>455</v>
      </c>
      <c r="G38" s="13">
        <v>1500369</v>
      </c>
    </row>
    <row r="39" spans="1:7" ht="14.25" customHeight="1" x14ac:dyDescent="0.25">
      <c r="A39" s="12">
        <v>46073</v>
      </c>
      <c r="B39" s="12">
        <v>46073</v>
      </c>
      <c r="C39" s="1" t="s">
        <v>450</v>
      </c>
      <c r="D39" s="1" t="s">
        <v>390</v>
      </c>
      <c r="E39" s="13">
        <v>1140</v>
      </c>
      <c r="F39" s="1" t="s">
        <v>457</v>
      </c>
      <c r="G39" s="13">
        <v>1501509</v>
      </c>
    </row>
    <row r="40" spans="1:7" ht="14.25" customHeight="1" x14ac:dyDescent="0.25">
      <c r="A40" s="12">
        <v>46073</v>
      </c>
      <c r="B40" s="12">
        <v>46073</v>
      </c>
      <c r="C40" s="1" t="s">
        <v>487</v>
      </c>
      <c r="D40" s="1" t="s">
        <v>390</v>
      </c>
      <c r="E40" s="13">
        <v>3040</v>
      </c>
      <c r="F40" s="1" t="s">
        <v>459</v>
      </c>
      <c r="G40" s="13">
        <v>1504549</v>
      </c>
    </row>
    <row r="41" spans="1:7" ht="14.25" customHeight="1" x14ac:dyDescent="0.25">
      <c r="A41" s="12">
        <v>46074</v>
      </c>
      <c r="B41" s="12">
        <v>46074</v>
      </c>
      <c r="C41" s="1" t="s">
        <v>488</v>
      </c>
      <c r="D41" s="1" t="s">
        <v>489</v>
      </c>
      <c r="E41" s="13">
        <v>-169.71</v>
      </c>
      <c r="F41" s="1" t="s">
        <v>461</v>
      </c>
      <c r="G41" s="13">
        <v>1504379.29</v>
      </c>
    </row>
    <row r="42" spans="1:7" ht="14.25" customHeight="1" x14ac:dyDescent="0.25">
      <c r="A42" s="12">
        <v>46075</v>
      </c>
      <c r="B42" s="12">
        <v>46075</v>
      </c>
      <c r="C42" s="1" t="s">
        <v>454</v>
      </c>
      <c r="D42" s="1" t="s">
        <v>390</v>
      </c>
      <c r="E42" s="13">
        <v>3600</v>
      </c>
      <c r="F42" s="1" t="s">
        <v>463</v>
      </c>
      <c r="G42" s="13">
        <v>1507979.29</v>
      </c>
    </row>
    <row r="43" spans="1:7" ht="14.25" customHeight="1" x14ac:dyDescent="0.25">
      <c r="A43" s="12">
        <v>46075</v>
      </c>
      <c r="B43" s="12">
        <v>46075</v>
      </c>
      <c r="C43" s="1" t="s">
        <v>456</v>
      </c>
      <c r="D43" s="1" t="s">
        <v>390</v>
      </c>
      <c r="E43" s="13">
        <v>3960</v>
      </c>
      <c r="F43" s="1" t="s">
        <v>465</v>
      </c>
      <c r="G43" s="13">
        <v>1511939.29</v>
      </c>
    </row>
    <row r="44" spans="1:7" ht="14.25" customHeight="1" x14ac:dyDescent="0.25">
      <c r="A44" s="12">
        <v>46076</v>
      </c>
      <c r="B44" s="12">
        <v>46076</v>
      </c>
      <c r="C44" s="1" t="s">
        <v>460</v>
      </c>
      <c r="D44" s="1" t="s">
        <v>390</v>
      </c>
      <c r="E44" s="13">
        <v>1520</v>
      </c>
      <c r="F44" s="1" t="s">
        <v>467</v>
      </c>
      <c r="G44" s="13">
        <v>1513459.29</v>
      </c>
    </row>
    <row r="45" spans="1:7" ht="14.25" customHeight="1" x14ac:dyDescent="0.25">
      <c r="A45" s="12">
        <v>46076</v>
      </c>
      <c r="B45" s="12">
        <v>46076</v>
      </c>
      <c r="C45" s="1" t="s">
        <v>462</v>
      </c>
      <c r="D45" s="1" t="s">
        <v>390</v>
      </c>
      <c r="E45" s="13">
        <v>2465</v>
      </c>
      <c r="F45" s="1" t="s">
        <v>469</v>
      </c>
      <c r="G45" s="13">
        <v>1515924.29</v>
      </c>
    </row>
    <row r="46" spans="1:7" ht="14.25" customHeight="1" x14ac:dyDescent="0.25">
      <c r="A46" s="12">
        <v>46078</v>
      </c>
      <c r="B46" s="12">
        <v>46078</v>
      </c>
      <c r="C46" s="1" t="s">
        <v>464</v>
      </c>
      <c r="D46" s="1" t="s">
        <v>390</v>
      </c>
      <c r="E46" s="13">
        <v>2635</v>
      </c>
      <c r="F46" s="1" t="s">
        <v>471</v>
      </c>
      <c r="G46" s="13">
        <v>1518559.29</v>
      </c>
    </row>
    <row r="47" spans="1:7" ht="14.25" customHeight="1" x14ac:dyDescent="0.25">
      <c r="A47" s="12">
        <v>46079</v>
      </c>
      <c r="B47" s="12">
        <v>46079</v>
      </c>
      <c r="C47" s="1" t="s">
        <v>466</v>
      </c>
      <c r="D47" s="1" t="s">
        <v>390</v>
      </c>
      <c r="E47" s="13">
        <v>5250</v>
      </c>
      <c r="F47" s="1" t="s">
        <v>473</v>
      </c>
      <c r="G47" s="13">
        <v>1523809.29</v>
      </c>
    </row>
    <row r="48" spans="1:7" ht="14.25" customHeight="1" x14ac:dyDescent="0.25">
      <c r="A48" s="12">
        <v>46079</v>
      </c>
      <c r="B48" s="12">
        <v>46079</v>
      </c>
      <c r="C48" s="1" t="s">
        <v>468</v>
      </c>
      <c r="D48" s="1" t="s">
        <v>390</v>
      </c>
      <c r="E48" s="13">
        <v>1710</v>
      </c>
      <c r="F48" s="1" t="s">
        <v>475</v>
      </c>
      <c r="G48" s="13">
        <v>1525519.29</v>
      </c>
    </row>
    <row r="49" spans="1:7" ht="14.25" customHeight="1" x14ac:dyDescent="0.25">
      <c r="A49" s="12">
        <v>46080</v>
      </c>
      <c r="B49" s="12">
        <v>46080</v>
      </c>
      <c r="C49" s="1" t="s">
        <v>470</v>
      </c>
      <c r="D49" s="1" t="s">
        <v>390</v>
      </c>
      <c r="E49" s="13">
        <v>1980</v>
      </c>
      <c r="F49" s="1" t="s">
        <v>477</v>
      </c>
      <c r="G49" s="13">
        <v>1527499.29</v>
      </c>
    </row>
    <row r="50" spans="1:7" ht="14.25" customHeight="1" x14ac:dyDescent="0.25">
      <c r="A50" s="12">
        <v>46081</v>
      </c>
      <c r="B50" s="12">
        <v>46081</v>
      </c>
      <c r="C50" s="1" t="s">
        <v>478</v>
      </c>
      <c r="D50" s="1" t="s">
        <v>390</v>
      </c>
      <c r="E50" s="13">
        <v>1650</v>
      </c>
      <c r="F50" s="1" t="s">
        <v>479</v>
      </c>
      <c r="G50" s="13">
        <v>1529149.29</v>
      </c>
    </row>
    <row r="51" spans="1:7" ht="14.25" customHeight="1" x14ac:dyDescent="0.25">
      <c r="A51" s="12">
        <v>46081</v>
      </c>
      <c r="B51" s="12">
        <v>46081</v>
      </c>
      <c r="C51" s="1" t="s">
        <v>472</v>
      </c>
      <c r="D51" s="1" t="s">
        <v>390</v>
      </c>
      <c r="E51" s="13">
        <v>4950</v>
      </c>
      <c r="F51" s="1" t="s">
        <v>481</v>
      </c>
      <c r="G51" s="13">
        <v>1534099.29</v>
      </c>
    </row>
    <row r="52" spans="1:7" ht="14.25" customHeight="1" x14ac:dyDescent="0.25">
      <c r="A52" s="12">
        <v>46081</v>
      </c>
      <c r="B52" s="12">
        <v>46081</v>
      </c>
      <c r="C52" s="1" t="s">
        <v>480</v>
      </c>
      <c r="D52" s="1" t="s">
        <v>390</v>
      </c>
      <c r="E52" s="13">
        <v>2125</v>
      </c>
      <c r="F52" s="1" t="s">
        <v>490</v>
      </c>
      <c r="G52" s="13">
        <v>1536224.29</v>
      </c>
    </row>
    <row r="53" spans="1:7" ht="14.25" customHeight="1" x14ac:dyDescent="0.25">
      <c r="A53" s="12">
        <v>46081</v>
      </c>
      <c r="B53" s="12">
        <v>46081</v>
      </c>
      <c r="C53" s="1" t="s">
        <v>474</v>
      </c>
      <c r="D53" s="1" t="s">
        <v>390</v>
      </c>
      <c r="E53" s="13">
        <v>2200</v>
      </c>
      <c r="F53" s="1" t="s">
        <v>491</v>
      </c>
      <c r="G53" s="13">
        <v>1538424.29</v>
      </c>
    </row>
    <row r="54" spans="1:7" ht="14.25" customHeight="1" x14ac:dyDescent="0.25">
      <c r="A54" s="12">
        <v>46081</v>
      </c>
      <c r="B54" s="12">
        <v>46081</v>
      </c>
      <c r="C54" s="1" t="s">
        <v>476</v>
      </c>
      <c r="D54" s="1" t="s">
        <v>390</v>
      </c>
      <c r="E54" s="13">
        <v>4200</v>
      </c>
      <c r="F54" s="1" t="s">
        <v>492</v>
      </c>
      <c r="G54" s="13">
        <v>1542624.29</v>
      </c>
    </row>
    <row r="55" spans="1:7" ht="14.25" customHeight="1" x14ac:dyDescent="0.25"/>
    <row r="56" spans="1:7" ht="14.25" customHeight="1" x14ac:dyDescent="0.25"/>
    <row r="57" spans="1:7" ht="14.25" customHeight="1" x14ac:dyDescent="0.25"/>
    <row r="58" spans="1:7" ht="14.25" customHeight="1" x14ac:dyDescent="0.25"/>
    <row r="59" spans="1:7" ht="14.25" customHeight="1" x14ac:dyDescent="0.25"/>
    <row r="60" spans="1:7" ht="14.25" customHeight="1" x14ac:dyDescent="0.25"/>
    <row r="61" spans="1:7" ht="14.25" customHeight="1" x14ac:dyDescent="0.25"/>
    <row r="62" spans="1:7" ht="14.25" customHeight="1" x14ac:dyDescent="0.25"/>
    <row r="63" spans="1:7" ht="14.25" customHeight="1" x14ac:dyDescent="0.25"/>
    <row r="64" spans="1:7"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1"/>
  <sheetViews>
    <sheetView workbookViewId="0">
      <pane ySplit="1" topLeftCell="A2" activePane="bottomLeft" state="frozen"/>
      <selection pane="bottomLeft" activeCell="L20" sqref="L20"/>
    </sheetView>
  </sheetViews>
  <sheetFormatPr defaultColWidth="14.42578125" defaultRowHeight="15" customHeight="1" x14ac:dyDescent="0.25"/>
  <cols>
    <col min="1" max="1" width="17.5703125" customWidth="1"/>
    <col min="2" max="2" width="16.5703125" customWidth="1"/>
    <col min="3" max="3" width="25.42578125" customWidth="1"/>
    <col min="4" max="4" width="26.7109375" customWidth="1"/>
    <col min="5" max="5" width="15.5703125" customWidth="1"/>
    <col min="6" max="6" width="11.42578125" bestFit="1" customWidth="1"/>
    <col min="7" max="26" width="8.7109375" customWidth="1"/>
  </cols>
  <sheetData>
    <row r="1" spans="1:6" ht="14.25" customHeight="1" x14ac:dyDescent="0.25">
      <c r="A1" s="14" t="s">
        <v>493</v>
      </c>
      <c r="B1" s="15">
        <v>46023</v>
      </c>
      <c r="C1" s="15">
        <v>46054</v>
      </c>
      <c r="D1" s="15">
        <v>46082</v>
      </c>
      <c r="E1" s="15">
        <v>46113</v>
      </c>
      <c r="F1" s="15">
        <v>46143</v>
      </c>
    </row>
    <row r="2" spans="1:6" ht="14.25" customHeight="1" x14ac:dyDescent="0.25">
      <c r="A2" s="16" t="s">
        <v>494</v>
      </c>
      <c r="B2" s="17">
        <v>143069.5</v>
      </c>
      <c r="C2" s="18">
        <f>B7</f>
        <v>144779.5</v>
      </c>
      <c r="D2" s="18">
        <f>C7</f>
        <v>150305.5</v>
      </c>
      <c r="E2" s="18">
        <f>D7</f>
        <v>153685.5</v>
      </c>
      <c r="F2" s="18">
        <f>E7</f>
        <v>156830.5</v>
      </c>
    </row>
    <row r="3" spans="1:6" ht="14.25" customHeight="1" x14ac:dyDescent="0.25">
      <c r="A3" s="16" t="s">
        <v>495</v>
      </c>
      <c r="B3" s="19">
        <v>1710</v>
      </c>
      <c r="C3" s="19">
        <v>6120</v>
      </c>
      <c r="D3" s="19">
        <v>3000</v>
      </c>
      <c r="E3" s="19">
        <v>3810</v>
      </c>
      <c r="F3" s="19">
        <v>4780</v>
      </c>
    </row>
    <row r="4" spans="1:6" ht="14.25" customHeight="1" x14ac:dyDescent="0.25">
      <c r="A4" s="16" t="s">
        <v>496</v>
      </c>
      <c r="B4" s="19">
        <v>0</v>
      </c>
      <c r="C4" s="19">
        <v>0</v>
      </c>
      <c r="D4" s="19">
        <v>380</v>
      </c>
      <c r="E4" s="19">
        <v>440</v>
      </c>
      <c r="F4" s="19">
        <v>425</v>
      </c>
    </row>
    <row r="5" spans="1:6" ht="14.25" customHeight="1" x14ac:dyDescent="0.25">
      <c r="A5" s="16" t="s">
        <v>823</v>
      </c>
      <c r="B5" s="246"/>
      <c r="C5" s="246"/>
      <c r="D5" s="246"/>
      <c r="E5" s="246"/>
      <c r="F5" s="246">
        <v>440</v>
      </c>
    </row>
    <row r="6" spans="1:6" ht="14.25" customHeight="1" x14ac:dyDescent="0.25">
      <c r="A6" s="16" t="s">
        <v>497</v>
      </c>
      <c r="B6" s="19">
        <v>0</v>
      </c>
      <c r="C6" s="19">
        <v>594</v>
      </c>
      <c r="D6" s="19">
        <v>0</v>
      </c>
      <c r="E6" s="19">
        <v>1105</v>
      </c>
      <c r="F6" s="19">
        <v>1520</v>
      </c>
    </row>
    <row r="7" spans="1:6" ht="14.25" customHeight="1" x14ac:dyDescent="0.25">
      <c r="A7" s="20" t="s">
        <v>498</v>
      </c>
      <c r="B7" s="21">
        <f>B2+B3+B4-B6</f>
        <v>144779.5</v>
      </c>
      <c r="C7" s="21">
        <f>C2+C3+C4-C6</f>
        <v>150305.5</v>
      </c>
      <c r="D7" s="21">
        <f>D2+D3+D4-D6</f>
        <v>153685.5</v>
      </c>
      <c r="E7" s="21">
        <f>E2+E3+E4-E6</f>
        <v>156830.5</v>
      </c>
      <c r="F7" s="21">
        <f>F2+F3+F4-F5-F6</f>
        <v>160075.5</v>
      </c>
    </row>
    <row r="8" spans="1:6" ht="14.25" customHeight="1" x14ac:dyDescent="0.25">
      <c r="A8" s="16" t="s">
        <v>499</v>
      </c>
      <c r="B8" s="19">
        <v>30000</v>
      </c>
      <c r="C8" s="19">
        <v>31000</v>
      </c>
      <c r="D8" s="19">
        <v>29000</v>
      </c>
      <c r="E8" s="19">
        <v>32000</v>
      </c>
      <c r="F8" s="19">
        <v>29000</v>
      </c>
    </row>
    <row r="9" spans="1:6" ht="14.25" customHeight="1" x14ac:dyDescent="0.25">
      <c r="A9" s="16" t="s">
        <v>500</v>
      </c>
      <c r="B9" s="19">
        <v>25000</v>
      </c>
      <c r="C9" s="19">
        <v>25000</v>
      </c>
      <c r="D9" s="19">
        <v>22000</v>
      </c>
      <c r="E9" s="19">
        <v>23000</v>
      </c>
      <c r="F9" s="19">
        <v>24000</v>
      </c>
    </row>
    <row r="10" spans="1:6" ht="14.25" customHeight="1" x14ac:dyDescent="0.25">
      <c r="A10" s="16" t="s">
        <v>501</v>
      </c>
      <c r="B10" s="19">
        <v>19000</v>
      </c>
      <c r="C10" s="19">
        <v>19000</v>
      </c>
      <c r="D10" s="19">
        <v>22000</v>
      </c>
      <c r="E10" s="19">
        <v>20000</v>
      </c>
      <c r="F10" s="19">
        <v>21000</v>
      </c>
    </row>
    <row r="11" spans="1:6" ht="14.25" customHeight="1" x14ac:dyDescent="0.25">
      <c r="A11" s="22" t="s">
        <v>502</v>
      </c>
      <c r="B11" s="23">
        <f>B8+B9+B10</f>
        <v>74000</v>
      </c>
      <c r="C11" s="23">
        <f>C8+C9+C10</f>
        <v>75000</v>
      </c>
      <c r="D11" s="23">
        <f>D8+D9+D10</f>
        <v>73000</v>
      </c>
      <c r="E11" s="23">
        <f>E8+E9+E10</f>
        <v>75000</v>
      </c>
      <c r="F11" s="23">
        <f>F8+F9+F10</f>
        <v>74000</v>
      </c>
    </row>
    <row r="12" spans="1:6" ht="14.25" customHeight="1" x14ac:dyDescent="0.25">
      <c r="A12" s="16" t="s">
        <v>503</v>
      </c>
      <c r="B12" s="18">
        <f>B7*0.3</f>
        <v>43433.85</v>
      </c>
      <c r="C12" s="18">
        <f>C7*0.3</f>
        <v>45091.65</v>
      </c>
      <c r="D12" s="18">
        <f>D7*0.3</f>
        <v>46105.65</v>
      </c>
      <c r="E12" s="18">
        <f>E7*0.3</f>
        <v>47049.15</v>
      </c>
      <c r="F12" s="18">
        <f>F7*0.3</f>
        <v>48022.65</v>
      </c>
    </row>
    <row r="13" spans="1:6" ht="14.25" customHeight="1" x14ac:dyDescent="0.25">
      <c r="A13" s="16" t="s">
        <v>504</v>
      </c>
      <c r="B13" s="18">
        <f>B7-B12</f>
        <v>101345.65</v>
      </c>
      <c r="C13" s="18">
        <f>C7-C12</f>
        <v>105213.85</v>
      </c>
      <c r="D13" s="18">
        <f>D7-D12</f>
        <v>107579.85</v>
      </c>
      <c r="E13" s="18">
        <f>E7-E12</f>
        <v>109781.35</v>
      </c>
      <c r="F13" s="18">
        <f>F7-F12</f>
        <v>112052.85</v>
      </c>
    </row>
    <row r="14" spans="1:6" ht="14.25" customHeight="1" x14ac:dyDescent="0.25">
      <c r="A14" s="20" t="s">
        <v>505</v>
      </c>
      <c r="B14" s="21">
        <f>B13-B11</f>
        <v>27345.649999999994</v>
      </c>
      <c r="C14" s="21">
        <f>C13-C11</f>
        <v>30213.850000000006</v>
      </c>
      <c r="D14" s="21">
        <f>D13-D11</f>
        <v>34579.850000000006</v>
      </c>
      <c r="E14" s="21">
        <f>E13-E11</f>
        <v>34781.350000000006</v>
      </c>
      <c r="F14" s="21">
        <f>F13-F11</f>
        <v>38052.850000000006</v>
      </c>
    </row>
    <row r="15" spans="1:6" ht="14.25" customHeight="1" x14ac:dyDescent="0.25">
      <c r="A15" s="16" t="s">
        <v>506</v>
      </c>
      <c r="B15" s="24">
        <v>1</v>
      </c>
      <c r="C15" s="24">
        <v>2</v>
      </c>
      <c r="D15" s="24">
        <v>2</v>
      </c>
      <c r="E15" s="24">
        <v>2</v>
      </c>
      <c r="F15" s="24">
        <v>1</v>
      </c>
    </row>
    <row r="16" spans="1:6" ht="14.25" customHeight="1" x14ac:dyDescent="0.25">
      <c r="A16" s="16" t="s">
        <v>507</v>
      </c>
      <c r="B16" s="24">
        <v>39</v>
      </c>
      <c r="C16" s="24">
        <v>41</v>
      </c>
      <c r="D16" s="24">
        <v>42</v>
      </c>
      <c r="E16" s="24">
        <v>44</v>
      </c>
      <c r="F16" s="24">
        <v>45</v>
      </c>
    </row>
    <row r="17" spans="1:6" ht="14.25" customHeight="1" x14ac:dyDescent="0.25">
      <c r="A17" s="25" t="s">
        <v>508</v>
      </c>
      <c r="B17" s="26">
        <v>52</v>
      </c>
      <c r="C17" s="26">
        <v>53</v>
      </c>
      <c r="D17" s="26">
        <v>54</v>
      </c>
      <c r="E17" s="26">
        <v>55</v>
      </c>
      <c r="F17" s="26">
        <v>56</v>
      </c>
    </row>
    <row r="18" spans="1:6" ht="14.25" customHeight="1" x14ac:dyDescent="0.25"/>
    <row r="19" spans="1:6" ht="14.25" customHeight="1" x14ac:dyDescent="0.25">
      <c r="A19" s="22" t="s">
        <v>509</v>
      </c>
      <c r="B19" s="27" t="s">
        <v>510</v>
      </c>
      <c r="C19" s="28" t="s">
        <v>511</v>
      </c>
      <c r="D19" s="29" t="s">
        <v>512</v>
      </c>
    </row>
    <row r="20" spans="1:6" ht="14.25" customHeight="1" x14ac:dyDescent="0.25"/>
    <row r="21" spans="1:6" ht="14.25" customHeight="1" x14ac:dyDescent="0.25"/>
    <row r="22" spans="1:6" ht="14.25" customHeight="1" x14ac:dyDescent="0.25"/>
    <row r="23" spans="1:6" ht="14.25" customHeight="1" x14ac:dyDescent="0.25"/>
    <row r="24" spans="1:6" ht="14.25" customHeight="1" x14ac:dyDescent="0.25"/>
    <row r="25" spans="1:6" ht="14.25" customHeight="1" x14ac:dyDescent="0.25"/>
    <row r="26" spans="1:6" ht="14.25" customHeight="1" x14ac:dyDescent="0.25"/>
    <row r="27" spans="1:6" ht="14.25" customHeight="1" x14ac:dyDescent="0.25"/>
    <row r="28" spans="1:6" ht="14.25" customHeight="1" x14ac:dyDescent="0.25"/>
    <row r="29" spans="1:6" ht="14.25" customHeight="1" x14ac:dyDescent="0.25"/>
    <row r="30" spans="1:6" ht="14.25" customHeight="1" x14ac:dyDescent="0.25"/>
    <row r="31" spans="1:6" ht="14.25" customHeight="1" x14ac:dyDescent="0.25"/>
    <row r="32" spans="1: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3"/>
  <sheetViews>
    <sheetView workbookViewId="0">
      <selection activeCell="O23" sqref="O23"/>
    </sheetView>
  </sheetViews>
  <sheetFormatPr defaultColWidth="14.42578125" defaultRowHeight="15" customHeight="1" x14ac:dyDescent="0.25"/>
  <cols>
    <col min="1" max="1" width="35.28515625" customWidth="1"/>
    <col min="2" max="2" width="14.7109375" customWidth="1"/>
    <col min="3" max="3" width="14.42578125" customWidth="1"/>
    <col min="4" max="4" width="8.7109375" customWidth="1"/>
    <col min="5" max="5" width="36.42578125" customWidth="1"/>
    <col min="6" max="7" width="25.5703125" customWidth="1"/>
    <col min="8" max="26" width="8.7109375" customWidth="1"/>
  </cols>
  <sheetData>
    <row r="1" spans="1:9" ht="14.25" customHeight="1" x14ac:dyDescent="0.25">
      <c r="A1" s="11" t="s">
        <v>493</v>
      </c>
      <c r="B1" s="30" t="s">
        <v>513</v>
      </c>
      <c r="C1" s="30" t="s">
        <v>514</v>
      </c>
    </row>
    <row r="2" spans="1:9" ht="14.25" customHeight="1" x14ac:dyDescent="0.25">
      <c r="A2" s="1" t="s">
        <v>515</v>
      </c>
      <c r="B2" s="13">
        <f>'Jan 2026 A vs F '!B9</f>
        <v>144779.5</v>
      </c>
      <c r="C2" s="13">
        <f>'Feb 2026 A vs F'!B9</f>
        <v>150305.5</v>
      </c>
    </row>
    <row r="3" spans="1:9" ht="14.25" customHeight="1" x14ac:dyDescent="0.25">
      <c r="A3" s="1" t="s">
        <v>516</v>
      </c>
      <c r="B3" s="13">
        <f>SUM(billing_jan_2026!P2:P48)</f>
        <v>178650</v>
      </c>
      <c r="C3" s="13">
        <f>SUM(billing_feb_2026!P2:P49)</f>
        <v>113974.29</v>
      </c>
    </row>
    <row r="4" spans="1:9" ht="14.25" customHeight="1" x14ac:dyDescent="0.25">
      <c r="A4" s="1" t="s">
        <v>517</v>
      </c>
      <c r="B4" s="13"/>
      <c r="C4" s="13">
        <v>675</v>
      </c>
    </row>
    <row r="5" spans="1:9" ht="14.25" customHeight="1" x14ac:dyDescent="0.25">
      <c r="A5" s="1" t="s">
        <v>518</v>
      </c>
      <c r="B5" s="13">
        <f>SUM(bank_statement_jan_2026!E6:E51)</f>
        <v>177975</v>
      </c>
      <c r="C5" s="13">
        <f>SUM(bank_statement_feb_2026!E6:E54)</f>
        <v>114649.29</v>
      </c>
    </row>
    <row r="6" spans="1:9" ht="14.25" customHeight="1" x14ac:dyDescent="0.25">
      <c r="A6" s="1" t="s">
        <v>519</v>
      </c>
      <c r="B6" s="13">
        <f>B3-B2</f>
        <v>33870.5</v>
      </c>
      <c r="C6" s="13">
        <f>C3-C2+C4</f>
        <v>-35656.210000000006</v>
      </c>
    </row>
    <row r="7" spans="1:9" ht="14.25" customHeight="1" x14ac:dyDescent="0.25">
      <c r="A7" s="1" t="s">
        <v>520</v>
      </c>
      <c r="B7" s="13">
        <f>B3-B5</f>
        <v>675</v>
      </c>
      <c r="C7" s="13">
        <f>C3+C4-C5</f>
        <v>0</v>
      </c>
    </row>
    <row r="8" spans="1:9" ht="14.25" customHeight="1" x14ac:dyDescent="0.25"/>
    <row r="9" spans="1:9" ht="14.25" customHeight="1" x14ac:dyDescent="0.25">
      <c r="A9" s="22" t="s">
        <v>521</v>
      </c>
    </row>
    <row r="10" spans="1:9" ht="14.25" customHeight="1" x14ac:dyDescent="0.25">
      <c r="A10" s="11" t="s">
        <v>522</v>
      </c>
      <c r="B10" s="30" t="s">
        <v>513</v>
      </c>
      <c r="C10" s="30" t="s">
        <v>514</v>
      </c>
      <c r="H10" t="s">
        <v>523</v>
      </c>
      <c r="I10">
        <v>36755.5</v>
      </c>
    </row>
    <row r="11" spans="1:9" ht="14.25" customHeight="1" x14ac:dyDescent="0.25">
      <c r="A11" s="1" t="s">
        <v>515</v>
      </c>
      <c r="B11" s="13">
        <f>B2</f>
        <v>144779.5</v>
      </c>
      <c r="C11" s="13">
        <f>C2</f>
        <v>150305.5</v>
      </c>
    </row>
    <row r="12" spans="1:9" ht="14.25" customHeight="1" x14ac:dyDescent="0.25">
      <c r="A12" s="1" t="s">
        <v>524</v>
      </c>
      <c r="B12" s="13">
        <f>SUMIF(billing_jan_2026!H:H, "Annual", billing_jan_2026!P:P) * (11/12)</f>
        <v>64740.5</v>
      </c>
      <c r="C12" s="13">
        <f>SUMIF(billing_feb_2026!H:H, "Annual", billing_feb_2026!P:P) * (11/12)</f>
        <v>0</v>
      </c>
    </row>
    <row r="13" spans="1:9" ht="14.25" customHeight="1" x14ac:dyDescent="0.25">
      <c r="A13" s="1" t="s">
        <v>525</v>
      </c>
      <c r="B13" s="1">
        <f>-(I10-SUMIF(billing_jan_2026!H:H,"Annual",billing_jan_2026!P:P)/12)</f>
        <v>-30870</v>
      </c>
      <c r="C13" s="13">
        <f>-(I10-SUMIF(billing_feb_2026!H:H,"Annual",billing_feb_2026!P:P)/12)</f>
        <v>-36755.5</v>
      </c>
    </row>
    <row r="14" spans="1:9" ht="14.25" customHeight="1" x14ac:dyDescent="0.25">
      <c r="A14" s="1" t="s">
        <v>526</v>
      </c>
      <c r="B14" s="13"/>
      <c r="C14" s="13">
        <f>SUMIF(billing_feb_2026!F:F,"SUB050",billing_feb_2026!P:P)</f>
        <v>424.28999999999996</v>
      </c>
    </row>
    <row r="15" spans="1:9" ht="14.25" customHeight="1" x14ac:dyDescent="0.25">
      <c r="A15" s="1" t="s">
        <v>527</v>
      </c>
      <c r="B15" s="13">
        <f>B3</f>
        <v>178650</v>
      </c>
      <c r="C15" s="13">
        <f>C3</f>
        <v>113974.29</v>
      </c>
    </row>
    <row r="16" spans="1:9" ht="14.25" customHeight="1" x14ac:dyDescent="0.25">
      <c r="A16" s="4" t="s">
        <v>528</v>
      </c>
      <c r="B16" s="31">
        <f>SUM(B11:B13)</f>
        <v>178650</v>
      </c>
      <c r="C16" s="31">
        <f>SUM(C11:C14)</f>
        <v>113974.29</v>
      </c>
    </row>
    <row r="17" spans="1:16" ht="14.25" customHeight="1" x14ac:dyDescent="0.25">
      <c r="A17" s="4" t="s">
        <v>529</v>
      </c>
      <c r="B17" s="32">
        <f>B16-B15</f>
        <v>0</v>
      </c>
      <c r="C17" s="32">
        <f>C16-C15</f>
        <v>0</v>
      </c>
    </row>
    <row r="18" spans="1:16" ht="14.25" customHeight="1" x14ac:dyDescent="0.25">
      <c r="A18" s="22"/>
    </row>
    <row r="19" spans="1:16" ht="14.25" customHeight="1" x14ac:dyDescent="0.25">
      <c r="A19" s="22" t="s">
        <v>530</v>
      </c>
    </row>
    <row r="20" spans="1:16" ht="14.25" customHeight="1" x14ac:dyDescent="0.25">
      <c r="A20" s="11" t="s">
        <v>522</v>
      </c>
      <c r="B20" s="30" t="s">
        <v>513</v>
      </c>
      <c r="C20" s="30" t="s">
        <v>514</v>
      </c>
    </row>
    <row r="21" spans="1:16" ht="14.25" customHeight="1" x14ac:dyDescent="0.25">
      <c r="A21" s="1" t="s">
        <v>516</v>
      </c>
      <c r="B21" s="13">
        <f>B3</f>
        <v>178650</v>
      </c>
      <c r="C21" s="13">
        <f>C3</f>
        <v>113974.29</v>
      </c>
      <c r="D21" s="13">
        <f>D3</f>
        <v>0</v>
      </c>
    </row>
    <row r="22" spans="1:16" ht="14.25" customHeight="1" x14ac:dyDescent="0.25">
      <c r="A22" s="1" t="s">
        <v>517</v>
      </c>
      <c r="B22" s="13">
        <f>billing_jan_2026!P31</f>
        <v>675</v>
      </c>
      <c r="C22" s="13">
        <v>675</v>
      </c>
    </row>
    <row r="23" spans="1:16" ht="14.25" customHeight="1" x14ac:dyDescent="0.25">
      <c r="A23" s="1" t="s">
        <v>518</v>
      </c>
      <c r="B23" s="13">
        <f>B5</f>
        <v>177975</v>
      </c>
      <c r="C23" s="13">
        <f>C5</f>
        <v>114649.29</v>
      </c>
    </row>
    <row r="24" spans="1:16" ht="14.25" customHeight="1" x14ac:dyDescent="0.25">
      <c r="A24" s="1" t="s">
        <v>529</v>
      </c>
      <c r="B24" s="13">
        <f>B23+B22-B21</f>
        <v>0</v>
      </c>
      <c r="C24" s="13">
        <f>C23-SUM(C21:C22)</f>
        <v>0</v>
      </c>
    </row>
    <row r="25" spans="1:16" ht="14.25" customHeight="1" x14ac:dyDescent="0.25"/>
    <row r="26" spans="1:16" ht="14.25" customHeight="1" x14ac:dyDescent="0.25">
      <c r="A26" s="4" t="s">
        <v>531</v>
      </c>
    </row>
    <row r="27" spans="1:16" ht="14.25" customHeight="1" x14ac:dyDescent="0.25">
      <c r="A27" s="1" t="s">
        <v>532</v>
      </c>
    </row>
    <row r="28" spans="1:16" ht="14.25" customHeight="1" x14ac:dyDescent="0.25">
      <c r="A28" s="1" t="s">
        <v>533</v>
      </c>
      <c r="P28" s="33"/>
    </row>
    <row r="29" spans="1:16" ht="14.25" customHeight="1" x14ac:dyDescent="0.25">
      <c r="A29" s="1" t="s">
        <v>534</v>
      </c>
    </row>
    <row r="30" spans="1:16" ht="14.25" customHeight="1" x14ac:dyDescent="0.25"/>
    <row r="31" spans="1:16" ht="14.25" customHeight="1" x14ac:dyDescent="0.25">
      <c r="A31" s="22" t="s">
        <v>535</v>
      </c>
    </row>
    <row r="32" spans="1:16" ht="14.25" customHeight="1" x14ac:dyDescent="0.25">
      <c r="A32" s="1" t="s">
        <v>536</v>
      </c>
    </row>
    <row r="33" spans="1:1" ht="14.25" customHeight="1" x14ac:dyDescent="0.25">
      <c r="A33" s="1" t="s">
        <v>537</v>
      </c>
    </row>
    <row r="34" spans="1:1" ht="14.25" customHeight="1" x14ac:dyDescent="0.25">
      <c r="A34" s="1" t="s">
        <v>538</v>
      </c>
    </row>
    <row r="35" spans="1:1" ht="14.25" customHeight="1" x14ac:dyDescent="0.25">
      <c r="A35" s="1" t="s">
        <v>539</v>
      </c>
    </row>
    <row r="36" spans="1:1" ht="14.25" customHeight="1" x14ac:dyDescent="0.25">
      <c r="A36" s="1" t="s">
        <v>540</v>
      </c>
    </row>
    <row r="37" spans="1:1" ht="14.25" customHeight="1" x14ac:dyDescent="0.25"/>
    <row r="38" spans="1:1" ht="14.25" customHeight="1" x14ac:dyDescent="0.25">
      <c r="A38" s="22" t="s">
        <v>541</v>
      </c>
    </row>
    <row r="39" spans="1:1" ht="14.25" customHeight="1" x14ac:dyDescent="0.25">
      <c r="A39" s="1" t="s">
        <v>542</v>
      </c>
    </row>
    <row r="40" spans="1:1" ht="14.25" customHeight="1" x14ac:dyDescent="0.25">
      <c r="A40" s="1" t="s">
        <v>543</v>
      </c>
    </row>
    <row r="41" spans="1:1" ht="14.25" customHeight="1" x14ac:dyDescent="0.25">
      <c r="A41" s="1" t="s">
        <v>544</v>
      </c>
    </row>
    <row r="42" spans="1:1" ht="14.25" customHeight="1" x14ac:dyDescent="0.25">
      <c r="A42" s="1" t="s">
        <v>545</v>
      </c>
    </row>
    <row r="43" spans="1:1" ht="14.25" customHeight="1" x14ac:dyDescent="0.25">
      <c r="A43" s="1" t="s">
        <v>546</v>
      </c>
    </row>
    <row r="44" spans="1:1" ht="14.25" customHeight="1" x14ac:dyDescent="0.25"/>
    <row r="45" spans="1:1" ht="14.25" customHeight="1" x14ac:dyDescent="0.25"/>
    <row r="46" spans="1:1" ht="14.25" customHeight="1" x14ac:dyDescent="0.25"/>
    <row r="47" spans="1:1" ht="14.25" customHeight="1" x14ac:dyDescent="0.25"/>
    <row r="48" spans="1:1"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sheetData>
  <pageMargins left="0.7" right="0.7" top="0.75" bottom="0.75" header="0" footer="0"/>
  <pageSetup orientation="landscape"/>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K1000"/>
  <sheetViews>
    <sheetView workbookViewId="0">
      <pane ySplit="6" topLeftCell="A7" activePane="bottomLeft" state="frozen"/>
      <selection pane="bottomLeft" activeCell="B8" sqref="B8"/>
    </sheetView>
  </sheetViews>
  <sheetFormatPr defaultColWidth="14.42578125" defaultRowHeight="15" customHeight="1" x14ac:dyDescent="0.25"/>
  <cols>
    <col min="1" max="1" width="55.85546875" customWidth="1"/>
    <col min="2" max="2" width="27.140625" customWidth="1"/>
    <col min="3" max="8" width="14" customWidth="1"/>
    <col min="9" max="9" width="39.5703125" customWidth="1"/>
    <col min="10" max="10" width="4" customWidth="1"/>
    <col min="11" max="11" width="14" customWidth="1"/>
    <col min="12" max="26" width="8.7109375" customWidth="1"/>
  </cols>
  <sheetData>
    <row r="1" spans="1:11" ht="14.25" customHeight="1" x14ac:dyDescent="0.25">
      <c r="A1" s="34" t="s">
        <v>547</v>
      </c>
    </row>
    <row r="2" spans="1:11" ht="14.25" customHeight="1" x14ac:dyDescent="0.25">
      <c r="A2" s="35" t="s">
        <v>548</v>
      </c>
    </row>
    <row r="3" spans="1:11" ht="14.25" customHeight="1" x14ac:dyDescent="0.25">
      <c r="A3" s="35" t="s">
        <v>549</v>
      </c>
    </row>
    <row r="4" spans="1:11" ht="14.25" customHeight="1" x14ac:dyDescent="0.25"/>
    <row r="5" spans="1:11" ht="14.25" customHeight="1" x14ac:dyDescent="0.25">
      <c r="A5" s="36" t="s">
        <v>550</v>
      </c>
      <c r="B5" s="37"/>
      <c r="C5" s="37"/>
      <c r="D5" s="37"/>
      <c r="E5" s="37"/>
      <c r="F5" s="37"/>
      <c r="G5" s="37"/>
      <c r="H5" s="37"/>
      <c r="I5" s="37"/>
    </row>
    <row r="6" spans="1:11" ht="14.25" customHeight="1" x14ac:dyDescent="0.25">
      <c r="A6" s="38" t="s">
        <v>493</v>
      </c>
      <c r="B6" s="38" t="s">
        <v>551</v>
      </c>
      <c r="C6" s="38" t="s">
        <v>552</v>
      </c>
      <c r="D6" s="38" t="s">
        <v>553</v>
      </c>
      <c r="E6" s="38" t="s">
        <v>554</v>
      </c>
      <c r="F6" s="38" t="s">
        <v>555</v>
      </c>
      <c r="G6" s="38" t="s">
        <v>556</v>
      </c>
      <c r="H6" s="38" t="s">
        <v>557</v>
      </c>
      <c r="I6" s="38" t="s">
        <v>558</v>
      </c>
      <c r="K6" s="39" t="s">
        <v>559</v>
      </c>
    </row>
    <row r="7" spans="1:11" ht="14.25" customHeight="1" x14ac:dyDescent="0.25">
      <c r="A7" s="40" t="s">
        <v>494</v>
      </c>
      <c r="B7" s="41">
        <f>Waterfall!B4</f>
        <v>0</v>
      </c>
      <c r="C7" s="41">
        <f t="shared" ref="C7:I7" si="0">B13</f>
        <v>20490</v>
      </c>
      <c r="D7" s="41">
        <f t="shared" si="0"/>
        <v>35989</v>
      </c>
      <c r="E7" s="41">
        <f t="shared" si="0"/>
        <v>63708.5</v>
      </c>
      <c r="F7" s="41">
        <f t="shared" si="0"/>
        <v>91123.5</v>
      </c>
      <c r="G7" s="41">
        <f t="shared" si="0"/>
        <v>126539.5</v>
      </c>
      <c r="H7" s="41">
        <f t="shared" si="0"/>
        <v>152114.5</v>
      </c>
      <c r="I7" s="41">
        <f t="shared" si="0"/>
        <v>150359.5</v>
      </c>
      <c r="K7" s="35" t="s">
        <v>560</v>
      </c>
    </row>
    <row r="8" spans="1:11" ht="14.25" customHeight="1" x14ac:dyDescent="0.25">
      <c r="A8" s="40" t="s">
        <v>561</v>
      </c>
      <c r="B8" s="41">
        <f>SUM(Waterfall!C4:C6)</f>
        <v>20490</v>
      </c>
      <c r="C8" s="41">
        <f>SUM(Waterfall!C7:C9)</f>
        <v>15499</v>
      </c>
      <c r="D8" s="41">
        <f>SUM(Waterfall!C10:C12)</f>
        <v>29619.5</v>
      </c>
      <c r="E8" s="41">
        <f>SUM(Waterfall!C13:C15)</f>
        <v>30000</v>
      </c>
      <c r="F8" s="41">
        <f>SUM(Waterfall!C16:C18)</f>
        <v>36735.5</v>
      </c>
      <c r="G8" s="41">
        <f>SUM(Waterfall!C19:C21)</f>
        <v>26470</v>
      </c>
      <c r="H8" s="41">
        <f>SUM(Waterfall!C22:C24)</f>
        <v>0</v>
      </c>
      <c r="I8" s="41">
        <f>SUM(Waterfall!C25:C27)</f>
        <v>935</v>
      </c>
      <c r="K8" s="35" t="s">
        <v>562</v>
      </c>
    </row>
    <row r="9" spans="1:11" ht="14.25" customHeight="1" x14ac:dyDescent="0.25">
      <c r="A9" s="40" t="s">
        <v>563</v>
      </c>
      <c r="B9" s="41">
        <f>SUM(Waterfall!D4:D6)</f>
        <v>0</v>
      </c>
      <c r="C9" s="41">
        <f>SUM(Waterfall!D7:D9)</f>
        <v>0</v>
      </c>
      <c r="D9" s="41">
        <f>SUM(Waterfall!D10:D12)</f>
        <v>0</v>
      </c>
      <c r="E9" s="41">
        <f>SUM(Waterfall!D13:D15)</f>
        <v>0</v>
      </c>
      <c r="F9" s="41">
        <f>SUM(Waterfall!D16:D18)</f>
        <v>140</v>
      </c>
      <c r="G9" s="41">
        <f>SUM(Waterfall!D19:D21)</f>
        <v>2785</v>
      </c>
      <c r="H9" s="41">
        <f>SUM(Waterfall!D22:D24)</f>
        <v>5520</v>
      </c>
      <c r="I9" s="41">
        <f>SUM(Waterfall!D25:D27)</f>
        <v>1765</v>
      </c>
      <c r="K9" s="35" t="s">
        <v>564</v>
      </c>
    </row>
    <row r="10" spans="1:11" ht="14.25" customHeight="1" x14ac:dyDescent="0.25">
      <c r="A10" s="40" t="s">
        <v>565</v>
      </c>
      <c r="B10" s="41">
        <f>SUM(Waterfall!E4:E6)</f>
        <v>0</v>
      </c>
      <c r="C10" s="41">
        <f>SUM(Waterfall!E7:E9)</f>
        <v>0</v>
      </c>
      <c r="D10" s="41">
        <f>SUM(Waterfall!E10:E12)</f>
        <v>0</v>
      </c>
      <c r="E10" s="41">
        <f>SUM(Waterfall!E13:E15)</f>
        <v>0</v>
      </c>
      <c r="F10" s="41">
        <f>SUM(Waterfall!E16:E18)</f>
        <v>-1009.5</v>
      </c>
      <c r="G10" s="41">
        <f>SUM(Waterfall!E19:E21)</f>
        <v>0</v>
      </c>
      <c r="H10" s="41">
        <f>SUM(Waterfall!E22:E24)</f>
        <v>-835</v>
      </c>
      <c r="I10" s="41">
        <f>SUM(Waterfall!E25:E27)</f>
        <v>-516.5</v>
      </c>
      <c r="K10" s="35" t="s">
        <v>566</v>
      </c>
    </row>
    <row r="11" spans="1:11" ht="14.25" customHeight="1" x14ac:dyDescent="0.25">
      <c r="A11" s="40" t="s">
        <v>567</v>
      </c>
      <c r="B11" s="41">
        <f>SUM(Waterfall!F4:F6)</f>
        <v>0</v>
      </c>
      <c r="C11" s="41">
        <f>SUM(Waterfall!F7:F9)</f>
        <v>0</v>
      </c>
      <c r="D11" s="41">
        <f>SUM(Waterfall!F10:F12)</f>
        <v>-1900</v>
      </c>
      <c r="E11" s="41">
        <f>SUM(Waterfall!F13:F15)</f>
        <v>-2585</v>
      </c>
      <c r="F11" s="41">
        <f>SUM(Waterfall!F16:F18)</f>
        <v>-450</v>
      </c>
      <c r="G11" s="41">
        <f>SUM(Waterfall!F19:F21)</f>
        <v>-3680</v>
      </c>
      <c r="H11" s="41">
        <f>SUM(Waterfall!F22:F24)</f>
        <v>-6440</v>
      </c>
      <c r="I11" s="41">
        <f>SUM(Waterfall!F25:F27)</f>
        <v>-1624.5</v>
      </c>
      <c r="K11" s="35" t="s">
        <v>568</v>
      </c>
    </row>
    <row r="12" spans="1:11" ht="14.25" customHeight="1" x14ac:dyDescent="0.25">
      <c r="A12" s="42" t="s">
        <v>569</v>
      </c>
      <c r="B12" s="43">
        <f t="shared" ref="B12:I12" si="1">B13-B7</f>
        <v>20490</v>
      </c>
      <c r="C12" s="43">
        <f t="shared" si="1"/>
        <v>15499</v>
      </c>
      <c r="D12" s="43">
        <f t="shared" si="1"/>
        <v>27719.5</v>
      </c>
      <c r="E12" s="43">
        <f t="shared" si="1"/>
        <v>27415</v>
      </c>
      <c r="F12" s="43">
        <f t="shared" si="1"/>
        <v>35416</v>
      </c>
      <c r="G12" s="43">
        <f t="shared" si="1"/>
        <v>25575</v>
      </c>
      <c r="H12" s="43">
        <f t="shared" si="1"/>
        <v>-1755</v>
      </c>
      <c r="I12" s="43">
        <f t="shared" si="1"/>
        <v>-7290</v>
      </c>
      <c r="K12" s="35" t="s">
        <v>570</v>
      </c>
    </row>
    <row r="13" spans="1:11" ht="14.25" customHeight="1" x14ac:dyDescent="0.25">
      <c r="A13" s="42" t="s">
        <v>498</v>
      </c>
      <c r="B13" s="43">
        <f>Waterfall!H6</f>
        <v>20490</v>
      </c>
      <c r="C13" s="43">
        <f>Waterfall!H9</f>
        <v>35989</v>
      </c>
      <c r="D13" s="43">
        <f>Waterfall!H12</f>
        <v>63708.5</v>
      </c>
      <c r="E13" s="43">
        <f>Waterfall!H15</f>
        <v>91123.5</v>
      </c>
      <c r="F13" s="43">
        <f>Waterfall!H18</f>
        <v>126539.5</v>
      </c>
      <c r="G13" s="43">
        <f>Waterfall!H21</f>
        <v>152114.5</v>
      </c>
      <c r="H13" s="43">
        <f>Waterfall!H24</f>
        <v>150359.5</v>
      </c>
      <c r="I13" s="43">
        <v>143069.5</v>
      </c>
      <c r="K13" s="35" t="s">
        <v>571</v>
      </c>
    </row>
    <row r="14" spans="1:11" ht="14.25" customHeight="1" x14ac:dyDescent="0.25">
      <c r="B14" s="10"/>
      <c r="C14" s="10"/>
      <c r="D14" s="10"/>
      <c r="E14" s="10"/>
      <c r="F14" s="10"/>
      <c r="G14" s="10"/>
      <c r="H14" s="10"/>
      <c r="I14" s="10"/>
    </row>
    <row r="15" spans="1:11" ht="14.25" customHeight="1" x14ac:dyDescent="0.25">
      <c r="A15" s="36" t="s">
        <v>572</v>
      </c>
      <c r="B15" s="37"/>
      <c r="C15" s="37"/>
      <c r="D15" s="37"/>
      <c r="E15" s="37"/>
      <c r="F15" s="37"/>
      <c r="G15" s="37"/>
      <c r="H15" s="37"/>
      <c r="I15" s="37"/>
    </row>
    <row r="16" spans="1:11" ht="14.25" customHeight="1" x14ac:dyDescent="0.25">
      <c r="A16" s="38" t="s">
        <v>493</v>
      </c>
      <c r="B16" s="38" t="s">
        <v>551</v>
      </c>
      <c r="C16" s="38" t="s">
        <v>552</v>
      </c>
      <c r="D16" s="38" t="s">
        <v>553</v>
      </c>
      <c r="E16" s="38" t="s">
        <v>554</v>
      </c>
      <c r="F16" s="38" t="s">
        <v>555</v>
      </c>
      <c r="G16" s="38" t="s">
        <v>556</v>
      </c>
      <c r="H16" s="38" t="s">
        <v>557</v>
      </c>
      <c r="I16" s="38" t="s">
        <v>558</v>
      </c>
      <c r="K16" s="39" t="s">
        <v>559</v>
      </c>
    </row>
    <row r="17" spans="1:11" ht="14.25" customHeight="1" x14ac:dyDescent="0.25">
      <c r="A17" s="40" t="s">
        <v>573</v>
      </c>
      <c r="B17" s="44">
        <f>Retention!D19-0</f>
        <v>4</v>
      </c>
      <c r="C17" s="44">
        <f>Retention!G19-Retention!D19</f>
        <v>7</v>
      </c>
      <c r="D17" s="44">
        <f>Retention!J19-Retention!G19</f>
        <v>6</v>
      </c>
      <c r="E17" s="44">
        <f>Retention!M19-Retention!J19</f>
        <v>6</v>
      </c>
      <c r="F17" s="44">
        <f>Retention!Q19-Retention!N19</f>
        <v>6</v>
      </c>
      <c r="G17" s="44">
        <f>Retention!T19-Retention!Q19</f>
        <v>6</v>
      </c>
      <c r="H17" s="44">
        <f>Retention!V19-Retention!S19</f>
        <v>1</v>
      </c>
      <c r="I17" s="45">
        <f>SUM('Unit Economics'!J76:J78)</f>
        <v>0</v>
      </c>
      <c r="K17" s="35" t="s">
        <v>574</v>
      </c>
    </row>
    <row r="18" spans="1:11" ht="14.25" customHeight="1" x14ac:dyDescent="0.25">
      <c r="A18" s="40" t="s">
        <v>575</v>
      </c>
      <c r="B18" s="45">
        <f>SUM(Retention!B17:D17)</f>
        <v>0</v>
      </c>
      <c r="C18" s="45">
        <f>SUM(Retention!E17:G17)</f>
        <v>0</v>
      </c>
      <c r="D18" s="45">
        <f>SUM(Retention!H17:J17)</f>
        <v>1</v>
      </c>
      <c r="E18" s="45">
        <f>SUM(Retention!K17:M17)</f>
        <v>2</v>
      </c>
      <c r="F18" s="45">
        <f>SUM(Retention!N17:P17)</f>
        <v>1</v>
      </c>
      <c r="G18" s="45">
        <f>SUM(Retention!Q17:S17)</f>
        <v>3</v>
      </c>
      <c r="H18" s="45">
        <f>SUM(Retention!T17:V17)</f>
        <v>2</v>
      </c>
      <c r="I18" s="45">
        <f>SUM(Retention!W17:Y17)</f>
        <v>1</v>
      </c>
      <c r="K18" s="35" t="s">
        <v>576</v>
      </c>
    </row>
    <row r="19" spans="1:11" ht="14.25" customHeight="1" x14ac:dyDescent="0.25">
      <c r="A19" s="40" t="s">
        <v>577</v>
      </c>
      <c r="B19" s="45">
        <f>Retention!D16</f>
        <v>5</v>
      </c>
      <c r="C19" s="45">
        <f>Retention!G16</f>
        <v>13</v>
      </c>
      <c r="D19" s="45">
        <f>Retention!J16</f>
        <v>21</v>
      </c>
      <c r="E19" s="45">
        <f>Retention!M16</f>
        <v>31</v>
      </c>
      <c r="F19" s="45">
        <f>Retention!Q16</f>
        <v>46</v>
      </c>
      <c r="G19" s="45">
        <f>Retention!T16</f>
        <v>53</v>
      </c>
      <c r="H19" s="45">
        <f>Retention!W16</f>
        <v>51</v>
      </c>
      <c r="I19" s="45">
        <f>Retention!Z16</f>
        <v>51</v>
      </c>
      <c r="K19" s="35" t="s">
        <v>578</v>
      </c>
    </row>
    <row r="20" spans="1:11" ht="14.25" customHeight="1" x14ac:dyDescent="0.25">
      <c r="A20" s="40" t="s">
        <v>579</v>
      </c>
      <c r="B20" s="45">
        <f>Retention!D19</f>
        <v>4</v>
      </c>
      <c r="C20" s="45">
        <f>Retention!G19</f>
        <v>11</v>
      </c>
      <c r="D20" s="45">
        <f>Retention!J19</f>
        <v>17</v>
      </c>
      <c r="E20" s="45">
        <f>Retention!M19</f>
        <v>23</v>
      </c>
      <c r="F20" s="45">
        <f>Retention!Q19</f>
        <v>31</v>
      </c>
      <c r="G20" s="45">
        <f>Retention!T19</f>
        <v>37</v>
      </c>
      <c r="H20" s="45">
        <f>Retention!W19</f>
        <v>37</v>
      </c>
      <c r="I20" s="45">
        <f>Retention!Z19</f>
        <v>38</v>
      </c>
      <c r="K20" s="35" t="s">
        <v>580</v>
      </c>
    </row>
    <row r="21" spans="1:11" ht="14.25" customHeight="1" x14ac:dyDescent="0.25"/>
    <row r="22" spans="1:11" ht="14.25" customHeight="1" x14ac:dyDescent="0.25">
      <c r="A22" s="36" t="s">
        <v>581</v>
      </c>
      <c r="B22" s="37"/>
      <c r="C22" s="37"/>
      <c r="D22" s="37"/>
      <c r="E22" s="37"/>
      <c r="F22" s="37"/>
      <c r="G22" s="37"/>
      <c r="H22" s="37"/>
      <c r="I22" s="37"/>
    </row>
    <row r="23" spans="1:11" ht="14.25" customHeight="1" x14ac:dyDescent="0.25">
      <c r="A23" s="38" t="s">
        <v>493</v>
      </c>
      <c r="B23" s="38" t="s">
        <v>551</v>
      </c>
      <c r="C23" s="38" t="s">
        <v>552</v>
      </c>
      <c r="D23" s="38" t="s">
        <v>553</v>
      </c>
      <c r="E23" s="38" t="s">
        <v>554</v>
      </c>
      <c r="F23" s="38" t="s">
        <v>555</v>
      </c>
      <c r="G23" s="38" t="s">
        <v>556</v>
      </c>
      <c r="H23" s="38" t="s">
        <v>557</v>
      </c>
      <c r="I23" s="38" t="s">
        <v>558</v>
      </c>
      <c r="K23" s="39" t="s">
        <v>559</v>
      </c>
    </row>
    <row r="24" spans="1:11" ht="14.25" customHeight="1" x14ac:dyDescent="0.25">
      <c r="A24" s="40" t="s">
        <v>582</v>
      </c>
      <c r="B24" s="46">
        <f t="shared" ref="B24:I24" si="2">B13*3</f>
        <v>61470</v>
      </c>
      <c r="C24" s="46">
        <f t="shared" si="2"/>
        <v>107967</v>
      </c>
      <c r="D24" s="46">
        <f t="shared" si="2"/>
        <v>191125.5</v>
      </c>
      <c r="E24" s="46">
        <f t="shared" si="2"/>
        <v>273370.5</v>
      </c>
      <c r="F24" s="46">
        <f t="shared" si="2"/>
        <v>379618.5</v>
      </c>
      <c r="G24" s="46">
        <f t="shared" si="2"/>
        <v>456343.5</v>
      </c>
      <c r="H24" s="46">
        <f t="shared" si="2"/>
        <v>451078.5</v>
      </c>
      <c r="I24" s="46">
        <f t="shared" si="2"/>
        <v>429208.5</v>
      </c>
      <c r="K24" s="35" t="s">
        <v>583</v>
      </c>
    </row>
    <row r="25" spans="1:11" ht="14.25" customHeight="1" x14ac:dyDescent="0.25">
      <c r="A25" s="40" t="s">
        <v>584</v>
      </c>
      <c r="B25" s="46">
        <f t="shared" ref="B25:I25" si="3">B24*0.3</f>
        <v>18441</v>
      </c>
      <c r="C25" s="46">
        <f t="shared" si="3"/>
        <v>32390.1</v>
      </c>
      <c r="D25" s="46">
        <f t="shared" si="3"/>
        <v>57337.65</v>
      </c>
      <c r="E25" s="46">
        <f t="shared" si="3"/>
        <v>82011.149999999994</v>
      </c>
      <c r="F25" s="46">
        <f t="shared" si="3"/>
        <v>113885.55</v>
      </c>
      <c r="G25" s="46">
        <f t="shared" si="3"/>
        <v>136903.04999999999</v>
      </c>
      <c r="H25" s="46">
        <f t="shared" si="3"/>
        <v>135323.54999999999</v>
      </c>
      <c r="I25" s="46">
        <f t="shared" si="3"/>
        <v>128762.54999999999</v>
      </c>
      <c r="K25" s="35" t="s">
        <v>585</v>
      </c>
    </row>
    <row r="26" spans="1:11" ht="14.25" customHeight="1" x14ac:dyDescent="0.25">
      <c r="A26" s="42" t="s">
        <v>504</v>
      </c>
      <c r="B26" s="47">
        <f t="shared" ref="B26:I26" si="4">B24-B25</f>
        <v>43029</v>
      </c>
      <c r="C26" s="47">
        <f t="shared" si="4"/>
        <v>75576.899999999994</v>
      </c>
      <c r="D26" s="47">
        <f t="shared" si="4"/>
        <v>133787.85</v>
      </c>
      <c r="E26" s="47">
        <f t="shared" si="4"/>
        <v>191359.35</v>
      </c>
      <c r="F26" s="47">
        <f t="shared" si="4"/>
        <v>265732.95</v>
      </c>
      <c r="G26" s="47">
        <f t="shared" si="4"/>
        <v>319440.45</v>
      </c>
      <c r="H26" s="47">
        <f t="shared" si="4"/>
        <v>315754.95</v>
      </c>
      <c r="I26" s="47">
        <f t="shared" si="4"/>
        <v>300445.95</v>
      </c>
      <c r="K26" s="35" t="s">
        <v>586</v>
      </c>
    </row>
    <row r="27" spans="1:11" ht="14.25" customHeight="1" x14ac:dyDescent="0.25">
      <c r="A27" s="40" t="s">
        <v>587</v>
      </c>
      <c r="B27" s="48">
        <f t="shared" ref="B27:I27" si="5">B26/B24</f>
        <v>0.7</v>
      </c>
      <c r="C27" s="48">
        <f t="shared" si="5"/>
        <v>0.7</v>
      </c>
      <c r="D27" s="48">
        <f t="shared" si="5"/>
        <v>0.70000000000000007</v>
      </c>
      <c r="E27" s="48">
        <f t="shared" si="5"/>
        <v>0.70000000000000007</v>
      </c>
      <c r="F27" s="48">
        <f t="shared" si="5"/>
        <v>0.70000000000000007</v>
      </c>
      <c r="G27" s="48">
        <f t="shared" si="5"/>
        <v>0.70000000000000007</v>
      </c>
      <c r="H27" s="48">
        <f t="shared" si="5"/>
        <v>0.70000000000000007</v>
      </c>
      <c r="I27" s="48">
        <f t="shared" si="5"/>
        <v>0.70000000000000007</v>
      </c>
      <c r="K27" s="35" t="s">
        <v>588</v>
      </c>
    </row>
    <row r="28" spans="1:11" ht="14.25" customHeight="1" x14ac:dyDescent="0.25">
      <c r="A28" s="40" t="s">
        <v>499</v>
      </c>
      <c r="B28" s="46">
        <v>18500</v>
      </c>
      <c r="C28" s="46">
        <v>29000</v>
      </c>
      <c r="D28" s="46">
        <v>47000</v>
      </c>
      <c r="E28" s="46">
        <v>63000</v>
      </c>
      <c r="F28" s="46">
        <f>'Unit Economics'!I67+'Unit Economics'!I68+'Unit Economics'!I69</f>
        <v>88250</v>
      </c>
      <c r="G28" s="46">
        <f>'Unit Economics'!I70+'Unit Economics'!I71+'Unit Economics'!I72</f>
        <v>87550</v>
      </c>
      <c r="H28" s="46">
        <f>'Unit Economics'!I73+'Unit Economics'!I74+'Unit Economics'!I75</f>
        <v>91450</v>
      </c>
      <c r="I28" s="46">
        <f>'Unit Economics'!I76+'Unit Economics'!I77+'Unit Economics'!I78</f>
        <v>74150</v>
      </c>
      <c r="K28" s="35" t="s">
        <v>589</v>
      </c>
    </row>
    <row r="29" spans="1:11" ht="14.25" customHeight="1" x14ac:dyDescent="0.25">
      <c r="A29" s="40" t="s">
        <v>500</v>
      </c>
      <c r="B29" s="46">
        <v>15000</v>
      </c>
      <c r="C29" s="46">
        <v>25000</v>
      </c>
      <c r="D29" s="46">
        <v>42000</v>
      </c>
      <c r="E29" s="46">
        <v>57000</v>
      </c>
      <c r="F29" s="46">
        <v>62000</v>
      </c>
      <c r="G29" s="46">
        <v>68000</v>
      </c>
      <c r="H29" s="46">
        <v>72000</v>
      </c>
      <c r="I29" s="46">
        <v>65000</v>
      </c>
      <c r="K29" s="35" t="s">
        <v>590</v>
      </c>
    </row>
    <row r="30" spans="1:11" ht="14.25" customHeight="1" x14ac:dyDescent="0.25">
      <c r="A30" s="40" t="s">
        <v>501</v>
      </c>
      <c r="B30" s="46">
        <v>8000</v>
      </c>
      <c r="C30" s="46">
        <v>13000</v>
      </c>
      <c r="D30" s="46">
        <v>21000</v>
      </c>
      <c r="E30" s="46">
        <v>28000</v>
      </c>
      <c r="F30" s="46">
        <v>32000</v>
      </c>
      <c r="G30" s="46">
        <v>34000</v>
      </c>
      <c r="H30" s="46">
        <v>36000</v>
      </c>
      <c r="I30" s="46">
        <v>33000</v>
      </c>
      <c r="K30" s="35" t="s">
        <v>590</v>
      </c>
    </row>
    <row r="31" spans="1:11" ht="14.25" customHeight="1" x14ac:dyDescent="0.25">
      <c r="A31" s="42" t="s">
        <v>502</v>
      </c>
      <c r="B31" s="47">
        <f t="shared" ref="B31:I31" si="6">B28+B29+B30</f>
        <v>41500</v>
      </c>
      <c r="C31" s="47">
        <f t="shared" si="6"/>
        <v>67000</v>
      </c>
      <c r="D31" s="47">
        <f t="shared" si="6"/>
        <v>110000</v>
      </c>
      <c r="E31" s="47">
        <f t="shared" si="6"/>
        <v>148000</v>
      </c>
      <c r="F31" s="47">
        <f t="shared" si="6"/>
        <v>182250</v>
      </c>
      <c r="G31" s="47">
        <f t="shared" si="6"/>
        <v>189550</v>
      </c>
      <c r="H31" s="47">
        <f t="shared" si="6"/>
        <v>199450</v>
      </c>
      <c r="I31" s="47">
        <f t="shared" si="6"/>
        <v>172150</v>
      </c>
      <c r="K31" s="35" t="s">
        <v>591</v>
      </c>
    </row>
    <row r="32" spans="1:11" ht="14.25" customHeight="1" x14ac:dyDescent="0.25">
      <c r="A32" s="42" t="s">
        <v>505</v>
      </c>
      <c r="B32" s="47">
        <f t="shared" ref="B32:I32" si="7">B26-B31</f>
        <v>1529</v>
      </c>
      <c r="C32" s="47">
        <f t="shared" si="7"/>
        <v>8576.8999999999942</v>
      </c>
      <c r="D32" s="47">
        <f t="shared" si="7"/>
        <v>23787.850000000006</v>
      </c>
      <c r="E32" s="47">
        <f t="shared" si="7"/>
        <v>43359.350000000006</v>
      </c>
      <c r="F32" s="47">
        <f t="shared" si="7"/>
        <v>83482.950000000012</v>
      </c>
      <c r="G32" s="47">
        <f t="shared" si="7"/>
        <v>129890.45000000001</v>
      </c>
      <c r="H32" s="47">
        <f t="shared" si="7"/>
        <v>116304.95000000001</v>
      </c>
      <c r="I32" s="47">
        <f t="shared" si="7"/>
        <v>128295.95000000001</v>
      </c>
      <c r="K32" s="35" t="s">
        <v>592</v>
      </c>
    </row>
    <row r="33" spans="1:11" ht="14.25" customHeight="1" x14ac:dyDescent="0.25">
      <c r="A33" s="40" t="s">
        <v>593</v>
      </c>
      <c r="B33" s="48">
        <f>B32/B24</f>
        <v>2.4873922238490321E-2</v>
      </c>
      <c r="C33" s="48">
        <f>C32/C24</f>
        <v>7.944001407837574E-2</v>
      </c>
      <c r="D33" s="48">
        <f>D32/D24</f>
        <v>0.12446193731344067</v>
      </c>
      <c r="E33" s="48">
        <f>E32/E24</f>
        <v>0.15861020117386479</v>
      </c>
      <c r="F33" s="48">
        <f>IF(F24=0,"",F32/F24)</f>
        <v>0.2199127545153885</v>
      </c>
      <c r="G33" s="48">
        <f>IF(G24=0,"",G32/G24)</f>
        <v>0.28463306697695928</v>
      </c>
      <c r="H33" s="48">
        <f>IF(H24=0,"",H32/H24)</f>
        <v>0.25783749391735589</v>
      </c>
      <c r="I33" s="48">
        <f>IF(I24=0,"",I32/I24)</f>
        <v>0.29891288266658284</v>
      </c>
      <c r="K33" s="35" t="s">
        <v>594</v>
      </c>
    </row>
    <row r="34" spans="1:11" ht="14.25" customHeight="1" x14ac:dyDescent="0.25"/>
    <row r="35" spans="1:11" ht="14.25" customHeight="1" x14ac:dyDescent="0.25">
      <c r="A35" s="36" t="s">
        <v>595</v>
      </c>
      <c r="B35" s="37"/>
      <c r="C35" s="37"/>
      <c r="D35" s="37"/>
      <c r="E35" s="37"/>
      <c r="F35" s="37"/>
      <c r="G35" s="37"/>
      <c r="H35" s="37"/>
      <c r="I35" s="37"/>
    </row>
    <row r="36" spans="1:11" ht="14.25" customHeight="1" x14ac:dyDescent="0.25">
      <c r="A36" s="38" t="s">
        <v>493</v>
      </c>
      <c r="B36" s="38" t="s">
        <v>551</v>
      </c>
      <c r="C36" s="38" t="s">
        <v>552</v>
      </c>
      <c r="D36" s="38" t="s">
        <v>553</v>
      </c>
      <c r="E36" s="38" t="s">
        <v>554</v>
      </c>
      <c r="F36" s="38" t="s">
        <v>555</v>
      </c>
      <c r="G36" s="38" t="s">
        <v>556</v>
      </c>
      <c r="H36" s="38" t="s">
        <v>557</v>
      </c>
      <c r="I36" s="38" t="s">
        <v>558</v>
      </c>
      <c r="K36" s="39" t="s">
        <v>559</v>
      </c>
    </row>
    <row r="37" spans="1:11" ht="14.25" customHeight="1" x14ac:dyDescent="0.25">
      <c r="A37" s="40" t="s">
        <v>596</v>
      </c>
      <c r="B37" s="48" t="str">
        <f t="shared" ref="B37:I37" si="8">IF(B7=0,"",ABS(B11)/B7)</f>
        <v/>
      </c>
      <c r="C37" s="48">
        <f t="shared" si="8"/>
        <v>0</v>
      </c>
      <c r="D37" s="48">
        <f t="shared" si="8"/>
        <v>5.2793909250048628E-2</v>
      </c>
      <c r="E37" s="48">
        <f t="shared" si="8"/>
        <v>4.0575433419402437E-2</v>
      </c>
      <c r="F37" s="48">
        <f t="shared" si="8"/>
        <v>4.9383528946978549E-3</v>
      </c>
      <c r="G37" s="48">
        <f t="shared" si="8"/>
        <v>2.9081828203841489E-2</v>
      </c>
      <c r="H37" s="48">
        <f t="shared" si="8"/>
        <v>4.233652939068925E-2</v>
      </c>
      <c r="I37" s="48">
        <f t="shared" si="8"/>
        <v>1.0804106158905822E-2</v>
      </c>
      <c r="K37" s="35" t="s">
        <v>597</v>
      </c>
    </row>
    <row r="38" spans="1:11" ht="14.25" customHeight="1" x14ac:dyDescent="0.25">
      <c r="A38" s="40" t="s">
        <v>598</v>
      </c>
      <c r="B38" s="48" t="str">
        <f t="shared" ref="B38:I38" si="9">IF(B7=0,"",B9/B7)</f>
        <v/>
      </c>
      <c r="C38" s="48">
        <f t="shared" si="9"/>
        <v>0</v>
      </c>
      <c r="D38" s="48">
        <f t="shared" si="9"/>
        <v>0</v>
      </c>
      <c r="E38" s="48">
        <f t="shared" si="9"/>
        <v>0</v>
      </c>
      <c r="F38" s="48">
        <f t="shared" si="9"/>
        <v>1.5363764561282217E-3</v>
      </c>
      <c r="G38" s="48">
        <f t="shared" si="9"/>
        <v>2.2008937920570258E-2</v>
      </c>
      <c r="H38" s="48">
        <f t="shared" si="9"/>
        <v>3.6288453763447928E-2</v>
      </c>
      <c r="I38" s="48">
        <f t="shared" si="9"/>
        <v>1.1738533315154679E-2</v>
      </c>
      <c r="K38" s="35" t="s">
        <v>599</v>
      </c>
    </row>
    <row r="39" spans="1:11" ht="14.25" customHeight="1" x14ac:dyDescent="0.25">
      <c r="A39" s="40" t="s">
        <v>600</v>
      </c>
      <c r="B39" s="46">
        <f t="shared" ref="B39:H39" si="10">IF(B17=0,"",B8/B17)</f>
        <v>5122.5</v>
      </c>
      <c r="C39" s="46">
        <f t="shared" si="10"/>
        <v>2214.1428571428573</v>
      </c>
      <c r="D39" s="46">
        <f t="shared" si="10"/>
        <v>4936.583333333333</v>
      </c>
      <c r="E39" s="46">
        <f t="shared" si="10"/>
        <v>5000</v>
      </c>
      <c r="F39" s="46">
        <f t="shared" si="10"/>
        <v>6122.583333333333</v>
      </c>
      <c r="G39" s="46">
        <f t="shared" si="10"/>
        <v>4411.666666666667</v>
      </c>
      <c r="H39" s="46">
        <f t="shared" si="10"/>
        <v>0</v>
      </c>
      <c r="I39" s="46" t="s">
        <v>601</v>
      </c>
      <c r="K39" s="35" t="s">
        <v>602</v>
      </c>
    </row>
    <row r="40" spans="1:11" ht="14.25" customHeight="1" x14ac:dyDescent="0.25">
      <c r="A40" s="40" t="s">
        <v>603</v>
      </c>
      <c r="B40" s="46">
        <f t="shared" ref="B40:I40" si="11">IF(B17=0,"N/A",B28/B17)</f>
        <v>4625</v>
      </c>
      <c r="C40" s="46">
        <f t="shared" si="11"/>
        <v>4142.8571428571431</v>
      </c>
      <c r="D40" s="46">
        <f t="shared" si="11"/>
        <v>7833.333333333333</v>
      </c>
      <c r="E40" s="46">
        <f t="shared" si="11"/>
        <v>10500</v>
      </c>
      <c r="F40" s="46">
        <f t="shared" si="11"/>
        <v>14708.333333333334</v>
      </c>
      <c r="G40" s="46">
        <f t="shared" si="11"/>
        <v>14591.666666666666</v>
      </c>
      <c r="H40" s="46">
        <f t="shared" si="11"/>
        <v>91450</v>
      </c>
      <c r="I40" s="46" t="str">
        <f t="shared" si="11"/>
        <v>N/A</v>
      </c>
      <c r="K40" s="35" t="s">
        <v>604</v>
      </c>
    </row>
    <row r="41" spans="1:11" ht="14.25" customHeight="1" x14ac:dyDescent="0.25"/>
    <row r="42" spans="1:11" ht="14.25" customHeight="1" x14ac:dyDescent="0.25"/>
    <row r="43" spans="1:11" ht="14.25" customHeight="1" x14ac:dyDescent="0.25">
      <c r="A43" s="36" t="s">
        <v>605</v>
      </c>
    </row>
    <row r="44" spans="1:11" ht="14.25" customHeight="1" x14ac:dyDescent="0.25">
      <c r="A44" s="40" t="s">
        <v>606</v>
      </c>
      <c r="B44" s="49">
        <f>I13</f>
        <v>143069.5</v>
      </c>
    </row>
    <row r="45" spans="1:11" ht="14.25" customHeight="1" x14ac:dyDescent="0.25">
      <c r="A45" s="40" t="s">
        <v>607</v>
      </c>
      <c r="B45" s="49">
        <f>'Unit Economics'!B6</f>
        <v>144185.5</v>
      </c>
    </row>
    <row r="46" spans="1:11" ht="14.25" customHeight="1" x14ac:dyDescent="0.25">
      <c r="A46" s="40" t="s">
        <v>608</v>
      </c>
      <c r="B46" s="50">
        <f>B44-B45</f>
        <v>-1116</v>
      </c>
    </row>
    <row r="47" spans="1:11" ht="14.25" customHeight="1" x14ac:dyDescent="0.25">
      <c r="A47" s="40" t="s">
        <v>609</v>
      </c>
      <c r="B47" s="252" t="s">
        <v>610</v>
      </c>
      <c r="C47" s="253"/>
      <c r="D47" s="253"/>
      <c r="E47" s="253"/>
      <c r="F47" s="253"/>
      <c r="G47" s="253"/>
      <c r="H47" s="253"/>
      <c r="I47" s="253"/>
    </row>
    <row r="48" spans="1:11" ht="14.25" customHeight="1" x14ac:dyDescent="0.25"/>
    <row r="49" spans="1:8" ht="14.25" customHeight="1" x14ac:dyDescent="0.25">
      <c r="A49" s="51" t="s">
        <v>611</v>
      </c>
      <c r="B49" s="252" t="s">
        <v>612</v>
      </c>
      <c r="C49" s="253"/>
      <c r="D49" s="253"/>
      <c r="E49" s="253"/>
      <c r="F49" s="253"/>
      <c r="G49" s="253"/>
      <c r="H49" s="253"/>
    </row>
    <row r="50" spans="1:8" ht="14.25" customHeight="1" x14ac:dyDescent="0.25"/>
    <row r="51" spans="1:8" ht="14.25" customHeight="1" x14ac:dyDescent="0.25"/>
    <row r="52" spans="1:8" ht="14.25" customHeight="1" x14ac:dyDescent="0.25"/>
    <row r="53" spans="1:8" ht="14.25" customHeight="1" x14ac:dyDescent="0.25"/>
    <row r="54" spans="1:8" ht="14.25" customHeight="1" x14ac:dyDescent="0.25"/>
    <row r="55" spans="1:8" ht="14.25" customHeight="1" x14ac:dyDescent="0.25"/>
    <row r="56" spans="1:8" ht="14.25" customHeight="1" x14ac:dyDescent="0.25"/>
    <row r="57" spans="1:8" ht="14.25" customHeight="1" x14ac:dyDescent="0.25"/>
    <row r="58" spans="1:8" ht="14.25" customHeight="1" x14ac:dyDescent="0.25"/>
    <row r="59" spans="1:8" ht="14.25" customHeight="1" x14ac:dyDescent="0.25"/>
    <row r="60" spans="1:8" ht="14.25" customHeight="1" x14ac:dyDescent="0.25"/>
    <row r="61" spans="1:8" ht="14.25" customHeight="1" x14ac:dyDescent="0.25"/>
    <row r="62" spans="1:8" ht="14.25" customHeight="1" x14ac:dyDescent="0.25"/>
    <row r="63" spans="1:8" ht="14.25" customHeight="1" x14ac:dyDescent="0.25"/>
    <row r="64" spans="1:8"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B49:H49"/>
    <mergeCell ref="B47:I47"/>
  </mergeCells>
  <pageMargins left="0.75" right="0.75" top="1" bottom="1"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sheetPr>
  <dimension ref="A1:E1000"/>
  <sheetViews>
    <sheetView workbookViewId="0"/>
  </sheetViews>
  <sheetFormatPr defaultColWidth="14.42578125" defaultRowHeight="15" customHeight="1" x14ac:dyDescent="0.25"/>
  <cols>
    <col min="1" max="1" width="30" customWidth="1"/>
    <col min="2" max="5" width="14" customWidth="1"/>
    <col min="6" max="6" width="4" customWidth="1"/>
    <col min="7" max="26" width="8.7109375" customWidth="1"/>
  </cols>
  <sheetData>
    <row r="1" spans="1:5" ht="14.25" customHeight="1" x14ac:dyDescent="0.25">
      <c r="A1" s="34" t="s">
        <v>613</v>
      </c>
    </row>
    <row r="2" spans="1:5" ht="14.25" customHeight="1" x14ac:dyDescent="0.25">
      <c r="A2" s="35" t="s">
        <v>614</v>
      </c>
    </row>
    <row r="3" spans="1:5" ht="14.25" customHeight="1" x14ac:dyDescent="0.25">
      <c r="A3" s="35" t="s">
        <v>615</v>
      </c>
    </row>
    <row r="4" spans="1:5" ht="14.25" customHeight="1" x14ac:dyDescent="0.25"/>
    <row r="5" spans="1:5" ht="14.25" customHeight="1" x14ac:dyDescent="0.25">
      <c r="A5" s="36" t="s">
        <v>616</v>
      </c>
      <c r="B5" s="37"/>
      <c r="C5" s="37"/>
      <c r="D5" s="37"/>
    </row>
    <row r="6" spans="1:5" ht="14.25" customHeight="1" x14ac:dyDescent="0.25">
      <c r="A6" s="40" t="s">
        <v>617</v>
      </c>
      <c r="B6" s="52">
        <f>'Historical Baseline'!B44</f>
        <v>143069.5</v>
      </c>
      <c r="D6" s="51" t="s">
        <v>618</v>
      </c>
    </row>
    <row r="7" spans="1:5" ht="14.25" customHeight="1" x14ac:dyDescent="0.25">
      <c r="A7" s="40" t="s">
        <v>619</v>
      </c>
      <c r="B7" s="53">
        <f>'Historical Baseline'!I19</f>
        <v>51</v>
      </c>
      <c r="D7" s="51" t="s">
        <v>618</v>
      </c>
    </row>
    <row r="8" spans="1:5" ht="14.25" customHeight="1" x14ac:dyDescent="0.25">
      <c r="A8" s="40" t="s">
        <v>620</v>
      </c>
      <c r="B8" s="53">
        <f>'Historical Baseline'!I20</f>
        <v>38</v>
      </c>
      <c r="D8" s="51" t="s">
        <v>618</v>
      </c>
    </row>
    <row r="9" spans="1:5" ht="14.25" customHeight="1" x14ac:dyDescent="0.25"/>
    <row r="10" spans="1:5" ht="14.25" customHeight="1" x14ac:dyDescent="0.25">
      <c r="A10" s="36" t="s">
        <v>621</v>
      </c>
      <c r="B10" s="37"/>
      <c r="C10" s="37"/>
      <c r="D10" s="37"/>
      <c r="E10" s="37"/>
    </row>
    <row r="11" spans="1:5" ht="14.25" customHeight="1" x14ac:dyDescent="0.25">
      <c r="A11" s="38" t="s">
        <v>493</v>
      </c>
      <c r="B11" s="38" t="s">
        <v>622</v>
      </c>
      <c r="C11" s="38" t="s">
        <v>623</v>
      </c>
      <c r="D11" s="38" t="s">
        <v>624</v>
      </c>
      <c r="E11" s="38" t="s">
        <v>625</v>
      </c>
    </row>
    <row r="12" spans="1:5" ht="14.25" customHeight="1" x14ac:dyDescent="0.25">
      <c r="A12" s="40" t="s">
        <v>573</v>
      </c>
      <c r="B12" s="54">
        <v>4</v>
      </c>
      <c r="C12" s="54">
        <v>6</v>
      </c>
      <c r="D12" s="54">
        <v>9</v>
      </c>
      <c r="E12" s="54">
        <v>9</v>
      </c>
    </row>
    <row r="13" spans="1:5" ht="14.25" customHeight="1" x14ac:dyDescent="0.25">
      <c r="A13" s="40" t="s">
        <v>600</v>
      </c>
      <c r="B13" s="55">
        <v>3000</v>
      </c>
      <c r="C13" s="55">
        <v>3200</v>
      </c>
      <c r="D13" s="55">
        <v>3200</v>
      </c>
      <c r="E13" s="55">
        <v>3400</v>
      </c>
    </row>
    <row r="14" spans="1:5" ht="14.25" customHeight="1" x14ac:dyDescent="0.25">
      <c r="A14" s="40" t="s">
        <v>626</v>
      </c>
      <c r="B14" s="56">
        <v>1.4999999999999999E-2</v>
      </c>
      <c r="C14" s="56">
        <v>1.4999999999999999E-2</v>
      </c>
      <c r="D14" s="56">
        <v>1.4999999999999999E-2</v>
      </c>
      <c r="E14" s="56">
        <v>1.4999999999999999E-2</v>
      </c>
    </row>
    <row r="15" spans="1:5" ht="14.25" customHeight="1" x14ac:dyDescent="0.25">
      <c r="A15" s="40" t="s">
        <v>627</v>
      </c>
      <c r="B15" s="56">
        <v>0.02</v>
      </c>
      <c r="C15" s="56">
        <v>0.02</v>
      </c>
      <c r="D15" s="56">
        <v>0.02</v>
      </c>
      <c r="E15" s="56">
        <v>0.02</v>
      </c>
    </row>
    <row r="16" spans="1:5" ht="14.25" customHeight="1" x14ac:dyDescent="0.25"/>
    <row r="17" spans="1:5" ht="14.25" customHeight="1" x14ac:dyDescent="0.25">
      <c r="A17" s="35" t="s">
        <v>628</v>
      </c>
    </row>
    <row r="18" spans="1:5" ht="14.25" customHeight="1" x14ac:dyDescent="0.25">
      <c r="A18" s="35" t="s">
        <v>629</v>
      </c>
    </row>
    <row r="19" spans="1:5" ht="14.25" customHeight="1" x14ac:dyDescent="0.25">
      <c r="A19" s="57" t="s">
        <v>630</v>
      </c>
    </row>
    <row r="20" spans="1:5" ht="14.25" customHeight="1" x14ac:dyDescent="0.25"/>
    <row r="21" spans="1:5" ht="14.25" customHeight="1" x14ac:dyDescent="0.25">
      <c r="A21" s="36" t="s">
        <v>631</v>
      </c>
      <c r="B21" s="37"/>
      <c r="C21" s="37"/>
      <c r="D21" s="37"/>
      <c r="E21" s="37"/>
    </row>
    <row r="22" spans="1:5" ht="14.25" customHeight="1" x14ac:dyDescent="0.25">
      <c r="A22" s="40" t="s">
        <v>632</v>
      </c>
      <c r="B22" s="56">
        <v>0.7</v>
      </c>
      <c r="C22" s="35" t="s">
        <v>633</v>
      </c>
    </row>
    <row r="23" spans="1:5" ht="14.25" customHeight="1" x14ac:dyDescent="0.25"/>
    <row r="24" spans="1:5" ht="14.25" customHeight="1" x14ac:dyDescent="0.25">
      <c r="A24" s="36" t="s">
        <v>634</v>
      </c>
      <c r="B24" s="37"/>
      <c r="C24" s="37"/>
      <c r="D24" s="37"/>
      <c r="E24" s="37"/>
    </row>
    <row r="25" spans="1:5" ht="14.25" customHeight="1" x14ac:dyDescent="0.25">
      <c r="A25" s="38" t="s">
        <v>493</v>
      </c>
      <c r="B25" s="38" t="s">
        <v>622</v>
      </c>
      <c r="C25" s="38" t="s">
        <v>623</v>
      </c>
      <c r="D25" s="38" t="s">
        <v>624</v>
      </c>
      <c r="E25" s="38" t="s">
        <v>625</v>
      </c>
    </row>
    <row r="26" spans="1:5" ht="14.25" customHeight="1" x14ac:dyDescent="0.25">
      <c r="A26" s="40" t="s">
        <v>635</v>
      </c>
      <c r="B26" s="55">
        <v>90000</v>
      </c>
      <c r="C26" s="55">
        <v>90000</v>
      </c>
      <c r="D26" s="55">
        <v>108000</v>
      </c>
      <c r="E26" s="55">
        <v>108000</v>
      </c>
    </row>
    <row r="27" spans="1:5" ht="14.25" customHeight="1" x14ac:dyDescent="0.25">
      <c r="A27" s="40" t="s">
        <v>636</v>
      </c>
      <c r="B27" s="55">
        <v>75000</v>
      </c>
      <c r="C27" s="55">
        <v>75000</v>
      </c>
      <c r="D27" s="55">
        <v>75000</v>
      </c>
      <c r="E27" s="55">
        <v>75000</v>
      </c>
    </row>
    <row r="28" spans="1:5" ht="14.25" customHeight="1" x14ac:dyDescent="0.25">
      <c r="A28" s="40" t="s">
        <v>637</v>
      </c>
      <c r="B28" s="55">
        <v>57000</v>
      </c>
      <c r="C28" s="55">
        <v>57000</v>
      </c>
      <c r="D28" s="55">
        <v>57000</v>
      </c>
      <c r="E28" s="55">
        <v>57000</v>
      </c>
    </row>
    <row r="29" spans="1:5" ht="14.25" customHeight="1" x14ac:dyDescent="0.25">
      <c r="A29" s="42" t="s">
        <v>502</v>
      </c>
      <c r="B29" s="58">
        <v>222000</v>
      </c>
      <c r="C29" s="58">
        <v>222000</v>
      </c>
      <c r="D29" s="58">
        <v>240000</v>
      </c>
      <c r="E29" s="58">
        <v>240000</v>
      </c>
    </row>
    <row r="30" spans="1:5" ht="14.25" customHeight="1" x14ac:dyDescent="0.25"/>
    <row r="31" spans="1:5" ht="14.25" customHeight="1" x14ac:dyDescent="0.25">
      <c r="A31" s="35" t="s">
        <v>638</v>
      </c>
    </row>
    <row r="32" spans="1:5" ht="14.25" customHeight="1" x14ac:dyDescent="0.25"/>
    <row r="33" spans="1:5" ht="14.25" customHeight="1" x14ac:dyDescent="0.25">
      <c r="A33" s="36" t="s">
        <v>639</v>
      </c>
      <c r="B33" s="37"/>
      <c r="C33" s="37"/>
      <c r="D33" s="37"/>
      <c r="E33" s="37"/>
    </row>
    <row r="34" spans="1:5" ht="14.25" customHeight="1" x14ac:dyDescent="0.25">
      <c r="A34" s="40" t="s">
        <v>640</v>
      </c>
    </row>
    <row r="35" spans="1:5" ht="14.25" customHeight="1" x14ac:dyDescent="0.25">
      <c r="A35" s="35" t="s">
        <v>641</v>
      </c>
    </row>
    <row r="36" spans="1:5" ht="14.25" customHeight="1" x14ac:dyDescent="0.25"/>
    <row r="37" spans="1:5" ht="14.25" customHeight="1" x14ac:dyDescent="0.25"/>
    <row r="38" spans="1:5" ht="14.25" customHeight="1" x14ac:dyDescent="0.25"/>
    <row r="39" spans="1:5" ht="14.25" customHeight="1" x14ac:dyDescent="0.25"/>
    <row r="40" spans="1:5" ht="14.25" customHeight="1" x14ac:dyDescent="0.25"/>
    <row r="41" spans="1:5" ht="14.25" customHeight="1" x14ac:dyDescent="0.25"/>
    <row r="42" spans="1:5" ht="14.25" customHeight="1" x14ac:dyDescent="0.25"/>
    <row r="43" spans="1:5" ht="14.25" customHeight="1" x14ac:dyDescent="0.25"/>
    <row r="44" spans="1:5" ht="14.25" customHeight="1" x14ac:dyDescent="0.25"/>
    <row r="45" spans="1:5" ht="14.25" customHeight="1" x14ac:dyDescent="0.25"/>
    <row r="46" spans="1:5" ht="14.25" customHeight="1" x14ac:dyDescent="0.25"/>
    <row r="47" spans="1:5" ht="14.25" customHeight="1" x14ac:dyDescent="0.25"/>
    <row r="48" spans="1:5"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H1000"/>
  <sheetViews>
    <sheetView workbookViewId="0">
      <selection activeCell="F5" sqref="F5"/>
    </sheetView>
  </sheetViews>
  <sheetFormatPr defaultColWidth="14.42578125" defaultRowHeight="15" customHeight="1" x14ac:dyDescent="0.25"/>
  <cols>
    <col min="1" max="1" width="32.7109375" customWidth="1"/>
    <col min="2" max="2" width="20" customWidth="1"/>
    <col min="3" max="3" width="58.140625" customWidth="1"/>
    <col min="4" max="4" width="11.42578125" customWidth="1"/>
    <col min="5" max="5" width="11.28515625" customWidth="1"/>
    <col min="6" max="6" width="12.5703125" customWidth="1"/>
    <col min="7" max="26" width="8.7109375" customWidth="1"/>
  </cols>
  <sheetData>
    <row r="1" spans="1:8" ht="14.25" customHeight="1" x14ac:dyDescent="0.25">
      <c r="A1" s="22" t="s">
        <v>642</v>
      </c>
    </row>
    <row r="2" spans="1:8" ht="14.25" customHeight="1" x14ac:dyDescent="0.25">
      <c r="A2" s="38" t="s">
        <v>493</v>
      </c>
      <c r="B2" s="38" t="s">
        <v>643</v>
      </c>
      <c r="C2" s="59" t="s">
        <v>644</v>
      </c>
      <c r="D2" s="59" t="s">
        <v>645</v>
      </c>
      <c r="E2" s="59" t="s">
        <v>646</v>
      </c>
      <c r="F2" s="59" t="s">
        <v>647</v>
      </c>
    </row>
    <row r="3" spans="1:8" ht="14.25" customHeight="1" x14ac:dyDescent="0.25">
      <c r="A3" s="40" t="s">
        <v>494</v>
      </c>
      <c r="B3" s="60">
        <v>143069.5</v>
      </c>
      <c r="C3" s="60">
        <f>'2026 Forecast'!B7</f>
        <v>143069.5</v>
      </c>
      <c r="D3" s="60">
        <f>B3-C3</f>
        <v>0</v>
      </c>
      <c r="E3" s="61">
        <f>IFERROR(B3/C3-1, 0)</f>
        <v>0</v>
      </c>
      <c r="F3" s="62" t="str" cm="1">
        <f t="array" ref="F3">_xlfn.IFS(D3&lt;0, "U", D3&gt;0, "F", D3=0, "-")</f>
        <v>-</v>
      </c>
    </row>
    <row r="4" spans="1:8" ht="14.25" customHeight="1" x14ac:dyDescent="0.25">
      <c r="A4" s="40" t="s">
        <v>561</v>
      </c>
      <c r="B4" s="60">
        <v>1710</v>
      </c>
      <c r="C4" s="60">
        <v>4000</v>
      </c>
      <c r="D4" s="60">
        <f>B4-C4</f>
        <v>-2290</v>
      </c>
      <c r="E4" s="61">
        <f>IFERROR(B4/C4-1, 0)</f>
        <v>-0.57250000000000001</v>
      </c>
      <c r="F4" s="62" t="str" cm="1">
        <f t="array" ref="F4">_xlfn.IFS(D4&lt;0, "U", D4&gt;0, "F", D4=0, "-")</f>
        <v>U</v>
      </c>
    </row>
    <row r="5" spans="1:8" ht="14.25" customHeight="1" x14ac:dyDescent="0.25">
      <c r="A5" s="40" t="s">
        <v>563</v>
      </c>
      <c r="B5" s="60">
        <v>0</v>
      </c>
      <c r="C5" s="60">
        <f>'2026 Forecast'!B9/3</f>
        <v>715.34749999999997</v>
      </c>
      <c r="D5" s="60">
        <f>B5-C5</f>
        <v>-715.34749999999997</v>
      </c>
      <c r="E5" s="61">
        <f>IFERROR(B5/C5-1, 0)</f>
        <v>-1</v>
      </c>
      <c r="F5" s="62" t="str" cm="1">
        <f t="array" ref="F5">_xlfn.IFS(D5&lt;0, "U", D5&gt;0, "F", D5=0, "-")</f>
        <v>U</v>
      </c>
    </row>
    <row r="6" spans="1:8" ht="14.25" customHeight="1" x14ac:dyDescent="0.25">
      <c r="A6" s="40" t="s">
        <v>648</v>
      </c>
      <c r="B6" s="60">
        <v>0</v>
      </c>
      <c r="C6" s="60">
        <v>0</v>
      </c>
      <c r="D6" s="60">
        <f>B6-C6</f>
        <v>0</v>
      </c>
      <c r="E6" s="61">
        <f>IFERROR(B6/C6-1, 0)</f>
        <v>0</v>
      </c>
      <c r="F6" s="62" t="str" cm="1">
        <f t="array" ref="F6">_xlfn.IFS(D6&lt;0, "U", D6&gt;0, "F", D6=0, "-")</f>
        <v>-</v>
      </c>
    </row>
    <row r="7" spans="1:8" ht="14.25" customHeight="1" x14ac:dyDescent="0.25">
      <c r="A7" s="40" t="s">
        <v>567</v>
      </c>
      <c r="B7" s="60">
        <v>0</v>
      </c>
      <c r="C7" s="60">
        <f>'2026 Forecast'!B10/3</f>
        <v>953.79666666666662</v>
      </c>
      <c r="D7" s="60">
        <f>C7-B7</f>
        <v>953.79666666666662</v>
      </c>
      <c r="E7" s="61">
        <f>IFERROR(B7/C7-1, 0)</f>
        <v>-1</v>
      </c>
      <c r="F7" s="62" t="str" cm="1">
        <f t="array" ref="F7">_xlfn.IFS(D7&gt;0, "U", D7&lt;0, "F", D7=0, "-")</f>
        <v>U</v>
      </c>
    </row>
    <row r="8" spans="1:8" ht="14.25" customHeight="1" x14ac:dyDescent="0.25">
      <c r="A8" s="42" t="s">
        <v>569</v>
      </c>
      <c r="B8" s="63">
        <f>B4+B5-B7</f>
        <v>1710</v>
      </c>
      <c r="C8" s="63">
        <f>C4+C5-C7</f>
        <v>3761.5508333333332</v>
      </c>
      <c r="D8" s="63">
        <f>B8-C8</f>
        <v>-2051.5508333333332</v>
      </c>
      <c r="E8" s="64">
        <f>B8/C8-1</f>
        <v>-0.54540026819611853</v>
      </c>
      <c r="F8" s="65" t="str" cm="1">
        <f t="array" ref="F8">_xlfn.IFS(D8&lt;0, "U", D8&gt;0, "F", D8=0, "-")</f>
        <v>U</v>
      </c>
    </row>
    <row r="9" spans="1:8" ht="14.25" customHeight="1" x14ac:dyDescent="0.25">
      <c r="A9" s="42" t="s">
        <v>498</v>
      </c>
      <c r="B9" s="63">
        <f>B3+B4+B5-B7</f>
        <v>144779.5</v>
      </c>
      <c r="C9" s="63">
        <f>C3+C8</f>
        <v>146831.05083333334</v>
      </c>
      <c r="D9" s="63">
        <f>B9-C9</f>
        <v>-2051.5508333333419</v>
      </c>
      <c r="E9" s="64">
        <f>B9/C9-1</f>
        <v>-1.3972186548348309E-2</v>
      </c>
      <c r="F9" s="65" t="str" cm="1">
        <f t="array" ref="F9">_xlfn.IFS(D9&lt;0, "U", D9&gt;0, "F", D9=0, "-")</f>
        <v>U</v>
      </c>
    </row>
    <row r="10" spans="1:8" ht="14.25" customHeight="1" x14ac:dyDescent="0.25">
      <c r="A10" s="42" t="s">
        <v>649</v>
      </c>
      <c r="B10" s="63">
        <f>B9*12</f>
        <v>1737354</v>
      </c>
      <c r="C10" s="58">
        <f>C9*12</f>
        <v>1761972.61</v>
      </c>
      <c r="D10" s="58">
        <f>B10-C10</f>
        <v>-24618.610000000102</v>
      </c>
      <c r="E10" s="64">
        <f>B10/C10-1</f>
        <v>-1.3972186548348309E-2</v>
      </c>
      <c r="F10" s="65" t="str" cm="1">
        <f t="array" ref="F10">_xlfn.IFS(D10&lt;0, "U", D10&gt;0, "F", D10=0, "-")</f>
        <v>U</v>
      </c>
    </row>
    <row r="11" spans="1:8" ht="14.25" customHeight="1" x14ac:dyDescent="0.25"/>
    <row r="12" spans="1:8" ht="14.25" customHeight="1" x14ac:dyDescent="0.25">
      <c r="A12" s="66" t="s">
        <v>650</v>
      </c>
    </row>
    <row r="13" spans="1:8" ht="14.25" customHeight="1" x14ac:dyDescent="0.25">
      <c r="A13" s="38" t="s">
        <v>493</v>
      </c>
      <c r="B13" s="38" t="s">
        <v>643</v>
      </c>
      <c r="C13" s="59" t="s">
        <v>644</v>
      </c>
      <c r="D13" s="59" t="s">
        <v>645</v>
      </c>
      <c r="E13" s="59" t="s">
        <v>646</v>
      </c>
      <c r="F13" s="59" t="s">
        <v>647</v>
      </c>
    </row>
    <row r="14" spans="1:8" ht="14.25" customHeight="1" x14ac:dyDescent="0.25">
      <c r="A14" s="40" t="s">
        <v>582</v>
      </c>
      <c r="B14" s="67">
        <f>B9</f>
        <v>144779.5</v>
      </c>
      <c r="C14" s="67">
        <f>C9</f>
        <v>146831.05083333334</v>
      </c>
      <c r="D14" s="67">
        <f>B14-C14</f>
        <v>-2051.5508333333419</v>
      </c>
      <c r="E14" s="68">
        <f t="shared" ref="E14:E23" si="0">B14/C14-1</f>
        <v>-1.3972186548348309E-2</v>
      </c>
      <c r="F14" s="62" t="str" cm="1">
        <f t="array" ref="F14">_xlfn.IFS(D14&lt;0, "U", D14&gt;0, "F", D14=0, "-")</f>
        <v>U</v>
      </c>
      <c r="H14" s="35"/>
    </row>
    <row r="15" spans="1:8" ht="14.25" customHeight="1" x14ac:dyDescent="0.25">
      <c r="A15" s="40" t="s">
        <v>503</v>
      </c>
      <c r="B15" s="67">
        <f>B14*(1-B17)</f>
        <v>43433.850000000006</v>
      </c>
      <c r="C15" s="67">
        <f>C14*0.3</f>
        <v>44049.31525</v>
      </c>
      <c r="D15" s="67">
        <f>B15-C15</f>
        <v>-615.46524999999383</v>
      </c>
      <c r="E15" s="68">
        <f t="shared" si="0"/>
        <v>-1.3972186548348087E-2</v>
      </c>
      <c r="F15" s="62" t="str" cm="1">
        <f t="array" ref="F15">_xlfn.IFS(D15&gt;0, "U", D15&lt;0, "F", D15=0, "-")</f>
        <v>F</v>
      </c>
      <c r="H15" s="35" t="s">
        <v>651</v>
      </c>
    </row>
    <row r="16" spans="1:8" ht="14.25" customHeight="1" x14ac:dyDescent="0.25">
      <c r="A16" s="42" t="s">
        <v>504</v>
      </c>
      <c r="B16" s="69">
        <f>B14-B15</f>
        <v>101345.65</v>
      </c>
      <c r="C16" s="69">
        <f>C14-C15</f>
        <v>102781.73558333334</v>
      </c>
      <c r="D16" s="67">
        <f>B16-C16</f>
        <v>-1436.085583333348</v>
      </c>
      <c r="E16" s="68">
        <f t="shared" si="0"/>
        <v>-1.3972186548348309E-2</v>
      </c>
      <c r="F16" s="62" t="str" cm="1">
        <f t="array" ref="F16">_xlfn.IFS(D16&lt;0, "U", D16&gt;0, "F", D16=0, "-")</f>
        <v>U</v>
      </c>
      <c r="H16" s="35" t="s">
        <v>652</v>
      </c>
    </row>
    <row r="17" spans="1:8" ht="14.25" customHeight="1" x14ac:dyDescent="0.25">
      <c r="A17" s="40" t="s">
        <v>587</v>
      </c>
      <c r="B17" s="68">
        <v>0.7</v>
      </c>
      <c r="C17" s="68">
        <f>C16/C14</f>
        <v>0.70000000000000007</v>
      </c>
      <c r="D17" s="67"/>
      <c r="E17" s="68">
        <f t="shared" si="0"/>
        <v>0</v>
      </c>
      <c r="F17" s="62" t="str" cm="1">
        <f t="array" ref="F17">_xlfn.IFS(D17&lt;0, "U", D17&gt;0, "F", D17=0, "-")</f>
        <v>-</v>
      </c>
      <c r="H17" s="35" t="s">
        <v>653</v>
      </c>
    </row>
    <row r="18" spans="1:8" ht="14.25" customHeight="1" x14ac:dyDescent="0.25">
      <c r="A18" s="40" t="s">
        <v>635</v>
      </c>
      <c r="B18" s="67">
        <f>'Forecast Assumptions'!B26/3</f>
        <v>30000</v>
      </c>
      <c r="C18" s="67">
        <f>'2026 Forecast'!B25/3</f>
        <v>30000</v>
      </c>
      <c r="D18" s="67">
        <f t="shared" ref="D18:D23" si="1">B18-C18</f>
        <v>0</v>
      </c>
      <c r="E18" s="68">
        <f t="shared" si="0"/>
        <v>0</v>
      </c>
      <c r="F18" s="62" t="str" cm="1">
        <f t="array" ref="F18">_xlfn.IFS(D18&lt;0, "U", D18&gt;0, "F", D18=0, "-")</f>
        <v>-</v>
      </c>
      <c r="H18" s="35" t="s">
        <v>654</v>
      </c>
    </row>
    <row r="19" spans="1:8" ht="14.25" customHeight="1" x14ac:dyDescent="0.25">
      <c r="A19" s="40" t="s">
        <v>636</v>
      </c>
      <c r="B19" s="67">
        <f>'Forecast Assumptions'!B27/3</f>
        <v>25000</v>
      </c>
      <c r="C19" s="67">
        <f>'2026 Forecast'!B26/3</f>
        <v>25000</v>
      </c>
      <c r="D19" s="67">
        <f t="shared" si="1"/>
        <v>0</v>
      </c>
      <c r="E19" s="68">
        <f t="shared" si="0"/>
        <v>0</v>
      </c>
      <c r="F19" s="62" t="str" cm="1">
        <f t="array" ref="F19">_xlfn.IFS(D19&lt;0, "U", D19&gt;0, "F", D19=0, "-")</f>
        <v>-</v>
      </c>
      <c r="H19" s="35" t="s">
        <v>654</v>
      </c>
    </row>
    <row r="20" spans="1:8" ht="14.25" customHeight="1" x14ac:dyDescent="0.25">
      <c r="A20" s="40" t="s">
        <v>637</v>
      </c>
      <c r="B20" s="67">
        <f>'Forecast Assumptions'!B28/3</f>
        <v>19000</v>
      </c>
      <c r="C20" s="67">
        <f>'2026 Forecast'!B27/3</f>
        <v>19000</v>
      </c>
      <c r="D20" s="67">
        <f t="shared" si="1"/>
        <v>0</v>
      </c>
      <c r="E20" s="68">
        <f t="shared" si="0"/>
        <v>0</v>
      </c>
      <c r="F20" s="62" t="str" cm="1">
        <f t="array" ref="F20">_xlfn.IFS(D20&lt;0, "U", D20&gt;0, "F", D20=0, "-")</f>
        <v>-</v>
      </c>
      <c r="H20" s="35" t="s">
        <v>654</v>
      </c>
    </row>
    <row r="21" spans="1:8" ht="14.25" customHeight="1" x14ac:dyDescent="0.25">
      <c r="A21" s="42" t="s">
        <v>502</v>
      </c>
      <c r="B21" s="69">
        <f>SUM(B18:B20)</f>
        <v>74000</v>
      </c>
      <c r="C21" s="69">
        <f>'2026 Forecast'!B28/3</f>
        <v>74000</v>
      </c>
      <c r="D21" s="67">
        <f t="shared" si="1"/>
        <v>0</v>
      </c>
      <c r="E21" s="68">
        <f t="shared" si="0"/>
        <v>0</v>
      </c>
      <c r="F21" s="62" t="str" cm="1">
        <f t="array" ref="F21">_xlfn.IFS(D21&lt;0, "U", D21&gt;0, "F", D21=0, "-")</f>
        <v>-</v>
      </c>
      <c r="H21" s="35" t="s">
        <v>591</v>
      </c>
    </row>
    <row r="22" spans="1:8" ht="14.25" customHeight="1" x14ac:dyDescent="0.25">
      <c r="A22" s="42" t="s">
        <v>505</v>
      </c>
      <c r="B22" s="69">
        <f>B16-B21</f>
        <v>27345.649999999994</v>
      </c>
      <c r="C22" s="69">
        <f>C16-C21</f>
        <v>28781.735583333342</v>
      </c>
      <c r="D22" s="67">
        <f t="shared" si="1"/>
        <v>-1436.085583333348</v>
      </c>
      <c r="E22" s="68">
        <f t="shared" si="0"/>
        <v>-4.9895725682538195E-2</v>
      </c>
      <c r="F22" s="62" t="str" cm="1">
        <f t="array" ref="F22">_xlfn.IFS(D22&lt;0, "U", D22&gt;0, "F", D22=0, "-")</f>
        <v>U</v>
      </c>
      <c r="H22" s="35" t="s">
        <v>655</v>
      </c>
    </row>
    <row r="23" spans="1:8" ht="14.25" customHeight="1" x14ac:dyDescent="0.25">
      <c r="A23" s="40" t="s">
        <v>593</v>
      </c>
      <c r="B23" s="68">
        <f>B22/B14</f>
        <v>0.18887791434560827</v>
      </c>
      <c r="C23" s="68">
        <f>C22/C14</f>
        <v>0.19601940747535235</v>
      </c>
      <c r="D23" s="68">
        <f t="shared" si="1"/>
        <v>-7.1414931297440754E-3</v>
      </c>
      <c r="E23" s="68">
        <f t="shared" si="0"/>
        <v>-3.643258196585486E-2</v>
      </c>
      <c r="F23" s="62" t="str" cm="1">
        <f t="array" ref="F23">_xlfn.IFS(D23&lt;0, "U", D23&gt;0, "F", D23=0, "-")</f>
        <v>U</v>
      </c>
      <c r="H23" s="35" t="s">
        <v>656</v>
      </c>
    </row>
    <row r="24" spans="1:8" ht="14.25" customHeight="1" x14ac:dyDescent="0.25"/>
    <row r="25" spans="1:8" ht="14.25" customHeight="1" x14ac:dyDescent="0.25">
      <c r="A25" s="22" t="s">
        <v>657</v>
      </c>
    </row>
    <row r="26" spans="1:8" ht="14.25" customHeight="1" x14ac:dyDescent="0.25">
      <c r="A26" s="1" t="s">
        <v>658</v>
      </c>
    </row>
    <row r="27" spans="1:8" ht="14.25" customHeight="1" x14ac:dyDescent="0.25">
      <c r="A27" s="1" t="s">
        <v>659</v>
      </c>
    </row>
    <row r="28" spans="1:8" ht="14.25" customHeight="1" x14ac:dyDescent="0.25">
      <c r="A28" s="1" t="s">
        <v>660</v>
      </c>
    </row>
    <row r="29" spans="1:8" ht="14.25" customHeight="1" x14ac:dyDescent="0.25">
      <c r="A29" s="1" t="s">
        <v>661</v>
      </c>
    </row>
    <row r="30" spans="1:8" ht="14.25" customHeight="1" x14ac:dyDescent="0.25">
      <c r="A30" s="1" t="s">
        <v>662</v>
      </c>
    </row>
    <row r="31" spans="1:8" ht="14.25" customHeight="1" x14ac:dyDescent="0.25">
      <c r="A31" s="1" t="s">
        <v>663</v>
      </c>
    </row>
    <row r="32" spans="1:8" ht="14.25" customHeight="1" x14ac:dyDescent="0.25">
      <c r="A32" s="1" t="s">
        <v>664</v>
      </c>
    </row>
    <row r="33" spans="1:3" ht="14.25" customHeight="1" x14ac:dyDescent="0.25">
      <c r="A33" s="1" t="s">
        <v>665</v>
      </c>
    </row>
    <row r="34" spans="1:3" ht="14.25" customHeight="1" x14ac:dyDescent="0.25">
      <c r="A34" s="1" t="s">
        <v>666</v>
      </c>
    </row>
    <row r="35" spans="1:3" ht="14.25" customHeight="1" x14ac:dyDescent="0.25"/>
    <row r="36" spans="1:3" ht="14.25" customHeight="1" x14ac:dyDescent="0.3">
      <c r="A36" s="70" t="s">
        <v>667</v>
      </c>
    </row>
    <row r="37" spans="1:3" ht="14.25" customHeight="1" x14ac:dyDescent="0.25"/>
    <row r="38" spans="1:3" ht="14.25" customHeight="1" x14ac:dyDescent="0.25">
      <c r="A38" s="71" t="s">
        <v>493</v>
      </c>
      <c r="B38" s="71" t="s">
        <v>668</v>
      </c>
      <c r="C38" s="71" t="s">
        <v>669</v>
      </c>
    </row>
    <row r="39" spans="1:3" ht="14.25" customHeight="1" x14ac:dyDescent="0.25">
      <c r="A39" s="1" t="s">
        <v>507</v>
      </c>
      <c r="B39" s="72">
        <v>39</v>
      </c>
      <c r="C39" s="1" t="s">
        <v>670</v>
      </c>
    </row>
    <row r="40" spans="1:3" ht="14.25" customHeight="1" x14ac:dyDescent="0.25">
      <c r="A40" s="1" t="s">
        <v>508</v>
      </c>
      <c r="B40" s="72">
        <v>52</v>
      </c>
      <c r="C40" s="1" t="s">
        <v>670</v>
      </c>
    </row>
    <row r="41" spans="1:3" ht="14.25" customHeight="1" x14ac:dyDescent="0.25">
      <c r="A41" s="1" t="s">
        <v>671</v>
      </c>
      <c r="B41" s="67">
        <f>'Jan 2026 A vs F '!B9/'Jan 2026 A vs F '!B39</f>
        <v>3712.2948717948716</v>
      </c>
      <c r="C41" s="1" t="s">
        <v>672</v>
      </c>
    </row>
    <row r="42" spans="1:3" ht="14.25" customHeight="1" x14ac:dyDescent="0.25">
      <c r="A42" s="1" t="s">
        <v>673</v>
      </c>
      <c r="B42" s="73">
        <f>B17</f>
        <v>0.7</v>
      </c>
      <c r="C42" s="1" t="s">
        <v>674</v>
      </c>
    </row>
    <row r="43" spans="1:3" ht="14.25" customHeight="1" x14ac:dyDescent="0.25">
      <c r="A43" s="1" t="s">
        <v>675</v>
      </c>
      <c r="B43" s="73">
        <f>Retention!Z6</f>
        <v>1</v>
      </c>
      <c r="C43" s="1" t="s">
        <v>676</v>
      </c>
    </row>
    <row r="44" spans="1:3" ht="14.25" customHeight="1" x14ac:dyDescent="0.25">
      <c r="A44" s="1" t="s">
        <v>677</v>
      </c>
      <c r="B44" s="73">
        <f>Retention!Z7</f>
        <v>1</v>
      </c>
      <c r="C44" s="1" t="s">
        <v>676</v>
      </c>
    </row>
    <row r="45" spans="1:3" ht="14.25" customHeight="1" x14ac:dyDescent="0.25">
      <c r="A45" s="1" t="s">
        <v>678</v>
      </c>
      <c r="B45" s="1" t="s">
        <v>679</v>
      </c>
      <c r="C45" s="1" t="s">
        <v>680</v>
      </c>
    </row>
    <row r="46" spans="1:3" ht="14.25" customHeight="1" x14ac:dyDescent="0.25">
      <c r="A46" s="1" t="s">
        <v>681</v>
      </c>
      <c r="B46" s="74">
        <f>B18</f>
        <v>30000</v>
      </c>
      <c r="C46" s="1" t="s">
        <v>682</v>
      </c>
    </row>
    <row r="47" spans="1:3" ht="14.25" customHeight="1" x14ac:dyDescent="0.25">
      <c r="A47" s="1" t="s">
        <v>683</v>
      </c>
      <c r="B47" s="74">
        <f>B46/1</f>
        <v>30000</v>
      </c>
      <c r="C47" s="1" t="s">
        <v>684</v>
      </c>
    </row>
    <row r="48" spans="1:3" ht="14.25" customHeight="1" x14ac:dyDescent="0.25">
      <c r="A48" s="1" t="s">
        <v>685</v>
      </c>
      <c r="B48" s="1" t="s">
        <v>686</v>
      </c>
      <c r="C48" s="1" t="s">
        <v>687</v>
      </c>
    </row>
    <row r="49" spans="1:3" ht="14.25" customHeight="1" x14ac:dyDescent="0.25">
      <c r="A49" s="1" t="s">
        <v>688</v>
      </c>
      <c r="B49" s="1" t="s">
        <v>686</v>
      </c>
      <c r="C49" s="1" t="s">
        <v>687</v>
      </c>
    </row>
    <row r="50" spans="1:3" ht="14.25" customHeight="1" x14ac:dyDescent="0.25">
      <c r="A50" s="1" t="s">
        <v>689</v>
      </c>
      <c r="B50" s="1" t="s">
        <v>686</v>
      </c>
      <c r="C50" s="1" t="s">
        <v>687</v>
      </c>
    </row>
    <row r="51" spans="1:3" ht="14.25" customHeight="1" x14ac:dyDescent="0.25"/>
    <row r="52" spans="1:3" ht="14.25" customHeight="1" x14ac:dyDescent="0.25">
      <c r="A52" s="75" t="s">
        <v>690</v>
      </c>
    </row>
    <row r="53" spans="1:3" ht="14.25" customHeight="1" x14ac:dyDescent="0.25">
      <c r="A53" s="75" t="s">
        <v>691</v>
      </c>
    </row>
    <row r="54" spans="1:3" ht="14.25" customHeight="1" x14ac:dyDescent="0.25"/>
    <row r="55" spans="1:3" ht="14.25" customHeight="1" x14ac:dyDescent="0.25">
      <c r="A55" s="75" t="s">
        <v>692</v>
      </c>
    </row>
    <row r="56" spans="1:3" ht="14.25" customHeight="1" x14ac:dyDescent="0.25">
      <c r="A56" s="75" t="s">
        <v>693</v>
      </c>
    </row>
    <row r="57" spans="1:3" ht="14.25" customHeight="1" x14ac:dyDescent="0.25"/>
    <row r="58" spans="1:3" ht="14.25" customHeight="1" x14ac:dyDescent="0.25"/>
    <row r="59" spans="1:3" ht="14.25" customHeight="1" x14ac:dyDescent="0.3">
      <c r="A59" s="76" t="s">
        <v>694</v>
      </c>
    </row>
    <row r="60" spans="1:3" ht="14.25" customHeight="1" x14ac:dyDescent="0.25"/>
    <row r="61" spans="1:3" ht="14.25" customHeight="1" x14ac:dyDescent="0.25">
      <c r="A61" s="71" t="s">
        <v>493</v>
      </c>
      <c r="B61" s="71" t="s">
        <v>695</v>
      </c>
    </row>
    <row r="62" spans="1:3" ht="14.25" customHeight="1" x14ac:dyDescent="0.25">
      <c r="A62" s="1" t="s">
        <v>671</v>
      </c>
      <c r="B62" s="67">
        <f>B41</f>
        <v>3712.2948717948716</v>
      </c>
    </row>
    <row r="63" spans="1:3" ht="14.25" customHeight="1" x14ac:dyDescent="0.25">
      <c r="A63" s="1" t="s">
        <v>675</v>
      </c>
      <c r="B63" s="73">
        <f>B43</f>
        <v>1</v>
      </c>
    </row>
    <row r="64" spans="1:3" ht="14.25" customHeight="1" x14ac:dyDescent="0.25">
      <c r="A64" s="1" t="s">
        <v>677</v>
      </c>
      <c r="B64" s="73">
        <f>B44</f>
        <v>1</v>
      </c>
    </row>
    <row r="65" spans="1:2" ht="14.25" customHeight="1" x14ac:dyDescent="0.25">
      <c r="A65" s="1" t="s">
        <v>678</v>
      </c>
      <c r="B65" s="1" t="str">
        <f>B45</f>
        <v>N/A — no losses</v>
      </c>
    </row>
    <row r="66" spans="1:2" ht="14.25" customHeight="1" x14ac:dyDescent="0.25">
      <c r="A66" s="1" t="s">
        <v>696</v>
      </c>
      <c r="B66" s="74">
        <f>B47</f>
        <v>30000</v>
      </c>
    </row>
    <row r="67" spans="1:2" ht="14.25" customHeight="1" x14ac:dyDescent="0.25"/>
    <row r="68" spans="1:2" ht="14.25" customHeight="1" x14ac:dyDescent="0.25"/>
    <row r="69" spans="1:2" ht="14.25" customHeight="1" x14ac:dyDescent="0.25"/>
    <row r="70" spans="1:2" ht="14.25" customHeight="1" x14ac:dyDescent="0.25"/>
    <row r="71" spans="1:2" ht="14.25" customHeight="1" x14ac:dyDescent="0.25"/>
    <row r="72" spans="1:2" ht="14.25" customHeight="1" x14ac:dyDescent="0.25"/>
    <row r="73" spans="1:2" ht="14.25" customHeight="1" x14ac:dyDescent="0.25"/>
    <row r="74" spans="1:2" ht="14.25" customHeight="1" x14ac:dyDescent="0.25"/>
    <row r="75" spans="1:2" ht="14.25" customHeight="1" x14ac:dyDescent="0.25"/>
    <row r="76" spans="1:2" ht="14.25" customHeight="1" x14ac:dyDescent="0.25"/>
    <row r="77" spans="1:2" ht="14.25" customHeight="1" x14ac:dyDescent="0.25"/>
    <row r="78" spans="1:2" ht="14.25" customHeight="1" x14ac:dyDescent="0.25"/>
    <row r="79" spans="1:2" ht="14.25" customHeight="1" x14ac:dyDescent="0.25"/>
    <row r="80" spans="1:2"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1859B"/>
  </sheetPr>
  <dimension ref="A1:H1000"/>
  <sheetViews>
    <sheetView topLeftCell="A23" workbookViewId="0">
      <selection activeCell="F25" sqref="F25"/>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26" width="8.7109375" customWidth="1"/>
  </cols>
  <sheetData>
    <row r="1" spans="1:8" ht="14.25" customHeight="1" x14ac:dyDescent="0.25">
      <c r="A1" s="22" t="s">
        <v>642</v>
      </c>
    </row>
    <row r="2" spans="1:8" ht="14.25" customHeight="1" x14ac:dyDescent="0.25">
      <c r="A2" s="77" t="s">
        <v>493</v>
      </c>
      <c r="B2" s="77" t="s">
        <v>697</v>
      </c>
      <c r="C2" s="77" t="s">
        <v>698</v>
      </c>
      <c r="D2" s="77" t="s">
        <v>645</v>
      </c>
      <c r="E2" s="77" t="s">
        <v>646</v>
      </c>
      <c r="F2" s="77" t="s">
        <v>647</v>
      </c>
    </row>
    <row r="3" spans="1:8" ht="14.25" customHeight="1" x14ac:dyDescent="0.25">
      <c r="A3" s="40" t="s">
        <v>494</v>
      </c>
      <c r="B3" s="60">
        <f>'Jan 2026 A vs F '!B9</f>
        <v>144779.5</v>
      </c>
      <c r="C3" s="60">
        <v>146831.04999999999</v>
      </c>
      <c r="D3" s="60">
        <f>B3-C3</f>
        <v>-2051.5499999999884</v>
      </c>
      <c r="E3" s="61">
        <f>IFERROR(B3/C3-1, 0)</f>
        <v>-1.397218095218955E-2</v>
      </c>
      <c r="F3" s="62" t="str" cm="1">
        <f t="array" ref="F3">_xlfn.IFS(D3&lt;0, "U", D3&gt;0, "F", D3=0, "-")</f>
        <v>U</v>
      </c>
    </row>
    <row r="4" spans="1:8" ht="14.25" customHeight="1" x14ac:dyDescent="0.25">
      <c r="A4" s="78" t="s">
        <v>561</v>
      </c>
      <c r="B4" s="60">
        <v>6120</v>
      </c>
      <c r="C4" s="60">
        <v>4000</v>
      </c>
      <c r="D4" s="60">
        <f>B4-C4</f>
        <v>2120</v>
      </c>
      <c r="E4" s="61">
        <f>IFERROR(B4/C4-1, 0)</f>
        <v>0.53</v>
      </c>
      <c r="F4" s="62" t="str" cm="1">
        <f t="array" ref="F4">_xlfn.IFS(D4&lt;0, "U", D4&gt;0, "F", D4=0, "-")</f>
        <v>F</v>
      </c>
    </row>
    <row r="5" spans="1:8" ht="14.25" customHeight="1" x14ac:dyDescent="0.25">
      <c r="A5" s="78" t="s">
        <v>563</v>
      </c>
      <c r="B5" s="60">
        <v>0</v>
      </c>
      <c r="C5" s="60">
        <f>'2026 Forecast'!B9/3</f>
        <v>715.34749999999997</v>
      </c>
      <c r="D5" s="60">
        <f>B5-C5</f>
        <v>-715.34749999999997</v>
      </c>
      <c r="E5" s="61">
        <f>IFERROR(B5/C5-1, 0)</f>
        <v>-1</v>
      </c>
      <c r="F5" s="62" t="str" cm="1">
        <f t="array" ref="F5">_xlfn.IFS(D5&lt;0, "U", D5&gt;0, "F", D5=0, "-")</f>
        <v>U</v>
      </c>
    </row>
    <row r="6" spans="1:8" ht="14.25" customHeight="1" x14ac:dyDescent="0.25">
      <c r="A6" s="40" t="s">
        <v>648</v>
      </c>
      <c r="B6" s="60">
        <v>0</v>
      </c>
      <c r="C6" s="60">
        <v>0</v>
      </c>
      <c r="D6" s="60">
        <f>B6-C6</f>
        <v>0</v>
      </c>
      <c r="E6" s="61">
        <f>IFERROR(B6/C6-1, 0)</f>
        <v>0</v>
      </c>
      <c r="F6" s="62" t="str" cm="1">
        <f t="array" ref="F6">_xlfn.IFS(D6&lt;0, "U", D6&gt;0, "F", D6=0, "-")</f>
        <v>-</v>
      </c>
    </row>
    <row r="7" spans="1:8" ht="14.25" customHeight="1" x14ac:dyDescent="0.25">
      <c r="A7" s="40" t="s">
        <v>567</v>
      </c>
      <c r="B7" s="60">
        <v>594</v>
      </c>
      <c r="C7" s="60">
        <f>'2026 Forecast'!B10/3</f>
        <v>953.79666666666662</v>
      </c>
      <c r="D7" s="60">
        <f>C7-B7</f>
        <v>359.79666666666662</v>
      </c>
      <c r="E7" s="61">
        <f>IFERROR(B7/C7-1, 0)</f>
        <v>-0.37722575391680269</v>
      </c>
      <c r="F7" s="79" t="str" cm="1">
        <f t="array" ref="F7">_xlfn.IFS(D7&gt;0, "F", D7&lt;0, "U", D7=0, "-")</f>
        <v>F</v>
      </c>
    </row>
    <row r="8" spans="1:8" ht="14.25" customHeight="1" x14ac:dyDescent="0.25">
      <c r="A8" s="80" t="s">
        <v>569</v>
      </c>
      <c r="B8" s="81">
        <f>B4+B5-B7</f>
        <v>5526</v>
      </c>
      <c r="C8" s="81">
        <f>C4+C5-C7</f>
        <v>3761.5508333333332</v>
      </c>
      <c r="D8" s="81">
        <f>B8-C8</f>
        <v>1764.4491666666668</v>
      </c>
      <c r="E8" s="82">
        <f>B8/C8-1</f>
        <v>0.46907492277675367</v>
      </c>
      <c r="F8" s="83" t="str" cm="1">
        <f t="array" ref="F8">_xlfn.IFS(D8&lt;0, "U", D8&gt;0, "F", D8=0, "-")</f>
        <v>F</v>
      </c>
    </row>
    <row r="9" spans="1:8" ht="14.25" customHeight="1" x14ac:dyDescent="0.25">
      <c r="A9" s="84" t="s">
        <v>498</v>
      </c>
      <c r="B9" s="85">
        <f>B3+B4+B5-B7</f>
        <v>150305.5</v>
      </c>
      <c r="C9" s="85">
        <f>C3+C8</f>
        <v>150592.60083333333</v>
      </c>
      <c r="D9" s="85">
        <f>B9-C9</f>
        <v>-287.10083333333023</v>
      </c>
      <c r="E9" s="86">
        <f>B9/C9-1</f>
        <v>-1.9064737028552381E-3</v>
      </c>
      <c r="F9" s="87" t="str" cm="1">
        <f t="array" ref="F9">_xlfn.IFS(D9&lt;0, "U", D9&gt;0, "F", D9=0, "-")</f>
        <v>U</v>
      </c>
    </row>
    <row r="10" spans="1:8" ht="14.25" customHeight="1" x14ac:dyDescent="0.25">
      <c r="A10" s="66" t="s">
        <v>649</v>
      </c>
      <c r="B10" s="88">
        <f>B9*12</f>
        <v>1803666</v>
      </c>
      <c r="C10" s="88">
        <f>C9*12</f>
        <v>1807111.21</v>
      </c>
      <c r="D10" s="88">
        <f>B10-C10</f>
        <v>-3445.2099999999627</v>
      </c>
      <c r="E10" s="89">
        <f>B10/C10-1</f>
        <v>-1.9064737028552381E-3</v>
      </c>
      <c r="F10" s="90" t="str" cm="1">
        <f t="array" ref="F10">_xlfn.IFS(D10&lt;0, "U", D10&gt;0, "F", D10=0, "-")</f>
        <v>U</v>
      </c>
    </row>
    <row r="11" spans="1:8" ht="14.25" customHeight="1" x14ac:dyDescent="0.25">
      <c r="A11" s="91"/>
      <c r="B11" s="91"/>
      <c r="C11" s="91"/>
      <c r="D11" s="91"/>
      <c r="E11" s="91"/>
      <c r="F11" s="91"/>
    </row>
    <row r="12" spans="1:8" ht="14.25" customHeight="1" x14ac:dyDescent="0.25">
      <c r="A12" s="66" t="s">
        <v>650</v>
      </c>
    </row>
    <row r="13" spans="1:8" ht="14.25" customHeight="1" x14ac:dyDescent="0.25">
      <c r="A13" s="77" t="s">
        <v>493</v>
      </c>
      <c r="B13" s="77" t="s">
        <v>697</v>
      </c>
      <c r="C13" s="77" t="s">
        <v>698</v>
      </c>
      <c r="D13" s="77" t="s">
        <v>645</v>
      </c>
      <c r="E13" s="77" t="s">
        <v>646</v>
      </c>
      <c r="F13" s="77" t="s">
        <v>647</v>
      </c>
    </row>
    <row r="14" spans="1:8" ht="14.25" customHeight="1" x14ac:dyDescent="0.25">
      <c r="A14" s="66" t="s">
        <v>582</v>
      </c>
      <c r="B14" s="67">
        <f>B9</f>
        <v>150305.5</v>
      </c>
      <c r="C14" s="67">
        <f>C9</f>
        <v>150592.60083333333</v>
      </c>
      <c r="D14" s="67">
        <f t="shared" ref="D14:D23" si="0">B14-C14</f>
        <v>-287.10083333333023</v>
      </c>
      <c r="E14" s="68">
        <f t="shared" ref="E14:E23" si="1">B14/C14-1</f>
        <v>-1.9064737028552381E-3</v>
      </c>
      <c r="F14" s="62" t="str" cm="1">
        <f t="array" ref="F14">_xlfn.IFS(D14&lt;0, "U", D14&gt;0, "F", D14=0, "-")</f>
        <v>U</v>
      </c>
      <c r="H14" s="35" t="s">
        <v>651</v>
      </c>
    </row>
    <row r="15" spans="1:8" ht="14.25" customHeight="1" x14ac:dyDescent="0.25">
      <c r="A15" s="66" t="s">
        <v>503</v>
      </c>
      <c r="B15" s="67">
        <f>B14*(1-B17)</f>
        <v>45091.650000000009</v>
      </c>
      <c r="C15" s="67">
        <f>C14*0.3</f>
        <v>45177.780249999996</v>
      </c>
      <c r="D15" s="67">
        <f t="shared" si="0"/>
        <v>-86.130249999987427</v>
      </c>
      <c r="E15" s="68">
        <f t="shared" si="1"/>
        <v>-1.9064737028550161E-3</v>
      </c>
      <c r="F15" s="62" t="str" cm="1">
        <f t="array" ref="F15">_xlfn.IFS(D15&gt;0, "U", D15&lt;0, "F", D15=0, "-")</f>
        <v>F</v>
      </c>
      <c r="H15" s="35" t="s">
        <v>652</v>
      </c>
    </row>
    <row r="16" spans="1:8" ht="14.25" customHeight="1" x14ac:dyDescent="0.25">
      <c r="A16" s="80" t="s">
        <v>504</v>
      </c>
      <c r="B16" s="92">
        <f>B14-B15</f>
        <v>105213.84999999999</v>
      </c>
      <c r="C16" s="92">
        <f>C14-C15</f>
        <v>105414.82058333333</v>
      </c>
      <c r="D16" s="92">
        <f t="shared" si="0"/>
        <v>-200.9705833333428</v>
      </c>
      <c r="E16" s="93">
        <f t="shared" si="1"/>
        <v>-1.9064737028553491E-3</v>
      </c>
      <c r="F16" s="94" t="str" cm="1">
        <f t="array" ref="F16">_xlfn.IFS(D16&lt;0, "U", D16&gt;0, "F", D16=0, "-")</f>
        <v>U</v>
      </c>
      <c r="H16" s="35" t="s">
        <v>653</v>
      </c>
    </row>
    <row r="17" spans="1:8" ht="14.25" customHeight="1" x14ac:dyDescent="0.25">
      <c r="A17" s="84" t="s">
        <v>587</v>
      </c>
      <c r="B17" s="95">
        <v>0.7</v>
      </c>
      <c r="C17" s="96">
        <f>C16/C14</f>
        <v>0.70000000000000007</v>
      </c>
      <c r="D17" s="96">
        <f t="shared" si="0"/>
        <v>0</v>
      </c>
      <c r="E17" s="96">
        <f t="shared" si="1"/>
        <v>0</v>
      </c>
      <c r="F17" s="97" t="str" cm="1">
        <f t="array" ref="F17">_xlfn.IFS(D17&lt;0, "U", D17&gt;0, "F", D17=0, "-")</f>
        <v>-</v>
      </c>
      <c r="H17" s="35" t="s">
        <v>654</v>
      </c>
    </row>
    <row r="18" spans="1:8" ht="14.25" customHeight="1" x14ac:dyDescent="0.25">
      <c r="A18" s="66" t="s">
        <v>635</v>
      </c>
      <c r="B18" s="67">
        <v>31000</v>
      </c>
      <c r="C18" s="67">
        <f>'2026 Forecast'!B25/3</f>
        <v>30000</v>
      </c>
      <c r="D18" s="67">
        <f t="shared" si="0"/>
        <v>1000</v>
      </c>
      <c r="E18" s="68">
        <f t="shared" si="1"/>
        <v>3.3333333333333437E-2</v>
      </c>
      <c r="F18" s="62" t="str" cm="1">
        <f t="array" ref="F18">_xlfn.IFS(D18&lt;0, "U", D18&gt;0, "F", D18=0, "-")</f>
        <v>F</v>
      </c>
      <c r="H18" s="35" t="s">
        <v>654</v>
      </c>
    </row>
    <row r="19" spans="1:8" ht="14.25" customHeight="1" x14ac:dyDescent="0.25">
      <c r="A19" s="66" t="s">
        <v>636</v>
      </c>
      <c r="B19" s="67">
        <f>'Forecast Assumptions'!B27/3</f>
        <v>25000</v>
      </c>
      <c r="C19" s="67">
        <f>'2026 Forecast'!B26/3</f>
        <v>25000</v>
      </c>
      <c r="D19" s="67">
        <f t="shared" si="0"/>
        <v>0</v>
      </c>
      <c r="E19" s="68">
        <f t="shared" si="1"/>
        <v>0</v>
      </c>
      <c r="F19" s="62" t="str" cm="1">
        <f t="array" ref="F19">_xlfn.IFS(D19&lt;0, "U", D19&gt;0, "F", D19=0, "-")</f>
        <v>-</v>
      </c>
      <c r="H19" s="35" t="s">
        <v>654</v>
      </c>
    </row>
    <row r="20" spans="1:8" ht="14.25" customHeight="1" x14ac:dyDescent="0.25">
      <c r="A20" s="66" t="s">
        <v>637</v>
      </c>
      <c r="B20" s="67">
        <f>'Forecast Assumptions'!B28/3</f>
        <v>19000</v>
      </c>
      <c r="C20" s="67">
        <f>'2026 Forecast'!B27/3</f>
        <v>19000</v>
      </c>
      <c r="D20" s="67">
        <f t="shared" si="0"/>
        <v>0</v>
      </c>
      <c r="E20" s="68">
        <f t="shared" si="1"/>
        <v>0</v>
      </c>
      <c r="F20" s="62" t="str" cm="1">
        <f t="array" ref="F20">_xlfn.IFS(D20&lt;0, "U", D20&gt;0, "F", D20=0, "-")</f>
        <v>-</v>
      </c>
      <c r="H20" s="35" t="s">
        <v>591</v>
      </c>
    </row>
    <row r="21" spans="1:8" ht="14.25" customHeight="1" x14ac:dyDescent="0.25">
      <c r="A21" s="80" t="s">
        <v>502</v>
      </c>
      <c r="B21" s="92">
        <f>SUM(B18:B20)</f>
        <v>75000</v>
      </c>
      <c r="C21" s="92">
        <f>'2026 Forecast'!B28/3</f>
        <v>74000</v>
      </c>
      <c r="D21" s="92">
        <f t="shared" si="0"/>
        <v>1000</v>
      </c>
      <c r="E21" s="98">
        <f t="shared" si="1"/>
        <v>1.3513513513513598E-2</v>
      </c>
      <c r="F21" s="94" t="str" cm="1">
        <f t="array" ref="F21">_xlfn.IFS(D21&lt;0, "U", D21&gt;0, "F", D21=0, "-")</f>
        <v>F</v>
      </c>
      <c r="H21" s="35" t="s">
        <v>655</v>
      </c>
    </row>
    <row r="22" spans="1:8" ht="14.25" customHeight="1" x14ac:dyDescent="0.25">
      <c r="A22" s="99" t="s">
        <v>505</v>
      </c>
      <c r="B22" s="100">
        <f>B16-B21</f>
        <v>30213.849999999991</v>
      </c>
      <c r="C22" s="100">
        <f>C16-C21</f>
        <v>31414.820583333334</v>
      </c>
      <c r="D22" s="100">
        <f t="shared" si="0"/>
        <v>-1200.9705833333428</v>
      </c>
      <c r="E22" s="101">
        <f t="shared" si="1"/>
        <v>-3.8229426781144826E-2</v>
      </c>
      <c r="F22" s="102" t="str" cm="1">
        <f t="array" ref="F22">_xlfn.IFS(D22&lt;0, "U", D22&gt;0, "F", D22=0, "-")</f>
        <v>U</v>
      </c>
      <c r="H22" s="35" t="s">
        <v>656</v>
      </c>
    </row>
    <row r="23" spans="1:8" ht="14.25" customHeight="1" x14ac:dyDescent="0.25">
      <c r="A23" s="66" t="s">
        <v>593</v>
      </c>
      <c r="B23" s="68">
        <f>B22/B14</f>
        <v>0.2010162635432502</v>
      </c>
      <c r="C23" s="68">
        <f>C22/C14</f>
        <v>0.20860799540942476</v>
      </c>
      <c r="D23" s="68">
        <f t="shared" si="0"/>
        <v>-7.591731866174567E-3</v>
      </c>
      <c r="E23" s="68">
        <f t="shared" si="1"/>
        <v>-3.6392334106248647E-2</v>
      </c>
      <c r="F23" s="62" t="str">
        <f t="array" aca="1" ref="F23" ca="1">IFERROR(_xludf.IFS(D23&lt;0, "U", D23&gt;0, "F", D23=0, "-"), "-")</f>
        <v>-</v>
      </c>
    </row>
    <row r="24" spans="1:8" ht="14.25" customHeight="1" x14ac:dyDescent="0.25"/>
    <row r="25" spans="1:8" ht="14.25" customHeight="1" x14ac:dyDescent="0.25">
      <c r="A25" s="103"/>
    </row>
    <row r="26" spans="1:8" ht="14.25" customHeight="1" x14ac:dyDescent="0.25"/>
    <row r="27" spans="1:8" ht="14.25" customHeight="1" x14ac:dyDescent="0.3">
      <c r="A27" s="70" t="s">
        <v>699</v>
      </c>
    </row>
    <row r="28" spans="1:8" ht="14.25" customHeight="1" x14ac:dyDescent="0.25"/>
    <row r="29" spans="1:8" ht="14.25" customHeight="1" x14ac:dyDescent="0.25">
      <c r="A29" s="71" t="s">
        <v>493</v>
      </c>
      <c r="B29" s="71" t="s">
        <v>668</v>
      </c>
      <c r="C29" s="71" t="s">
        <v>700</v>
      </c>
      <c r="D29" s="71" t="s">
        <v>669</v>
      </c>
    </row>
    <row r="30" spans="1:8" ht="14.25" customHeight="1" x14ac:dyDescent="0.25">
      <c r="A30" s="16" t="s">
        <v>507</v>
      </c>
      <c r="B30" s="72">
        <v>41</v>
      </c>
      <c r="C30" s="16" t="str">
        <f t="array" aca="1" ref="C30" ca="1">IFERROR(B30-_xludf.XLOOKUP("Active Customers",'KPI Tracker'!$A$4:$A$16,'KPI Tracker'!$B$4:$B$16),"—")</f>
        <v>—</v>
      </c>
      <c r="D30" s="16" t="s">
        <v>701</v>
      </c>
    </row>
    <row r="31" spans="1:8" ht="14.25" customHeight="1" x14ac:dyDescent="0.25">
      <c r="A31" s="16" t="s">
        <v>508</v>
      </c>
      <c r="B31" s="72">
        <v>53</v>
      </c>
      <c r="C31" s="16" t="str">
        <f t="array" aca="1" ref="C31" ca="1">IFERROR(B31-_xludf.XLOOKUP("Active Subscriptions",'KPI Tracker'!$A$4:$A$16,'KPI Tracker'!$B$4:$B$16),"—")</f>
        <v>—</v>
      </c>
      <c r="D31" s="16" t="s">
        <v>701</v>
      </c>
    </row>
    <row r="32" spans="1:8" ht="14.25" customHeight="1" x14ac:dyDescent="0.25">
      <c r="A32" s="16" t="s">
        <v>671</v>
      </c>
      <c r="B32" s="67">
        <f>B9/B30</f>
        <v>3665.9878048780488</v>
      </c>
      <c r="C32" s="67" t="str">
        <f t="array" aca="1" ref="C32" ca="1">IFERROR(B32-_xludf.XLOOKUP("ARPA",'KPI Tracker'!$A$4:$A$16,'KPI Tracker'!$B$4:$B$16),"—")</f>
        <v>—</v>
      </c>
      <c r="D32" s="16" t="s">
        <v>672</v>
      </c>
    </row>
    <row r="33" spans="1:4" ht="14.25" customHeight="1" x14ac:dyDescent="0.25">
      <c r="A33" s="16" t="s">
        <v>673</v>
      </c>
      <c r="B33" s="73">
        <f>B17</f>
        <v>0.7</v>
      </c>
      <c r="C33" s="73" t="str">
        <f t="array" aca="1" ref="C33" ca="1">IFERROR(B33-_xludf.XLOOKUP("Gross Margin",'KPI Tracker'!$A$4:$A$16,'KPI Tracker'!$B$4:$B$16),"—")</f>
        <v>—</v>
      </c>
      <c r="D33" s="16" t="s">
        <v>674</v>
      </c>
    </row>
    <row r="34" spans="1:4" ht="14.25" customHeight="1" x14ac:dyDescent="0.25">
      <c r="A34" s="16" t="s">
        <v>675</v>
      </c>
      <c r="B34" s="73">
        <f>Retention!AA6</f>
        <v>0.99589720920434177</v>
      </c>
      <c r="C34" s="73" t="str">
        <f t="array" aca="1" ref="C34" ca="1">IFERROR(B34-_xludf.XLOOKUP("GRR",'KPI Tracker'!$A$4:$A$16,'KPI Tracker'!$B$4:$B$16),"—")</f>
        <v>—</v>
      </c>
      <c r="D34" s="16" t="s">
        <v>676</v>
      </c>
    </row>
    <row r="35" spans="1:4" ht="14.25" customHeight="1" x14ac:dyDescent="0.25">
      <c r="A35" s="16" t="s">
        <v>677</v>
      </c>
      <c r="B35" s="73">
        <f>Retention!AA7</f>
        <v>0.98950127607845029</v>
      </c>
      <c r="C35" s="73" t="str">
        <f t="array" aca="1" ref="C35" ca="1">IFERROR(B35-_xludf.XLOOKUP("NRR",'KPI Tracker'!$A$4:$A$16,'KPI Tracker'!$B$4:$B$16),"—")</f>
        <v>—</v>
      </c>
      <c r="D35" s="16" t="s">
        <v>676</v>
      </c>
    </row>
    <row r="36" spans="1:4" ht="14.25" customHeight="1" x14ac:dyDescent="0.25">
      <c r="A36" s="16" t="s">
        <v>678</v>
      </c>
      <c r="B36" s="16">
        <f>IFERROR(IF((B6+B7)=0,"N/A — no losses",(B4+B5)/(B6+B7)),"N/A")</f>
        <v>10.303030303030303</v>
      </c>
      <c r="C36" s="16" t="str">
        <f t="array" aca="1" ref="C36" ca="1">IFERROR(IF(ISNUMBER(B36),B36-_xludf.XLOOKUP("Quick Ratio",'KPI Tracker'!$A$4:$A$16,'KPI Tracker'!$B$4:$B$16),"—"),"—")</f>
        <v>—</v>
      </c>
      <c r="D36" s="16" t="s">
        <v>702</v>
      </c>
    </row>
    <row r="37" spans="1:4" ht="14.25" customHeight="1" x14ac:dyDescent="0.25">
      <c r="A37" s="16" t="s">
        <v>681</v>
      </c>
      <c r="B37" s="74">
        <f>B18</f>
        <v>31000</v>
      </c>
      <c r="C37" s="74" t="str">
        <f t="array" aca="1" ref="C37" ca="1">IFERROR(B37-_xludf.XLOOKUP("S&amp;M (actual)",'KPI Tracker'!$A$4:$A$16,'KPI Tracker'!$B$4:$B$16),"—")</f>
        <v>—</v>
      </c>
      <c r="D37" s="16" t="s">
        <v>682</v>
      </c>
    </row>
    <row r="38" spans="1:4" ht="14.25" customHeight="1" x14ac:dyDescent="0.25">
      <c r="A38" s="16" t="s">
        <v>683</v>
      </c>
      <c r="B38" s="74">
        <f>IFERROR(IF(B39=0,"—",B37/B39),"—")</f>
        <v>15500</v>
      </c>
      <c r="C38" s="74" t="str">
        <f t="array" aca="1" ref="C38" ca="1">IFERROR(IF(ISNUMBER(B38),B38-_xludf.XLOOKUP("CAC — monthly",'KPI Tracker'!$A$4:$A$16,'KPI Tracker'!$B$4:$B$16),"—"),"—")</f>
        <v>—</v>
      </c>
      <c r="D38" s="16" t="s">
        <v>703</v>
      </c>
    </row>
    <row r="39" spans="1:4" ht="14.25" customHeight="1" x14ac:dyDescent="0.25">
      <c r="A39" s="104" t="s">
        <v>704</v>
      </c>
      <c r="B39" s="105">
        <v>2</v>
      </c>
      <c r="C39" s="16" t="s">
        <v>686</v>
      </c>
      <c r="D39" s="104" t="s">
        <v>705</v>
      </c>
    </row>
    <row r="40" spans="1:4" ht="14.25" customHeight="1" x14ac:dyDescent="0.25">
      <c r="A40" s="16" t="s">
        <v>706</v>
      </c>
      <c r="B40" s="74">
        <f>IFERROR(IF(('Jan 2026 A vs F '!B46/'Jan 2026 A vs F '!B47+B39)=0,"—",('Jan 2026 A vs F '!B46+B37)/('Jan 2026 A vs F '!B46/'Jan 2026 A vs F '!B47+B39)),"—")</f>
        <v>20333.333333333332</v>
      </c>
      <c r="C40" s="16" t="s">
        <v>686</v>
      </c>
      <c r="D40" s="16" t="s">
        <v>707</v>
      </c>
    </row>
    <row r="41" spans="1:4" ht="14.25" customHeight="1" x14ac:dyDescent="0.25">
      <c r="A41" s="16" t="s">
        <v>685</v>
      </c>
      <c r="B41" s="16" t="s">
        <v>686</v>
      </c>
      <c r="C41" s="16" t="s">
        <v>686</v>
      </c>
      <c r="D41" s="16" t="s">
        <v>687</v>
      </c>
    </row>
    <row r="42" spans="1:4" ht="14.25" customHeight="1" x14ac:dyDescent="0.25">
      <c r="A42" s="16" t="s">
        <v>688</v>
      </c>
      <c r="B42" s="16" t="s">
        <v>686</v>
      </c>
      <c r="C42" s="16" t="s">
        <v>686</v>
      </c>
      <c r="D42" s="16" t="s">
        <v>687</v>
      </c>
    </row>
    <row r="43" spans="1:4" ht="14.25" customHeight="1" x14ac:dyDescent="0.25">
      <c r="A43" s="16" t="s">
        <v>689</v>
      </c>
      <c r="B43" s="16" t="s">
        <v>686</v>
      </c>
      <c r="C43" s="16" t="s">
        <v>686</v>
      </c>
      <c r="D43" s="16" t="s">
        <v>687</v>
      </c>
    </row>
    <row r="44" spans="1:4" ht="14.25" customHeight="1" x14ac:dyDescent="0.25">
      <c r="A44" s="75" t="s">
        <v>690</v>
      </c>
    </row>
    <row r="45" spans="1:4" ht="14.25" customHeight="1" x14ac:dyDescent="0.25">
      <c r="A45" s="75" t="s">
        <v>708</v>
      </c>
    </row>
    <row r="46" spans="1:4" ht="14.25" customHeight="1" x14ac:dyDescent="0.25"/>
    <row r="47" spans="1:4" ht="14.25" customHeight="1" x14ac:dyDescent="0.25">
      <c r="A47" s="75" t="s">
        <v>692</v>
      </c>
    </row>
    <row r="48" spans="1:4" ht="14.25" customHeight="1" x14ac:dyDescent="0.25">
      <c r="A48" s="75" t="s">
        <v>693</v>
      </c>
    </row>
    <row r="49" spans="1:3" ht="14.25" customHeight="1" x14ac:dyDescent="0.25"/>
    <row r="50" spans="1:3" ht="14.25" customHeight="1" x14ac:dyDescent="0.25"/>
    <row r="51" spans="1:3" ht="14.25" customHeight="1" x14ac:dyDescent="0.3">
      <c r="A51" s="76" t="s">
        <v>694</v>
      </c>
    </row>
    <row r="52" spans="1:3" ht="14.25" customHeight="1" x14ac:dyDescent="0.25"/>
    <row r="53" spans="1:3" ht="14.25" customHeight="1" x14ac:dyDescent="0.25">
      <c r="A53" s="71" t="s">
        <v>493</v>
      </c>
      <c r="B53" s="71" t="s">
        <v>695</v>
      </c>
      <c r="C53" s="71" t="s">
        <v>709</v>
      </c>
    </row>
    <row r="54" spans="1:3" ht="14.25" customHeight="1" x14ac:dyDescent="0.25">
      <c r="A54" s="16" t="s">
        <v>671</v>
      </c>
      <c r="B54" s="67">
        <f>B32</f>
        <v>3665.9878048780488</v>
      </c>
      <c r="C54" s="67">
        <f>B9/B30</f>
        <v>3665.9878048780488</v>
      </c>
    </row>
    <row r="55" spans="1:3" ht="14.25" customHeight="1" x14ac:dyDescent="0.25">
      <c r="A55" s="16" t="s">
        <v>675</v>
      </c>
      <c r="B55" s="73">
        <f>B34</f>
        <v>0.99589720920434177</v>
      </c>
      <c r="C55" s="73">
        <f>Retention!AA6</f>
        <v>0.99589720920434177</v>
      </c>
    </row>
    <row r="56" spans="1:3" ht="14.25" customHeight="1" x14ac:dyDescent="0.25">
      <c r="A56" s="16" t="s">
        <v>677</v>
      </c>
      <c r="B56" s="73">
        <f>B35</f>
        <v>0.98950127607845029</v>
      </c>
      <c r="C56" s="73">
        <f>Retention!AA7</f>
        <v>0.98950127607845029</v>
      </c>
    </row>
    <row r="57" spans="1:3" ht="14.25" customHeight="1" x14ac:dyDescent="0.25">
      <c r="A57" s="16" t="s">
        <v>678</v>
      </c>
      <c r="B57" s="16">
        <f>B36</f>
        <v>10.303030303030303</v>
      </c>
      <c r="C57" s="16">
        <f>IFERROR(IF((B6+B7)=0,"N/A — no losses",(B4+B5)/(B6+B7)),"N/A")</f>
        <v>10.303030303030303</v>
      </c>
    </row>
    <row r="58" spans="1:3" ht="14.25" customHeight="1" x14ac:dyDescent="0.25">
      <c r="A58" s="16" t="s">
        <v>696</v>
      </c>
      <c r="B58" s="74">
        <f>B38</f>
        <v>15500</v>
      </c>
      <c r="C58" s="74">
        <f>IFERROR(IF(B39=0,"—",B37/B39),"—")</f>
        <v>15500</v>
      </c>
    </row>
    <row r="59" spans="1:3" ht="14.25" customHeight="1" x14ac:dyDescent="0.25"/>
    <row r="60" spans="1:3" ht="14.25" customHeight="1" x14ac:dyDescent="0.25">
      <c r="A60" s="22" t="s">
        <v>657</v>
      </c>
    </row>
    <row r="61" spans="1:3" ht="14.25" customHeight="1" x14ac:dyDescent="0.25">
      <c r="A61" s="1" t="s">
        <v>710</v>
      </c>
    </row>
    <row r="62" spans="1:3" ht="14.25" customHeight="1" x14ac:dyDescent="0.25">
      <c r="A62" s="1" t="s">
        <v>711</v>
      </c>
    </row>
    <row r="63" spans="1:3" ht="14.25" customHeight="1" x14ac:dyDescent="0.25">
      <c r="A63" s="1" t="s">
        <v>712</v>
      </c>
    </row>
    <row r="64" spans="1:3" ht="14.25" customHeight="1" x14ac:dyDescent="0.25">
      <c r="A64" s="1" t="s">
        <v>713</v>
      </c>
    </row>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1859B"/>
  </sheetPr>
  <dimension ref="A1:N1000"/>
  <sheetViews>
    <sheetView workbookViewId="0">
      <selection activeCell="F20" sqref="F20"/>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9" width="14.5703125" customWidth="1"/>
    <col min="10" max="26" width="8.7109375" customWidth="1"/>
  </cols>
  <sheetData>
    <row r="1" spans="1:10" ht="14.25" customHeight="1" x14ac:dyDescent="0.25">
      <c r="A1" s="22" t="s">
        <v>642</v>
      </c>
      <c r="H1" s="106" t="s">
        <v>714</v>
      </c>
      <c r="I1" s="107"/>
      <c r="J1" s="107"/>
    </row>
    <row r="2" spans="1:10" ht="14.25" customHeight="1" x14ac:dyDescent="0.25">
      <c r="A2" s="77" t="s">
        <v>493</v>
      </c>
      <c r="B2" s="77" t="str">
        <f>"Actual - "&amp;TEXT($I$2,"mmm yy")</f>
        <v>Actual - Mar 26</v>
      </c>
      <c r="C2" s="77" t="s">
        <v>715</v>
      </c>
      <c r="D2" s="77" t="s">
        <v>645</v>
      </c>
      <c r="E2" s="77" t="s">
        <v>646</v>
      </c>
      <c r="F2" s="77" t="s">
        <v>647</v>
      </c>
      <c r="H2" s="108" t="s">
        <v>716</v>
      </c>
      <c r="I2" s="109">
        <v>46082</v>
      </c>
      <c r="J2" s="35" t="s">
        <v>717</v>
      </c>
    </row>
    <row r="3" spans="1:10" ht="14.25" customHeight="1" x14ac:dyDescent="0.25">
      <c r="A3" s="40" t="s">
        <v>494</v>
      </c>
      <c r="B3" s="60">
        <f t="array" ref="B3">INDEX(Actuals!$B$2:$Y$2,MATCH($I$2,Actuals!$B$1:$Y$1,0))</f>
        <v>150305.5</v>
      </c>
      <c r="C3" s="60">
        <v>150592.6</v>
      </c>
      <c r="D3" s="60">
        <f>B3-C3</f>
        <v>-287.10000000000582</v>
      </c>
      <c r="E3" s="61">
        <f>IFERROR(B3/C3-1, 0)</f>
        <v>-1.9064681797114069E-3</v>
      </c>
      <c r="F3" s="62" t="str" cm="1">
        <f t="array" ref="F3">_xlfn.IFS(D3&lt;0, "U", D3&gt;0, "F", D3=0, "-")</f>
        <v>U</v>
      </c>
      <c r="H3" s="110" t="s">
        <v>718</v>
      </c>
      <c r="I3" s="111" t="s">
        <v>719</v>
      </c>
      <c r="J3" s="35" t="s">
        <v>717</v>
      </c>
    </row>
    <row r="4" spans="1:10" ht="14.25" customHeight="1" x14ac:dyDescent="0.25">
      <c r="A4" s="78" t="s">
        <v>561</v>
      </c>
      <c r="B4" s="60">
        <f t="array" ref="B4">INDEX(Actuals!$B$3:$Y$3,MATCH($I$2,Actuals!$B$1:$Y$1,0))</f>
        <v>3000</v>
      </c>
      <c r="C4" s="60">
        <v>4000</v>
      </c>
      <c r="D4" s="60">
        <f>B4-C4</f>
        <v>-1000</v>
      </c>
      <c r="E4" s="61">
        <f>IFERROR(B4/C4-1, 0)</f>
        <v>-0.25</v>
      </c>
      <c r="F4" s="62" t="str" cm="1">
        <f t="array" ref="F4">_xlfn.IFS(D4&lt;0, "U", D4&gt;0, "F", D4=0, "-")</f>
        <v>U</v>
      </c>
      <c r="H4" s="110" t="s">
        <v>720</v>
      </c>
      <c r="I4" s="112">
        <f>EOMONTH(I2,0)</f>
        <v>46112</v>
      </c>
      <c r="J4" s="35" t="s">
        <v>721</v>
      </c>
    </row>
    <row r="5" spans="1:10" ht="14.25" customHeight="1" x14ac:dyDescent="0.25">
      <c r="A5" s="78" t="s">
        <v>563</v>
      </c>
      <c r="B5" s="60">
        <f t="array" ref="B5">INDEX(Actuals!$B$4:$Y$4,MATCH($I$2,Actuals!$B$1:$Y$1,0))</f>
        <v>380</v>
      </c>
      <c r="C5" s="60">
        <f>'2026 Forecast'!B9/3</f>
        <v>715.34749999999997</v>
      </c>
      <c r="D5" s="60">
        <f>B5-C5</f>
        <v>-335.34749999999997</v>
      </c>
      <c r="E5" s="61">
        <f>IFERROR(B5/C5-1, 0)</f>
        <v>-0.46878964419390579</v>
      </c>
      <c r="F5" s="62" t="str" cm="1">
        <f t="array" ref="F5">_xlfn.IFS(D5&lt;0, "U", D5&gt;0, "F", D5=0, "-")</f>
        <v>U</v>
      </c>
    </row>
    <row r="6" spans="1:10" ht="14.25" customHeight="1" x14ac:dyDescent="0.25">
      <c r="A6" s="40" t="s">
        <v>648</v>
      </c>
      <c r="B6" s="60">
        <v>0</v>
      </c>
      <c r="C6" s="60">
        <v>0</v>
      </c>
      <c r="D6" s="60">
        <f>B6-C6</f>
        <v>0</v>
      </c>
      <c r="E6" s="61">
        <f>IFERROR(B6/C6-1, 0)</f>
        <v>0</v>
      </c>
      <c r="F6" s="62" t="str" cm="1">
        <f t="array" ref="F6">_xlfn.IFS(D6&lt;0, "U", D6&gt;0, "F", D6=0, "-")</f>
        <v>-</v>
      </c>
    </row>
    <row r="7" spans="1:10" ht="14.25" customHeight="1" x14ac:dyDescent="0.25">
      <c r="A7" s="40" t="s">
        <v>567</v>
      </c>
      <c r="B7" s="60">
        <f t="array" ref="B7">INDEX(Actuals!$B$6:$Y$6,MATCH($I$2,Actuals!$B$1:$Y$1,0))</f>
        <v>0</v>
      </c>
      <c r="C7" s="60">
        <f>'2026 Forecast'!B10/3</f>
        <v>953.79666666666662</v>
      </c>
      <c r="D7" s="60">
        <f>C7-B7</f>
        <v>953.79666666666662</v>
      </c>
      <c r="E7" s="61">
        <f>IFERROR(B7/C7-1, 0)</f>
        <v>-1</v>
      </c>
      <c r="F7" s="79" t="str" cm="1">
        <f t="array" ref="F7">_xlfn.IFS(D7&gt;0, "F", D7&lt;0, "U", D7=0, "-")</f>
        <v>F</v>
      </c>
      <c r="J7" s="2">
        <f t="array" ref="J7">INDEX(Actuals!$B$8:$Y$8,MATCH($I$2,Actuals!$B$1:$Y$1,0))</f>
        <v>29000</v>
      </c>
    </row>
    <row r="8" spans="1:10" ht="14.25" customHeight="1" x14ac:dyDescent="0.25">
      <c r="A8" s="80" t="s">
        <v>569</v>
      </c>
      <c r="B8" s="81">
        <f>B4+B5-B7</f>
        <v>3380</v>
      </c>
      <c r="C8" s="81">
        <f>C4+C5-C7</f>
        <v>3761.5508333333332</v>
      </c>
      <c r="D8" s="81">
        <f>B8-C8</f>
        <v>-381.55083333333323</v>
      </c>
      <c r="E8" s="82">
        <f>B8/C8-1</f>
        <v>-0.10143444824729864</v>
      </c>
      <c r="F8" s="83" t="str" cm="1">
        <f t="array" ref="F8">_xlfn.IFS(D8&lt;0, "U", D8&gt;0, "F", D8=0, "-")</f>
        <v>U</v>
      </c>
    </row>
    <row r="9" spans="1:10" ht="14.25" customHeight="1" x14ac:dyDescent="0.25">
      <c r="A9" s="84" t="s">
        <v>498</v>
      </c>
      <c r="B9" s="85">
        <f>B3+B4+B5-B7</f>
        <v>153685.5</v>
      </c>
      <c r="C9" s="85">
        <f>C3+C8</f>
        <v>154354.15083333335</v>
      </c>
      <c r="D9" s="85">
        <f>B9-C9</f>
        <v>-668.65083333334769</v>
      </c>
      <c r="E9" s="86">
        <f>B9/C9-1</f>
        <v>-4.3319264802624824E-3</v>
      </c>
      <c r="F9" s="87" t="str" cm="1">
        <f t="array" ref="F9">_xlfn.IFS(D9&lt;0, "U", D9&gt;0, "F", D9=0, "-")</f>
        <v>U</v>
      </c>
    </row>
    <row r="10" spans="1:10" ht="14.25" customHeight="1" x14ac:dyDescent="0.25">
      <c r="A10" s="66" t="s">
        <v>649</v>
      </c>
      <c r="B10" s="88">
        <f>B9*12</f>
        <v>1844226</v>
      </c>
      <c r="C10" s="88">
        <f>C9*12</f>
        <v>1852249.81</v>
      </c>
      <c r="D10" s="88">
        <f>B10-C10</f>
        <v>-8023.8100000000559</v>
      </c>
      <c r="E10" s="89">
        <f>B10/C10-1</f>
        <v>-4.3319264802624824E-3</v>
      </c>
      <c r="F10" s="90" t="str" cm="1">
        <f t="array" ref="F10">_xlfn.IFS(D10&lt;0, "U", D10&gt;0, "F", D10=0, "-")</f>
        <v>U</v>
      </c>
    </row>
    <row r="11" spans="1:10" ht="14.25" customHeight="1" x14ac:dyDescent="0.25">
      <c r="A11" s="91"/>
      <c r="B11" s="91"/>
      <c r="C11" s="91"/>
      <c r="D11" s="91"/>
      <c r="E11" s="91"/>
      <c r="F11" s="91"/>
    </row>
    <row r="12" spans="1:10" ht="14.25" customHeight="1" x14ac:dyDescent="0.25">
      <c r="A12" s="66" t="s">
        <v>650</v>
      </c>
    </row>
    <row r="13" spans="1:10" ht="14.25" customHeight="1" x14ac:dyDescent="0.25">
      <c r="A13" s="77" t="s">
        <v>493</v>
      </c>
      <c r="B13" s="77" t="str">
        <f>"Actual - "&amp;TEXT($I$2,"mmm yy")</f>
        <v>Actual - Mar 26</v>
      </c>
      <c r="C13" s="77" t="s">
        <v>715</v>
      </c>
      <c r="D13" s="77" t="s">
        <v>645</v>
      </c>
      <c r="E13" s="77" t="s">
        <v>646</v>
      </c>
      <c r="F13" s="77" t="s">
        <v>647</v>
      </c>
    </row>
    <row r="14" spans="1:10" ht="14.25" customHeight="1" x14ac:dyDescent="0.25">
      <c r="A14" s="66" t="s">
        <v>582</v>
      </c>
      <c r="B14" s="67">
        <f>B9</f>
        <v>153685.5</v>
      </c>
      <c r="C14" s="67">
        <f>C9</f>
        <v>154354.15083333335</v>
      </c>
      <c r="D14" s="67">
        <f t="shared" ref="D14:D23" si="0">B14-C14</f>
        <v>-668.65083333334769</v>
      </c>
      <c r="E14" s="68">
        <f t="shared" ref="E14:E23" si="1">B14/C14-1</f>
        <v>-4.3319264802624824E-3</v>
      </c>
      <c r="F14" s="62" t="str" cm="1">
        <f t="array" ref="F14">_xlfn.IFS(D14&lt;0, "U", D14&gt;0, "F", D14=0, "-")</f>
        <v>U</v>
      </c>
      <c r="H14" s="35" t="s">
        <v>651</v>
      </c>
    </row>
    <row r="15" spans="1:10" ht="14.25" customHeight="1" x14ac:dyDescent="0.25">
      <c r="A15" s="66" t="s">
        <v>503</v>
      </c>
      <c r="B15" s="67">
        <f>B14*(1-B17)</f>
        <v>46105.650000000009</v>
      </c>
      <c r="C15" s="67">
        <f>C14*0.3</f>
        <v>46306.24525</v>
      </c>
      <c r="D15" s="67">
        <f t="shared" si="0"/>
        <v>-200.59524999999121</v>
      </c>
      <c r="E15" s="68">
        <f t="shared" si="1"/>
        <v>-4.3319264802622603E-3</v>
      </c>
      <c r="F15" s="62" t="str" cm="1">
        <f t="array" ref="F15">_xlfn.IFS(D15&gt;0, "U", D15&lt;0, "F", D15=0, "-")</f>
        <v>F</v>
      </c>
      <c r="H15" s="35" t="s">
        <v>652</v>
      </c>
    </row>
    <row r="16" spans="1:10" ht="14.25" customHeight="1" x14ac:dyDescent="0.25">
      <c r="A16" s="80" t="s">
        <v>504</v>
      </c>
      <c r="B16" s="92">
        <f>B14-B15</f>
        <v>107579.84999999999</v>
      </c>
      <c r="C16" s="92">
        <f>C14-C15</f>
        <v>108047.90558333334</v>
      </c>
      <c r="D16" s="92">
        <f t="shared" si="0"/>
        <v>-468.0555833333492</v>
      </c>
      <c r="E16" s="93">
        <f t="shared" si="1"/>
        <v>-4.3319264802625934E-3</v>
      </c>
      <c r="F16" s="94" t="str" cm="1">
        <f t="array" ref="F16">_xlfn.IFS(D16&lt;0, "U", D16&gt;0, "F", D16=0, "-")</f>
        <v>U</v>
      </c>
      <c r="H16" s="35" t="s">
        <v>653</v>
      </c>
    </row>
    <row r="17" spans="1:14" ht="14.25" customHeight="1" x14ac:dyDescent="0.25">
      <c r="A17" s="84" t="s">
        <v>587</v>
      </c>
      <c r="B17" s="95">
        <v>0.7</v>
      </c>
      <c r="C17" s="96">
        <f>C16/C14</f>
        <v>0.7</v>
      </c>
      <c r="D17" s="96">
        <f t="shared" si="0"/>
        <v>0</v>
      </c>
      <c r="E17" s="96">
        <f t="shared" si="1"/>
        <v>0</v>
      </c>
      <c r="F17" s="97" t="str" cm="1">
        <f t="array" ref="F17">_xlfn.IFS(D17&lt;0, "U", D17&gt;0, "F", D17=0, "-")</f>
        <v>-</v>
      </c>
      <c r="H17" s="35" t="s">
        <v>654</v>
      </c>
    </row>
    <row r="18" spans="1:14" ht="14.25" customHeight="1" x14ac:dyDescent="0.25">
      <c r="A18" s="66" t="s">
        <v>635</v>
      </c>
      <c r="B18" s="67">
        <f t="array" ref="B18">INDEX(Actuals!$B$8:$Y$8,MATCH($I$2,Actuals!$B$1:$Y$1,0))</f>
        <v>29000</v>
      </c>
      <c r="C18" s="67">
        <f>'2026 Forecast'!B25/3</f>
        <v>30000</v>
      </c>
      <c r="D18" s="67">
        <f t="shared" si="0"/>
        <v>-1000</v>
      </c>
      <c r="E18" s="68">
        <f t="shared" si="1"/>
        <v>-3.3333333333333326E-2</v>
      </c>
      <c r="F18" s="62" t="str" cm="1">
        <f t="array" ref="F18">_xlfn.IFS(D18&lt;0, "U", D18&gt;0, "F", D18=0, "-")</f>
        <v>U</v>
      </c>
      <c r="H18" s="35" t="s">
        <v>654</v>
      </c>
    </row>
    <row r="19" spans="1:14" ht="14.25" customHeight="1" x14ac:dyDescent="0.25">
      <c r="A19" s="66" t="s">
        <v>636</v>
      </c>
      <c r="B19" s="67">
        <f t="array" ref="B19">INDEX(Actuals!$B$9:$Y$9,MATCH($I$2,Actuals!$B$1:$Y$1,0))</f>
        <v>22000</v>
      </c>
      <c r="C19" s="67">
        <f>'2026 Forecast'!B26/3</f>
        <v>25000</v>
      </c>
      <c r="D19" s="67">
        <f t="shared" si="0"/>
        <v>-3000</v>
      </c>
      <c r="E19" s="68">
        <f t="shared" si="1"/>
        <v>-0.12</v>
      </c>
      <c r="F19" s="62" t="str" cm="1">
        <f t="array" ref="F19">_xlfn.IFS(D19&lt;0, "U", D19&gt;0, "F", D19=0, "-")</f>
        <v>U</v>
      </c>
      <c r="H19" s="35" t="s">
        <v>654</v>
      </c>
    </row>
    <row r="20" spans="1:14" ht="14.25" customHeight="1" x14ac:dyDescent="0.25">
      <c r="A20" s="66" t="s">
        <v>637</v>
      </c>
      <c r="B20" s="67">
        <f t="array" ref="B20">INDEX(Actuals!$B$10:$Y$10,MATCH($I$2,Actuals!$B$1:$Y$1,0))</f>
        <v>22000</v>
      </c>
      <c r="C20" s="67">
        <f>'2026 Forecast'!B27/3</f>
        <v>19000</v>
      </c>
      <c r="D20" s="67">
        <f t="shared" si="0"/>
        <v>3000</v>
      </c>
      <c r="E20" s="68">
        <f t="shared" si="1"/>
        <v>0.15789473684210531</v>
      </c>
      <c r="F20" s="62" t="str" cm="1">
        <f t="array" ref="F20">_xlfn.IFS(D20&lt;0, "U", D20&gt;0, "F", D20=0, "-")</f>
        <v>F</v>
      </c>
      <c r="H20" s="35" t="s">
        <v>591</v>
      </c>
    </row>
    <row r="21" spans="1:14" ht="14.25" customHeight="1" x14ac:dyDescent="0.25">
      <c r="A21" s="80" t="s">
        <v>502</v>
      </c>
      <c r="B21" s="92">
        <f>SUM(B18:B20)</f>
        <v>73000</v>
      </c>
      <c r="C21" s="92">
        <f>'2026 Forecast'!B28/3</f>
        <v>74000</v>
      </c>
      <c r="D21" s="92">
        <f t="shared" si="0"/>
        <v>-1000</v>
      </c>
      <c r="E21" s="98">
        <f t="shared" si="1"/>
        <v>-1.3513513513513487E-2</v>
      </c>
      <c r="F21" s="94" t="str" cm="1">
        <f t="array" ref="F21">_xlfn.IFS(D21&lt;0, "U", D21&gt;0, "F", D21=0, "-")</f>
        <v>U</v>
      </c>
      <c r="H21" s="35" t="s">
        <v>655</v>
      </c>
    </row>
    <row r="22" spans="1:14" ht="14.25" customHeight="1" x14ac:dyDescent="0.25">
      <c r="A22" s="99" t="s">
        <v>505</v>
      </c>
      <c r="B22" s="100">
        <f>B16-B21</f>
        <v>34579.849999999991</v>
      </c>
      <c r="C22" s="100">
        <f>C16-C21</f>
        <v>34047.90558333334</v>
      </c>
      <c r="D22" s="100">
        <f t="shared" si="0"/>
        <v>531.9444166666508</v>
      </c>
      <c r="E22" s="101">
        <f t="shared" si="1"/>
        <v>1.5623410825218009E-2</v>
      </c>
      <c r="F22" s="102" t="str" cm="1">
        <f t="array" ref="F22">_xlfn.IFS(D22&lt;0, "U", D22&gt;0, "F", D22=0, "-")</f>
        <v>F</v>
      </c>
      <c r="H22" s="35" t="s">
        <v>656</v>
      </c>
    </row>
    <row r="23" spans="1:14" ht="14.25" customHeight="1" x14ac:dyDescent="0.25">
      <c r="A23" s="66" t="s">
        <v>593</v>
      </c>
      <c r="B23" s="73">
        <f>B22/B14</f>
        <v>0.22500398541176617</v>
      </c>
      <c r="C23" s="73">
        <f>C22/C14</f>
        <v>0.22058302546134426</v>
      </c>
      <c r="D23" s="68">
        <f t="shared" si="0"/>
        <v>4.4209599504219099E-3</v>
      </c>
      <c r="E23" s="68">
        <f t="shared" si="1"/>
        <v>2.0042158462445503E-2</v>
      </c>
      <c r="F23" s="62" t="str">
        <f t="array" aca="1" ref="F23" ca="1">IFERROR(_xludf.IFS(D23&lt;0, "U", D23&gt;0, "F", D23=0, "-"), "-")</f>
        <v>-</v>
      </c>
    </row>
    <row r="24" spans="1:14" ht="14.25" customHeight="1" x14ac:dyDescent="0.25"/>
    <row r="25" spans="1:14" ht="14.25" customHeight="1" x14ac:dyDescent="0.25">
      <c r="A25" s="103"/>
    </row>
    <row r="26" spans="1:14" ht="14.25" customHeight="1" x14ac:dyDescent="0.25"/>
    <row r="27" spans="1:14" ht="14.25" customHeight="1" x14ac:dyDescent="0.3">
      <c r="A27" s="70" t="s">
        <v>722</v>
      </c>
    </row>
    <row r="28" spans="1:14" ht="14.25" customHeight="1" x14ac:dyDescent="0.25">
      <c r="H28" s="113"/>
    </row>
    <row r="29" spans="1:14" ht="14.25" customHeight="1" x14ac:dyDescent="0.25">
      <c r="A29" s="71" t="s">
        <v>493</v>
      </c>
      <c r="B29" s="71" t="s">
        <v>668</v>
      </c>
      <c r="C29" s="71" t="str">
        <f>"vs "&amp;TEXT(EOMONTH($I$2,-1),"mmm yyyy")</f>
        <v>vs Feb 2026</v>
      </c>
      <c r="D29" s="71" t="s">
        <v>669</v>
      </c>
    </row>
    <row r="30" spans="1:14" ht="14.25" customHeight="1" x14ac:dyDescent="0.25">
      <c r="A30" s="16" t="s">
        <v>507</v>
      </c>
      <c r="B30" s="114">
        <f t="array" ref="B30">INDEX(Actuals!$B$16:$Y$16,MATCH($I$2,Actuals!$B$1:$Y$1,0))</f>
        <v>42</v>
      </c>
      <c r="C30" s="16" t="str">
        <f t="array" aca="1" ref="C30" ca="1">IFERROR(B30-_xludf.XLOOKUP("Active Customers",'KPI Tracker'!$A$4:$A$16,'KPI Tracker'!$C$4:$C$16),"—")</f>
        <v>—</v>
      </c>
      <c r="D30" s="16" t="s">
        <v>723</v>
      </c>
    </row>
    <row r="31" spans="1:14" ht="14.25" customHeight="1" x14ac:dyDescent="0.25">
      <c r="A31" s="16" t="s">
        <v>508</v>
      </c>
      <c r="B31" s="114">
        <f t="array" ref="B31">INDEX(Actuals!$B$17:$Y$17,MATCH($I$2,Actuals!$B$1:$Y$1,0))</f>
        <v>54</v>
      </c>
      <c r="C31" s="115">
        <f t="array" ref="C31">B31-INDEX(Actuals!$B$17:$Y$17,MATCH(DATE(YEAR($I$2),MONTH($I$2)-1,1),Actuals!$B$1:$Y$1,0))</f>
        <v>1</v>
      </c>
      <c r="D31" s="16" t="s">
        <v>724</v>
      </c>
      <c r="N31" s="1" t="s">
        <v>725</v>
      </c>
    </row>
    <row r="32" spans="1:14" ht="14.25" customHeight="1" x14ac:dyDescent="0.25">
      <c r="A32" s="16" t="s">
        <v>671</v>
      </c>
      <c r="B32" s="67">
        <f>B9/B30</f>
        <v>3659.1785714285716</v>
      </c>
      <c r="C32" s="67">
        <f t="array" ref="C32">IFERROR(B32-INDEX(Actuals!$B$7:$Y$7,MATCH(DATE(YEAR($I$2),MONTH($I$2)-1,1),Actuals!$B$1:$Y$1,0))/INDEX(Actuals!$B$16:$Y$16,MATCH(DATE(YEAR($I$2),MONTH($I$2)-1,1),Actuals!$B$1:$Y$1,0)),"—")</f>
        <v>-6.8092334494772331</v>
      </c>
      <c r="D32" s="16" t="s">
        <v>672</v>
      </c>
    </row>
    <row r="33" spans="1:11" ht="14.25" customHeight="1" x14ac:dyDescent="0.25">
      <c r="A33" s="16" t="s">
        <v>673</v>
      </c>
      <c r="B33" s="73">
        <f>B17</f>
        <v>0.7</v>
      </c>
      <c r="C33" s="73">
        <f>0</f>
        <v>0</v>
      </c>
      <c r="D33" s="16" t="s">
        <v>674</v>
      </c>
    </row>
    <row r="34" spans="1:11" ht="14.25" customHeight="1" x14ac:dyDescent="0.25">
      <c r="A34" s="16" t="s">
        <v>675</v>
      </c>
      <c r="B34" s="73">
        <f t="array" ref="B34">INDEX(Retention!$B$6:$BJ$6,MATCH($I$2,Retention!$B$4:$BJ$4,0))</f>
        <v>1</v>
      </c>
      <c r="C34" s="73">
        <f t="array" ref="C34">B34-INDEX(Retention!$B$6:$BJ$6,MATCH(DATE(YEAR($I$2),MONTH($I$2)-1,1),Retention!$B$4:$BJ$4,0))</f>
        <v>4.1027907956582288E-3</v>
      </c>
      <c r="D34" s="16" t="s">
        <v>676</v>
      </c>
    </row>
    <row r="35" spans="1:11" ht="14.25" customHeight="1" x14ac:dyDescent="0.25">
      <c r="A35" s="16" t="s">
        <v>677</v>
      </c>
      <c r="B35" s="73">
        <f t="array" ref="B35">INDEX(Retention!$B$7:$BJ$7,MATCH($I$2,Retention!$B$4:$BJ$4,0))</f>
        <v>1.0025281842647142</v>
      </c>
      <c r="C35" s="73">
        <f t="array" ref="C35">B35-INDEX(Retention!$B$7:$BJ$7,MATCH(DATE(YEAR($I$2),MONTH($I$2)-1,1),Retention!$B$4:$BJ$4,0))</f>
        <v>1.3026908186263952E-2</v>
      </c>
      <c r="D35" s="16" t="s">
        <v>676</v>
      </c>
    </row>
    <row r="36" spans="1:11" ht="14.25" customHeight="1" x14ac:dyDescent="0.25">
      <c r="A36" s="16" t="s">
        <v>678</v>
      </c>
      <c r="B36" s="16" t="str">
        <f>IFERROR(IF((B6+B7)=0,"N/A — no losses",(B4+B5)/(B6+B7)),"N/A")</f>
        <v>N/A — no losses</v>
      </c>
      <c r="C36" s="16" t="str">
        <f t="array" ref="C36">IFERROR(IF(ISNUMBER(B36),B36-_xludf.XLOOKUP("Quick Ratio",'KPI Tracker'!$A$4:$A$16,'KPI Tracker'!$B$4:$B$16),"—"),"—")</f>
        <v>—</v>
      </c>
      <c r="D36" s="16" t="s">
        <v>702</v>
      </c>
    </row>
    <row r="37" spans="1:11" ht="14.25" customHeight="1" x14ac:dyDescent="0.25">
      <c r="A37" s="16" t="s">
        <v>681</v>
      </c>
      <c r="B37" s="74">
        <f>B18</f>
        <v>29000</v>
      </c>
      <c r="C37" s="74">
        <f t="array" ref="C37">B37-INDEX(Actuals!$B$8:$Y$8,MATCH(DATE(YEAR($I$2),MONTH($I$2)-1,1),Actuals!$B$1:$Y$1,0))</f>
        <v>-2000</v>
      </c>
      <c r="D37" s="16" t="s">
        <v>682</v>
      </c>
    </row>
    <row r="38" spans="1:11" ht="14.25" customHeight="1" x14ac:dyDescent="0.25">
      <c r="A38" s="16" t="s">
        <v>683</v>
      </c>
      <c r="B38" s="74">
        <f>IFERROR(IF(B39=0,"—",B37/B39),"—")</f>
        <v>14500</v>
      </c>
      <c r="C38" s="74">
        <f t="array" ref="C38">IFERROR(B38-INDEX(Actuals!$B$8:$Y$8,MATCH(DATE(YEAR($I$2),MONTH($I$2)-1,1),Actuals!$B$1:$Y$1,0))/INDEX(Actuals!$B$15:$Y$15,MATCH(DATE(YEAR($I$2),MONTH($I$2)-1,1),Actuals!$B$1:$Y$1,0)),"—")</f>
        <v>-1000</v>
      </c>
      <c r="D38" s="16" t="s">
        <v>703</v>
      </c>
    </row>
    <row r="39" spans="1:11" ht="14.25" customHeight="1" x14ac:dyDescent="0.25">
      <c r="A39" s="104" t="s">
        <v>704</v>
      </c>
      <c r="B39" s="114">
        <f t="array" ref="B39">INDEX(Actuals!$B$15:$Y$15,MATCH($I$2,Actuals!$B$1:$Y$1,0))</f>
        <v>2</v>
      </c>
      <c r="C39" s="16" t="s">
        <v>686</v>
      </c>
      <c r="D39" s="104" t="s">
        <v>726</v>
      </c>
    </row>
    <row r="40" spans="1:11" ht="14.25" customHeight="1" x14ac:dyDescent="0.25">
      <c r="A40" s="16" t="s">
        <v>706</v>
      </c>
      <c r="B40" s="74">
        <f>IFERROR(IF(('Jan 2026 A vs F '!B46/'Jan 2026 A vs F '!B47+'Feb 2026 A vs F'!B39+B39)=0,"—",('Jan 2026 A vs F '!B46+'Feb 2026 A vs F'!B37+B37)/('Jan 2026 A vs F '!B46/'Jan 2026 A vs F '!B47+'Feb 2026 A vs F'!B39+B39)),"—")</f>
        <v>18000</v>
      </c>
      <c r="C40" s="16" t="s">
        <v>686</v>
      </c>
      <c r="D40" s="16" t="s">
        <v>707</v>
      </c>
      <c r="K40" s="116"/>
    </row>
    <row r="41" spans="1:11" ht="14.25" customHeight="1" x14ac:dyDescent="0.25">
      <c r="A41" s="16" t="s">
        <v>685</v>
      </c>
      <c r="B41" s="16" t="s">
        <v>686</v>
      </c>
      <c r="C41" s="16" t="s">
        <v>686</v>
      </c>
      <c r="D41" s="16" t="s">
        <v>687</v>
      </c>
    </row>
    <row r="42" spans="1:11" ht="14.25" customHeight="1" x14ac:dyDescent="0.25">
      <c r="A42" s="16" t="s">
        <v>688</v>
      </c>
      <c r="B42" s="16" t="s">
        <v>686</v>
      </c>
      <c r="C42" s="16" t="s">
        <v>686</v>
      </c>
      <c r="D42" s="16" t="s">
        <v>687</v>
      </c>
    </row>
    <row r="43" spans="1:11" ht="14.25" customHeight="1" x14ac:dyDescent="0.25">
      <c r="A43" s="16" t="s">
        <v>689</v>
      </c>
      <c r="B43" s="16" t="s">
        <v>686</v>
      </c>
      <c r="C43" s="16" t="s">
        <v>686</v>
      </c>
      <c r="D43" s="16" t="s">
        <v>687</v>
      </c>
    </row>
    <row r="44" spans="1:11" ht="14.25" customHeight="1" x14ac:dyDescent="0.25">
      <c r="A44" s="75" t="s">
        <v>690</v>
      </c>
    </row>
    <row r="45" spans="1:11" ht="14.25" customHeight="1" x14ac:dyDescent="0.25">
      <c r="A45" s="75" t="s">
        <v>708</v>
      </c>
    </row>
    <row r="46" spans="1:11" ht="14.25" customHeight="1" x14ac:dyDescent="0.25"/>
    <row r="47" spans="1:11" ht="14.25" customHeight="1" x14ac:dyDescent="0.25">
      <c r="A47" s="75" t="s">
        <v>692</v>
      </c>
    </row>
    <row r="48" spans="1:11" ht="14.25" customHeight="1" x14ac:dyDescent="0.25">
      <c r="A48" s="75" t="s">
        <v>693</v>
      </c>
    </row>
    <row r="49" spans="1:5" ht="14.25" customHeight="1" x14ac:dyDescent="0.25"/>
    <row r="50" spans="1:5" ht="14.25" customHeight="1" x14ac:dyDescent="0.25"/>
    <row r="51" spans="1:5" ht="14.25" customHeight="1" x14ac:dyDescent="0.3">
      <c r="A51" s="76" t="s">
        <v>694</v>
      </c>
    </row>
    <row r="52" spans="1:5" ht="14.25" customHeight="1" x14ac:dyDescent="0.25"/>
    <row r="53" spans="1:5" ht="14.25" customHeight="1" x14ac:dyDescent="0.25">
      <c r="A53" s="71" t="s">
        <v>493</v>
      </c>
      <c r="B53" s="71" t="s">
        <v>695</v>
      </c>
      <c r="C53" s="71" t="s">
        <v>709</v>
      </c>
    </row>
    <row r="54" spans="1:5" ht="14.25" customHeight="1" x14ac:dyDescent="0.25">
      <c r="A54" s="16" t="s">
        <v>671</v>
      </c>
      <c r="B54" s="67">
        <f>B32</f>
        <v>3659.1785714285716</v>
      </c>
      <c r="C54" s="67">
        <f>B9/B30</f>
        <v>3659.1785714285716</v>
      </c>
    </row>
    <row r="55" spans="1:5" ht="14.25" customHeight="1" x14ac:dyDescent="0.25">
      <c r="A55" s="16" t="s">
        <v>675</v>
      </c>
      <c r="B55" s="73">
        <f>B34</f>
        <v>1</v>
      </c>
      <c r="C55" s="73">
        <f t="array" ref="C55">INDEX(Retention!$B$6:$BJ$6, MATCH($I$2, Retention!$B$4:$BJ$4,0))</f>
        <v>1</v>
      </c>
      <c r="E55" s="1" t="s">
        <v>727</v>
      </c>
    </row>
    <row r="56" spans="1:5" ht="14.25" customHeight="1" x14ac:dyDescent="0.25">
      <c r="A56" s="16" t="s">
        <v>677</v>
      </c>
      <c r="B56" s="73">
        <f>B35</f>
        <v>1.0025281842647142</v>
      </c>
      <c r="C56" s="73">
        <f t="array" ref="C56">INDEX(Retention!$B$7:$BJ$7, MATCH($I$2, Retention!$B$4:$BJ$4,0))</f>
        <v>1.0025281842647142</v>
      </c>
    </row>
    <row r="57" spans="1:5" ht="14.25" customHeight="1" x14ac:dyDescent="0.25">
      <c r="A57" s="16" t="s">
        <v>678</v>
      </c>
      <c r="B57" s="16" t="str">
        <f>B36</f>
        <v>N/A — no losses</v>
      </c>
      <c r="C57" s="16" t="str">
        <f>IFERROR(IF((B6+B7)=0,"N/A — no losses",(B4+B5)/(B6+B7)),"N/A")</f>
        <v>N/A — no losses</v>
      </c>
    </row>
    <row r="58" spans="1:5" ht="14.25" customHeight="1" x14ac:dyDescent="0.25">
      <c r="A58" s="16" t="s">
        <v>696</v>
      </c>
      <c r="B58" s="74">
        <f>B38</f>
        <v>14500</v>
      </c>
      <c r="C58" s="74">
        <f>IFERROR(IF(B39=0,"—",B37/B39),"—")</f>
        <v>14500</v>
      </c>
    </row>
    <row r="59" spans="1:5" ht="14.25" customHeight="1" x14ac:dyDescent="0.25"/>
    <row r="60" spans="1:5" ht="14.25" customHeight="1" x14ac:dyDescent="0.25">
      <c r="A60" s="22" t="s">
        <v>657</v>
      </c>
    </row>
    <row r="61" spans="1:5" ht="14.25" customHeight="1" x14ac:dyDescent="0.25">
      <c r="A61" s="117" t="str">
        <f>TEXT($I$2,"mmmm yyyy")&amp;" — Closing MRR: "&amp;TEXT(B9,"$#,##0")&amp;" | NRR: "&amp;TEXT(B35,"0.0%")&amp;" | EBITDA margin: "&amp;TEXT(B23,"0.0%")</f>
        <v>March 2026 — Closing MRR: $153,686 | NRR: 100.3% | EBITDA margin: 22.5%</v>
      </c>
    </row>
    <row r="62" spans="1:5" ht="14.25" customHeight="1" x14ac:dyDescent="0.25">
      <c r="A62" s="118" t="s">
        <v>728</v>
      </c>
    </row>
    <row r="63" spans="1:5" ht="14.25" customHeight="1" x14ac:dyDescent="0.25">
      <c r="A63" s="118" t="s">
        <v>729</v>
      </c>
    </row>
    <row r="64" spans="1:5" ht="14.25" customHeight="1" x14ac:dyDescent="0.25">
      <c r="A64" s="118" t="s">
        <v>730</v>
      </c>
    </row>
    <row r="65" spans="1:3" ht="14.25" customHeight="1" x14ac:dyDescent="0.25">
      <c r="A65" s="118" t="s">
        <v>731</v>
      </c>
    </row>
    <row r="66" spans="1:3" ht="14.25" customHeight="1" x14ac:dyDescent="0.25"/>
    <row r="67" spans="1:3" ht="14.25" customHeight="1" x14ac:dyDescent="0.25">
      <c r="A67" s="119" t="s">
        <v>732</v>
      </c>
    </row>
    <row r="68" spans="1:3" ht="14.25" customHeight="1" x14ac:dyDescent="0.25"/>
    <row r="69" spans="1:3" ht="14.25" customHeight="1" x14ac:dyDescent="0.25">
      <c r="A69" s="120" t="s">
        <v>733</v>
      </c>
    </row>
    <row r="70" spans="1:3" ht="14.25" customHeight="1" x14ac:dyDescent="0.25">
      <c r="A70" s="77" t="s">
        <v>734</v>
      </c>
      <c r="B70" s="77" t="s">
        <v>735</v>
      </c>
    </row>
    <row r="71" spans="1:3" ht="14.25" customHeight="1" x14ac:dyDescent="0.25">
      <c r="A71" s="40" t="s">
        <v>736</v>
      </c>
      <c r="B71" s="121">
        <f>'Jan 2026 A vs F '!B4+'Feb 2026 A vs F'!B4+'Mar 2026 A vs F'!B4</f>
        <v>10830</v>
      </c>
    </row>
    <row r="72" spans="1:3" ht="14.25" customHeight="1" x14ac:dyDescent="0.25">
      <c r="A72" s="40" t="s">
        <v>737</v>
      </c>
      <c r="B72" s="121">
        <f>'Jan 2026 A vs F '!B5+'Feb 2026 A vs F'!B5+'Mar 2026 A vs F'!B5</f>
        <v>380</v>
      </c>
    </row>
    <row r="73" spans="1:3" ht="14.25" customHeight="1" x14ac:dyDescent="0.25">
      <c r="A73" s="40" t="s">
        <v>738</v>
      </c>
      <c r="B73" s="121">
        <f>'Jan 2026 A vs F '!B7+'Feb 2026 A vs F'!B7+'Mar 2026 A vs F'!B7</f>
        <v>594</v>
      </c>
    </row>
    <row r="74" spans="1:3" ht="14.25" customHeight="1" x14ac:dyDescent="0.25">
      <c r="A74" s="40" t="s">
        <v>739</v>
      </c>
      <c r="B74" s="121">
        <f>'Jan 2026 A vs F '!B8+'Feb 2026 A vs F'!B8+'Mar 2026 A vs F'!B8</f>
        <v>10616</v>
      </c>
    </row>
    <row r="75" spans="1:3" ht="14.25" customHeight="1" x14ac:dyDescent="0.25">
      <c r="A75" s="66" t="s">
        <v>740</v>
      </c>
      <c r="B75" s="122">
        <f>'Mar 2026 A vs F'!B9</f>
        <v>153685.5</v>
      </c>
    </row>
    <row r="76" spans="1:3" ht="14.25" customHeight="1" x14ac:dyDescent="0.25"/>
    <row r="77" spans="1:3" ht="14.25" customHeight="1" x14ac:dyDescent="0.25">
      <c r="A77" s="120" t="s">
        <v>741</v>
      </c>
    </row>
    <row r="78" spans="1:3" ht="14.25" customHeight="1" x14ac:dyDescent="0.25">
      <c r="A78" s="77" t="s">
        <v>742</v>
      </c>
      <c r="B78" s="77" t="s">
        <v>735</v>
      </c>
    </row>
    <row r="79" spans="1:3" ht="14.25" customHeight="1" x14ac:dyDescent="0.25">
      <c r="A79" s="40" t="s">
        <v>743</v>
      </c>
      <c r="B79" s="121">
        <f>'Jan 2026 A vs F '!B14+'Feb 2026 A vs F'!B14+'Mar 2026 A vs F'!B14</f>
        <v>448770.5</v>
      </c>
      <c r="C79" s="123"/>
    </row>
    <row r="80" spans="1:3" ht="14.25" customHeight="1" x14ac:dyDescent="0.25">
      <c r="A80" s="40" t="s">
        <v>744</v>
      </c>
      <c r="B80" s="121">
        <f>'Jan 2026 A vs F '!B15+'Feb 2026 A vs F'!B15+'Mar 2026 A vs F'!B15</f>
        <v>134631.15000000002</v>
      </c>
    </row>
    <row r="81" spans="1:2" ht="14.25" customHeight="1" x14ac:dyDescent="0.25">
      <c r="A81" s="66" t="s">
        <v>745</v>
      </c>
      <c r="B81" s="122">
        <f>B79-B80</f>
        <v>314139.34999999998</v>
      </c>
    </row>
    <row r="82" spans="1:2" ht="14.25" customHeight="1" x14ac:dyDescent="0.25">
      <c r="A82" s="40" t="s">
        <v>746</v>
      </c>
      <c r="B82" s="124">
        <f>B81/B79</f>
        <v>0.7</v>
      </c>
    </row>
    <row r="83" spans="1:2" ht="14.25" customHeight="1" x14ac:dyDescent="0.25">
      <c r="A83" s="40" t="s">
        <v>747</v>
      </c>
      <c r="B83" s="121">
        <f>'Jan 2026 A vs F '!B18+'Feb 2026 A vs F'!B18+'Mar 2026 A vs F'!B18</f>
        <v>90000</v>
      </c>
    </row>
    <row r="84" spans="1:2" ht="14.25" customHeight="1" x14ac:dyDescent="0.25">
      <c r="A84" s="40" t="s">
        <v>748</v>
      </c>
      <c r="B84" s="121">
        <f>'Jan 2026 A vs F '!B19+'Jan 2026 A vs F '!B20+'Feb 2026 A vs F'!B19+'Feb 2026 A vs F'!B20+'Mar 2026 A vs F'!B19+'Mar 2026 A vs F'!B20</f>
        <v>132000</v>
      </c>
    </row>
    <row r="85" spans="1:2" ht="14.25" customHeight="1" x14ac:dyDescent="0.25">
      <c r="A85" s="66" t="s">
        <v>749</v>
      </c>
      <c r="B85" s="122">
        <f>'Jan 2026 A vs F '!B21+'Feb 2026 A vs F'!B21+'Mar 2026 A vs F'!B21</f>
        <v>222000</v>
      </c>
    </row>
    <row r="86" spans="1:2" ht="14.25" customHeight="1" x14ac:dyDescent="0.25">
      <c r="A86" s="66" t="s">
        <v>750</v>
      </c>
      <c r="B86" s="122">
        <f>B81-B85</f>
        <v>92139.349999999977</v>
      </c>
    </row>
    <row r="87" spans="1:2" ht="14.25" customHeight="1" x14ac:dyDescent="0.25">
      <c r="A87" s="40" t="s">
        <v>751</v>
      </c>
      <c r="B87" s="124">
        <f>B86/B79</f>
        <v>0.20531507752849168</v>
      </c>
    </row>
    <row r="88" spans="1:2" ht="14.25" customHeight="1" x14ac:dyDescent="0.25"/>
    <row r="89" spans="1:2" ht="14.25" customHeight="1" x14ac:dyDescent="0.25">
      <c r="A89" s="120" t="s">
        <v>752</v>
      </c>
    </row>
    <row r="90" spans="1:2" ht="14.25" customHeight="1" x14ac:dyDescent="0.25">
      <c r="A90" s="77" t="s">
        <v>493</v>
      </c>
      <c r="B90" s="77" t="s">
        <v>735</v>
      </c>
    </row>
    <row r="91" spans="1:2" ht="14.25" customHeight="1" x14ac:dyDescent="0.25">
      <c r="A91" s="1" t="s">
        <v>753</v>
      </c>
      <c r="B91" s="115">
        <f>Actuals!B15+Actuals!C15+Actuals!D15</f>
        <v>5</v>
      </c>
    </row>
    <row r="92" spans="1:2" ht="14.25" customHeight="1" x14ac:dyDescent="0.25">
      <c r="A92" s="1" t="s">
        <v>754</v>
      </c>
      <c r="B92" s="67">
        <f>B83/B91</f>
        <v>18000</v>
      </c>
    </row>
    <row r="93" spans="1:2" ht="14.25" customHeight="1" x14ac:dyDescent="0.25">
      <c r="A93" s="1" t="s">
        <v>685</v>
      </c>
      <c r="B93" s="67">
        <f>(B82/((B73/'Jan 2026 A vs F '!B3)*12)*'Mar 2026 A vs F'!B54)</f>
        <v>51411.587266764865</v>
      </c>
    </row>
    <row r="94" spans="1:2" ht="14.25" customHeight="1" x14ac:dyDescent="0.25">
      <c r="A94" s="1" t="s">
        <v>688</v>
      </c>
      <c r="B94" s="125">
        <f>B93/B92</f>
        <v>2.8561992925980482</v>
      </c>
    </row>
    <row r="95" spans="1:2" ht="14.25" customHeight="1" x14ac:dyDescent="0.25">
      <c r="A95" s="1" t="s">
        <v>755</v>
      </c>
      <c r="B95" s="125">
        <f>B92/(B54*B82)</f>
        <v>7.0273382980177059</v>
      </c>
    </row>
    <row r="96" spans="1:2" ht="14.25" customHeight="1" x14ac:dyDescent="0.25"/>
    <row r="97" spans="1:1" ht="14.25" customHeight="1" x14ac:dyDescent="0.25">
      <c r="A97" s="119" t="s">
        <v>756</v>
      </c>
    </row>
    <row r="98" spans="1:1" ht="14.25" customHeight="1" x14ac:dyDescent="0.25">
      <c r="A98" s="118" t="s">
        <v>757</v>
      </c>
    </row>
    <row r="99" spans="1:1" ht="14.25" customHeight="1" x14ac:dyDescent="0.25">
      <c r="A99" s="118" t="s">
        <v>758</v>
      </c>
    </row>
    <row r="100" spans="1:1" ht="14.25" customHeight="1" x14ac:dyDescent="0.25">
      <c r="A100" s="118" t="s">
        <v>759</v>
      </c>
    </row>
    <row r="101" spans="1:1" ht="14.25" customHeight="1" x14ac:dyDescent="0.25">
      <c r="A101" s="118" t="s">
        <v>760</v>
      </c>
    </row>
    <row r="102" spans="1:1" ht="14.25" customHeight="1" x14ac:dyDescent="0.25"/>
    <row r="103" spans="1:1" ht="14.25" customHeight="1" x14ac:dyDescent="0.25"/>
    <row r="104" spans="1:1" ht="14.25" customHeight="1" x14ac:dyDescent="0.25"/>
    <row r="105" spans="1:1" ht="14.25" customHeight="1" x14ac:dyDescent="0.25"/>
    <row r="106" spans="1:1" ht="14.25" customHeight="1" x14ac:dyDescent="0.25"/>
    <row r="107" spans="1:1" ht="14.25" customHeight="1" x14ac:dyDescent="0.25"/>
    <row r="108" spans="1:1" ht="14.25" customHeight="1" x14ac:dyDescent="0.25"/>
    <row r="109" spans="1:1" ht="14.25" customHeight="1" x14ac:dyDescent="0.25"/>
    <row r="110" spans="1:1" ht="14.25" customHeight="1" x14ac:dyDescent="0.25"/>
    <row r="111" spans="1:1" ht="14.25" customHeight="1" x14ac:dyDescent="0.25"/>
    <row r="112" spans="1: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1859B"/>
  </sheetPr>
  <dimension ref="A1:N965"/>
  <sheetViews>
    <sheetView topLeftCell="A16" workbookViewId="0">
      <selection activeCell="F20" sqref="F20"/>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9" width="19" customWidth="1"/>
    <col min="10" max="26" width="8.7109375" customWidth="1"/>
  </cols>
  <sheetData>
    <row r="1" spans="1:10" ht="14.25" customHeight="1" x14ac:dyDescent="0.25">
      <c r="A1" s="22" t="s">
        <v>642</v>
      </c>
      <c r="H1" s="106" t="s">
        <v>714</v>
      </c>
      <c r="I1" s="107"/>
      <c r="J1" s="107"/>
    </row>
    <row r="2" spans="1:10" ht="14.25" customHeight="1" x14ac:dyDescent="0.25">
      <c r="A2" s="77" t="s">
        <v>493</v>
      </c>
      <c r="B2" s="77" t="str">
        <f>"Actual - "&amp;TEXT($I$2,"mmm yy")</f>
        <v>Actual - Apr 26</v>
      </c>
      <c r="C2" s="77" t="s">
        <v>761</v>
      </c>
      <c r="D2" s="77" t="s">
        <v>645</v>
      </c>
      <c r="E2" s="77" t="s">
        <v>646</v>
      </c>
      <c r="F2" s="77" t="s">
        <v>647</v>
      </c>
      <c r="H2" s="108" t="s">
        <v>716</v>
      </c>
      <c r="I2" s="109">
        <v>46113</v>
      </c>
      <c r="J2" s="35" t="s">
        <v>717</v>
      </c>
    </row>
    <row r="3" spans="1:10" ht="14.25" customHeight="1" x14ac:dyDescent="0.25">
      <c r="A3" s="40" t="s">
        <v>494</v>
      </c>
      <c r="B3" s="60">
        <f t="array" ref="B3">INDEX(Actuals!$B$2:$Y$2,MATCH($I$2,Actuals!$B$1:$Y$1,0))</f>
        <v>153685.5</v>
      </c>
      <c r="C3" s="60">
        <f>INDEX('Monthly Forecast'!$B$5:$M$5,MATCH($I$2,'Monthly Forecast'!$B$4:$M$4,0))</f>
        <v>154325.79392966456</v>
      </c>
      <c r="D3" s="60">
        <f>B3-C3</f>
        <v>-640.29392966456362</v>
      </c>
      <c r="E3" s="61">
        <f>IFERROR(B3/C3-1, 0)</f>
        <v>-4.1489754457791905E-3</v>
      </c>
      <c r="F3" s="62" t="str" cm="1">
        <f t="array" ref="F3">_xlfn.IFS(D3&lt;0, "U", D3&gt;0, "F", D3=0, "-")</f>
        <v>U</v>
      </c>
      <c r="H3" s="110" t="s">
        <v>718</v>
      </c>
      <c r="I3" s="111" t="s">
        <v>762</v>
      </c>
      <c r="J3" s="35" t="s">
        <v>717</v>
      </c>
    </row>
    <row r="4" spans="1:10" ht="14.25" customHeight="1" x14ac:dyDescent="0.25">
      <c r="A4" s="78" t="s">
        <v>561</v>
      </c>
      <c r="B4" s="60">
        <f t="array" ref="B4">INDEX(Actuals!$B$3:$Y$3,MATCH($I$2,Actuals!$B$1:$Y$1,0))</f>
        <v>3810</v>
      </c>
      <c r="C4" s="60">
        <f>INDEX('Monthly Forecast'!$B$6:$M$6,MATCH($I$2,'Monthly Forecast'!$B$4:$M$4,0))</f>
        <v>6400</v>
      </c>
      <c r="D4" s="60">
        <f>B4-C4</f>
        <v>-2590</v>
      </c>
      <c r="E4" s="61">
        <f>IFERROR(B4/C4-1, 0)</f>
        <v>-0.40468749999999998</v>
      </c>
      <c r="F4" s="62" t="str" cm="1">
        <f t="array" ref="F4">_xlfn.IFS(D4&lt;0, "U", D4&gt;0, "F", D4=0, "-")</f>
        <v>U</v>
      </c>
      <c r="H4" s="110" t="s">
        <v>720</v>
      </c>
      <c r="I4" s="112">
        <f>EOMONTH(I2,0)</f>
        <v>46142</v>
      </c>
      <c r="J4" s="35" t="s">
        <v>721</v>
      </c>
    </row>
    <row r="5" spans="1:10" ht="14.25" customHeight="1" x14ac:dyDescent="0.25">
      <c r="A5" s="78" t="s">
        <v>563</v>
      </c>
      <c r="B5" s="60">
        <f t="array" ref="B5">INDEX(Actuals!$B$4:$Y$4,MATCH($I$2,Actuals!$B$1:$Y$1,0))</f>
        <v>440</v>
      </c>
      <c r="C5" s="60">
        <f>INDEX('Monthly Forecast'!$B$7:$M$7,MATCH($I$2,'Monthly Forecast'!$B$4:$M$4,0))</f>
        <v>771.62896964832282</v>
      </c>
      <c r="D5" s="60">
        <f>B5-C5</f>
        <v>-331.62896964832282</v>
      </c>
      <c r="E5" s="61">
        <f>IFERROR(B5/C5-1, 0)</f>
        <v>-0.42977775938021856</v>
      </c>
      <c r="F5" s="62" t="str" cm="1">
        <f t="array" ref="F5">_xlfn.IFS(D5&lt;0, "U", D5&gt;0, "F", D5=0, "-")</f>
        <v>U</v>
      </c>
    </row>
    <row r="6" spans="1:10" ht="14.25" customHeight="1" x14ac:dyDescent="0.25">
      <c r="A6" s="40" t="s">
        <v>648</v>
      </c>
      <c r="B6" s="60">
        <v>0</v>
      </c>
      <c r="C6" s="60">
        <f>INDEX('Monthly Forecast'!$B$8:$M$8,MATCH($I$2,'Monthly Forecast'!$B$4:$M$4,0))</f>
        <v>0</v>
      </c>
      <c r="D6" s="60">
        <f>B6-C6</f>
        <v>0</v>
      </c>
      <c r="E6" s="61">
        <f>IFERROR(B6/C6-1, 0)</f>
        <v>0</v>
      </c>
      <c r="F6" s="62" t="str" cm="1">
        <f t="array" ref="F6">_xlfn.IFS(D6&lt;0, "U", D6&gt;0, "F", D6=0, "-")</f>
        <v>-</v>
      </c>
    </row>
    <row r="7" spans="1:10" ht="14.25" customHeight="1" x14ac:dyDescent="0.25">
      <c r="A7" s="40" t="s">
        <v>567</v>
      </c>
      <c r="B7" s="60">
        <f t="array" ref="B7">INDEX(Actuals!$B$6:$Y$6,MATCH($I$2,Actuals!$B$1:$Y$1,0))</f>
        <v>1105</v>
      </c>
      <c r="C7" s="60">
        <f>INDEX('Monthly Forecast'!$B$9:$M$9,MATCH($I$2,'Monthly Forecast'!$B$4:$M$4,0))</f>
        <v>1033.9828193287526</v>
      </c>
      <c r="D7" s="60">
        <f>C7-B7</f>
        <v>-71.017180671247388</v>
      </c>
      <c r="E7" s="61">
        <f>IFERROR(B7/C7-1, 0)</f>
        <v>6.86831341330707E-2</v>
      </c>
      <c r="F7" s="79" t="str" cm="1">
        <f t="array" ref="F7">_xlfn.IFS(D7&gt;0, "F", D7&lt;0, "U", D7=0, "-")</f>
        <v>U</v>
      </c>
    </row>
    <row r="8" spans="1:10" ht="14.25" customHeight="1" x14ac:dyDescent="0.25">
      <c r="A8" s="80" t="s">
        <v>569</v>
      </c>
      <c r="B8" s="81">
        <f>B4+B5-B7</f>
        <v>3145</v>
      </c>
      <c r="C8" s="81">
        <f>C4+C5-C6-C7</f>
        <v>6137.6461503195696</v>
      </c>
      <c r="D8" s="81">
        <f>B8-C8</f>
        <v>-2992.6461503195696</v>
      </c>
      <c r="E8" s="82">
        <f>B8/C8-1</f>
        <v>-0.4875885766343423</v>
      </c>
      <c r="F8" s="83" t="str" cm="1">
        <f t="array" ref="F8">_xlfn.IFS(D8&lt;0, "U", D8&gt;0, "F", D8=0, "-")</f>
        <v>U</v>
      </c>
    </row>
    <row r="9" spans="1:10" ht="14.25" customHeight="1" x14ac:dyDescent="0.25">
      <c r="A9" s="84" t="s">
        <v>498</v>
      </c>
      <c r="B9" s="85">
        <f>B3+B4+B5-B7</f>
        <v>156830.5</v>
      </c>
      <c r="C9" s="85">
        <f>C3+C8</f>
        <v>160463.44007998414</v>
      </c>
      <c r="D9" s="85">
        <f>B9-C9</f>
        <v>-3632.9400799841387</v>
      </c>
      <c r="E9" s="86">
        <f>B9/C9-1</f>
        <v>-2.2640297865814674E-2</v>
      </c>
      <c r="F9" s="87" t="str" cm="1">
        <f t="array" ref="F9">_xlfn.IFS(D9&lt;0, "U", D9&gt;0, "F", D9=0, "-")</f>
        <v>U</v>
      </c>
    </row>
    <row r="10" spans="1:10" ht="14.25" customHeight="1" x14ac:dyDescent="0.25">
      <c r="A10" s="66" t="s">
        <v>649</v>
      </c>
      <c r="B10" s="88">
        <f>B9*12</f>
        <v>1881966</v>
      </c>
      <c r="C10" s="88">
        <f>C9*12</f>
        <v>1925561.2809598097</v>
      </c>
      <c r="D10" s="88">
        <f>B10-C10</f>
        <v>-43595.280959809665</v>
      </c>
      <c r="E10" s="89">
        <f>B10/C10-1</f>
        <v>-2.2640297865814674E-2</v>
      </c>
      <c r="F10" s="90" t="str" cm="1">
        <f t="array" ref="F10">_xlfn.IFS(D10&lt;0, "U", D10&gt;0, "F", D10=0, "-")</f>
        <v>U</v>
      </c>
    </row>
    <row r="11" spans="1:10" ht="14.25" customHeight="1" x14ac:dyDescent="0.25">
      <c r="A11" s="91"/>
      <c r="B11" s="91"/>
      <c r="C11" s="91"/>
      <c r="D11" s="91"/>
      <c r="E11" s="91"/>
      <c r="F11" s="91"/>
    </row>
    <row r="12" spans="1:10" ht="14.25" customHeight="1" x14ac:dyDescent="0.25">
      <c r="A12" s="66" t="s">
        <v>650</v>
      </c>
    </row>
    <row r="13" spans="1:10" ht="14.25" customHeight="1" x14ac:dyDescent="0.25">
      <c r="A13" s="77" t="s">
        <v>493</v>
      </c>
      <c r="B13" s="77" t="str">
        <f>"Actual - "&amp;TEXT($I$2,"mmm yy")</f>
        <v>Actual - Apr 26</v>
      </c>
      <c r="C13" s="77" t="s">
        <v>761</v>
      </c>
      <c r="D13" s="77" t="s">
        <v>645</v>
      </c>
      <c r="E13" s="77" t="s">
        <v>646</v>
      </c>
      <c r="F13" s="77" t="s">
        <v>647</v>
      </c>
    </row>
    <row r="14" spans="1:10" ht="14.25" customHeight="1" x14ac:dyDescent="0.25">
      <c r="A14" s="66" t="s">
        <v>582</v>
      </c>
      <c r="B14" s="67">
        <f>B9</f>
        <v>156830.5</v>
      </c>
      <c r="C14" s="67">
        <f>C9</f>
        <v>160463.44007998414</v>
      </c>
      <c r="D14" s="67">
        <f t="shared" ref="D14:D23" si="0">B14-C14</f>
        <v>-3632.9400799841387</v>
      </c>
      <c r="E14" s="68">
        <f t="shared" ref="E14:E23" si="1">B14/C14-1</f>
        <v>-2.2640297865814674E-2</v>
      </c>
      <c r="F14" s="62" t="str" cm="1">
        <f t="array" ref="F14">_xlfn.IFS(D14&lt;0, "U", D14&gt;0, "F", D14=0, "-")</f>
        <v>U</v>
      </c>
      <c r="H14" s="35" t="s">
        <v>651</v>
      </c>
    </row>
    <row r="15" spans="1:10" ht="14.25" customHeight="1" x14ac:dyDescent="0.25">
      <c r="A15" s="66" t="s">
        <v>503</v>
      </c>
      <c r="B15" s="67">
        <f>B14*(1-B17)</f>
        <v>47049.150000000009</v>
      </c>
      <c r="C15" s="67">
        <f>C14*0.3</f>
        <v>48139.032023995242</v>
      </c>
      <c r="D15" s="67">
        <f t="shared" si="0"/>
        <v>-1089.8820239952329</v>
      </c>
      <c r="E15" s="68">
        <f t="shared" si="1"/>
        <v>-2.2640297865814452E-2</v>
      </c>
      <c r="F15" s="62" t="str" cm="1">
        <f t="array" ref="F15">_xlfn.IFS(D15&gt;0, "U", D15&lt;0, "F", D15=0, "-")</f>
        <v>F</v>
      </c>
      <c r="H15" s="35" t="s">
        <v>652</v>
      </c>
    </row>
    <row r="16" spans="1:10" ht="14.25" customHeight="1" x14ac:dyDescent="0.25">
      <c r="A16" s="80" t="s">
        <v>504</v>
      </c>
      <c r="B16" s="92">
        <f>B14-B15</f>
        <v>109781.34999999999</v>
      </c>
      <c r="C16" s="92">
        <f>C14-C15</f>
        <v>112324.4080559889</v>
      </c>
      <c r="D16" s="92">
        <f t="shared" si="0"/>
        <v>-2543.0580559889058</v>
      </c>
      <c r="E16" s="93">
        <f t="shared" si="1"/>
        <v>-2.2640297865814674E-2</v>
      </c>
      <c r="F16" s="94" t="str" cm="1">
        <f t="array" ref="F16">_xlfn.IFS(D16&lt;0, "U", D16&gt;0, "F", D16=0, "-")</f>
        <v>U</v>
      </c>
      <c r="H16" s="35" t="s">
        <v>653</v>
      </c>
    </row>
    <row r="17" spans="1:14" ht="14.25" customHeight="1" x14ac:dyDescent="0.25">
      <c r="A17" s="84" t="s">
        <v>587</v>
      </c>
      <c r="B17" s="95">
        <v>0.7</v>
      </c>
      <c r="C17" s="96">
        <f>C16/C14</f>
        <v>0.7</v>
      </c>
      <c r="D17" s="96">
        <f t="shared" si="0"/>
        <v>0</v>
      </c>
      <c r="E17" s="96">
        <f t="shared" si="1"/>
        <v>0</v>
      </c>
      <c r="F17" s="97" t="str" cm="1">
        <f t="array" ref="F17">_xlfn.IFS(D17&lt;0, "U", D17&gt;0, "F", D17=0, "-")</f>
        <v>-</v>
      </c>
      <c r="H17" s="35" t="s">
        <v>654</v>
      </c>
    </row>
    <row r="18" spans="1:14" ht="14.25" customHeight="1" x14ac:dyDescent="0.25">
      <c r="A18" s="66" t="s">
        <v>635</v>
      </c>
      <c r="B18" s="67">
        <f>Actuals!E8</f>
        <v>32000</v>
      </c>
      <c r="C18" s="67">
        <f>INDEX('Monthly Forecast'!$B$20:$M$20,MATCH($I$2,'Monthly Forecast'!$B$4:$M$4,0))</f>
        <v>30000</v>
      </c>
      <c r="D18" s="67">
        <f t="shared" si="0"/>
        <v>2000</v>
      </c>
      <c r="E18" s="68">
        <f t="shared" si="1"/>
        <v>6.6666666666666652E-2</v>
      </c>
      <c r="F18" s="62" t="str" cm="1">
        <f t="array" ref="F18">_xlfn.IFS(D18&lt;0, "U", D18&gt;0, "F", D18=0, "-")</f>
        <v>F</v>
      </c>
      <c r="H18" s="35" t="s">
        <v>654</v>
      </c>
    </row>
    <row r="19" spans="1:14" ht="14.25" customHeight="1" x14ac:dyDescent="0.25">
      <c r="A19" s="66" t="s">
        <v>636</v>
      </c>
      <c r="B19" s="67">
        <f>Actuals!E9</f>
        <v>23000</v>
      </c>
      <c r="C19" s="67">
        <f>INDEX('Monthly Forecast'!$B$21:$M$21,MATCH($I$2,'Monthly Forecast'!$B$4:$M$4,0))</f>
        <v>25000</v>
      </c>
      <c r="D19" s="67">
        <f t="shared" si="0"/>
        <v>-2000</v>
      </c>
      <c r="E19" s="68">
        <f t="shared" si="1"/>
        <v>-7.999999999999996E-2</v>
      </c>
      <c r="F19" s="62" t="str" cm="1">
        <f t="array" ref="F19">_xlfn.IFS(D19&lt;0, "U", D19&gt;0, "F", D19=0, "-")</f>
        <v>U</v>
      </c>
      <c r="H19" s="35" t="s">
        <v>654</v>
      </c>
    </row>
    <row r="20" spans="1:14" ht="14.25" customHeight="1" x14ac:dyDescent="0.25">
      <c r="A20" s="66" t="s">
        <v>637</v>
      </c>
      <c r="B20" s="67">
        <f>Actuals!E10</f>
        <v>20000</v>
      </c>
      <c r="C20" s="67">
        <f>INDEX('Monthly Forecast'!$B$22:$M$22,MATCH($I$2,'Monthly Forecast'!$B$4:$M$4,0))</f>
        <v>19000</v>
      </c>
      <c r="D20" s="67">
        <f t="shared" si="0"/>
        <v>1000</v>
      </c>
      <c r="E20" s="68">
        <f t="shared" si="1"/>
        <v>5.2631578947368363E-2</v>
      </c>
      <c r="F20" s="62" t="str" cm="1">
        <f t="array" ref="F20">_xlfn.IFS(D20&lt;0, "U", D20&gt;0, "F", D20=0, "-")</f>
        <v>F</v>
      </c>
      <c r="H20" s="35" t="s">
        <v>591</v>
      </c>
    </row>
    <row r="21" spans="1:14" ht="14.25" customHeight="1" x14ac:dyDescent="0.25">
      <c r="A21" s="80" t="s">
        <v>502</v>
      </c>
      <c r="B21" s="92">
        <f>SUM(B18:B20)</f>
        <v>75000</v>
      </c>
      <c r="C21" s="92">
        <f>SUM(C18:C20)</f>
        <v>74000</v>
      </c>
      <c r="D21" s="92">
        <f t="shared" si="0"/>
        <v>1000</v>
      </c>
      <c r="E21" s="98">
        <f t="shared" si="1"/>
        <v>1.3513513513513598E-2</v>
      </c>
      <c r="F21" s="94" t="str" cm="1">
        <f t="array" ref="F21">_xlfn.IFS(D21&lt;0, "U", D21&gt;0, "F", D21=0, "-")</f>
        <v>F</v>
      </c>
      <c r="H21" s="35" t="s">
        <v>655</v>
      </c>
    </row>
    <row r="22" spans="1:14" ht="14.25" customHeight="1" x14ac:dyDescent="0.25">
      <c r="A22" s="99" t="s">
        <v>505</v>
      </c>
      <c r="B22" s="100">
        <f>B16-B21</f>
        <v>34781.349999999991</v>
      </c>
      <c r="C22" s="100">
        <f>C16-C21</f>
        <v>38324.408055988897</v>
      </c>
      <c r="D22" s="100">
        <f t="shared" si="0"/>
        <v>-3543.0580559889058</v>
      </c>
      <c r="E22" s="101">
        <f t="shared" si="1"/>
        <v>-9.2449126697867867E-2</v>
      </c>
      <c r="F22" s="102" t="str" cm="1">
        <f t="array" ref="F22">_xlfn.IFS(D22&lt;0, "U", D22&gt;0, "F", D22=0, "-")</f>
        <v>U</v>
      </c>
      <c r="H22" s="35" t="s">
        <v>656</v>
      </c>
    </row>
    <row r="23" spans="1:14" ht="14.25" customHeight="1" x14ac:dyDescent="0.25">
      <c r="A23" s="66" t="s">
        <v>593</v>
      </c>
      <c r="B23" s="73">
        <f>B22/B14</f>
        <v>0.22177669522191149</v>
      </c>
      <c r="C23" s="73">
        <f>C22/C14</f>
        <v>0.23883576244461557</v>
      </c>
      <c r="D23" s="68">
        <f t="shared" si="0"/>
        <v>-1.7059067222704088E-2</v>
      </c>
      <c r="E23" s="68">
        <f t="shared" si="1"/>
        <v>-7.1425933235856887E-2</v>
      </c>
      <c r="F23" s="62" t="str">
        <f t="array" aca="1" ref="F23" ca="1">IFERROR(_xludf.IFS(D23&lt;0, "U", D23&gt;0, "F", D23=0, "-"), "-")</f>
        <v>-</v>
      </c>
    </row>
    <row r="24" spans="1:14" ht="14.25" customHeight="1" x14ac:dyDescent="0.25"/>
    <row r="25" spans="1:14" ht="14.25" customHeight="1" x14ac:dyDescent="0.25">
      <c r="A25" s="103"/>
    </row>
    <row r="26" spans="1:14" ht="14.25" customHeight="1" x14ac:dyDescent="0.25"/>
    <row r="27" spans="1:14" ht="14.25" customHeight="1" x14ac:dyDescent="0.3">
      <c r="A27" s="70" t="s">
        <v>763</v>
      </c>
    </row>
    <row r="28" spans="1:14" ht="14.25" customHeight="1" x14ac:dyDescent="0.25">
      <c r="H28" s="113"/>
    </row>
    <row r="29" spans="1:14" ht="14.25" customHeight="1" x14ac:dyDescent="0.25">
      <c r="A29" s="71" t="s">
        <v>493</v>
      </c>
      <c r="B29" s="71" t="s">
        <v>668</v>
      </c>
      <c r="C29" s="71" t="str">
        <f>"vs "&amp;TEXT(EOMONTH($I$2,-1),"mmm yyyy")</f>
        <v>vs Mar 2026</v>
      </c>
      <c r="D29" s="71" t="s">
        <v>669</v>
      </c>
    </row>
    <row r="30" spans="1:14" ht="14.25" customHeight="1" x14ac:dyDescent="0.25">
      <c r="A30" s="16" t="s">
        <v>507</v>
      </c>
      <c r="B30" s="114">
        <f t="array" ref="B30">INDEX(Actuals!$B$16:$Y$16,MATCH($I$2,Actuals!$B$1:$Y$1,0))</f>
        <v>44</v>
      </c>
      <c r="C30" s="115">
        <f t="array" ref="C30">B30-INDEX(Actuals!$B$16:$Y$16,MATCH(DATE(YEAR($I$2),MONTH($I$2)-1,1),Actuals!$B$1:$Y$1,0))</f>
        <v>2</v>
      </c>
      <c r="D30" s="16" t="s">
        <v>764</v>
      </c>
    </row>
    <row r="31" spans="1:14" ht="14.25" customHeight="1" x14ac:dyDescent="0.25">
      <c r="A31" s="16" t="s">
        <v>508</v>
      </c>
      <c r="B31" s="114">
        <f t="array" ref="B31">INDEX(Actuals!$B$17:$Y$17,MATCH($I$2,Actuals!$B$1:$Y$1,0))</f>
        <v>55</v>
      </c>
      <c r="C31" s="115">
        <f t="array" ref="C31">B31-INDEX(Actuals!$B$17:$Y$17,MATCH(DATE(YEAR($I$2),MONTH($I$2)-1,1),Actuals!$B$1:$Y$1,0))</f>
        <v>1</v>
      </c>
      <c r="D31" s="16" t="s">
        <v>764</v>
      </c>
      <c r="N31" s="1" t="s">
        <v>725</v>
      </c>
    </row>
    <row r="32" spans="1:14" ht="14.25" customHeight="1" x14ac:dyDescent="0.25">
      <c r="A32" s="16" t="s">
        <v>671</v>
      </c>
      <c r="B32" s="67">
        <f>B9/B30</f>
        <v>3564.3295454545455</v>
      </c>
      <c r="C32" s="67">
        <f t="array" ref="C32">IFERROR(B32-INDEX(Actuals!$B$7:$Y$7,MATCH(DATE(YEAR($I$2),MONTH($I$2)-1,1),Actuals!$B$1:$Y$1,0))/INDEX(Actuals!$B$16:$Y$16,MATCH(DATE(YEAR($I$2),MONTH($I$2)-1,1),Actuals!$B$1:$Y$1,0)),"—")</f>
        <v>-94.849025974026063</v>
      </c>
      <c r="D32" s="16" t="s">
        <v>672</v>
      </c>
    </row>
    <row r="33" spans="1:11" ht="14.25" customHeight="1" x14ac:dyDescent="0.25">
      <c r="A33" s="16" t="s">
        <v>673</v>
      </c>
      <c r="B33" s="73">
        <f>B17</f>
        <v>0.7</v>
      </c>
      <c r="C33" s="73">
        <f>0</f>
        <v>0</v>
      </c>
      <c r="D33" s="16" t="s">
        <v>674</v>
      </c>
    </row>
    <row r="34" spans="1:11" ht="14.25" customHeight="1" x14ac:dyDescent="0.25">
      <c r="A34" s="16" t="s">
        <v>675</v>
      </c>
      <c r="B34" s="73">
        <f t="array" ref="B34">INDEX(Retention!$B$6:$BJ$6,MATCH($I$2,Retention!$B$4:$BJ$4,0))</f>
        <v>0.99280999183397267</v>
      </c>
      <c r="C34" s="73">
        <f t="array" ref="C34">B34-INDEX(Retention!$B$6:$BJ$6,MATCH(DATE(YEAR($I$2),MONTH($I$2)-1,1),Retention!$B$4:$BJ$4,0))</f>
        <v>-7.1900081660273285E-3</v>
      </c>
      <c r="D34" s="16" t="s">
        <v>676</v>
      </c>
      <c r="K34" s="1">
        <f>VLOOKUP('KPI Tracker'!A10,'KPI Tracker'!A4:F16,3)</f>
        <v>10.303030303030303</v>
      </c>
    </row>
    <row r="35" spans="1:11" ht="14.25" customHeight="1" x14ac:dyDescent="0.25">
      <c r="A35" s="16" t="s">
        <v>677</v>
      </c>
      <c r="B35" s="73">
        <f t="array" ref="B35">INDEX(Retention!$B$7:$BJ$7,MATCH($I$2,Retention!$B$4:$BJ$4,0))</f>
        <v>0.99567298151094286</v>
      </c>
      <c r="C35" s="73">
        <f t="array" ref="C35">B35-INDEX(Retention!$B$7:$BJ$7,MATCH(DATE(YEAR($I$2),MONTH($I$2)-1,1),Retention!$B$4:$BJ$4,0))</f>
        <v>-6.8552027537713833E-3</v>
      </c>
      <c r="D35" s="16" t="s">
        <v>676</v>
      </c>
    </row>
    <row r="36" spans="1:11" ht="14.25" customHeight="1" x14ac:dyDescent="0.25">
      <c r="A36" s="16" t="s">
        <v>678</v>
      </c>
      <c r="B36" s="16">
        <f>IFERROR(IF((B6+B7)=0,"N/A — no losses",(B4+B5)/(B6+B7)),"N/A")</f>
        <v>3.8461538461538463</v>
      </c>
      <c r="C36" s="16" t="str">
        <f>IFERROR(IF(ISNUMBER(B36),B36-INDEX('KPI Tracker'!$B$10:$F$10,MATCH(DATE(YEAR($I$2),MONTH($I$2)-1,1),'KPI Tracker'!$B$3:$F$3,0)),"—"),"—")</f>
        <v>—</v>
      </c>
      <c r="D36" s="16" t="s">
        <v>702</v>
      </c>
    </row>
    <row r="37" spans="1:11" ht="14.25" customHeight="1" x14ac:dyDescent="0.25">
      <c r="A37" s="16" t="s">
        <v>681</v>
      </c>
      <c r="B37" s="74">
        <f>B18</f>
        <v>32000</v>
      </c>
      <c r="C37" s="74">
        <f t="array" ref="C37">B37-INDEX(Actuals!$B$8:$Y$8,MATCH(DATE(YEAR($I$2),MONTH($I$2)-1,1),Actuals!$B$1:$Y$1,0))</f>
        <v>3000</v>
      </c>
      <c r="D37" s="16" t="s">
        <v>682</v>
      </c>
    </row>
    <row r="38" spans="1:11" ht="14.25" customHeight="1" x14ac:dyDescent="0.25">
      <c r="A38" s="16" t="s">
        <v>683</v>
      </c>
      <c r="B38" s="74">
        <f>IFERROR(IF(B39=0,"—",B37/B39),"—")</f>
        <v>16000</v>
      </c>
      <c r="C38" s="74">
        <f t="array" ref="C38">IFERROR(B38-INDEX(Actuals!$B$8:$Y$8,MATCH(DATE(YEAR($I$2),MONTH($I$2)-1,1),Actuals!$B$1:$Y$1,0))/INDEX(Actuals!$B$15:$Y$15,MATCH(DATE(YEAR($I$2),MONTH($I$2)-1,1),Actuals!$B$1:$Y$1,0)),"—")</f>
        <v>1500</v>
      </c>
      <c r="D38" s="16" t="s">
        <v>703</v>
      </c>
    </row>
    <row r="39" spans="1:11" ht="14.25" customHeight="1" x14ac:dyDescent="0.25">
      <c r="A39" s="104" t="s">
        <v>704</v>
      </c>
      <c r="B39" s="114">
        <f t="array" ref="B39">INDEX(Actuals!$B$15:$Y$15,MATCH($I$2,Actuals!$B$1:$Y$1,0))</f>
        <v>2</v>
      </c>
      <c r="C39" s="16" t="s">
        <v>686</v>
      </c>
      <c r="D39" s="104" t="s">
        <v>765</v>
      </c>
    </row>
    <row r="40" spans="1:11" ht="14.25" customHeight="1" x14ac:dyDescent="0.25">
      <c r="A40" s="16" t="s">
        <v>706</v>
      </c>
      <c r="B40" s="74">
        <f>IFERROR(IF(('Jan 2026 A vs F '!B46/'Jan 2026 A vs F '!B47+'Feb 2026 A vs F'!B39+B39)=0,"—",('Jan 2026 A vs F '!B46+'Feb 2026 A vs F'!B37+B37)/('Jan 2026 A vs F '!B46/'Jan 2026 A vs F '!B47+'Feb 2026 A vs F'!B39+B39)),"—")</f>
        <v>18600</v>
      </c>
      <c r="C40" s="16" t="s">
        <v>686</v>
      </c>
      <c r="D40" s="16" t="s">
        <v>707</v>
      </c>
      <c r="K40" s="116"/>
    </row>
    <row r="41" spans="1:11" ht="14.25" customHeight="1" x14ac:dyDescent="0.25">
      <c r="A41" s="16" t="s">
        <v>685</v>
      </c>
      <c r="B41" s="16" t="s">
        <v>686</v>
      </c>
      <c r="C41" s="16" t="s">
        <v>686</v>
      </c>
      <c r="D41" s="16" t="s">
        <v>687</v>
      </c>
    </row>
    <row r="42" spans="1:11" ht="14.25" customHeight="1" x14ac:dyDescent="0.25">
      <c r="A42" s="16" t="s">
        <v>688</v>
      </c>
      <c r="B42" s="16" t="s">
        <v>686</v>
      </c>
      <c r="C42" s="16" t="s">
        <v>686</v>
      </c>
      <c r="D42" s="16" t="s">
        <v>687</v>
      </c>
    </row>
    <row r="43" spans="1:11" ht="14.25" customHeight="1" x14ac:dyDescent="0.25">
      <c r="A43" s="16" t="s">
        <v>689</v>
      </c>
      <c r="B43" s="16" t="s">
        <v>686</v>
      </c>
      <c r="C43" s="16" t="s">
        <v>686</v>
      </c>
      <c r="D43" s="16" t="s">
        <v>687</v>
      </c>
    </row>
    <row r="44" spans="1:11" ht="14.25" customHeight="1" x14ac:dyDescent="0.25">
      <c r="A44" s="75" t="s">
        <v>690</v>
      </c>
    </row>
    <row r="45" spans="1:11" ht="14.25" customHeight="1" x14ac:dyDescent="0.25">
      <c r="A45" s="75" t="s">
        <v>708</v>
      </c>
    </row>
    <row r="46" spans="1:11" ht="14.25" customHeight="1" x14ac:dyDescent="0.25"/>
    <row r="47" spans="1:11" ht="14.25" customHeight="1" x14ac:dyDescent="0.25">
      <c r="A47" s="75" t="s">
        <v>692</v>
      </c>
    </row>
    <row r="48" spans="1:11" ht="14.25" customHeight="1" x14ac:dyDescent="0.25">
      <c r="A48" s="75" t="s">
        <v>693</v>
      </c>
    </row>
    <row r="49" spans="1:5" ht="14.25" customHeight="1" x14ac:dyDescent="0.25"/>
    <row r="50" spans="1:5" ht="14.25" customHeight="1" x14ac:dyDescent="0.25"/>
    <row r="51" spans="1:5" ht="14.25" customHeight="1" x14ac:dyDescent="0.3">
      <c r="A51" s="76" t="s">
        <v>694</v>
      </c>
    </row>
    <row r="52" spans="1:5" ht="14.25" customHeight="1" x14ac:dyDescent="0.25"/>
    <row r="53" spans="1:5" ht="14.25" customHeight="1" x14ac:dyDescent="0.25">
      <c r="A53" s="71" t="s">
        <v>493</v>
      </c>
      <c r="B53" s="71" t="s">
        <v>695</v>
      </c>
      <c r="C53" s="71" t="s">
        <v>709</v>
      </c>
    </row>
    <row r="54" spans="1:5" ht="14.25" customHeight="1" x14ac:dyDescent="0.25">
      <c r="A54" s="16" t="s">
        <v>671</v>
      </c>
      <c r="B54" s="67">
        <f>B32</f>
        <v>3564.3295454545455</v>
      </c>
      <c r="C54" s="67">
        <f>B9/B30</f>
        <v>3564.3295454545455</v>
      </c>
    </row>
    <row r="55" spans="1:5" ht="14.25" customHeight="1" x14ac:dyDescent="0.25">
      <c r="A55" s="16" t="s">
        <v>675</v>
      </c>
      <c r="B55" s="73">
        <f>B34</f>
        <v>0.99280999183397267</v>
      </c>
      <c r="C55" s="73">
        <f t="array" ref="C55">INDEX(Retention!$B$6:$BJ$6, MATCH($I$2, Retention!$B$4:$BJ$4,0))</f>
        <v>0.99280999183397267</v>
      </c>
      <c r="E55" s="1" t="s">
        <v>727</v>
      </c>
    </row>
    <row r="56" spans="1:5" ht="14.25" customHeight="1" x14ac:dyDescent="0.25">
      <c r="A56" s="16" t="s">
        <v>677</v>
      </c>
      <c r="B56" s="73">
        <f>B35</f>
        <v>0.99567298151094286</v>
      </c>
      <c r="C56" s="73">
        <f t="array" ref="C56">INDEX(Retention!$B$7:$BJ$7, MATCH($I$2, Retention!$B$4:$BJ$4,0))</f>
        <v>0.99567298151094286</v>
      </c>
    </row>
    <row r="57" spans="1:5" ht="14.25" customHeight="1" x14ac:dyDescent="0.25">
      <c r="A57" s="16" t="s">
        <v>678</v>
      </c>
      <c r="B57" s="16">
        <f>B36</f>
        <v>3.8461538461538463</v>
      </c>
      <c r="C57" s="16">
        <f>IFERROR(IF((B6+B7)=0,"N/A — no losses",(B4+B5)/(B6+B7)),"N/A")</f>
        <v>3.8461538461538463</v>
      </c>
    </row>
    <row r="58" spans="1:5" ht="14.25" customHeight="1" x14ac:dyDescent="0.25">
      <c r="A58" s="16" t="s">
        <v>696</v>
      </c>
      <c r="B58" s="74">
        <f>B38</f>
        <v>16000</v>
      </c>
      <c r="C58" s="74">
        <f>IFERROR(IF(B39=0,"—",B37/B39),"—")</f>
        <v>16000</v>
      </c>
    </row>
    <row r="59" spans="1:5" ht="14.25" customHeight="1" x14ac:dyDescent="0.25"/>
    <row r="60" spans="1:5" ht="14.25" customHeight="1" x14ac:dyDescent="0.25">
      <c r="A60" s="22" t="s">
        <v>657</v>
      </c>
    </row>
    <row r="61" spans="1:5" ht="14.25" customHeight="1" x14ac:dyDescent="0.25">
      <c r="A61" s="117" t="str">
        <f>TEXT($I$2,"mmmm yyyy")&amp;" — Closing MRR: "&amp;TEXT(B9,"$#,##0")&amp;" | NRR: "&amp;TEXT(B35,"0.0%")&amp;" | EBITDA margin: "&amp;TEXT(B23,"0.0%")</f>
        <v>April 2026 — Closing MRR: $156,831 | NRR: 99.6% | EBITDA margin: 22.2%</v>
      </c>
    </row>
    <row r="62" spans="1:5" ht="14.25" customHeight="1" x14ac:dyDescent="0.25">
      <c r="A62" s="118" t="s">
        <v>766</v>
      </c>
    </row>
    <row r="63" spans="1:5" ht="14.25" customHeight="1" x14ac:dyDescent="0.25">
      <c r="A63" s="1" t="s">
        <v>767</v>
      </c>
    </row>
    <row r="64" spans="1:5" ht="14.25" customHeight="1" x14ac:dyDescent="0.25">
      <c r="A64" s="1" t="s">
        <v>768</v>
      </c>
    </row>
    <row r="65" spans="1:1" ht="14.25" customHeight="1" x14ac:dyDescent="0.25">
      <c r="A65" s="1" t="s">
        <v>769</v>
      </c>
    </row>
    <row r="66" spans="1:1" ht="14.25" customHeight="1" x14ac:dyDescent="0.25"/>
    <row r="67" spans="1:1" ht="14.25" customHeight="1" x14ac:dyDescent="0.25"/>
    <row r="68" spans="1:1" ht="14.25" customHeight="1" x14ac:dyDescent="0.25"/>
    <row r="69" spans="1:1" ht="14.25" customHeight="1" x14ac:dyDescent="0.25"/>
    <row r="70" spans="1:1" ht="14.25" customHeight="1" x14ac:dyDescent="0.25"/>
    <row r="71" spans="1:1" ht="14.25" customHeight="1" x14ac:dyDescent="0.25"/>
    <row r="72" spans="1:1" ht="14.25" customHeight="1" x14ac:dyDescent="0.25"/>
    <row r="73" spans="1:1" ht="14.25" customHeight="1" x14ac:dyDescent="0.25"/>
    <row r="74" spans="1:1" ht="14.25" customHeight="1" x14ac:dyDescent="0.25"/>
    <row r="75" spans="1:1" ht="14.25" customHeight="1" x14ac:dyDescent="0.25"/>
    <row r="76" spans="1:1" ht="14.25" customHeight="1" x14ac:dyDescent="0.25"/>
    <row r="77" spans="1:1" ht="14.25" customHeight="1" x14ac:dyDescent="0.25"/>
    <row r="78" spans="1:1" ht="14.25" customHeight="1" x14ac:dyDescent="0.25"/>
    <row r="79" spans="1:1" ht="14.25" customHeight="1" x14ac:dyDescent="0.25"/>
    <row r="80" spans="1:1"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5C30E-2D9C-4C58-869D-23D594C065A1}">
  <sheetPr>
    <tabColor rgb="FF31859B"/>
  </sheetPr>
  <dimension ref="A1:N965"/>
  <sheetViews>
    <sheetView tabSelected="1" topLeftCell="A23" workbookViewId="0">
      <selection activeCell="J47" sqref="J47"/>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9" width="19" customWidth="1"/>
    <col min="10" max="26" width="8.7109375" customWidth="1"/>
  </cols>
  <sheetData>
    <row r="1" spans="1:10" ht="14.25" customHeight="1" x14ac:dyDescent="0.25">
      <c r="A1" s="22" t="s">
        <v>642</v>
      </c>
      <c r="H1" s="106" t="s">
        <v>714</v>
      </c>
      <c r="I1" s="107"/>
      <c r="J1" s="107"/>
    </row>
    <row r="2" spans="1:10" ht="14.25" customHeight="1" x14ac:dyDescent="0.25">
      <c r="A2" s="77" t="s">
        <v>493</v>
      </c>
      <c r="B2" s="77" t="str">
        <f>"Actual - "&amp;TEXT($I$2,"mmm yy")</f>
        <v>Actual - May 26</v>
      </c>
      <c r="C2" s="77" t="s">
        <v>1168</v>
      </c>
      <c r="D2" s="77" t="s">
        <v>645</v>
      </c>
      <c r="E2" s="77" t="s">
        <v>646</v>
      </c>
      <c r="F2" s="77" t="s">
        <v>647</v>
      </c>
      <c r="H2" s="108" t="s">
        <v>716</v>
      </c>
      <c r="I2" s="109">
        <v>46143</v>
      </c>
      <c r="J2" s="35" t="s">
        <v>717</v>
      </c>
    </row>
    <row r="3" spans="1:10" ht="14.25" customHeight="1" x14ac:dyDescent="0.25">
      <c r="A3" s="40" t="s">
        <v>494</v>
      </c>
      <c r="B3" s="60">
        <f>INDEX(Actuals!$B$2:$Y$2,MATCH($I$2,Actuals!$B$1:$Y$1,0))</f>
        <v>156830.5</v>
      </c>
      <c r="C3" s="60">
        <f>INDEX('Monthly Forecast'!$B$5:$M$5,MATCH($I$2,'Monthly Forecast'!$B$4:$M$4,0))</f>
        <v>160463.44007998414</v>
      </c>
      <c r="D3" s="60">
        <f>B3-C3</f>
        <v>-3632.9400799841387</v>
      </c>
      <c r="E3" s="61">
        <f>IFERROR(B3/C3-1, 0)</f>
        <v>-2.2640297865814674E-2</v>
      </c>
      <c r="F3" s="62" t="str" cm="1">
        <f t="array" ref="F3">_xlfn.IFS(D3&lt;0, "U", D3&gt;0, "F", D3=0, "-")</f>
        <v>U</v>
      </c>
      <c r="H3" s="110" t="s">
        <v>718</v>
      </c>
      <c r="I3" s="111" t="s">
        <v>1163</v>
      </c>
      <c r="J3" s="35" t="s">
        <v>717</v>
      </c>
    </row>
    <row r="4" spans="1:10" ht="14.25" customHeight="1" x14ac:dyDescent="0.25">
      <c r="A4" s="78" t="s">
        <v>561</v>
      </c>
      <c r="B4" s="60">
        <f t="array" ref="B4">INDEX(Actuals!$B$3:$Y$3,MATCH($I$2,Actuals!$B$1:$Y$1,0))</f>
        <v>4780</v>
      </c>
      <c r="C4" s="60">
        <f>INDEX('Monthly Forecast'!$B$6:$M$6,MATCH($I$2,'Monthly Forecast'!$B$4:$M$4,0))</f>
        <v>6400</v>
      </c>
      <c r="D4" s="60">
        <f>B4-C4</f>
        <v>-1620</v>
      </c>
      <c r="E4" s="61">
        <f>IFERROR(B4/C4-1, 0)</f>
        <v>-0.25312500000000004</v>
      </c>
      <c r="F4" s="62" t="str" cm="1">
        <f t="array" ref="F4">_xlfn.IFS(D4&lt;0, "U", D4&gt;0, "F", D4=0, "-")</f>
        <v>U</v>
      </c>
      <c r="H4" s="110" t="s">
        <v>720</v>
      </c>
      <c r="I4" s="112">
        <f>EOMONTH(I2,0)</f>
        <v>46173</v>
      </c>
      <c r="J4" s="35" t="s">
        <v>721</v>
      </c>
    </row>
    <row r="5" spans="1:10" ht="14.25" customHeight="1" x14ac:dyDescent="0.25">
      <c r="A5" s="78" t="s">
        <v>563</v>
      </c>
      <c r="B5" s="60">
        <f>INDEX(Actuals!$B$4:$Y$4,MATCH($I$2,Actuals!$B$1:$Y$1,0))</f>
        <v>425</v>
      </c>
      <c r="C5" s="60">
        <f>INDEX('Monthly Forecast'!$B$7:$M$7,MATCH($I$2,'Monthly Forecast'!$B$4:$M$4,0))</f>
        <v>802.31720039992069</v>
      </c>
      <c r="D5" s="60">
        <f>B5-C5</f>
        <v>-377.31720039992069</v>
      </c>
      <c r="E5" s="61">
        <f>IFERROR(B5/C5-1, 0)</f>
        <v>-0.47028432172692325</v>
      </c>
      <c r="F5" s="62" t="str" cm="1">
        <f t="array" ref="F5">_xlfn.IFS(D5&lt;0, "U", D5&gt;0, "F", D5=0, "-")</f>
        <v>U</v>
      </c>
    </row>
    <row r="6" spans="1:10" ht="14.25" customHeight="1" x14ac:dyDescent="0.25">
      <c r="A6" s="40" t="s">
        <v>648</v>
      </c>
      <c r="B6" s="60">
        <f>INDEX(Actuals!$B$5:$Y$5,MATCH($I$2,Actuals!$B$1:$Y$1,0))</f>
        <v>440</v>
      </c>
      <c r="C6" s="60">
        <f>INDEX('Monthly Forecast'!$B$8:$M$8,MATCH($I$2,'Monthly Forecast'!$B$4:$M$4,0))</f>
        <v>0</v>
      </c>
      <c r="D6" s="60">
        <f>B6-C6</f>
        <v>440</v>
      </c>
      <c r="E6" s="61">
        <f>IFERROR(B6/C6-1, 0)</f>
        <v>0</v>
      </c>
      <c r="F6" s="62" t="str" cm="1">
        <f t="array" ref="F6">_xlfn.IFS(D6&lt;0, "U", D6&gt;0, "F", D6=0, "-")</f>
        <v>F</v>
      </c>
    </row>
    <row r="7" spans="1:10" ht="14.25" customHeight="1" x14ac:dyDescent="0.25">
      <c r="A7" s="40" t="s">
        <v>567</v>
      </c>
      <c r="B7" s="60">
        <f t="array" ref="B7">INDEX(Actuals!$B$6:$Y$6,MATCH($I$2,Actuals!$B$1:$Y$1,0))</f>
        <v>1520</v>
      </c>
      <c r="C7" s="60">
        <f>INDEX('Monthly Forecast'!$B$9:$M$9,MATCH($I$2,'Monthly Forecast'!$B$4:$M$4,0))</f>
        <v>1075.1050485358937</v>
      </c>
      <c r="D7" s="60">
        <f>C7-B7</f>
        <v>-444.89495146410627</v>
      </c>
      <c r="E7" s="61">
        <f>IFERROR(B7/C7-1, 0)</f>
        <v>0.41381533094833456</v>
      </c>
      <c r="F7" s="79" t="str" cm="1">
        <f t="array" ref="F7">_xlfn.IFS(D7&gt;0, "F", D7&lt;0, "U", D7=0, "-")</f>
        <v>U</v>
      </c>
    </row>
    <row r="8" spans="1:10" ht="14.25" customHeight="1" thickBot="1" x14ac:dyDescent="0.3">
      <c r="A8" s="80" t="s">
        <v>569</v>
      </c>
      <c r="B8" s="81">
        <f>B4+B5-B6-B7</f>
        <v>3245</v>
      </c>
      <c r="C8" s="81">
        <f>C4+C5-C6-C7</f>
        <v>6127.212151864027</v>
      </c>
      <c r="D8" s="81">
        <f>B8-C8</f>
        <v>-2882.212151864027</v>
      </c>
      <c r="E8" s="82">
        <f>B8/C8-1</f>
        <v>-0.47039535769741503</v>
      </c>
      <c r="F8" s="83" t="str" cm="1">
        <f t="array" ref="F8">_xlfn.IFS(D8&lt;0, "U", D8&gt;0, "F", D8=0, "-")</f>
        <v>U</v>
      </c>
    </row>
    <row r="9" spans="1:10" ht="14.25" customHeight="1" thickTop="1" x14ac:dyDescent="0.25">
      <c r="A9" s="84" t="s">
        <v>498</v>
      </c>
      <c r="B9" s="85">
        <f>B3+B4+B5-B6-B7</f>
        <v>160075.5</v>
      </c>
      <c r="C9" s="85">
        <f>C3+C8</f>
        <v>166590.65223184816</v>
      </c>
      <c r="D9" s="85">
        <f>B9-C9</f>
        <v>-6515.1522318481584</v>
      </c>
      <c r="E9" s="86">
        <f>B9/C9-1</f>
        <v>-3.9108750368423206E-2</v>
      </c>
      <c r="F9" s="87" t="str" cm="1">
        <f t="array" ref="F9">_xlfn.IFS(D9&lt;0, "U", D9&gt;0, "F", D9=0, "-")</f>
        <v>U</v>
      </c>
    </row>
    <row r="10" spans="1:10" ht="14.25" customHeight="1" thickBot="1" x14ac:dyDescent="0.3">
      <c r="A10" s="66" t="s">
        <v>649</v>
      </c>
      <c r="B10" s="88">
        <f>B9*12</f>
        <v>1920906</v>
      </c>
      <c r="C10" s="88">
        <f>C9*12</f>
        <v>1999087.8267821779</v>
      </c>
      <c r="D10" s="88">
        <f>B10-C10</f>
        <v>-78181.826782177901</v>
      </c>
      <c r="E10" s="89">
        <f>B10/C10-1</f>
        <v>-3.9108750368423206E-2</v>
      </c>
      <c r="F10" s="90" t="str" cm="1">
        <f t="array" ref="F10">_xlfn.IFS(D10&lt;0, "U", D10&gt;0, "F", D10=0, "-")</f>
        <v>U</v>
      </c>
    </row>
    <row r="11" spans="1:10" ht="14.25" customHeight="1" thickTop="1" x14ac:dyDescent="0.25">
      <c r="A11" s="91"/>
      <c r="B11" s="91"/>
      <c r="C11" s="91"/>
      <c r="D11" s="91"/>
      <c r="E11" s="91"/>
      <c r="F11" s="91"/>
    </row>
    <row r="12" spans="1:10" ht="14.25" customHeight="1" x14ac:dyDescent="0.25">
      <c r="A12" s="66" t="s">
        <v>650</v>
      </c>
    </row>
    <row r="13" spans="1:10" ht="14.25" customHeight="1" x14ac:dyDescent="0.25">
      <c r="A13" s="77" t="s">
        <v>493</v>
      </c>
      <c r="B13" s="77" t="str">
        <f>"Actual - "&amp;TEXT($I$2,"mmm yy")</f>
        <v>Actual - May 26</v>
      </c>
      <c r="C13" s="77" t="s">
        <v>1168</v>
      </c>
      <c r="D13" s="77" t="s">
        <v>645</v>
      </c>
      <c r="E13" s="77" t="s">
        <v>646</v>
      </c>
      <c r="F13" s="77" t="s">
        <v>647</v>
      </c>
    </row>
    <row r="14" spans="1:10" ht="14.25" customHeight="1" x14ac:dyDescent="0.25">
      <c r="A14" s="66" t="s">
        <v>582</v>
      </c>
      <c r="B14" s="67">
        <f>B9</f>
        <v>160075.5</v>
      </c>
      <c r="C14" s="67">
        <f>C9</f>
        <v>166590.65223184816</v>
      </c>
      <c r="D14" s="67">
        <f t="shared" ref="D14:D23" si="0">B14-C14</f>
        <v>-6515.1522318481584</v>
      </c>
      <c r="E14" s="68">
        <f t="shared" ref="E14:E23" si="1">B14/C14-1</f>
        <v>-3.9108750368423206E-2</v>
      </c>
      <c r="F14" s="62" t="str" cm="1">
        <f t="array" ref="F14">_xlfn.IFS(D14&lt;0, "U", D14&gt;0, "F", D14=0, "-")</f>
        <v>U</v>
      </c>
      <c r="H14" s="35" t="s">
        <v>651</v>
      </c>
    </row>
    <row r="15" spans="1:10" ht="14.25" customHeight="1" x14ac:dyDescent="0.25">
      <c r="A15" s="66" t="s">
        <v>503</v>
      </c>
      <c r="B15" s="67">
        <f>B14*(1-B17)</f>
        <v>48022.650000000009</v>
      </c>
      <c r="C15" s="67">
        <f>C14*0.3</f>
        <v>49977.195669554443</v>
      </c>
      <c r="D15" s="67">
        <f t="shared" si="0"/>
        <v>-1954.5456695544344</v>
      </c>
      <c r="E15" s="68">
        <f t="shared" si="1"/>
        <v>-3.9108750368422984E-2</v>
      </c>
      <c r="F15" s="62" t="str" cm="1">
        <f t="array" ref="F15">_xlfn.IFS(D15&gt;0, "U", D15&lt;0, "F", D15=0, "-")</f>
        <v>F</v>
      </c>
      <c r="H15" s="35" t="s">
        <v>652</v>
      </c>
    </row>
    <row r="16" spans="1:10" ht="14.25" customHeight="1" thickBot="1" x14ac:dyDescent="0.3">
      <c r="A16" s="80" t="s">
        <v>504</v>
      </c>
      <c r="B16" s="92">
        <f>B14-B15</f>
        <v>112052.84999999999</v>
      </c>
      <c r="C16" s="92">
        <f>C14-C15</f>
        <v>116613.45656229372</v>
      </c>
      <c r="D16" s="92">
        <f t="shared" si="0"/>
        <v>-4560.6065622937313</v>
      </c>
      <c r="E16" s="93">
        <f t="shared" si="1"/>
        <v>-3.9108750368423428E-2</v>
      </c>
      <c r="F16" s="94" t="str" cm="1">
        <f t="array" ref="F16">_xlfn.IFS(D16&lt;0, "U", D16&gt;0, "F", D16=0, "-")</f>
        <v>U</v>
      </c>
      <c r="H16" s="35" t="s">
        <v>653</v>
      </c>
    </row>
    <row r="17" spans="1:14" ht="14.25" customHeight="1" thickTop="1" x14ac:dyDescent="0.25">
      <c r="A17" s="84" t="s">
        <v>587</v>
      </c>
      <c r="B17" s="95">
        <v>0.7</v>
      </c>
      <c r="C17" s="96">
        <f>C16/C14</f>
        <v>0.70000000000000007</v>
      </c>
      <c r="D17" s="96">
        <f t="shared" si="0"/>
        <v>0</v>
      </c>
      <c r="E17" s="96">
        <f t="shared" si="1"/>
        <v>0</v>
      </c>
      <c r="F17" s="97" t="str" cm="1">
        <f t="array" ref="F17">_xlfn.IFS(D17&lt;0, "U", D17&gt;0, "F", D17=0, "-")</f>
        <v>-</v>
      </c>
      <c r="H17" s="35" t="s">
        <v>654</v>
      </c>
    </row>
    <row r="18" spans="1:14" ht="14.25" customHeight="1" x14ac:dyDescent="0.25">
      <c r="A18" s="66" t="s">
        <v>635</v>
      </c>
      <c r="B18" s="67">
        <v>29000</v>
      </c>
      <c r="C18" s="67">
        <f>INDEX('Monthly Forecast'!$B$20:$M$20,MATCH($I$2,'Monthly Forecast'!$B$4:$M$4,0))</f>
        <v>30000</v>
      </c>
      <c r="D18" s="67">
        <f t="shared" si="0"/>
        <v>-1000</v>
      </c>
      <c r="E18" s="68">
        <f t="shared" si="1"/>
        <v>-3.3333333333333326E-2</v>
      </c>
      <c r="F18" s="62" t="str" cm="1">
        <f t="array" ref="F18">_xlfn.IFS(D18&lt;0, "U", D18&gt;0, "F", D18=0, "-")</f>
        <v>U</v>
      </c>
      <c r="H18" s="35" t="s">
        <v>654</v>
      </c>
    </row>
    <row r="19" spans="1:14" ht="14.25" customHeight="1" x14ac:dyDescent="0.25">
      <c r="A19" s="66" t="s">
        <v>636</v>
      </c>
      <c r="B19" s="67">
        <v>24000</v>
      </c>
      <c r="C19" s="67">
        <f>INDEX('Monthly Forecast'!$B$21:$M$21,MATCH($I$2,'Monthly Forecast'!$B$4:$M$4,0))</f>
        <v>25000</v>
      </c>
      <c r="D19" s="67">
        <f t="shared" si="0"/>
        <v>-1000</v>
      </c>
      <c r="E19" s="68">
        <f t="shared" si="1"/>
        <v>-4.0000000000000036E-2</v>
      </c>
      <c r="F19" s="62" t="str" cm="1">
        <f t="array" ref="F19">_xlfn.IFS(D19&lt;0, "U", D19&gt;0, "F", D19=0, "-")</f>
        <v>U</v>
      </c>
      <c r="H19" s="35" t="s">
        <v>654</v>
      </c>
    </row>
    <row r="20" spans="1:14" ht="14.25" customHeight="1" x14ac:dyDescent="0.25">
      <c r="A20" s="66" t="s">
        <v>637</v>
      </c>
      <c r="B20" s="67">
        <v>21000</v>
      </c>
      <c r="C20" s="67">
        <f>INDEX('Monthly Forecast'!$B$22:$M$22,MATCH($I$2,'Monthly Forecast'!$B$4:$M$4,0))</f>
        <v>19000</v>
      </c>
      <c r="D20" s="67">
        <f t="shared" si="0"/>
        <v>2000</v>
      </c>
      <c r="E20" s="68">
        <f t="shared" si="1"/>
        <v>0.10526315789473695</v>
      </c>
      <c r="F20" s="62" t="str" cm="1">
        <f t="array" ref="F20">_xlfn.IFS(D20&lt;0, "U", D20&gt;0, "F", D20=0, "-")</f>
        <v>F</v>
      </c>
      <c r="H20" s="35" t="s">
        <v>591</v>
      </c>
    </row>
    <row r="21" spans="1:14" ht="14.25" customHeight="1" thickBot="1" x14ac:dyDescent="0.3">
      <c r="A21" s="80" t="s">
        <v>502</v>
      </c>
      <c r="B21" s="92">
        <f>SUM(B18:B20)</f>
        <v>74000</v>
      </c>
      <c r="C21" s="92">
        <f>SUM(C18:C20)</f>
        <v>74000</v>
      </c>
      <c r="D21" s="92">
        <f t="shared" si="0"/>
        <v>0</v>
      </c>
      <c r="E21" s="98">
        <f t="shared" si="1"/>
        <v>0</v>
      </c>
      <c r="F21" s="94" t="str" cm="1">
        <f t="array" ref="F21">_xlfn.IFS(D21&lt;0, "U", D21&gt;0, "F", D21=0, "-")</f>
        <v>-</v>
      </c>
      <c r="H21" s="35" t="s">
        <v>655</v>
      </c>
    </row>
    <row r="22" spans="1:14" ht="14.25" customHeight="1" thickTop="1" thickBot="1" x14ac:dyDescent="0.3">
      <c r="A22" s="99" t="s">
        <v>505</v>
      </c>
      <c r="B22" s="100">
        <f>B16-B21</f>
        <v>38052.849999999991</v>
      </c>
      <c r="C22" s="100">
        <f>C16-C21</f>
        <v>42613.456562293723</v>
      </c>
      <c r="D22" s="100">
        <f t="shared" si="0"/>
        <v>-4560.6065622937313</v>
      </c>
      <c r="E22" s="101">
        <f t="shared" si="1"/>
        <v>-0.10702268556006223</v>
      </c>
      <c r="F22" s="102" t="str" cm="1">
        <f t="array" ref="F22">_xlfn.IFS(D22&lt;0, "U", D22&gt;0, "F", D22=0, "-")</f>
        <v>U</v>
      </c>
      <c r="H22" s="35" t="s">
        <v>656</v>
      </c>
    </row>
    <row r="23" spans="1:14" ht="14.25" customHeight="1" thickTop="1" x14ac:dyDescent="0.25">
      <c r="A23" s="66" t="s">
        <v>593</v>
      </c>
      <c r="B23" s="73">
        <f>B22/B14</f>
        <v>0.23771813925303992</v>
      </c>
      <c r="C23" s="73">
        <f>C22/C14</f>
        <v>0.25579740514484312</v>
      </c>
      <c r="D23" s="68">
        <f t="shared" si="0"/>
        <v>-1.8079265891803198E-2</v>
      </c>
      <c r="E23" s="68">
        <f t="shared" si="1"/>
        <v>-7.067806603263227E-2</v>
      </c>
      <c r="F23" s="62" t="str">
        <f t="array" aca="1" ref="F23" ca="1">IFERROR(_xludf.IFS(D23&lt;0, "U", D23&gt;0, "F", D23=0, "-"), "-")</f>
        <v>-</v>
      </c>
    </row>
    <row r="24" spans="1:14" ht="14.25" customHeight="1" x14ac:dyDescent="0.25"/>
    <row r="25" spans="1:14" ht="14.25" customHeight="1" x14ac:dyDescent="0.25">
      <c r="A25" s="103"/>
    </row>
    <row r="26" spans="1:14" ht="14.25" customHeight="1" x14ac:dyDescent="0.25"/>
    <row r="27" spans="1:14" ht="14.25" customHeight="1" x14ac:dyDescent="0.3">
      <c r="A27" s="248" t="s">
        <v>1164</v>
      </c>
    </row>
    <row r="28" spans="1:14" ht="14.25" customHeight="1" x14ac:dyDescent="0.25">
      <c r="H28" s="113"/>
    </row>
    <row r="29" spans="1:14" ht="14.25" customHeight="1" x14ac:dyDescent="0.25">
      <c r="A29" s="71" t="s">
        <v>493</v>
      </c>
      <c r="B29" s="71" t="s">
        <v>668</v>
      </c>
      <c r="C29" s="71" t="str">
        <f>"vs "&amp;TEXT(EOMONTH($I$2,-1),"mmm yyyy")</f>
        <v>vs Apr 2026</v>
      </c>
      <c r="D29" s="71" t="s">
        <v>669</v>
      </c>
    </row>
    <row r="30" spans="1:14" ht="14.25" customHeight="1" x14ac:dyDescent="0.25">
      <c r="A30" s="16" t="s">
        <v>507</v>
      </c>
      <c r="B30" s="114">
        <f t="array" ref="B30">INDEX(Actuals!$B$16:$Y$16,MATCH($I$2,Actuals!$B$1:$Y$1,0))</f>
        <v>45</v>
      </c>
      <c r="C30" s="115">
        <f t="array" ref="C30">B30-INDEX(Actuals!$B$16:$Y$16,MATCH(DATE(YEAR($I$2),MONTH($I$2)-1,1),Actuals!$B$1:$Y$1,0))</f>
        <v>1</v>
      </c>
      <c r="D30" s="247" t="s">
        <v>1165</v>
      </c>
    </row>
    <row r="31" spans="1:14" ht="14.25" customHeight="1" x14ac:dyDescent="0.25">
      <c r="A31" s="16" t="s">
        <v>508</v>
      </c>
      <c r="B31" s="114">
        <f t="array" ref="B31">INDEX(Actuals!$B$17:$Y$17,MATCH($I$2,Actuals!$B$1:$Y$1,0))</f>
        <v>56</v>
      </c>
      <c r="C31" s="115">
        <f t="array" ref="C31">B31-INDEX(Actuals!$B$17:$Y$17,MATCH(DATE(YEAR($I$2),MONTH($I$2)-1,1),Actuals!$B$1:$Y$1,0))</f>
        <v>1</v>
      </c>
      <c r="D31" s="247" t="s">
        <v>1165</v>
      </c>
      <c r="N31" s="1" t="s">
        <v>725</v>
      </c>
    </row>
    <row r="32" spans="1:14" ht="14.25" customHeight="1" x14ac:dyDescent="0.25">
      <c r="A32" s="16" t="s">
        <v>671</v>
      </c>
      <c r="B32" s="67">
        <f>B9/B30</f>
        <v>3557.2333333333331</v>
      </c>
      <c r="C32" s="67">
        <f t="array" ref="C32">IFERROR(B32-INDEX(Actuals!$B$7:$Y$7,MATCH(DATE(YEAR($I$2),MONTH($I$2)-1,1),Actuals!$B$1:$Y$1,0))/INDEX(Actuals!$B$16:$Y$16,MATCH(DATE(YEAR($I$2),MONTH($I$2)-1,1),Actuals!$B$1:$Y$1,0)),"—")</f>
        <v>-7.0962121212123748</v>
      </c>
      <c r="D32" s="16" t="s">
        <v>672</v>
      </c>
    </row>
    <row r="33" spans="1:11" ht="14.25" customHeight="1" x14ac:dyDescent="0.25">
      <c r="A33" s="16" t="s">
        <v>673</v>
      </c>
      <c r="B33" s="73">
        <f>B17</f>
        <v>0.7</v>
      </c>
      <c r="C33" s="73">
        <f>0</f>
        <v>0</v>
      </c>
      <c r="D33" s="16" t="s">
        <v>674</v>
      </c>
    </row>
    <row r="34" spans="1:11" ht="14.25" customHeight="1" x14ac:dyDescent="0.25">
      <c r="A34" s="16" t="s">
        <v>675</v>
      </c>
      <c r="B34" s="73">
        <f t="array" ref="B34">INDEX(Retention!$B$6:$BJ$6,MATCH($I$2,Retention!$B$4:$BJ$4,0))</f>
        <v>0.98750243096846591</v>
      </c>
      <c r="C34" s="73">
        <f t="array" ref="C34">B34-INDEX(Retention!$B$6:$BJ$6,MATCH(DATE(YEAR($I$2),MONTH($I$2)-1,1),Retention!$B$4:$BJ$4,0))</f>
        <v>-5.3075608655067663E-3</v>
      </c>
      <c r="D34" s="16" t="s">
        <v>676</v>
      </c>
      <c r="K34" s="1"/>
    </row>
    <row r="35" spans="1:11" ht="14.25" customHeight="1" x14ac:dyDescent="0.25">
      <c r="A35" s="16" t="s">
        <v>677</v>
      </c>
      <c r="B35" s="73">
        <f t="array" ref="B35">INDEX(Retention!$B$7:$BJ$7,MATCH($I$2,Retention!$B$4:$BJ$4,0))</f>
        <v>0.99021236302887516</v>
      </c>
      <c r="C35" s="73">
        <f t="array" ref="C35">B35-INDEX(Retention!$B$7:$BJ$7,MATCH(DATE(YEAR($I$2),MONTH($I$2)-1,1),Retention!$B$4:$BJ$4,0))</f>
        <v>-5.4606184820676917E-3</v>
      </c>
      <c r="D35" s="16" t="s">
        <v>676</v>
      </c>
    </row>
    <row r="36" spans="1:11" ht="14.25" customHeight="1" x14ac:dyDescent="0.25">
      <c r="A36" s="16" t="s">
        <v>678</v>
      </c>
      <c r="B36" s="16">
        <f>IFERROR(IF((B6+B7)=0,"N/A — no losses",(B4+B5)/(B6+B7)),"N/A")</f>
        <v>2.6556122448979593</v>
      </c>
      <c r="C36" s="16">
        <f>IFERROR(IF(ISNUMBER(B36),B36-INDEX('KPI Tracker'!$B$10:$F$10,MATCH(DATE(YEAR($I$2),MONTH($I$2)-1,1),'KPI Tracker'!$B$3:$F$3,0)),"—"),"—")</f>
        <v>-1.1905416012558869</v>
      </c>
      <c r="D36" s="16" t="s">
        <v>702</v>
      </c>
    </row>
    <row r="37" spans="1:11" ht="14.25" customHeight="1" x14ac:dyDescent="0.25">
      <c r="A37" s="16" t="s">
        <v>681</v>
      </c>
      <c r="B37" s="74">
        <f>B18</f>
        <v>29000</v>
      </c>
      <c r="C37" s="74">
        <f t="array" ref="C37">B37-INDEX(Actuals!$B$8:$Y$8,MATCH(DATE(YEAR($I$2),MONTH($I$2)-1,1),Actuals!$B$1:$Y$1,0))</f>
        <v>-3000</v>
      </c>
      <c r="D37" s="16" t="s">
        <v>682</v>
      </c>
    </row>
    <row r="38" spans="1:11" ht="14.25" customHeight="1" x14ac:dyDescent="0.25">
      <c r="A38" s="16" t="s">
        <v>683</v>
      </c>
      <c r="B38" s="74">
        <f>IFERROR(IF(B39=0,"—",B37/B39),"—")</f>
        <v>29000</v>
      </c>
      <c r="C38" s="74">
        <f t="array" ref="C38">IFERROR(B38-INDEX(Actuals!$B$8:$Y$8,MATCH(DATE(YEAR($I$2),MONTH($I$2)-1,1),Actuals!$B$1:$Y$1,0))/INDEX(Actuals!$B$15:$Y$15,MATCH(DATE(YEAR($I$2),MONTH($I$2)-1,1),Actuals!$B$1:$Y$1,0)),"—")</f>
        <v>13000</v>
      </c>
      <c r="D38" s="16" t="s">
        <v>703</v>
      </c>
    </row>
    <row r="39" spans="1:11" ht="14.25" customHeight="1" x14ac:dyDescent="0.25">
      <c r="A39" s="104" t="s">
        <v>704</v>
      </c>
      <c r="B39" s="114">
        <f t="array" ref="B39">INDEX(Actuals!$B$15:$Y$15,MATCH($I$2,Actuals!$B$1:$Y$1,0))</f>
        <v>1</v>
      </c>
      <c r="C39" s="16" t="s">
        <v>686</v>
      </c>
      <c r="D39" s="249" t="s">
        <v>1166</v>
      </c>
    </row>
    <row r="40" spans="1:11" ht="14.25" customHeight="1" x14ac:dyDescent="0.25">
      <c r="A40" s="16" t="s">
        <v>706</v>
      </c>
      <c r="B40" s="74">
        <f>IFERROR(IF(('Jan 2026 A vs F '!B46/'Jan 2026 A vs F '!B47+'Feb 2026 A vs F'!B39+B39)=0,"—",('Jan 2026 A vs F '!B46+'Feb 2026 A vs F'!B37+B37)/('Jan 2026 A vs F '!B46/'Jan 2026 A vs F '!B47+'Feb 2026 A vs F'!B39+B39)),"—")</f>
        <v>22500</v>
      </c>
      <c r="C40" s="16" t="s">
        <v>686</v>
      </c>
      <c r="D40" s="16" t="s">
        <v>707</v>
      </c>
      <c r="K40" s="116"/>
    </row>
    <row r="41" spans="1:11" ht="14.25" customHeight="1" x14ac:dyDescent="0.25">
      <c r="A41" s="16" t="s">
        <v>685</v>
      </c>
      <c r="B41" s="16" t="s">
        <v>686</v>
      </c>
      <c r="C41" s="16" t="s">
        <v>686</v>
      </c>
      <c r="D41" s="16" t="s">
        <v>687</v>
      </c>
    </row>
    <row r="42" spans="1:11" ht="14.25" customHeight="1" x14ac:dyDescent="0.25">
      <c r="A42" s="16" t="s">
        <v>688</v>
      </c>
      <c r="B42" s="16" t="s">
        <v>686</v>
      </c>
      <c r="C42" s="16" t="s">
        <v>686</v>
      </c>
      <c r="D42" s="16" t="s">
        <v>687</v>
      </c>
    </row>
    <row r="43" spans="1:11" ht="14.25" customHeight="1" x14ac:dyDescent="0.25">
      <c r="A43" s="16" t="s">
        <v>689</v>
      </c>
      <c r="B43" s="16" t="s">
        <v>686</v>
      </c>
      <c r="C43" s="16" t="s">
        <v>686</v>
      </c>
      <c r="D43" s="16" t="s">
        <v>687</v>
      </c>
    </row>
    <row r="44" spans="1:11" ht="14.25" customHeight="1" x14ac:dyDescent="0.25">
      <c r="A44" s="75" t="s">
        <v>690</v>
      </c>
    </row>
    <row r="45" spans="1:11" ht="14.25" customHeight="1" x14ac:dyDescent="0.25">
      <c r="A45" s="75" t="s">
        <v>708</v>
      </c>
    </row>
    <row r="46" spans="1:11" ht="14.25" customHeight="1" x14ac:dyDescent="0.25"/>
    <row r="47" spans="1:11" ht="14.25" customHeight="1" x14ac:dyDescent="0.25">
      <c r="A47" s="75" t="s">
        <v>692</v>
      </c>
    </row>
    <row r="48" spans="1:11" ht="14.25" customHeight="1" x14ac:dyDescent="0.25">
      <c r="A48" s="75" t="s">
        <v>693</v>
      </c>
    </row>
    <row r="49" spans="1:5" ht="14.25" customHeight="1" x14ac:dyDescent="0.25"/>
    <row r="50" spans="1:5" ht="14.25" customHeight="1" x14ac:dyDescent="0.25"/>
    <row r="51" spans="1:5" ht="14.25" customHeight="1" x14ac:dyDescent="0.3">
      <c r="A51" s="76" t="s">
        <v>694</v>
      </c>
    </row>
    <row r="52" spans="1:5" ht="14.25" customHeight="1" x14ac:dyDescent="0.25"/>
    <row r="53" spans="1:5" ht="14.25" customHeight="1" x14ac:dyDescent="0.25">
      <c r="A53" s="71" t="s">
        <v>493</v>
      </c>
      <c r="B53" s="71" t="s">
        <v>695</v>
      </c>
      <c r="C53" s="71" t="s">
        <v>709</v>
      </c>
    </row>
    <row r="54" spans="1:5" ht="14.25" customHeight="1" x14ac:dyDescent="0.25">
      <c r="A54" s="16" t="s">
        <v>671</v>
      </c>
      <c r="B54" s="67">
        <f>B32</f>
        <v>3557.2333333333331</v>
      </c>
      <c r="C54" s="67">
        <f>B9/B30</f>
        <v>3557.2333333333331</v>
      </c>
    </row>
    <row r="55" spans="1:5" ht="14.25" customHeight="1" x14ac:dyDescent="0.25">
      <c r="A55" s="16" t="s">
        <v>675</v>
      </c>
      <c r="B55" s="73">
        <f>B34</f>
        <v>0.98750243096846591</v>
      </c>
      <c r="C55" s="73">
        <f t="array" ref="C55">INDEX(Retention!$B$6:$BJ$6, MATCH($I$2, Retention!$B$4:$BJ$4,0))</f>
        <v>0.98750243096846591</v>
      </c>
      <c r="E55" s="1"/>
    </row>
    <row r="56" spans="1:5" ht="14.25" customHeight="1" x14ac:dyDescent="0.25">
      <c r="A56" s="16" t="s">
        <v>677</v>
      </c>
      <c r="B56" s="73">
        <f>B35</f>
        <v>0.99021236302887516</v>
      </c>
      <c r="C56" s="73">
        <f t="array" ref="C56">INDEX(Retention!$B$7:$BJ$7, MATCH($I$2, Retention!$B$4:$BJ$4,0))</f>
        <v>0.99021236302887516</v>
      </c>
    </row>
    <row r="57" spans="1:5" ht="14.25" customHeight="1" x14ac:dyDescent="0.25">
      <c r="A57" s="16" t="s">
        <v>678</v>
      </c>
      <c r="B57" s="16">
        <f>B36</f>
        <v>2.6556122448979593</v>
      </c>
      <c r="C57" s="16">
        <f>IFERROR(IF((B6+B7)=0,"N/A — no losses",(B4+B5)/(B6+B7)),"N/A")</f>
        <v>2.6556122448979593</v>
      </c>
    </row>
    <row r="58" spans="1:5" ht="14.25" customHeight="1" x14ac:dyDescent="0.25">
      <c r="A58" s="16" t="s">
        <v>696</v>
      </c>
      <c r="B58" s="74">
        <f>B38</f>
        <v>29000</v>
      </c>
      <c r="C58" s="74">
        <f>IFERROR(IF(B39=0,"—",B37/B39),"—")</f>
        <v>29000</v>
      </c>
    </row>
    <row r="59" spans="1:5" ht="14.25" customHeight="1" x14ac:dyDescent="0.25"/>
    <row r="60" spans="1:5" ht="14.25" customHeight="1" x14ac:dyDescent="0.25">
      <c r="A60" s="22" t="s">
        <v>657</v>
      </c>
    </row>
    <row r="61" spans="1:5" ht="14.25" customHeight="1" x14ac:dyDescent="0.25">
      <c r="A61" s="117" t="str">
        <f>TEXT($I$2,"mmmm yyyy")&amp;" — Closing MRR: "&amp;TEXT(B9,"$#,##0")&amp;" | NRR: "&amp;TEXT(B35,"0.0%")&amp;" | EBITDA margin: "&amp;TEXT(B23,"0.0%")</f>
        <v>May 2026 — Closing MRR: $160,076 | NRR: 99.0% | EBITDA margin: 23.8%</v>
      </c>
    </row>
    <row r="62" spans="1:5" ht="14.25" customHeight="1" x14ac:dyDescent="0.25">
      <c r="A62" s="118" t="s">
        <v>1182</v>
      </c>
    </row>
    <row r="63" spans="1:5" ht="14.25" customHeight="1" x14ac:dyDescent="0.25">
      <c r="A63" s="1" t="s">
        <v>1183</v>
      </c>
    </row>
    <row r="64" spans="1:5" ht="14.25" customHeight="1" x14ac:dyDescent="0.25">
      <c r="A64" s="1" t="s">
        <v>1180</v>
      </c>
    </row>
    <row r="65" spans="1:1" ht="14.25" customHeight="1" x14ac:dyDescent="0.25">
      <c r="A65" s="1" t="s">
        <v>1181</v>
      </c>
    </row>
    <row r="66" spans="1:1" ht="14.25" customHeight="1" x14ac:dyDescent="0.25"/>
    <row r="67" spans="1:1" ht="14.25" customHeight="1" x14ac:dyDescent="0.25"/>
    <row r="68" spans="1:1" ht="14.25" customHeight="1" x14ac:dyDescent="0.25"/>
    <row r="69" spans="1:1" ht="14.25" customHeight="1" x14ac:dyDescent="0.25"/>
    <row r="70" spans="1:1" ht="14.25" customHeight="1" x14ac:dyDescent="0.25"/>
    <row r="71" spans="1:1" ht="14.25" customHeight="1" x14ac:dyDescent="0.25"/>
    <row r="72" spans="1:1" ht="14.25" customHeight="1" x14ac:dyDescent="0.25"/>
    <row r="73" spans="1:1" ht="14.25" customHeight="1" x14ac:dyDescent="0.25"/>
    <row r="74" spans="1:1" ht="14.25" customHeight="1" x14ac:dyDescent="0.25"/>
    <row r="75" spans="1:1" ht="14.25" customHeight="1" x14ac:dyDescent="0.25"/>
    <row r="76" spans="1:1" ht="14.25" customHeight="1" x14ac:dyDescent="0.25"/>
    <row r="77" spans="1:1" ht="14.25" customHeight="1" x14ac:dyDescent="0.25"/>
    <row r="78" spans="1:1" ht="14.25" customHeight="1" x14ac:dyDescent="0.25"/>
    <row r="79" spans="1:1" ht="14.25" customHeight="1" x14ac:dyDescent="0.25"/>
    <row r="80" spans="1:1"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I1000"/>
  <sheetViews>
    <sheetView workbookViewId="0">
      <pane ySplit="6" topLeftCell="A7" activePane="bottomLeft" state="frozen"/>
      <selection pane="bottomLeft" activeCell="B55" sqref="B55"/>
    </sheetView>
  </sheetViews>
  <sheetFormatPr defaultColWidth="14.42578125" defaultRowHeight="15" customHeight="1" x14ac:dyDescent="0.25"/>
  <cols>
    <col min="1" max="1" width="30" customWidth="1"/>
    <col min="2" max="5" width="14" customWidth="1"/>
    <col min="6" max="6" width="4" customWidth="1"/>
    <col min="7" max="7" width="14" customWidth="1"/>
    <col min="8" max="8" width="8.7109375" customWidth="1"/>
    <col min="9" max="9" width="48" customWidth="1"/>
    <col min="10" max="26" width="8.7109375" customWidth="1"/>
  </cols>
  <sheetData>
    <row r="1" spans="1:9" ht="14.25" customHeight="1" x14ac:dyDescent="0.25">
      <c r="A1" s="34" t="s">
        <v>725</v>
      </c>
    </row>
    <row r="2" spans="1:9" ht="14.25" customHeight="1" x14ac:dyDescent="0.25">
      <c r="A2" s="35" t="s">
        <v>770</v>
      </c>
    </row>
    <row r="3" spans="1:9" ht="14.25" customHeight="1" x14ac:dyDescent="0.25">
      <c r="A3" s="35" t="s">
        <v>771</v>
      </c>
    </row>
    <row r="4" spans="1:9" ht="14.25" customHeight="1" x14ac:dyDescent="0.25"/>
    <row r="5" spans="1:9" ht="14.25" customHeight="1" x14ac:dyDescent="0.25">
      <c r="A5" s="36" t="s">
        <v>772</v>
      </c>
      <c r="B5" s="37"/>
      <c r="C5" s="37"/>
      <c r="D5" s="37"/>
      <c r="E5" s="37"/>
      <c r="F5" s="37"/>
    </row>
    <row r="6" spans="1:9" ht="14.25" customHeight="1" x14ac:dyDescent="0.25">
      <c r="A6" s="38" t="s">
        <v>493</v>
      </c>
      <c r="B6" s="38" t="s">
        <v>622</v>
      </c>
      <c r="C6" s="38" t="s">
        <v>623</v>
      </c>
      <c r="D6" s="38" t="s">
        <v>624</v>
      </c>
      <c r="E6" s="38" t="s">
        <v>625</v>
      </c>
      <c r="G6" s="77" t="s">
        <v>773</v>
      </c>
      <c r="I6" s="126" t="s">
        <v>774</v>
      </c>
    </row>
    <row r="7" spans="1:9" ht="14.25" customHeight="1" x14ac:dyDescent="0.25">
      <c r="A7" s="40" t="s">
        <v>494</v>
      </c>
      <c r="B7" s="60">
        <f>'Forecast Assumptions'!B6</f>
        <v>143069.5</v>
      </c>
      <c r="C7" s="60">
        <f>B12</f>
        <v>154354.1525</v>
      </c>
      <c r="D7" s="60">
        <f>C12</f>
        <v>172782.38173749999</v>
      </c>
      <c r="E7" s="60">
        <f>D12</f>
        <v>200718.46982881249</v>
      </c>
      <c r="G7" s="60">
        <f>B7</f>
        <v>143069.5</v>
      </c>
      <c r="I7" s="35" t="s">
        <v>775</v>
      </c>
    </row>
    <row r="8" spans="1:9" ht="14.25" customHeight="1" x14ac:dyDescent="0.25">
      <c r="A8" s="40" t="s">
        <v>561</v>
      </c>
      <c r="B8" s="60">
        <f>'Forecast Assumptions'!B12*'Forecast Assumptions'!B13</f>
        <v>12000</v>
      </c>
      <c r="C8" s="60">
        <f>'Forecast Assumptions'!C12*'Forecast Assumptions'!C13</f>
        <v>19200</v>
      </c>
      <c r="D8" s="60">
        <f>'Forecast Assumptions'!D12*'Forecast Assumptions'!D13</f>
        <v>28800</v>
      </c>
      <c r="E8" s="60">
        <f>'Forecast Assumptions'!E12*'Forecast Assumptions'!E13</f>
        <v>30600</v>
      </c>
      <c r="G8" s="60">
        <f>B8+C8+D8+E8</f>
        <v>90600</v>
      </c>
      <c r="I8" s="35" t="s">
        <v>776</v>
      </c>
    </row>
    <row r="9" spans="1:9" ht="14.25" customHeight="1" x14ac:dyDescent="0.25">
      <c r="A9" s="40" t="s">
        <v>563</v>
      </c>
      <c r="B9" s="60">
        <f>B7*'Forecast Assumptions'!B14</f>
        <v>2146.0425</v>
      </c>
      <c r="C9" s="60">
        <f>C7*'Forecast Assumptions'!C14</f>
        <v>2315.3122874999999</v>
      </c>
      <c r="D9" s="60">
        <f>D7*'Forecast Assumptions'!D14</f>
        <v>2591.7357260624999</v>
      </c>
      <c r="E9" s="60">
        <f>E7*'Forecast Assumptions'!E14</f>
        <v>3010.7770474321874</v>
      </c>
      <c r="G9" s="60">
        <f>B9+C9+D9+E9</f>
        <v>10063.867560994688</v>
      </c>
      <c r="I9" s="35" t="s">
        <v>777</v>
      </c>
    </row>
    <row r="10" spans="1:9" ht="14.25" customHeight="1" x14ac:dyDescent="0.25">
      <c r="A10" s="40" t="s">
        <v>567</v>
      </c>
      <c r="B10" s="60">
        <f>B7*'Forecast Assumptions'!B15</f>
        <v>2861.39</v>
      </c>
      <c r="C10" s="60">
        <f>C7*'Forecast Assumptions'!C15</f>
        <v>3087.0830500000002</v>
      </c>
      <c r="D10" s="60">
        <f>D7*'Forecast Assumptions'!D15</f>
        <v>3455.6476347499997</v>
      </c>
      <c r="E10" s="60">
        <f>E7*'Forecast Assumptions'!E15</f>
        <v>4014.36939657625</v>
      </c>
      <c r="G10" s="60">
        <f>B10+C10+D10+E10</f>
        <v>13418.49008132625</v>
      </c>
      <c r="I10" s="35" t="s">
        <v>778</v>
      </c>
    </row>
    <row r="11" spans="1:9" ht="14.25" customHeight="1" x14ac:dyDescent="0.25">
      <c r="A11" s="42" t="s">
        <v>569</v>
      </c>
      <c r="B11" s="63">
        <f>B8+B9-B10</f>
        <v>11284.6525</v>
      </c>
      <c r="C11" s="63">
        <f>C8+C9-C10</f>
        <v>18428.2292375</v>
      </c>
      <c r="D11" s="63">
        <f>D8+D9-D10</f>
        <v>27936.0880913125</v>
      </c>
      <c r="E11" s="63">
        <f>E8+E9-E10</f>
        <v>29596.407650855937</v>
      </c>
      <c r="G11" s="63">
        <f>G8+G9-G10</f>
        <v>87245.377479668445</v>
      </c>
      <c r="I11" s="35" t="s">
        <v>779</v>
      </c>
    </row>
    <row r="12" spans="1:9" ht="14.25" customHeight="1" x14ac:dyDescent="0.25">
      <c r="A12" s="42" t="s">
        <v>498</v>
      </c>
      <c r="B12" s="63">
        <f>B7+B11</f>
        <v>154354.1525</v>
      </c>
      <c r="C12" s="63">
        <f>C7+C11</f>
        <v>172782.38173749999</v>
      </c>
      <c r="D12" s="63">
        <f>D7+D11</f>
        <v>200718.46982881249</v>
      </c>
      <c r="E12" s="63">
        <f>E7+E11</f>
        <v>230314.87747966842</v>
      </c>
      <c r="G12" s="63">
        <f>E12</f>
        <v>230314.87747966842</v>
      </c>
      <c r="I12" s="35" t="s">
        <v>780</v>
      </c>
    </row>
    <row r="13" spans="1:9" ht="14.25" customHeight="1" x14ac:dyDescent="0.25">
      <c r="A13" s="42" t="s">
        <v>649</v>
      </c>
      <c r="B13" s="58">
        <f>B12*12</f>
        <v>1852249.83</v>
      </c>
      <c r="C13" s="58">
        <f>C12*12</f>
        <v>2073388.58085</v>
      </c>
      <c r="D13" s="58">
        <f>D12*12</f>
        <v>2408621.6379457498</v>
      </c>
      <c r="E13" s="58">
        <f>E12*12</f>
        <v>2763778.5297560208</v>
      </c>
      <c r="G13" s="58">
        <f>G12*12</f>
        <v>2763778.5297560208</v>
      </c>
      <c r="I13" s="35" t="s">
        <v>781</v>
      </c>
    </row>
    <row r="14" spans="1:9" ht="14.25" customHeight="1" x14ac:dyDescent="0.25">
      <c r="G14" s="35" t="s">
        <v>782</v>
      </c>
    </row>
    <row r="15" spans="1:9" ht="14.25" customHeight="1" x14ac:dyDescent="0.25">
      <c r="G15" s="35" t="s">
        <v>783</v>
      </c>
    </row>
    <row r="16" spans="1:9" ht="14.25" customHeight="1" x14ac:dyDescent="0.25">
      <c r="G16" s="35" t="s">
        <v>784</v>
      </c>
    </row>
    <row r="17" spans="1:9" ht="14.25" customHeight="1" x14ac:dyDescent="0.25"/>
    <row r="18" spans="1:9" ht="14.25" customHeight="1" x14ac:dyDescent="0.25">
      <c r="A18" s="36" t="s">
        <v>785</v>
      </c>
      <c r="B18" s="37"/>
      <c r="C18" s="37"/>
      <c r="D18" s="37"/>
      <c r="E18" s="37"/>
      <c r="F18" s="37"/>
    </row>
    <row r="19" spans="1:9" ht="14.25" customHeight="1" x14ac:dyDescent="0.25">
      <c r="A19" s="38" t="s">
        <v>493</v>
      </c>
      <c r="B19" s="38" t="s">
        <v>622</v>
      </c>
      <c r="C19" s="38" t="s">
        <v>623</v>
      </c>
      <c r="D19" s="38" t="s">
        <v>624</v>
      </c>
      <c r="E19" s="38" t="s">
        <v>625</v>
      </c>
      <c r="G19" s="77" t="s">
        <v>773</v>
      </c>
    </row>
    <row r="20" spans="1:9" ht="14.25" customHeight="1" x14ac:dyDescent="0.25">
      <c r="A20" s="40" t="s">
        <v>582</v>
      </c>
      <c r="B20" s="127">
        <f>B12*3</f>
        <v>463062.45750000002</v>
      </c>
      <c r="C20" s="127">
        <f>C12*3</f>
        <v>518347.14521250001</v>
      </c>
      <c r="D20" s="127">
        <f>D12*3</f>
        <v>602155.40948643745</v>
      </c>
      <c r="E20" s="127">
        <f>E12*3</f>
        <v>690944.63243900519</v>
      </c>
      <c r="G20" s="127">
        <f>B20+C20+D20+E20</f>
        <v>2274509.6446379428</v>
      </c>
      <c r="I20" s="35" t="s">
        <v>786</v>
      </c>
    </row>
    <row r="21" spans="1:9" ht="14.25" customHeight="1" x14ac:dyDescent="0.25">
      <c r="A21" s="40" t="s">
        <v>503</v>
      </c>
      <c r="B21" s="127">
        <f>B20*(1-'Forecast Assumptions'!B22)</f>
        <v>138918.73725000003</v>
      </c>
      <c r="C21" s="127">
        <f>C20*(1-'Forecast Assumptions'!B22)</f>
        <v>155504.14356375003</v>
      </c>
      <c r="D21" s="127">
        <f>D20*(1-'Forecast Assumptions'!B22)</f>
        <v>180646.62284593127</v>
      </c>
      <c r="E21" s="127">
        <f>E20*(1-'Forecast Assumptions'!B22)</f>
        <v>207283.38973170158</v>
      </c>
      <c r="G21" s="127">
        <f>B21+C21+D21+E21</f>
        <v>682352.89339138288</v>
      </c>
      <c r="I21" s="35" t="s">
        <v>651</v>
      </c>
    </row>
    <row r="22" spans="1:9" ht="14.25" customHeight="1" x14ac:dyDescent="0.25">
      <c r="A22" s="42" t="s">
        <v>504</v>
      </c>
      <c r="B22" s="58">
        <f>B20-B21</f>
        <v>324143.72025000001</v>
      </c>
      <c r="C22" s="58">
        <f>C20-C21</f>
        <v>362843.00164874998</v>
      </c>
      <c r="D22" s="58">
        <f>D20-D21</f>
        <v>421508.78664050618</v>
      </c>
      <c r="E22" s="58">
        <f>E20-E21</f>
        <v>483661.24270730361</v>
      </c>
      <c r="G22" s="58">
        <f>B22+C22+D22+E22</f>
        <v>1592156.7512465599</v>
      </c>
      <c r="I22" s="35" t="s">
        <v>652</v>
      </c>
    </row>
    <row r="23" spans="1:9" ht="14.25" customHeight="1" x14ac:dyDescent="0.25">
      <c r="A23" s="40" t="s">
        <v>587</v>
      </c>
      <c r="B23" s="73">
        <f>B22/B20</f>
        <v>0.7</v>
      </c>
      <c r="C23" s="73">
        <f>C22/C20</f>
        <v>0.7</v>
      </c>
      <c r="D23" s="73">
        <f>D22/D20</f>
        <v>0.7</v>
      </c>
      <c r="E23" s="73">
        <f>E22/E20</f>
        <v>0.7</v>
      </c>
      <c r="G23" s="73">
        <f>G22/G20</f>
        <v>0.7</v>
      </c>
      <c r="I23" s="35" t="s">
        <v>653</v>
      </c>
    </row>
    <row r="24" spans="1:9" ht="14.25" customHeight="1" x14ac:dyDescent="0.25">
      <c r="A24" s="40"/>
      <c r="I24" s="35"/>
    </row>
    <row r="25" spans="1:9" ht="14.25" customHeight="1" x14ac:dyDescent="0.25">
      <c r="A25" s="40" t="s">
        <v>635</v>
      </c>
      <c r="B25" s="127">
        <f>'Forecast Assumptions'!B26</f>
        <v>90000</v>
      </c>
      <c r="C25" s="127">
        <f>'Forecast Assumptions'!C26</f>
        <v>90000</v>
      </c>
      <c r="D25" s="127">
        <f>'Forecast Assumptions'!D26</f>
        <v>108000</v>
      </c>
      <c r="E25" s="127">
        <f>'Forecast Assumptions'!E26</f>
        <v>108000</v>
      </c>
      <c r="G25" s="127">
        <f>B25+C25+D25+E25</f>
        <v>396000</v>
      </c>
      <c r="I25" s="35" t="s">
        <v>654</v>
      </c>
    </row>
    <row r="26" spans="1:9" ht="14.25" customHeight="1" x14ac:dyDescent="0.25">
      <c r="A26" s="40" t="s">
        <v>636</v>
      </c>
      <c r="B26" s="127">
        <f>'Forecast Assumptions'!B27</f>
        <v>75000</v>
      </c>
      <c r="C26" s="127">
        <f>'Forecast Assumptions'!C27</f>
        <v>75000</v>
      </c>
      <c r="D26" s="127">
        <f>'Forecast Assumptions'!D27</f>
        <v>75000</v>
      </c>
      <c r="E26" s="127">
        <f>'Forecast Assumptions'!E27</f>
        <v>75000</v>
      </c>
      <c r="G26" s="127">
        <f>B26+C26+D26+E26</f>
        <v>300000</v>
      </c>
      <c r="I26" s="35" t="s">
        <v>654</v>
      </c>
    </row>
    <row r="27" spans="1:9" ht="14.25" customHeight="1" x14ac:dyDescent="0.25">
      <c r="A27" s="40" t="s">
        <v>637</v>
      </c>
      <c r="B27" s="127">
        <f>'Forecast Assumptions'!B28</f>
        <v>57000</v>
      </c>
      <c r="C27" s="127">
        <f>'Forecast Assumptions'!C28</f>
        <v>57000</v>
      </c>
      <c r="D27" s="127">
        <f>'Forecast Assumptions'!D28</f>
        <v>57000</v>
      </c>
      <c r="E27" s="127">
        <f>'Forecast Assumptions'!E28</f>
        <v>57000</v>
      </c>
      <c r="G27" s="127">
        <f>B27+C27+D27+E27</f>
        <v>228000</v>
      </c>
      <c r="I27" s="35" t="s">
        <v>654</v>
      </c>
    </row>
    <row r="28" spans="1:9" ht="14.25" customHeight="1" x14ac:dyDescent="0.25">
      <c r="A28" s="42" t="s">
        <v>502</v>
      </c>
      <c r="B28" s="58">
        <f>B25+B26+B27</f>
        <v>222000</v>
      </c>
      <c r="C28" s="58">
        <f>C25+C26+C27</f>
        <v>222000</v>
      </c>
      <c r="D28" s="58">
        <f>D25+D26+D27</f>
        <v>240000</v>
      </c>
      <c r="E28" s="58">
        <f>E25+E26+E27</f>
        <v>240000</v>
      </c>
      <c r="G28" s="58">
        <f>G25+G26+G27</f>
        <v>924000</v>
      </c>
      <c r="I28" s="35" t="s">
        <v>591</v>
      </c>
    </row>
    <row r="29" spans="1:9" ht="14.25" customHeight="1" x14ac:dyDescent="0.25">
      <c r="A29" s="40"/>
      <c r="I29" s="35"/>
    </row>
    <row r="30" spans="1:9" ht="14.25" customHeight="1" x14ac:dyDescent="0.25">
      <c r="A30" s="42" t="s">
        <v>505</v>
      </c>
      <c r="B30" s="128">
        <f>B22-B28</f>
        <v>102143.72025000001</v>
      </c>
      <c r="C30" s="128">
        <f>C22-C28</f>
        <v>140843.00164874998</v>
      </c>
      <c r="D30" s="128">
        <f>D22-D28</f>
        <v>181508.78664050618</v>
      </c>
      <c r="E30" s="128">
        <f>E22-E28</f>
        <v>243661.24270730361</v>
      </c>
      <c r="G30" s="128">
        <f>B30+C30+D30+E30</f>
        <v>668156.75124655978</v>
      </c>
      <c r="I30" s="35" t="s">
        <v>655</v>
      </c>
    </row>
    <row r="31" spans="1:9" ht="14.25" customHeight="1" x14ac:dyDescent="0.25">
      <c r="A31" s="40" t="s">
        <v>593</v>
      </c>
      <c r="B31" s="73">
        <f>B30/B20</f>
        <v>0.22058303063793508</v>
      </c>
      <c r="C31" s="73">
        <f>C30/C20</f>
        <v>0.27171559243566473</v>
      </c>
      <c r="D31" s="73">
        <f>D30/D20</f>
        <v>0.30143179614596549</v>
      </c>
      <c r="E31" s="73">
        <f>E30/E20</f>
        <v>0.3526494472461415</v>
      </c>
      <c r="G31" s="73">
        <f>G30/G20</f>
        <v>0.29375859224062212</v>
      </c>
      <c r="I31" s="35" t="s">
        <v>656</v>
      </c>
    </row>
    <row r="32" spans="1:9" ht="14.25" customHeight="1" x14ac:dyDescent="0.25"/>
    <row r="33" spans="1:9" ht="14.25" customHeight="1" x14ac:dyDescent="0.25">
      <c r="A33" s="36" t="s">
        <v>787</v>
      </c>
      <c r="B33" s="37"/>
      <c r="C33" s="37"/>
      <c r="D33" s="37"/>
      <c r="E33" s="37"/>
      <c r="F33" s="37"/>
    </row>
    <row r="34" spans="1:9" ht="14.25" customHeight="1" x14ac:dyDescent="0.25">
      <c r="A34" s="40" t="s">
        <v>788</v>
      </c>
      <c r="B34" s="123">
        <f>E12</f>
        <v>230314.87747966842</v>
      </c>
      <c r="I34" s="35" t="s">
        <v>789</v>
      </c>
    </row>
    <row r="35" spans="1:9" ht="14.25" customHeight="1" x14ac:dyDescent="0.25">
      <c r="A35" s="40" t="s">
        <v>790</v>
      </c>
      <c r="B35" s="127">
        <f>B34*12</f>
        <v>2763778.5297560208</v>
      </c>
      <c r="I35" s="35" t="s">
        <v>791</v>
      </c>
    </row>
    <row r="36" spans="1:9" ht="14.25" customHeight="1" x14ac:dyDescent="0.25">
      <c r="A36" s="40" t="s">
        <v>792</v>
      </c>
      <c r="B36" s="127">
        <f>G20</f>
        <v>2274509.6446379428</v>
      </c>
      <c r="I36" s="35" t="s">
        <v>793</v>
      </c>
    </row>
    <row r="37" spans="1:9" ht="14.25" customHeight="1" x14ac:dyDescent="0.25">
      <c r="A37" s="40" t="s">
        <v>794</v>
      </c>
      <c r="B37" s="73">
        <f>(E12-B7)/B7</f>
        <v>0.60981115807120612</v>
      </c>
      <c r="I37" s="35" t="s">
        <v>795</v>
      </c>
    </row>
    <row r="38" spans="1:9" ht="14.25" customHeight="1" x14ac:dyDescent="0.25">
      <c r="A38" s="40" t="s">
        <v>796</v>
      </c>
      <c r="B38" s="44">
        <f>'Forecast Assumptions'!B12+'Forecast Assumptions'!C12+'Forecast Assumptions'!D12+'Forecast Assumptions'!E12</f>
        <v>28</v>
      </c>
      <c r="I38" s="35" t="s">
        <v>797</v>
      </c>
    </row>
    <row r="39" spans="1:9" ht="14.25" customHeight="1" x14ac:dyDescent="0.25">
      <c r="A39" s="40" t="s">
        <v>798</v>
      </c>
      <c r="B39" s="127">
        <f>G25/B38</f>
        <v>14142.857142857143</v>
      </c>
      <c r="I39" s="35" t="s">
        <v>799</v>
      </c>
    </row>
    <row r="40" spans="1:9" ht="14.25" customHeight="1" x14ac:dyDescent="0.25">
      <c r="A40" s="40" t="s">
        <v>800</v>
      </c>
      <c r="B40" s="73">
        <f>(E12/B7)^(1/12)-1</f>
        <v>4.0474029164477399E-2</v>
      </c>
      <c r="I40" s="35" t="s">
        <v>801</v>
      </c>
    </row>
    <row r="41" spans="1:9" ht="14.25" customHeight="1" x14ac:dyDescent="0.25"/>
    <row r="42" spans="1:9" ht="14.25" customHeight="1" x14ac:dyDescent="0.25"/>
    <row r="43" spans="1:9" ht="14.25" customHeight="1" x14ac:dyDescent="0.25">
      <c r="A43" s="129" t="s">
        <v>802</v>
      </c>
      <c r="B43" s="130"/>
      <c r="C43" s="130"/>
      <c r="D43" s="130"/>
      <c r="E43" s="131" t="s">
        <v>803</v>
      </c>
    </row>
    <row r="44" spans="1:9" ht="14.25" customHeight="1" x14ac:dyDescent="0.25">
      <c r="A44" s="132" t="s">
        <v>804</v>
      </c>
      <c r="B44" s="132" t="s">
        <v>805</v>
      </c>
      <c r="C44" s="132" t="s">
        <v>806</v>
      </c>
      <c r="D44" s="132" t="s">
        <v>807</v>
      </c>
    </row>
    <row r="45" spans="1:9" ht="14.25" customHeight="1" x14ac:dyDescent="0.25">
      <c r="A45" s="40" t="s">
        <v>740</v>
      </c>
      <c r="B45" s="60">
        <v>154354.15</v>
      </c>
      <c r="C45" s="133">
        <f>B12</f>
        <v>154354.1525</v>
      </c>
      <c r="D45" s="134" t="str">
        <f t="shared" ref="D45:D50" si="0">IF(ROUND(C45,2)=ROUND(B45,2),"✓","✗ diff: "&amp;TEXT(C45-B45,"$#,##0.00"))</f>
        <v>✓</v>
      </c>
    </row>
    <row r="46" spans="1:9" ht="14.25" customHeight="1" x14ac:dyDescent="0.25">
      <c r="A46" s="40" t="s">
        <v>808</v>
      </c>
      <c r="B46" s="60">
        <v>172782.38</v>
      </c>
      <c r="C46" s="133">
        <f>C12</f>
        <v>172782.38173749999</v>
      </c>
      <c r="D46" s="134" t="str">
        <f t="shared" si="0"/>
        <v>✓</v>
      </c>
    </row>
    <row r="47" spans="1:9" ht="14.25" customHeight="1" x14ac:dyDescent="0.25">
      <c r="A47" s="40" t="s">
        <v>809</v>
      </c>
      <c r="B47" s="60">
        <v>200718.47</v>
      </c>
      <c r="C47" s="133">
        <f>D12</f>
        <v>200718.46982881249</v>
      </c>
      <c r="D47" s="134" t="str">
        <f t="shared" si="0"/>
        <v>✓</v>
      </c>
    </row>
    <row r="48" spans="1:9" ht="14.25" customHeight="1" x14ac:dyDescent="0.25">
      <c r="A48" s="40" t="s">
        <v>810</v>
      </c>
      <c r="B48" s="60">
        <v>230314.88</v>
      </c>
      <c r="C48" s="133">
        <f>E12</f>
        <v>230314.87747966842</v>
      </c>
      <c r="D48" s="134" t="str">
        <f t="shared" si="0"/>
        <v>✓</v>
      </c>
    </row>
    <row r="49" spans="1:4" ht="14.25" customHeight="1" x14ac:dyDescent="0.25">
      <c r="A49" s="40" t="s">
        <v>792</v>
      </c>
      <c r="B49" s="60">
        <v>2274509.64</v>
      </c>
      <c r="C49" s="133">
        <f>G20</f>
        <v>2274509.6446379428</v>
      </c>
      <c r="D49" s="134" t="str">
        <f t="shared" si="0"/>
        <v>✓</v>
      </c>
    </row>
    <row r="50" spans="1:4" ht="14.25" customHeight="1" x14ac:dyDescent="0.25">
      <c r="A50" s="40" t="s">
        <v>811</v>
      </c>
      <c r="B50" s="60">
        <v>668156.75</v>
      </c>
      <c r="C50" s="133">
        <f>G30</f>
        <v>668156.75124655978</v>
      </c>
      <c r="D50" s="134" t="str">
        <f t="shared" si="0"/>
        <v>✓</v>
      </c>
    </row>
    <row r="51" spans="1:4" ht="14.25" customHeight="1" x14ac:dyDescent="0.25">
      <c r="A51" s="40" t="s">
        <v>812</v>
      </c>
      <c r="B51" s="135">
        <v>0.29399999999999998</v>
      </c>
      <c r="C51" s="48">
        <f>G31</f>
        <v>0.29375859224062212</v>
      </c>
      <c r="D51" s="134" t="str">
        <f>IF(ROUND(C51,3)=ROUND(B51,3),"✓","✗ diff: "&amp;TEXT(C51-B51,"0.0%"))</f>
        <v>✓</v>
      </c>
    </row>
    <row r="52" spans="1:4" ht="14.25" customHeight="1" x14ac:dyDescent="0.25">
      <c r="A52" s="40" t="s">
        <v>813</v>
      </c>
      <c r="B52" s="136">
        <v>28</v>
      </c>
      <c r="C52" s="137">
        <f>B38</f>
        <v>28</v>
      </c>
      <c r="D52" s="134" t="str">
        <f>IF(C52=B52,"✓","✗ diff: "&amp;(C52-B52))</f>
        <v>✓</v>
      </c>
    </row>
    <row r="53" spans="1:4" ht="14.25" customHeight="1" x14ac:dyDescent="0.25">
      <c r="A53" s="40" t="s">
        <v>798</v>
      </c>
      <c r="B53" s="60">
        <v>14142.86</v>
      </c>
      <c r="C53" s="133">
        <f>B39</f>
        <v>14142.857142857143</v>
      </c>
      <c r="D53" s="134" t="str">
        <f>IF(ROUND(C53,2)=ROUND(B53,2),"✓","✗ diff: "&amp;TEXT(C53-B53,"$#,##0.00"))</f>
        <v>✓</v>
      </c>
    </row>
    <row r="54" spans="1:4" ht="14.25" customHeight="1" x14ac:dyDescent="0.25">
      <c r="A54" s="40" t="s">
        <v>814</v>
      </c>
      <c r="B54" s="135">
        <v>0.04</v>
      </c>
      <c r="C54" s="48">
        <f>B40</f>
        <v>4.0474029164477399E-2</v>
      </c>
      <c r="D54" s="134" t="str">
        <f>IF(ROUND(C54,2)=ROUND(B54,2),"✓","✗ diff: "&amp;TEXT(C54-B54,"0.00%"))</f>
        <v>✓</v>
      </c>
    </row>
    <row r="55" spans="1:4" ht="14.25" customHeight="1" x14ac:dyDescent="0.25"/>
    <row r="56" spans="1:4" ht="14.25" customHeight="1" x14ac:dyDescent="0.25"/>
    <row r="57" spans="1:4" ht="14.25" customHeight="1" x14ac:dyDescent="0.25"/>
    <row r="58" spans="1:4" ht="14.25" customHeight="1" x14ac:dyDescent="0.25"/>
    <row r="59" spans="1:4" ht="14.25" customHeight="1" x14ac:dyDescent="0.25"/>
    <row r="60" spans="1:4" ht="14.25" customHeight="1" x14ac:dyDescent="0.25"/>
    <row r="61" spans="1:4" ht="14.25" customHeight="1" x14ac:dyDescent="0.25"/>
    <row r="62" spans="1:4" ht="14.25" customHeight="1" x14ac:dyDescent="0.25"/>
    <row r="63" spans="1:4" ht="14.25" customHeight="1" x14ac:dyDescent="0.25"/>
    <row r="64" spans="1: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74806"/>
  </sheetPr>
  <dimension ref="A1:R1000"/>
  <sheetViews>
    <sheetView workbookViewId="0"/>
  </sheetViews>
  <sheetFormatPr defaultColWidth="14.42578125" defaultRowHeight="15" customHeight="1" x14ac:dyDescent="0.25"/>
  <cols>
    <col min="1" max="1" width="29.140625" customWidth="1"/>
    <col min="2" max="4" width="20" customWidth="1"/>
    <col min="5" max="5" width="23.5703125" customWidth="1"/>
    <col min="6" max="6" width="13.5703125" customWidth="1"/>
    <col min="7" max="17" width="8.7109375" customWidth="1"/>
    <col min="18" max="18" width="12.5703125" customWidth="1"/>
    <col min="19" max="26" width="8.7109375" customWidth="1"/>
  </cols>
  <sheetData>
    <row r="1" spans="1:18" ht="14.25" customHeight="1" x14ac:dyDescent="0.3">
      <c r="A1" s="138" t="s">
        <v>815</v>
      </c>
    </row>
    <row r="2" spans="1:18" ht="14.25" customHeight="1" x14ac:dyDescent="0.25"/>
    <row r="3" spans="1:18" ht="14.25" customHeight="1" x14ac:dyDescent="0.25">
      <c r="A3" s="139" t="s">
        <v>493</v>
      </c>
      <c r="B3" s="140">
        <v>46023</v>
      </c>
      <c r="C3" s="140">
        <v>46054</v>
      </c>
      <c r="D3" s="140">
        <v>46082</v>
      </c>
      <c r="E3" s="141" t="s">
        <v>622</v>
      </c>
      <c r="F3" s="142">
        <v>46113</v>
      </c>
      <c r="J3" s="143" t="e">
        <f t="array" aca="1" ref="J3" ca="1">_xludf.XLOOKUP('Apr 2026 A vs F '!A36,$A$4:$A$16,_xludf.XLOOKUP('Apr 2026 A vs F '!I2,$B$3:$F$3,$B$4:$F$16))</f>
        <v>#NAME?</v>
      </c>
    </row>
    <row r="4" spans="1:18" ht="14.25" customHeight="1" x14ac:dyDescent="0.25">
      <c r="A4" s="1" t="s">
        <v>498</v>
      </c>
      <c r="B4" s="67">
        <f>'Jan 2026 A vs F '!B9</f>
        <v>144779.5</v>
      </c>
      <c r="C4" s="67">
        <f>'Feb 2026 A vs F'!B9</f>
        <v>150305.5</v>
      </c>
      <c r="D4" s="67">
        <f>'Mar 2026 A vs F'!B9</f>
        <v>153685.5</v>
      </c>
      <c r="E4" s="144">
        <f>'Mar 2026 A vs F'!B75</f>
        <v>153685.5</v>
      </c>
      <c r="F4" s="145">
        <f>'Apr 2026 A vs F '!B9</f>
        <v>156830.5</v>
      </c>
    </row>
    <row r="5" spans="1:18" ht="14.25" customHeight="1" x14ac:dyDescent="0.25">
      <c r="A5" s="1" t="s">
        <v>507</v>
      </c>
      <c r="B5" s="115">
        <f>'Jan 2026 A vs F '!B39</f>
        <v>39</v>
      </c>
      <c r="C5" s="115">
        <f>'Feb 2026 A vs F'!B30</f>
        <v>41</v>
      </c>
      <c r="D5" s="146">
        <f>'Mar 2026 A vs F'!B30</f>
        <v>42</v>
      </c>
      <c r="E5" s="147">
        <f>'Mar 2026 A vs F'!B30</f>
        <v>42</v>
      </c>
      <c r="F5" s="148">
        <f>'Apr 2026 A vs F '!B30</f>
        <v>44</v>
      </c>
      <c r="J5" s="1" t="e">
        <f t="array" ref="J5">INDEX(B4:F16, MATCH('Apr 2026 A vs F '!A36,A4:A16,0), MATCH('Apr 2026 A vs F '!I32,B3:F3,0))</f>
        <v>#N/A</v>
      </c>
      <c r="Q5" s="149">
        <v>46054</v>
      </c>
      <c r="R5" s="1" t="s">
        <v>622</v>
      </c>
    </row>
    <row r="6" spans="1:18" ht="14.25" customHeight="1" x14ac:dyDescent="0.25">
      <c r="A6" s="1" t="s">
        <v>671</v>
      </c>
      <c r="B6" s="67">
        <f>'Jan 2026 A vs F '!B41</f>
        <v>3712.2948717948716</v>
      </c>
      <c r="C6" s="67">
        <f>'Feb 2026 A vs F'!B32</f>
        <v>3665.9878048780488</v>
      </c>
      <c r="D6" s="67">
        <f>'Mar 2026 A vs F'!B32</f>
        <v>3659.1785714285716</v>
      </c>
      <c r="E6" s="144">
        <f>'Mar 2026 A vs F'!B75/'Mar 2026 A vs F'!B30</f>
        <v>3659.1785714285716</v>
      </c>
      <c r="F6" s="150">
        <f>'Apr 2026 A vs F '!B32</f>
        <v>3564.3295454545455</v>
      </c>
    </row>
    <row r="7" spans="1:18" ht="14.25" customHeight="1" x14ac:dyDescent="0.25">
      <c r="A7" s="1" t="s">
        <v>673</v>
      </c>
      <c r="B7" s="73">
        <f>'Jan 2026 A vs F '!B42</f>
        <v>0.7</v>
      </c>
      <c r="C7" s="73">
        <f>'Feb 2026 A vs F'!B33</f>
        <v>0.7</v>
      </c>
      <c r="D7" s="73">
        <f>'Mar 2026 A vs F'!B33</f>
        <v>0.7</v>
      </c>
      <c r="E7" s="151">
        <f>'Mar 2026 A vs F'!B82</f>
        <v>0.7</v>
      </c>
      <c r="F7" s="152">
        <f>'Apr 2026 A vs F '!B33</f>
        <v>0.7</v>
      </c>
      <c r="J7" s="153" t="e">
        <f t="array" ref="J7">INDEX(B4:F16,MATCH(A8,A4:A16,0), MATCH('Apr 2026 A vs F '!I32,B3:F3,0))</f>
        <v>#N/A</v>
      </c>
    </row>
    <row r="8" spans="1:18" ht="14.25" customHeight="1" x14ac:dyDescent="0.25">
      <c r="A8" s="1" t="s">
        <v>675</v>
      </c>
      <c r="B8" s="73">
        <f>'Jan 2026 A vs F '!B43</f>
        <v>1</v>
      </c>
      <c r="C8" s="73">
        <f>'Feb 2026 A vs F'!B34</f>
        <v>0.99589720920434177</v>
      </c>
      <c r="D8" s="73">
        <f>'Mar 2026 A vs F'!B34</f>
        <v>1</v>
      </c>
      <c r="E8" s="154">
        <f>'Mar 2026 A vs F'!B34</f>
        <v>1</v>
      </c>
      <c r="F8" s="155">
        <f>'Apr 2026 A vs F '!B34</f>
        <v>0.99280999183397267</v>
      </c>
    </row>
    <row r="9" spans="1:18" ht="14.25" customHeight="1" x14ac:dyDescent="0.25">
      <c r="A9" s="1" t="s">
        <v>677</v>
      </c>
      <c r="B9" s="73">
        <f>'Jan 2026 A vs F '!B44</f>
        <v>1</v>
      </c>
      <c r="C9" s="73">
        <f>'Feb 2026 A vs F'!B35</f>
        <v>0.98950127607845029</v>
      </c>
      <c r="D9" s="73">
        <f>'Mar 2026 A vs F'!B35</f>
        <v>1.0025281842647142</v>
      </c>
      <c r="E9" s="151">
        <f>'Mar 2026 A vs F'!B35</f>
        <v>1.0025281842647142</v>
      </c>
      <c r="F9" s="152">
        <f>'Apr 2026 A vs F '!B35</f>
        <v>0.99567298151094286</v>
      </c>
      <c r="J9" s="1" t="e">
        <f t="array" aca="1" ref="J9" ca="1">_xludf.XLOOKUP(A10,A4:A16,_xludf.XLOOKUP('Apr 2026 A vs F '!I32,B3:F3,B4:F16))</f>
        <v>#NAME?</v>
      </c>
    </row>
    <row r="10" spans="1:18" ht="14.25" customHeight="1" x14ac:dyDescent="0.25">
      <c r="A10" s="1" t="s">
        <v>678</v>
      </c>
      <c r="B10" s="1"/>
      <c r="C10" s="16">
        <f>'Feb 2026 A vs F'!B36</f>
        <v>10.303030303030303</v>
      </c>
      <c r="D10" s="1" t="str">
        <f>'Mar 2026 A vs F'!B36</f>
        <v>N/A — no losses</v>
      </c>
      <c r="E10" s="156" t="s">
        <v>686</v>
      </c>
      <c r="F10" s="157">
        <f>'Apr 2026 A vs F '!B36</f>
        <v>3.8461538461538463</v>
      </c>
    </row>
    <row r="11" spans="1:18" ht="14.25" customHeight="1" x14ac:dyDescent="0.25">
      <c r="A11" s="1" t="s">
        <v>681</v>
      </c>
      <c r="B11" s="74">
        <f>'Jan 2026 A vs F '!B46</f>
        <v>30000</v>
      </c>
      <c r="C11" s="74">
        <f>'Feb 2026 A vs F'!B37</f>
        <v>31000</v>
      </c>
      <c r="D11" s="74">
        <f>'Mar 2026 A vs F'!B37</f>
        <v>29000</v>
      </c>
      <c r="E11" s="158">
        <f>'Mar 2026 A vs F'!B83</f>
        <v>90000</v>
      </c>
      <c r="F11" s="159">
        <f>'Apr 2026 A vs F '!B37</f>
        <v>32000</v>
      </c>
      <c r="J11" s="1" t="e">
        <f t="array" ref="J11">INDEX(B4:F16,MATCH(A4,A4:A16,0), MATCH('Apr 2026 A vs F '!I32,B3:F3,0))</f>
        <v>#N/A</v>
      </c>
    </row>
    <row r="12" spans="1:18" ht="14.25" customHeight="1" x14ac:dyDescent="0.25">
      <c r="A12" s="1" t="s">
        <v>816</v>
      </c>
      <c r="B12" s="74">
        <f>'Jan 2026 A vs F '!B47</f>
        <v>30000</v>
      </c>
      <c r="C12" s="74">
        <f>'Feb 2026 A vs F'!B38</f>
        <v>15500</v>
      </c>
      <c r="D12" s="74">
        <f>'Mar 2026 A vs F'!B38</f>
        <v>14500</v>
      </c>
      <c r="E12" s="160">
        <f>'Mar 2026 A vs F'!B92</f>
        <v>18000</v>
      </c>
      <c r="F12" s="161">
        <f>'Apr 2026 A vs F '!B38</f>
        <v>16000</v>
      </c>
      <c r="J12" s="2">
        <f t="array" ref="J12">INDEX(B4:F16,MATCH(A6,A4:A16,0), MATCH(R5,B3:F3,0))</f>
        <v>3659.1785714285716</v>
      </c>
    </row>
    <row r="13" spans="1:18" ht="14.25" customHeight="1" x14ac:dyDescent="0.25">
      <c r="A13" s="162" t="s">
        <v>817</v>
      </c>
      <c r="B13" s="163">
        <v>0</v>
      </c>
      <c r="C13" s="163"/>
      <c r="D13" s="163"/>
      <c r="E13" s="164">
        <f>'Mar 2026 A vs F'!B92</f>
        <v>18000</v>
      </c>
      <c r="F13" s="165"/>
      <c r="M13" s="2">
        <f t="array" ref="M13">INDEX(B4:F16,MATCH(A5,A3:A16,0), MATCH(Q5,B3:F3,0))</f>
        <v>3665.9878048780488</v>
      </c>
    </row>
    <row r="14" spans="1:18" ht="14.25" customHeight="1" x14ac:dyDescent="0.25">
      <c r="A14" s="162" t="s">
        <v>685</v>
      </c>
      <c r="B14" s="163">
        <v>0</v>
      </c>
      <c r="C14" s="163"/>
      <c r="D14" s="163"/>
      <c r="E14" s="166">
        <f>'Mar 2026 A vs F'!B93</f>
        <v>51411.587266764865</v>
      </c>
      <c r="F14" s="165"/>
      <c r="J14" s="167">
        <f t="array" ref="J14">INDEX(B4:F16,MATCH(A16,A4:A16,0), MATCH(R5,B3:F3,0))</f>
        <v>7.0273382980177059</v>
      </c>
    </row>
    <row r="15" spans="1:18" ht="14.25" customHeight="1" x14ac:dyDescent="0.25">
      <c r="A15" s="162" t="s">
        <v>688</v>
      </c>
      <c r="B15" s="163">
        <v>0</v>
      </c>
      <c r="C15" s="163"/>
      <c r="D15" s="163"/>
      <c r="E15" s="168">
        <f>'Mar 2026 A vs F'!B94</f>
        <v>2.8561992925980482</v>
      </c>
      <c r="F15" s="165"/>
    </row>
    <row r="16" spans="1:18" ht="14.25" customHeight="1" x14ac:dyDescent="0.25">
      <c r="A16" s="162" t="s">
        <v>689</v>
      </c>
      <c r="B16" s="163">
        <v>0</v>
      </c>
      <c r="C16" s="163"/>
      <c r="D16" s="163"/>
      <c r="E16" s="169">
        <f>'Mar 2026 A vs F'!B95</f>
        <v>7.0273382980177059</v>
      </c>
      <c r="F16" s="165"/>
    </row>
    <row r="17" spans="1:5" ht="14.25" customHeight="1" x14ac:dyDescent="0.25"/>
    <row r="18" spans="1:5" ht="30" customHeight="1" x14ac:dyDescent="0.25">
      <c r="A18" s="254" t="s">
        <v>818</v>
      </c>
      <c r="B18" s="253"/>
      <c r="C18" s="253"/>
      <c r="D18" s="170"/>
      <c r="E18" s="170"/>
    </row>
    <row r="19" spans="1:5" ht="14.25" customHeight="1" x14ac:dyDescent="0.25"/>
    <row r="20" spans="1:5" ht="14.25" customHeight="1" x14ac:dyDescent="0.25"/>
    <row r="21" spans="1:5" ht="14.25" customHeight="1" x14ac:dyDescent="0.25"/>
    <row r="22" spans="1:5" ht="14.25" customHeight="1" x14ac:dyDescent="0.25"/>
    <row r="23" spans="1:5" ht="14.25" customHeight="1" x14ac:dyDescent="0.25"/>
    <row r="24" spans="1:5" ht="14.25" customHeight="1" x14ac:dyDescent="0.25"/>
    <row r="25" spans="1:5" ht="14.25" customHeight="1" x14ac:dyDescent="0.25"/>
    <row r="26" spans="1:5" ht="14.25" customHeight="1" x14ac:dyDescent="0.25"/>
    <row r="27" spans="1:5" ht="14.25" customHeight="1" x14ac:dyDescent="0.25"/>
    <row r="28" spans="1:5" ht="14.25" customHeight="1" x14ac:dyDescent="0.25"/>
    <row r="29" spans="1:5" ht="14.25" customHeight="1" x14ac:dyDescent="0.25"/>
    <row r="30" spans="1:5" ht="14.25" customHeight="1" x14ac:dyDescent="0.25"/>
    <row r="31" spans="1:5" ht="14.25" customHeight="1" x14ac:dyDescent="0.25"/>
    <row r="32" spans="1:5"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18:C18"/>
  </mergeCells>
  <pageMargins left="0.7" right="0.7" top="0.75" bottom="0.75" header="0" footer="0"/>
  <pageSetup orientation="landscape"/>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05867"/>
  </sheetPr>
  <dimension ref="A1:H1000"/>
  <sheetViews>
    <sheetView workbookViewId="0">
      <selection activeCell="H30" sqref="H30"/>
    </sheetView>
  </sheetViews>
  <sheetFormatPr defaultColWidth="14.42578125" defaultRowHeight="15" customHeight="1" x14ac:dyDescent="0.25"/>
  <cols>
    <col min="1" max="1" width="8.85546875" customWidth="1"/>
    <col min="2" max="2" width="15" customWidth="1"/>
    <col min="3" max="4" width="11.7109375" customWidth="1"/>
    <col min="5" max="5" width="10.28515625" customWidth="1"/>
    <col min="6" max="25" width="8.7109375" customWidth="1"/>
  </cols>
  <sheetData>
    <row r="1" spans="1:5" ht="14.25" customHeight="1" x14ac:dyDescent="0.25">
      <c r="A1" s="11" t="s">
        <v>819</v>
      </c>
      <c r="B1" s="11" t="s">
        <v>734</v>
      </c>
      <c r="C1" s="11" t="s">
        <v>820</v>
      </c>
      <c r="D1" s="11" t="s">
        <v>821</v>
      </c>
      <c r="E1" s="11" t="s">
        <v>822</v>
      </c>
    </row>
    <row r="2" spans="1:5" ht="14.25" customHeight="1" x14ac:dyDescent="0.25">
      <c r="A2" s="171">
        <v>46023</v>
      </c>
      <c r="B2" s="1" t="s">
        <v>494</v>
      </c>
      <c r="C2" s="67">
        <f>'Jan 2026 A vs F '!B3</f>
        <v>143069.5</v>
      </c>
      <c r="D2" s="67">
        <f>'Jan 2026 A vs F '!C3</f>
        <v>143069.5</v>
      </c>
      <c r="E2" s="67">
        <f>'Jan 2026 A vs F '!D3</f>
        <v>0</v>
      </c>
    </row>
    <row r="3" spans="1:5" ht="14.25" customHeight="1" x14ac:dyDescent="0.25">
      <c r="A3" s="171">
        <v>46023</v>
      </c>
      <c r="B3" s="1" t="s">
        <v>495</v>
      </c>
      <c r="C3" s="67">
        <f>'Jan 2026 A vs F '!B4</f>
        <v>1710</v>
      </c>
      <c r="D3" s="67">
        <f>'Jan 2026 A vs F '!C4</f>
        <v>4000</v>
      </c>
      <c r="E3" s="67">
        <f>'Jan 2026 A vs F '!D4</f>
        <v>-2290</v>
      </c>
    </row>
    <row r="4" spans="1:5" ht="14.25" customHeight="1" x14ac:dyDescent="0.25">
      <c r="A4" s="171">
        <v>46023</v>
      </c>
      <c r="B4" s="1" t="s">
        <v>496</v>
      </c>
      <c r="C4" s="67">
        <f>'Jan 2026 A vs F '!B5</f>
        <v>0</v>
      </c>
      <c r="D4" s="67">
        <f>'Jan 2026 A vs F '!C5</f>
        <v>715.34749999999997</v>
      </c>
      <c r="E4" s="67">
        <f>'Jan 2026 A vs F '!D5</f>
        <v>-715.34749999999997</v>
      </c>
    </row>
    <row r="5" spans="1:5" ht="14.25" customHeight="1" x14ac:dyDescent="0.25">
      <c r="A5" s="171">
        <v>46023</v>
      </c>
      <c r="B5" s="1" t="s">
        <v>823</v>
      </c>
      <c r="C5" s="67">
        <f>'Jan 2026 A vs F '!B6</f>
        <v>0</v>
      </c>
      <c r="D5" s="67">
        <f>'Jan 2026 A vs F '!C6</f>
        <v>0</v>
      </c>
      <c r="E5" s="67">
        <f>C5-D5</f>
        <v>0</v>
      </c>
    </row>
    <row r="6" spans="1:5" ht="14.25" customHeight="1" x14ac:dyDescent="0.25">
      <c r="A6" s="171">
        <v>46023</v>
      </c>
      <c r="B6" s="1" t="s">
        <v>497</v>
      </c>
      <c r="C6" s="67">
        <f>'Jan 2026 A vs F '!B7</f>
        <v>0</v>
      </c>
      <c r="D6" s="67">
        <f>'Jan 2026 A vs F '!C7</f>
        <v>953.79666666666662</v>
      </c>
      <c r="E6" s="144">
        <f>D6-C6</f>
        <v>953.79666666666662</v>
      </c>
    </row>
    <row r="7" spans="1:5" ht="14.25" customHeight="1" x14ac:dyDescent="0.25">
      <c r="A7" s="171">
        <v>46023</v>
      </c>
      <c r="B7" s="1" t="s">
        <v>569</v>
      </c>
      <c r="C7" s="67">
        <f>'Jan 2026 A vs F '!B8</f>
        <v>1710</v>
      </c>
      <c r="D7" s="67">
        <f>'Jan 2026 A vs F '!C8</f>
        <v>3761.5508333333332</v>
      </c>
      <c r="E7" s="67">
        <f>'Jan 2026 A vs F '!D8</f>
        <v>-2051.5508333333332</v>
      </c>
    </row>
    <row r="8" spans="1:5" ht="14.25" customHeight="1" x14ac:dyDescent="0.25">
      <c r="A8" s="171">
        <v>46023</v>
      </c>
      <c r="B8" s="1" t="s">
        <v>498</v>
      </c>
      <c r="C8" s="67">
        <f>'Jan 2026 A vs F '!B9</f>
        <v>144779.5</v>
      </c>
      <c r="D8" s="67">
        <f>'Jan 2026 A vs F '!C9</f>
        <v>146831.05083333334</v>
      </c>
      <c r="E8" s="67">
        <f>'Jan 2026 A vs F '!D9</f>
        <v>-2051.5508333333419</v>
      </c>
    </row>
    <row r="9" spans="1:5" ht="14.25" customHeight="1" x14ac:dyDescent="0.25">
      <c r="A9" s="171" t="str">
        <f t="shared" ref="A9:A15" si="0">TEXT(DATE(2026,2,1),"mmm-yy")</f>
        <v>Feb-26</v>
      </c>
      <c r="B9" s="172" t="s">
        <v>494</v>
      </c>
      <c r="C9" s="144">
        <f>'Feb 2026 A vs F'!B3</f>
        <v>144779.5</v>
      </c>
      <c r="D9" s="144">
        <f>'Feb 2026 A vs F'!C3</f>
        <v>146831.04999999999</v>
      </c>
      <c r="E9" s="144">
        <f>C9-D9</f>
        <v>-2051.5499999999884</v>
      </c>
    </row>
    <row r="10" spans="1:5" ht="14.25" customHeight="1" x14ac:dyDescent="0.25">
      <c r="A10" s="171" t="str">
        <f t="shared" si="0"/>
        <v>Feb-26</v>
      </c>
      <c r="B10" s="173" t="s">
        <v>495</v>
      </c>
      <c r="C10" s="174">
        <f>'Feb 2026 A vs F'!B4</f>
        <v>6120</v>
      </c>
      <c r="D10" s="174">
        <f>'Feb 2026 A vs F'!C4</f>
        <v>4000</v>
      </c>
      <c r="E10" s="174">
        <f>C10-D10</f>
        <v>2120</v>
      </c>
    </row>
    <row r="11" spans="1:5" ht="14.25" customHeight="1" x14ac:dyDescent="0.25">
      <c r="A11" s="171" t="str">
        <f t="shared" si="0"/>
        <v>Feb-26</v>
      </c>
      <c r="B11" s="172" t="s">
        <v>496</v>
      </c>
      <c r="C11" s="144">
        <f>'Feb 2026 A vs F'!B5</f>
        <v>0</v>
      </c>
      <c r="D11" s="144">
        <f>'Feb 2026 A vs F'!C5</f>
        <v>715.34749999999997</v>
      </c>
      <c r="E11" s="144">
        <f>C11-D11</f>
        <v>-715.34749999999997</v>
      </c>
    </row>
    <row r="12" spans="1:5" ht="14.25" customHeight="1" x14ac:dyDescent="0.25">
      <c r="A12" s="171" t="str">
        <f t="shared" si="0"/>
        <v>Feb-26</v>
      </c>
      <c r="B12" s="173" t="s">
        <v>823</v>
      </c>
      <c r="C12" s="174">
        <f>'Feb 2026 A vs F'!B6</f>
        <v>0</v>
      </c>
      <c r="D12" s="174">
        <f>'Feb 2026 A vs F'!C6</f>
        <v>0</v>
      </c>
      <c r="E12" s="174">
        <f>D12-C12</f>
        <v>0</v>
      </c>
    </row>
    <row r="13" spans="1:5" ht="14.25" customHeight="1" x14ac:dyDescent="0.25">
      <c r="A13" s="171" t="str">
        <f t="shared" si="0"/>
        <v>Feb-26</v>
      </c>
      <c r="B13" s="172" t="s">
        <v>497</v>
      </c>
      <c r="C13" s="144">
        <f>'Feb 2026 A vs F'!B7</f>
        <v>594</v>
      </c>
      <c r="D13" s="144">
        <f>'Feb 2026 A vs F'!C7</f>
        <v>953.79666666666662</v>
      </c>
      <c r="E13" s="144">
        <f>D13-C13</f>
        <v>359.79666666666662</v>
      </c>
    </row>
    <row r="14" spans="1:5" ht="14.25" customHeight="1" x14ac:dyDescent="0.25">
      <c r="A14" s="171" t="str">
        <f t="shared" si="0"/>
        <v>Feb-26</v>
      </c>
      <c r="B14" s="173" t="s">
        <v>569</v>
      </c>
      <c r="C14" s="174">
        <f>'Feb 2026 A vs F'!B8</f>
        <v>5526</v>
      </c>
      <c r="D14" s="174">
        <f>'Feb 2026 A vs F'!C8</f>
        <v>3761.5508333333332</v>
      </c>
      <c r="E14" s="174">
        <f>C14-D14</f>
        <v>1764.4491666666668</v>
      </c>
    </row>
    <row r="15" spans="1:5" ht="14.25" customHeight="1" x14ac:dyDescent="0.25">
      <c r="A15" s="171" t="str">
        <f t="shared" si="0"/>
        <v>Feb-26</v>
      </c>
      <c r="B15" s="172" t="s">
        <v>498</v>
      </c>
      <c r="C15" s="144">
        <f>'Feb 2026 A vs F'!B9</f>
        <v>150305.5</v>
      </c>
      <c r="D15" s="144">
        <f>'Feb 2026 A vs F'!C9</f>
        <v>150592.60083333333</v>
      </c>
      <c r="E15" s="144">
        <f>C15-D15</f>
        <v>-287.10083333333023</v>
      </c>
    </row>
    <row r="16" spans="1:5" ht="14.25" customHeight="1" x14ac:dyDescent="0.25">
      <c r="A16" s="171" t="str">
        <f t="shared" ref="A16:A22" si="1">TEXT(DATE(2026,3,1),"mmm-yy")</f>
        <v>Mar-26</v>
      </c>
      <c r="B16" s="175" t="s">
        <v>494</v>
      </c>
      <c r="C16" s="176">
        <f>'Mar 2026 A vs F'!B3</f>
        <v>150305.5</v>
      </c>
      <c r="D16" s="176">
        <f>'Mar 2026 A vs F'!C3</f>
        <v>150592.6</v>
      </c>
      <c r="E16" s="177">
        <f>'Mar 2026 A vs F'!D3</f>
        <v>-287.10000000000582</v>
      </c>
    </row>
    <row r="17" spans="1:8" ht="14.25" customHeight="1" x14ac:dyDescent="0.25">
      <c r="A17" s="171" t="str">
        <f t="shared" si="1"/>
        <v>Mar-26</v>
      </c>
      <c r="B17" s="178" t="s">
        <v>495</v>
      </c>
      <c r="C17" s="179">
        <f>'Mar 2026 A vs F'!B4</f>
        <v>3000</v>
      </c>
      <c r="D17" s="179">
        <f>'Mar 2026 A vs F'!C4</f>
        <v>4000</v>
      </c>
      <c r="E17" s="180">
        <f>'Mar 2026 A vs F'!D4</f>
        <v>-1000</v>
      </c>
    </row>
    <row r="18" spans="1:8" ht="14.25" customHeight="1" x14ac:dyDescent="0.25">
      <c r="A18" s="171" t="str">
        <f t="shared" si="1"/>
        <v>Mar-26</v>
      </c>
      <c r="B18" s="181" t="s">
        <v>496</v>
      </c>
      <c r="C18" s="182">
        <f>'Mar 2026 A vs F'!B5</f>
        <v>380</v>
      </c>
      <c r="D18" s="182">
        <f>'Mar 2026 A vs F'!C5</f>
        <v>715.34749999999997</v>
      </c>
      <c r="E18" s="183">
        <f>'Mar 2026 A vs F'!D5</f>
        <v>-335.34749999999997</v>
      </c>
      <c r="H18" s="1" t="s">
        <v>725</v>
      </c>
    </row>
    <row r="19" spans="1:8" ht="14.25" customHeight="1" x14ac:dyDescent="0.25">
      <c r="A19" s="171" t="str">
        <f t="shared" si="1"/>
        <v>Mar-26</v>
      </c>
      <c r="B19" s="184" t="s">
        <v>823</v>
      </c>
      <c r="C19" s="185">
        <f>'Mar 2026 A vs F'!B6</f>
        <v>0</v>
      </c>
      <c r="D19" s="185">
        <f>'Mar 2026 A vs F'!C6</f>
        <v>0</v>
      </c>
      <c r="E19" s="186">
        <f>D19-C19</f>
        <v>0</v>
      </c>
    </row>
    <row r="20" spans="1:8" ht="14.25" customHeight="1" x14ac:dyDescent="0.25">
      <c r="A20" s="171" t="str">
        <f t="shared" si="1"/>
        <v>Mar-26</v>
      </c>
      <c r="B20" s="181" t="s">
        <v>497</v>
      </c>
      <c r="C20" s="182">
        <f>'Mar 2026 A vs F'!B7</f>
        <v>0</v>
      </c>
      <c r="D20" s="182">
        <f>'Mar 2026 A vs F'!C7</f>
        <v>953.79666666666662</v>
      </c>
      <c r="E20" s="183">
        <f>'Mar 2026 A vs F'!D7</f>
        <v>953.79666666666662</v>
      </c>
    </row>
    <row r="21" spans="1:8" ht="14.25" customHeight="1" x14ac:dyDescent="0.25">
      <c r="A21" s="171" t="str">
        <f t="shared" si="1"/>
        <v>Mar-26</v>
      </c>
      <c r="B21" s="184" t="s">
        <v>569</v>
      </c>
      <c r="C21" s="185">
        <f>'Mar 2026 A vs F'!B8</f>
        <v>3380</v>
      </c>
      <c r="D21" s="185">
        <f>'Mar 2026 A vs F'!C8</f>
        <v>3761.5508333333332</v>
      </c>
      <c r="E21" s="186">
        <f>'Mar 2026 A vs F'!D8</f>
        <v>-381.55083333333323</v>
      </c>
    </row>
    <row r="22" spans="1:8" ht="14.25" customHeight="1" x14ac:dyDescent="0.25">
      <c r="A22" s="171" t="str">
        <f t="shared" si="1"/>
        <v>Mar-26</v>
      </c>
      <c r="B22" s="187" t="s">
        <v>498</v>
      </c>
      <c r="C22" s="188">
        <f>'Mar 2026 A vs F'!B9</f>
        <v>153685.5</v>
      </c>
      <c r="D22" s="188">
        <f>'Mar 2026 A vs F'!C9</f>
        <v>154354.15083333335</v>
      </c>
      <c r="E22" s="189">
        <f>'Mar 2026 A vs F'!D9</f>
        <v>-668.65083333334769</v>
      </c>
    </row>
    <row r="23" spans="1:8" ht="14.25" customHeight="1" x14ac:dyDescent="0.25">
      <c r="A23" s="171" t="str">
        <f t="shared" ref="A23:A29" si="2">TEXT(DATE(2026,4,1),"mmm-yy")</f>
        <v>Apr-26</v>
      </c>
      <c r="B23" s="175" t="s">
        <v>494</v>
      </c>
      <c r="C23" s="176">
        <f>'Apr 2026 A vs F '!B3</f>
        <v>153685.5</v>
      </c>
      <c r="D23" s="176">
        <f>'Apr 2026 A vs F '!C3</f>
        <v>154325.79392966456</v>
      </c>
      <c r="E23" s="176">
        <f>'Apr 2026 A vs F '!D3</f>
        <v>-640.29392966456362</v>
      </c>
    </row>
    <row r="24" spans="1:8" ht="14.25" customHeight="1" x14ac:dyDescent="0.25">
      <c r="A24" s="171" t="str">
        <f t="shared" si="2"/>
        <v>Apr-26</v>
      </c>
      <c r="B24" s="178" t="s">
        <v>495</v>
      </c>
      <c r="C24" s="179">
        <f>'Apr 2026 A vs F '!B4</f>
        <v>3810</v>
      </c>
      <c r="D24" s="179">
        <f>'Apr 2026 A vs F '!C4</f>
        <v>6400</v>
      </c>
      <c r="E24" s="179">
        <f>'Apr 2026 A vs F '!D4</f>
        <v>-2590</v>
      </c>
    </row>
    <row r="25" spans="1:8" ht="14.25" customHeight="1" x14ac:dyDescent="0.25">
      <c r="A25" s="171" t="str">
        <f t="shared" si="2"/>
        <v>Apr-26</v>
      </c>
      <c r="B25" s="181" t="s">
        <v>496</v>
      </c>
      <c r="C25" s="182">
        <f>'Apr 2026 A vs F '!B5</f>
        <v>440</v>
      </c>
      <c r="D25" s="182">
        <f>'Apr 2026 A vs F '!C5</f>
        <v>771.62896964832282</v>
      </c>
      <c r="E25" s="182">
        <f>'Apr 2026 A vs F '!D5</f>
        <v>-331.62896964832282</v>
      </c>
    </row>
    <row r="26" spans="1:8" ht="14.25" customHeight="1" x14ac:dyDescent="0.25">
      <c r="A26" s="171" t="str">
        <f t="shared" si="2"/>
        <v>Apr-26</v>
      </c>
      <c r="B26" s="184" t="s">
        <v>823</v>
      </c>
      <c r="C26" s="185">
        <f>'Apr 2026 A vs F '!B6</f>
        <v>0</v>
      </c>
      <c r="D26" s="185">
        <f>'Apr 2026 A vs F '!C6</f>
        <v>0</v>
      </c>
      <c r="E26" s="185">
        <f>'Apr 2026 A vs F '!D6</f>
        <v>0</v>
      </c>
    </row>
    <row r="27" spans="1:8" ht="14.25" customHeight="1" x14ac:dyDescent="0.25">
      <c r="A27" s="171" t="str">
        <f t="shared" si="2"/>
        <v>Apr-26</v>
      </c>
      <c r="B27" s="181" t="s">
        <v>497</v>
      </c>
      <c r="C27" s="182">
        <f>'Apr 2026 A vs F '!B7</f>
        <v>1105</v>
      </c>
      <c r="D27" s="182">
        <f>'Apr 2026 A vs F '!C7</f>
        <v>1033.9828193287526</v>
      </c>
      <c r="E27" s="182">
        <f>'Apr 2026 A vs F '!D7</f>
        <v>-71.017180671247388</v>
      </c>
    </row>
    <row r="28" spans="1:8" ht="14.25" customHeight="1" x14ac:dyDescent="0.25">
      <c r="A28" s="171" t="str">
        <f t="shared" si="2"/>
        <v>Apr-26</v>
      </c>
      <c r="B28" s="184" t="s">
        <v>569</v>
      </c>
      <c r="C28" s="185">
        <f>'Apr 2026 A vs F '!B8</f>
        <v>3145</v>
      </c>
      <c r="D28" s="185">
        <f>'Apr 2026 A vs F '!C8</f>
        <v>6137.6461503195696</v>
      </c>
      <c r="E28" s="185">
        <f>'Apr 2026 A vs F '!D8</f>
        <v>-2992.6461503195696</v>
      </c>
    </row>
    <row r="29" spans="1:8" ht="14.25" customHeight="1" x14ac:dyDescent="0.25">
      <c r="A29" s="171" t="str">
        <f t="shared" si="2"/>
        <v>Apr-26</v>
      </c>
      <c r="B29" s="187" t="s">
        <v>498</v>
      </c>
      <c r="C29" s="188">
        <f>'Apr 2026 A vs F '!B9</f>
        <v>156830.5</v>
      </c>
      <c r="D29" s="188">
        <f>'Apr 2026 A vs F '!C9</f>
        <v>160463.44007998414</v>
      </c>
      <c r="E29" s="188">
        <f>'Apr 2026 A vs F '!D9</f>
        <v>-3632.9400799841387</v>
      </c>
    </row>
    <row r="30" spans="1:8" ht="14.25" customHeight="1" x14ac:dyDescent="0.25"/>
    <row r="31" spans="1:8" ht="14.25" customHeight="1" x14ac:dyDescent="0.25"/>
    <row r="32" spans="1:8"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1002"/>
  <sheetViews>
    <sheetView workbookViewId="0">
      <pane ySplit="1" topLeftCell="A62" activePane="bottomLeft" state="frozen"/>
      <selection pane="bottomLeft" activeCell="D75" sqref="D75"/>
    </sheetView>
  </sheetViews>
  <sheetFormatPr defaultColWidth="14.42578125" defaultRowHeight="15" customHeight="1" x14ac:dyDescent="0.25"/>
  <cols>
    <col min="1" max="1" width="14.140625" customWidth="1"/>
    <col min="2" max="2" width="20.7109375" customWidth="1"/>
    <col min="3" max="3" width="17.85546875" customWidth="1"/>
    <col min="4" max="4" width="29.5703125" customWidth="1"/>
    <col min="5" max="5" width="17.85546875" customWidth="1"/>
    <col min="6" max="6" width="16" customWidth="1"/>
    <col min="7" max="7" width="20.28515625" customWidth="1"/>
    <col min="8" max="8" width="16.42578125" customWidth="1"/>
    <col min="9" max="9" width="15.140625" customWidth="1"/>
    <col min="10" max="10" width="17" customWidth="1"/>
    <col min="11" max="11" width="19.42578125" customWidth="1"/>
    <col min="12" max="12" width="53.85546875" customWidth="1"/>
    <col min="13" max="13" width="21" customWidth="1"/>
    <col min="14" max="14" width="17.85546875" customWidth="1"/>
    <col min="15" max="15" width="11.42578125" customWidth="1"/>
    <col min="16" max="16" width="20" customWidth="1"/>
    <col min="17" max="17" width="22.5703125" customWidth="1"/>
    <col min="18" max="18" width="16.28515625" customWidth="1"/>
    <col min="19" max="19" width="18.7109375" customWidth="1"/>
    <col min="20" max="20" width="17.140625" customWidth="1"/>
    <col min="21" max="21" width="18.42578125" customWidth="1"/>
    <col min="22" max="22" width="23.85546875" customWidth="1"/>
    <col min="23" max="25" width="8.7109375" customWidth="1"/>
  </cols>
  <sheetData>
    <row r="1" spans="1:22" ht="14.25" customHeight="1" x14ac:dyDescent="0.25">
      <c r="A1" s="190" t="s">
        <v>824</v>
      </c>
      <c r="B1" s="190" t="s">
        <v>33</v>
      </c>
      <c r="C1" s="190" t="s">
        <v>31</v>
      </c>
      <c r="D1" s="190" t="s">
        <v>825</v>
      </c>
      <c r="E1" s="190" t="s">
        <v>826</v>
      </c>
      <c r="F1" s="190" t="s">
        <v>827</v>
      </c>
      <c r="G1" s="190" t="s">
        <v>828</v>
      </c>
      <c r="H1" s="190" t="s">
        <v>829</v>
      </c>
      <c r="I1" s="190" t="s">
        <v>830</v>
      </c>
      <c r="J1" s="190" t="s">
        <v>831</v>
      </c>
      <c r="K1" s="190" t="s">
        <v>832</v>
      </c>
      <c r="L1" s="190" t="s">
        <v>833</v>
      </c>
      <c r="M1" s="190" t="s">
        <v>34</v>
      </c>
      <c r="N1" s="190" t="s">
        <v>35</v>
      </c>
      <c r="O1" s="190" t="s">
        <v>38</v>
      </c>
      <c r="P1" s="190" t="s">
        <v>834</v>
      </c>
      <c r="Q1" s="190" t="s">
        <v>835</v>
      </c>
      <c r="R1" s="190" t="s">
        <v>836</v>
      </c>
      <c r="S1" s="191" t="s">
        <v>837</v>
      </c>
      <c r="T1" s="192" t="s">
        <v>838</v>
      </c>
      <c r="U1" s="192" t="s">
        <v>839</v>
      </c>
      <c r="V1" s="192" t="s">
        <v>840</v>
      </c>
    </row>
    <row r="2" spans="1:22" ht="14.25" customHeight="1" x14ac:dyDescent="0.25">
      <c r="A2" s="193" t="s">
        <v>841</v>
      </c>
      <c r="B2" s="193" t="s">
        <v>842</v>
      </c>
      <c r="C2" s="193" t="s">
        <v>146</v>
      </c>
      <c r="D2" s="193" t="s">
        <v>147</v>
      </c>
      <c r="E2" s="193" t="s">
        <v>843</v>
      </c>
      <c r="F2" s="194">
        <v>45292</v>
      </c>
      <c r="G2" s="195">
        <v>45299</v>
      </c>
      <c r="H2" s="193" t="s">
        <v>844</v>
      </c>
      <c r="M2" s="193" t="s">
        <v>119</v>
      </c>
      <c r="N2" s="193" t="s">
        <v>53</v>
      </c>
      <c r="O2" s="193">
        <v>20</v>
      </c>
      <c r="P2" s="193">
        <v>95</v>
      </c>
      <c r="Q2" s="193">
        <v>0</v>
      </c>
      <c r="R2" s="193" t="str" cm="1">
        <f t="array" ref="R2">_xlfn.IFS(H2="created",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196" cm="1">
        <f t="array" ref="S2">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f>
        <v>1900</v>
      </c>
      <c r="T2" s="193">
        <f>IF(H2&lt;&gt;"created",0,IF(COUNTIFS($C$1:C1,$C2,$H$1:H1,"created")=0,1,0))</f>
        <v>1</v>
      </c>
      <c r="U2" s="193">
        <f t="shared" ref="U2:U33" si="0">IF(H2&lt;&gt;"cancelled",0,IF(COUNTIFS($C$2:$C$1002,$C2,$H$2:$H$1002,"created",$F$2:$F$1002,"&lt;="&amp;F2)-COUNTIFS($C$2:$C$1002,$C2,$H$2:$H$1002,"cancelled",$F$2:$F$1002,"&lt;="&amp;F2)=0,1,0))</f>
        <v>0</v>
      </c>
      <c r="V2" s="193">
        <f t="shared" ref="V2:V33" si="1">IF(AND(H2="created",T2=0,COUNTIFS($C$2:$C$1002,$C2,$H$2:$H$1002,"cancelled",$F$2:$F$1002,"&lt;"&amp;F2)&gt;0,COUNTIFS($C$2:$C$1002,$C2,$H$2:$H$1002,"created",$F$2:$F$1002,"&lt;"&amp;F2)-COUNTIFS($C$2:$C$1002,$C2,$H$2:$H$1002,"cancelled",$F$2:$F$1002,"&lt;"&amp;F2)=0),1,0)</f>
        <v>0</v>
      </c>
    </row>
    <row r="3" spans="1:22" ht="14.25" customHeight="1" x14ac:dyDescent="0.25">
      <c r="A3" s="193" t="s">
        <v>845</v>
      </c>
      <c r="B3" s="193" t="s">
        <v>208</v>
      </c>
      <c r="C3" s="193" t="s">
        <v>206</v>
      </c>
      <c r="D3" s="193" t="s">
        <v>207</v>
      </c>
      <c r="E3" s="193" t="s">
        <v>846</v>
      </c>
      <c r="F3" s="194">
        <v>45292</v>
      </c>
      <c r="G3" s="195">
        <v>45313</v>
      </c>
      <c r="H3" s="193" t="s">
        <v>844</v>
      </c>
      <c r="M3" s="193" t="s">
        <v>209</v>
      </c>
      <c r="N3" s="193" t="s">
        <v>210</v>
      </c>
      <c r="O3" s="193">
        <v>26</v>
      </c>
      <c r="P3" s="193">
        <v>1800</v>
      </c>
      <c r="Q3" s="193">
        <v>0</v>
      </c>
      <c r="R3" s="193" t="str" cm="1">
        <f t="array" ref="R3">_xlfn.IFS(H3="created",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196" cm="1">
        <f t="array" ref="S3">IF(N3="Monthly",_xlfn.IFS(H3="created",O3*P3*(1-Q3/100),H3="cancelled",-(O3*P3*(1-Q3/100)),H3="seats_change",(J3-I3)*P3*(1-Q3/100),H3="price_change",(J3-I3)*O3*(1-Q3/100),H3="discount_added",-(O3*P3*(J3-I3)/100),H3="plan_upgrade",O3*(_xlfn.XLOOKUP(J3,$M:$M,$P:$P)-_xlfn.XLOOKUP(I3,$M:$M,$P:$P))*(1-Q3/100),H3="plan_downgrade",O3*(_xlfn.XLOOKUP(J3,$M:$M,$P:$P)-_xlfn.XLOOKUP(I3,$M:$M,$P:$P))*(1-Q3/100)),_xlfn.IFS(H3="created",O3*P3*(1-Q3/100)/12,H3="cancelled",-(O3*P3*(1-Q3/100))/12,H3="seats_change",(J3-I3)*P3*(1-Q3/100)/12,H3="price_change",(J3-I3)*O3*(1-Q3/100)/12,H3="plan_upgrade",(O3*(_xlfn.XLOOKUP(J3,$M:$M,$P:$P)-_xlfn.XLOOKUP(I3,$M:$M,$P:$P))*(1-Q3/100))/12,H3="plan_downgrade",(O3*(_xlfn.XLOOKUP(J3,$M:$M,$P:$P)-_xlfn.XLOOKUP(I3,$M:$M,$P:$P))*(1-Q3/100))/12,H3="discount_added",-(O3*P3*(J3-I3)/100)/12))</f>
        <v>3900</v>
      </c>
      <c r="T3" s="193">
        <f>IF(H3&lt;&gt;"created",0,IF(COUNTIFS($C$1:C2,$C3,$H$1:H2,"created")=0,1,0))</f>
        <v>1</v>
      </c>
      <c r="U3" s="193">
        <f t="shared" si="0"/>
        <v>0</v>
      </c>
      <c r="V3" s="193">
        <f t="shared" si="1"/>
        <v>0</v>
      </c>
    </row>
    <row r="4" spans="1:22" ht="14.25" customHeight="1" x14ac:dyDescent="0.25">
      <c r="A4" s="193" t="s">
        <v>847</v>
      </c>
      <c r="B4" s="193" t="s">
        <v>74</v>
      </c>
      <c r="C4" s="193" t="s">
        <v>72</v>
      </c>
      <c r="D4" s="193" t="s">
        <v>73</v>
      </c>
      <c r="E4" s="193" t="s">
        <v>843</v>
      </c>
      <c r="F4" s="194">
        <v>45323</v>
      </c>
      <c r="G4" s="195">
        <v>45327</v>
      </c>
      <c r="H4" s="193" t="s">
        <v>844</v>
      </c>
      <c r="M4" s="193" t="s">
        <v>52</v>
      </c>
      <c r="N4" s="193" t="s">
        <v>53</v>
      </c>
      <c r="O4" s="193">
        <v>23</v>
      </c>
      <c r="P4" s="193">
        <v>85</v>
      </c>
      <c r="Q4" s="193">
        <v>0</v>
      </c>
      <c r="R4" s="193" t="str" cm="1">
        <f t="array" ref="R4">_xlfn.IFS(H4="created",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196" cm="1">
        <f t="array" ref="S4">IF(N4="Monthly",_xlfn.IFS(H4="created",O4*P4*(1-Q4/100),H4="cancelled",-(O4*P4*(1-Q4/100)),H4="seats_change",(J4-I4)*P4*(1-Q4/100),H4="price_change",(J4-I4)*O4*(1-Q4/100),H4="discount_added",-(O4*P4*(J4-I4)/100),H4="plan_upgrade",O4*(_xlfn.XLOOKUP(J4,$M:$M,$P:$P)-_xlfn.XLOOKUP(I4,$M:$M,$P:$P))*(1-Q4/100),H4="plan_downgrade",O4*(_xlfn.XLOOKUP(J4,$M:$M,$P:$P)-_xlfn.XLOOKUP(I4,$M:$M,$P:$P))*(1-Q4/100)),_xlfn.IFS(H4="created",O4*P4*(1-Q4/100)/12,H4="cancelled",-(O4*P4*(1-Q4/100))/12,H4="seats_change",(J4-I4)*P4*(1-Q4/100)/12,H4="price_change",(J4-I4)*O4*(1-Q4/100)/12,H4="plan_upgrade",(O4*(_xlfn.XLOOKUP(J4,$M:$M,$P:$P)-_xlfn.XLOOKUP(I4,$M:$M,$P:$P))*(1-Q4/100))/12,H4="plan_downgrade",(O4*(_xlfn.XLOOKUP(J4,$M:$M,$P:$P)-_xlfn.XLOOKUP(I4,$M:$M,$P:$P))*(1-Q4/100))/12,H4="discount_added",-(O4*P4*(J4-I4)/100)/12))</f>
        <v>1955</v>
      </c>
      <c r="T4" s="193">
        <f>IF(H4&lt;&gt;"created",0,IF(COUNTIFS($C$1:C3,$C4,$H$1:H3,"created")=0,1,0))</f>
        <v>1</v>
      </c>
      <c r="U4" s="193">
        <f t="shared" si="0"/>
        <v>0</v>
      </c>
      <c r="V4" s="193">
        <f t="shared" si="1"/>
        <v>0</v>
      </c>
    </row>
    <row r="5" spans="1:22" ht="14.25" customHeight="1" x14ac:dyDescent="0.25">
      <c r="A5" s="193" t="s">
        <v>848</v>
      </c>
      <c r="B5" s="193" t="s">
        <v>181</v>
      </c>
      <c r="C5" s="193" t="s">
        <v>179</v>
      </c>
      <c r="D5" s="193" t="s">
        <v>180</v>
      </c>
      <c r="E5" s="193" t="s">
        <v>846</v>
      </c>
      <c r="F5" s="194">
        <v>45323</v>
      </c>
      <c r="G5" s="195">
        <v>45341</v>
      </c>
      <c r="H5" s="193" t="s">
        <v>844</v>
      </c>
      <c r="M5" s="193" t="s">
        <v>93</v>
      </c>
      <c r="N5" s="193" t="s">
        <v>53</v>
      </c>
      <c r="O5" s="193">
        <v>18</v>
      </c>
      <c r="P5" s="193">
        <v>110</v>
      </c>
      <c r="Q5" s="193">
        <v>0</v>
      </c>
      <c r="R5" s="193" t="str" cm="1">
        <f t="array" ref="R5">_xlfn.IFS(H5="created",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196" cm="1">
        <f t="array" ref="S5">IF(N5="Monthly",_xlfn.IFS(H5="created",O5*P5*(1-Q5/100),H5="cancelled",-(O5*P5*(1-Q5/100)),H5="seats_change",(J5-I5)*P5*(1-Q5/100),H5="price_change",(J5-I5)*O5*(1-Q5/100),H5="discount_added",-(O5*P5*(J5-I5)/100),H5="plan_upgrade",O5*(_xlfn.XLOOKUP(J5,$M:$M,$P:$P)-_xlfn.XLOOKUP(I5,$M:$M,$P:$P))*(1-Q5/100),H5="plan_downgrade",O5*(_xlfn.XLOOKUP(J5,$M:$M,$P:$P)-_xlfn.XLOOKUP(I5,$M:$M,$P:$P))*(1-Q5/100)),_xlfn.IFS(H5="created",O5*P5*(1-Q5/100)/12,H5="cancelled",-(O5*P5*(1-Q5/100))/12,H5="seats_change",(J5-I5)*P5*(1-Q5/100)/12,H5="price_change",(J5-I5)*O5*(1-Q5/100)/12,H5="plan_upgrade",(O5*(_xlfn.XLOOKUP(J5,$M:$M,$P:$P)-_xlfn.XLOOKUP(I5,$M:$M,$P:$P))*(1-Q5/100))/12,H5="plan_downgrade",(O5*(_xlfn.XLOOKUP(J5,$M:$M,$P:$P)-_xlfn.XLOOKUP(I5,$M:$M,$P:$P))*(1-Q5/100))/12,H5="discount_added",-(O5*P5*(J5-I5)/100)/12))</f>
        <v>1980</v>
      </c>
      <c r="T5" s="193">
        <f>IF(H5&lt;&gt;"created",0,IF(COUNTIFS($C$1:C4,$C5,$H$1:H4,"created")=0,1,0))</f>
        <v>1</v>
      </c>
      <c r="U5" s="193">
        <f t="shared" si="0"/>
        <v>0</v>
      </c>
      <c r="V5" s="193">
        <f t="shared" si="1"/>
        <v>0</v>
      </c>
    </row>
    <row r="6" spans="1:22" ht="14.25" customHeight="1" x14ac:dyDescent="0.25">
      <c r="A6" s="193" t="s">
        <v>849</v>
      </c>
      <c r="B6" s="193" t="s">
        <v>850</v>
      </c>
      <c r="C6" s="193" t="s">
        <v>179</v>
      </c>
      <c r="D6" s="193" t="s">
        <v>180</v>
      </c>
      <c r="E6" s="193" t="s">
        <v>846</v>
      </c>
      <c r="F6" s="194">
        <v>45323</v>
      </c>
      <c r="G6" s="195">
        <v>45341</v>
      </c>
      <c r="H6" s="193" t="s">
        <v>844</v>
      </c>
      <c r="M6" s="193" t="s">
        <v>64</v>
      </c>
      <c r="N6" s="193" t="s">
        <v>53</v>
      </c>
      <c r="O6" s="193">
        <v>26</v>
      </c>
      <c r="P6" s="193">
        <v>180</v>
      </c>
      <c r="Q6" s="193">
        <v>0</v>
      </c>
      <c r="R6" s="193" t="str" cm="1">
        <f t="array" ref="R6">_xlfn.IFS(H6="created",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196" cm="1">
        <f t="array" ref="S6">IF(N6="Monthly",_xlfn.IFS(H6="created",O6*P6*(1-Q6/100),H6="cancelled",-(O6*P6*(1-Q6/100)),H6="seats_change",(J6-I6)*P6*(1-Q6/100),H6="price_change",(J6-I6)*O6*(1-Q6/100),H6="discount_added",-(O6*P6*(J6-I6)/100),H6="plan_upgrade",O6*(_xlfn.XLOOKUP(J6,$M:$M,$P:$P)-_xlfn.XLOOKUP(I6,$M:$M,$P:$P))*(1-Q6/100),H6="plan_downgrade",O6*(_xlfn.XLOOKUP(J6,$M:$M,$P:$P)-_xlfn.XLOOKUP(I6,$M:$M,$P:$P))*(1-Q6/100)),_xlfn.IFS(H6="created",O6*P6*(1-Q6/100)/12,H6="cancelled",-(O6*P6*(1-Q6/100))/12,H6="seats_change",(J6-I6)*P6*(1-Q6/100)/12,H6="price_change",(J6-I6)*O6*(1-Q6/100)/12,H6="plan_upgrade",(O6*(_xlfn.XLOOKUP(J6,$M:$M,$P:$P)-_xlfn.XLOOKUP(I6,$M:$M,$P:$P))*(1-Q6/100))/12,H6="plan_downgrade",(O6*(_xlfn.XLOOKUP(J6,$M:$M,$P:$P)-_xlfn.XLOOKUP(I6,$M:$M,$P:$P))*(1-Q6/100))/12,H6="discount_added",-(O6*P6*(J6-I6)/100)/12))</f>
        <v>4680</v>
      </c>
      <c r="T6" s="193">
        <f>IF(H6&lt;&gt;"created",0,IF(COUNTIFS($C$1:C5,$C6,$H$1:H5,"created")=0,1,0))</f>
        <v>0</v>
      </c>
      <c r="U6" s="193">
        <f t="shared" si="0"/>
        <v>0</v>
      </c>
      <c r="V6" s="193">
        <f t="shared" si="1"/>
        <v>0</v>
      </c>
    </row>
    <row r="7" spans="1:22" ht="14.25" customHeight="1" x14ac:dyDescent="0.25">
      <c r="A7" s="193" t="s">
        <v>851</v>
      </c>
      <c r="B7" s="193" t="s">
        <v>852</v>
      </c>
      <c r="C7" s="193" t="s">
        <v>853</v>
      </c>
      <c r="D7" s="193" t="s">
        <v>854</v>
      </c>
      <c r="E7" s="193" t="s">
        <v>843</v>
      </c>
      <c r="F7" s="194">
        <v>45352</v>
      </c>
      <c r="G7" s="195">
        <v>45355</v>
      </c>
      <c r="H7" s="193" t="s">
        <v>844</v>
      </c>
      <c r="M7" s="193" t="s">
        <v>58</v>
      </c>
      <c r="N7" s="193" t="s">
        <v>53</v>
      </c>
      <c r="O7" s="193">
        <v>11</v>
      </c>
      <c r="P7" s="193">
        <v>45</v>
      </c>
      <c r="Q7" s="193">
        <v>0</v>
      </c>
      <c r="R7" s="193" t="str" cm="1">
        <f t="array" ref="R7">_xlfn.IFS(H7="created",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196" cm="1">
        <f t="array" ref="S7">IF(N7="Monthly",_xlfn.IFS(H7="created",O7*P7*(1-Q7/100),H7="cancelled",-(O7*P7*(1-Q7/100)),H7="seats_change",(J7-I7)*P7*(1-Q7/100),H7="price_change",(J7-I7)*O7*(1-Q7/100),H7="discount_added",-(O7*P7*(J7-I7)/100),H7="plan_upgrade",O7*(_xlfn.XLOOKUP(J7,$M:$M,$P:$P)-_xlfn.XLOOKUP(I7,$M:$M,$P:$P))*(1-Q7/100),H7="plan_downgrade",O7*(_xlfn.XLOOKUP(J7,$M:$M,$P:$P)-_xlfn.XLOOKUP(I7,$M:$M,$P:$P))*(1-Q7/100)),_xlfn.IFS(H7="created",O7*P7*(1-Q7/100)/12,H7="cancelled",-(O7*P7*(1-Q7/100))/12,H7="seats_change",(J7-I7)*P7*(1-Q7/100)/12,H7="price_change",(J7-I7)*O7*(1-Q7/100)/12,H7="plan_upgrade",(O7*(_xlfn.XLOOKUP(J7,$M:$M,$P:$P)-_xlfn.XLOOKUP(I7,$M:$M,$P:$P))*(1-Q7/100))/12,H7="plan_downgrade",(O7*(_xlfn.XLOOKUP(J7,$M:$M,$P:$P)-_xlfn.XLOOKUP(I7,$M:$M,$P:$P))*(1-Q7/100))/12,H7="discount_added",-(O7*P7*(J7-I7)/100)/12))</f>
        <v>495</v>
      </c>
      <c r="T7" s="193">
        <f>IF(H7&lt;&gt;"created",0,IF(COUNTIFS($C$1:C6,$C7,$H$1:H6,"created")=0,1,0))</f>
        <v>1</v>
      </c>
      <c r="U7" s="193">
        <f t="shared" si="0"/>
        <v>0</v>
      </c>
      <c r="V7" s="193">
        <f t="shared" si="1"/>
        <v>0</v>
      </c>
    </row>
    <row r="8" spans="1:22" ht="14.25" customHeight="1" x14ac:dyDescent="0.25">
      <c r="A8" s="193" t="s">
        <v>855</v>
      </c>
      <c r="B8" s="193" t="s">
        <v>856</v>
      </c>
      <c r="C8" s="193" t="s">
        <v>77</v>
      </c>
      <c r="D8" s="193" t="s">
        <v>78</v>
      </c>
      <c r="E8" s="193" t="s">
        <v>846</v>
      </c>
      <c r="F8" s="194">
        <v>45352</v>
      </c>
      <c r="G8" s="195">
        <v>45369</v>
      </c>
      <c r="H8" s="193" t="s">
        <v>844</v>
      </c>
      <c r="M8" s="193" t="s">
        <v>64</v>
      </c>
      <c r="N8" s="193" t="s">
        <v>210</v>
      </c>
      <c r="O8" s="193">
        <v>31</v>
      </c>
      <c r="P8" s="193">
        <v>2160</v>
      </c>
      <c r="Q8" s="193">
        <v>0</v>
      </c>
      <c r="R8" s="193" t="str" cm="1">
        <f t="array" ref="R8">_xlfn.IFS(H8="created",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196" cm="1">
        <f t="array" ref="S8">IF(N8="Monthly",_xlfn.IFS(H8="created",O8*P8*(1-Q8/100),H8="cancelled",-(O8*P8*(1-Q8/100)),H8="seats_change",(J8-I8)*P8*(1-Q8/100),H8="price_change",(J8-I8)*O8*(1-Q8/100),H8="discount_added",-(O8*P8*(J8-I8)/100),H8="plan_upgrade",O8*(_xlfn.XLOOKUP(J8,$M:$M,$P:$P)-_xlfn.XLOOKUP(I8,$M:$M,$P:$P))*(1-Q8/100),H8="plan_downgrade",O8*(_xlfn.XLOOKUP(J8,$M:$M,$P:$P)-_xlfn.XLOOKUP(I8,$M:$M,$P:$P))*(1-Q8/100)),_xlfn.IFS(H8="created",O8*P8*(1-Q8/100)/12,H8="cancelled",-(O8*P8*(1-Q8/100))/12,H8="seats_change",(J8-I8)*P8*(1-Q8/100)/12,H8="price_change",(J8-I8)*O8*(1-Q8/100)/12,H8="plan_upgrade",(O8*(_xlfn.XLOOKUP(J8,$M:$M,$P:$P)-_xlfn.XLOOKUP(I8,$M:$M,$P:$P))*(1-Q8/100))/12,H8="plan_downgrade",(O8*(_xlfn.XLOOKUP(J8,$M:$M,$P:$P)-_xlfn.XLOOKUP(I8,$M:$M,$P:$P))*(1-Q8/100))/12,H8="discount_added",-(O8*P8*(J8-I8)/100)/12))</f>
        <v>5580</v>
      </c>
      <c r="T8" s="193">
        <f>IF(H8&lt;&gt;"created",0,IF(COUNTIFS($C$1:C7,$C8,$H$1:H7,"created")=0,1,0))</f>
        <v>1</v>
      </c>
      <c r="U8" s="193">
        <f t="shared" si="0"/>
        <v>0</v>
      </c>
      <c r="V8" s="193">
        <f t="shared" si="1"/>
        <v>0</v>
      </c>
    </row>
    <row r="9" spans="1:22" ht="14.25" customHeight="1" x14ac:dyDescent="0.25">
      <c r="A9" s="193" t="s">
        <v>857</v>
      </c>
      <c r="B9" s="193" t="s">
        <v>51</v>
      </c>
      <c r="C9" s="193" t="s">
        <v>49</v>
      </c>
      <c r="D9" s="193" t="s">
        <v>50</v>
      </c>
      <c r="E9" s="193" t="s">
        <v>843</v>
      </c>
      <c r="F9" s="194">
        <v>45383</v>
      </c>
      <c r="G9" s="195">
        <v>45383</v>
      </c>
      <c r="H9" s="193" t="s">
        <v>844</v>
      </c>
      <c r="M9" s="193" t="s">
        <v>52</v>
      </c>
      <c r="N9" s="193" t="s">
        <v>53</v>
      </c>
      <c r="O9" s="193">
        <v>16</v>
      </c>
      <c r="P9" s="193">
        <v>85</v>
      </c>
      <c r="Q9" s="193">
        <v>0</v>
      </c>
      <c r="R9" s="193" t="str" cm="1">
        <f t="array" ref="R9">_xlfn.IFS(H9="created",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196" cm="1">
        <f t="array" ref="S9">IF(N9="Monthly",_xlfn.IFS(H9="created",O9*P9*(1-Q9/100),H9="cancelled",-(O9*P9*(1-Q9/100)),H9="seats_change",(J9-I9)*P9*(1-Q9/100),H9="price_change",(J9-I9)*O9*(1-Q9/100),H9="discount_added",-(O9*P9*(J9-I9)/100),H9="plan_upgrade",O9*(_xlfn.XLOOKUP(J9,$M:$M,$P:$P)-_xlfn.XLOOKUP(I9,$M:$M,$P:$P))*(1-Q9/100),H9="plan_downgrade",O9*(_xlfn.XLOOKUP(J9,$M:$M,$P:$P)-_xlfn.XLOOKUP(I9,$M:$M,$P:$P))*(1-Q9/100)),_xlfn.IFS(H9="created",O9*P9*(1-Q9/100)/12,H9="cancelled",-(O9*P9*(1-Q9/100))/12,H9="seats_change",(J9-I9)*P9*(1-Q9/100)/12,H9="price_change",(J9-I9)*O9*(1-Q9/100)/12,H9="plan_upgrade",(O9*(_xlfn.XLOOKUP(J9,$M:$M,$P:$P)-_xlfn.XLOOKUP(I9,$M:$M,$P:$P))*(1-Q9/100))/12,H9="plan_downgrade",(O9*(_xlfn.XLOOKUP(J9,$M:$M,$P:$P)-_xlfn.XLOOKUP(I9,$M:$M,$P:$P))*(1-Q9/100))/12,H9="discount_added",-(O9*P9*(J9-I9)/100)/12))</f>
        <v>1360</v>
      </c>
      <c r="T9" s="193">
        <f>IF(H9&lt;&gt;"created",0,IF(COUNTIFS($C$1:C8,$C9,$H$1:H8,"created")=0,1,0))</f>
        <v>1</v>
      </c>
      <c r="U9" s="193">
        <f t="shared" si="0"/>
        <v>0</v>
      </c>
      <c r="V9" s="193">
        <f t="shared" si="1"/>
        <v>0</v>
      </c>
    </row>
    <row r="10" spans="1:22" ht="14.25" customHeight="1" x14ac:dyDescent="0.25">
      <c r="A10" s="193" t="s">
        <v>858</v>
      </c>
      <c r="B10" s="193" t="s">
        <v>57</v>
      </c>
      <c r="C10" s="193" t="s">
        <v>49</v>
      </c>
      <c r="D10" s="193" t="s">
        <v>50</v>
      </c>
      <c r="E10" s="193" t="s">
        <v>843</v>
      </c>
      <c r="F10" s="194">
        <v>45383</v>
      </c>
      <c r="G10" s="195">
        <v>45383</v>
      </c>
      <c r="H10" s="193" t="s">
        <v>844</v>
      </c>
      <c r="M10" s="193" t="s">
        <v>58</v>
      </c>
      <c r="N10" s="193" t="s">
        <v>53</v>
      </c>
      <c r="O10" s="193">
        <v>15</v>
      </c>
      <c r="P10" s="193">
        <v>45</v>
      </c>
      <c r="Q10" s="193">
        <v>12</v>
      </c>
      <c r="R10" s="193" t="str" cm="1">
        <f t="array" ref="R10">_xlfn.IFS(H10="created",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196" cm="1">
        <f t="array" ref="S10">IF(N10="Monthly",_xlfn.IFS(H10="created",O10*P10*(1-Q10/100),H10="cancelled",-(O10*P10*(1-Q10/100)),H10="seats_change",(J10-I10)*P10*(1-Q10/100),H10="price_change",(J10-I10)*O10*(1-Q10/100),H10="discount_added",-(O10*P10*(J10-I10)/100),H10="plan_upgrade",O10*(_xlfn.XLOOKUP(J10,$M:$M,$P:$P)-_xlfn.XLOOKUP(I10,$M:$M,$P:$P))*(1-Q10/100),H10="plan_downgrade",O10*(_xlfn.XLOOKUP(J10,$M:$M,$P:$P)-_xlfn.XLOOKUP(I10,$M:$M,$P:$P))*(1-Q10/100)),_xlfn.IFS(H10="created",O10*P10*(1-Q10/100)/12,H10="cancelled",-(O10*P10*(1-Q10/100))/12,H10="seats_change",(J10-I10)*P10*(1-Q10/100)/12,H10="price_change",(J10-I10)*O10*(1-Q10/100)/12,H10="plan_upgrade",(O10*(_xlfn.XLOOKUP(J10,$M:$M,$P:$P)-_xlfn.XLOOKUP(I10,$M:$M,$P:$P))*(1-Q10/100))/12,H10="plan_downgrade",(O10*(_xlfn.XLOOKUP(J10,$M:$M,$P:$P)-_xlfn.XLOOKUP(I10,$M:$M,$P:$P))*(1-Q10/100))/12,H10="discount_added",-(O10*P10*(J10-I10)/100)/12))</f>
        <v>594</v>
      </c>
      <c r="T10" s="193">
        <f>IF(H10&lt;&gt;"created",0,IF(COUNTIFS($C$1:C9,$C10,$H$1:H9,"created")=0,1,0))</f>
        <v>0</v>
      </c>
      <c r="U10" s="193">
        <f t="shared" si="0"/>
        <v>0</v>
      </c>
      <c r="V10" s="193">
        <f t="shared" si="1"/>
        <v>0</v>
      </c>
    </row>
    <row r="11" spans="1:22" ht="14.25" customHeight="1" x14ac:dyDescent="0.25">
      <c r="A11" s="193" t="s">
        <v>859</v>
      </c>
      <c r="B11" s="193" t="s">
        <v>860</v>
      </c>
      <c r="C11" s="193" t="s">
        <v>87</v>
      </c>
      <c r="D11" s="193" t="s">
        <v>88</v>
      </c>
      <c r="E11" s="193" t="s">
        <v>843</v>
      </c>
      <c r="F11" s="194">
        <v>45383</v>
      </c>
      <c r="G11" s="195">
        <v>45397</v>
      </c>
      <c r="H11" s="193" t="s">
        <v>844</v>
      </c>
      <c r="M11" s="193" t="s">
        <v>119</v>
      </c>
      <c r="N11" s="193" t="s">
        <v>53</v>
      </c>
      <c r="O11" s="193">
        <v>22</v>
      </c>
      <c r="P11" s="193">
        <v>95</v>
      </c>
      <c r="Q11" s="193">
        <v>0</v>
      </c>
      <c r="R11" s="193" t="str" cm="1">
        <f t="array" ref="R11">_xlfn.IFS(H11="created",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196" cm="1">
        <f t="array" ref="S11">IF(N11="Monthly",_xlfn.IFS(H11="created",O11*P11*(1-Q11/100),H11="cancelled",-(O11*P11*(1-Q11/100)),H11="seats_change",(J11-I11)*P11*(1-Q11/100),H11="price_change",(J11-I11)*O11*(1-Q11/100),H11="discount_added",-(O11*P11*(J11-I11)/100),H11="plan_upgrade",O11*(_xlfn.XLOOKUP(J11,$M:$M,$P:$P)-_xlfn.XLOOKUP(I11,$M:$M,$P:$P))*(1-Q11/100),H11="plan_downgrade",O11*(_xlfn.XLOOKUP(J11,$M:$M,$P:$P)-_xlfn.XLOOKUP(I11,$M:$M,$P:$P))*(1-Q11/100)),_xlfn.IFS(H11="created",O11*P11*(1-Q11/100)/12,H11="cancelled",-(O11*P11*(1-Q11/100))/12,H11="seats_change",(J11-I11)*P11*(1-Q11/100)/12,H11="price_change",(J11-I11)*O11*(1-Q11/100)/12,H11="plan_upgrade",(O11*(_xlfn.XLOOKUP(J11,$M:$M,$P:$P)-_xlfn.XLOOKUP(I11,$M:$M,$P:$P))*(1-Q11/100))/12,H11="plan_downgrade",(O11*(_xlfn.XLOOKUP(J11,$M:$M,$P:$P)-_xlfn.XLOOKUP(I11,$M:$M,$P:$P))*(1-Q11/100))/12,H11="discount_added",-(O11*P11*(J11-I11)/100)/12))</f>
        <v>2090</v>
      </c>
      <c r="T11" s="193">
        <f>IF(H11&lt;&gt;"created",0,IF(COUNTIFS($C$1:C10,$C11,$H$1:H10,"created")=0,1,0))</f>
        <v>1</v>
      </c>
      <c r="U11" s="193">
        <f t="shared" si="0"/>
        <v>0</v>
      </c>
      <c r="V11" s="193">
        <f t="shared" si="1"/>
        <v>0</v>
      </c>
    </row>
    <row r="12" spans="1:22" ht="14.25" customHeight="1" x14ac:dyDescent="0.25">
      <c r="A12" s="193" t="s">
        <v>861</v>
      </c>
      <c r="B12" s="193" t="s">
        <v>862</v>
      </c>
      <c r="C12" s="193" t="s">
        <v>196</v>
      </c>
      <c r="D12" s="193" t="s">
        <v>197</v>
      </c>
      <c r="E12" s="193" t="s">
        <v>846</v>
      </c>
      <c r="F12" s="194">
        <v>45383</v>
      </c>
      <c r="G12" s="195">
        <v>45411</v>
      </c>
      <c r="H12" s="193" t="s">
        <v>844</v>
      </c>
      <c r="M12" s="193" t="s">
        <v>209</v>
      </c>
      <c r="N12" s="193" t="s">
        <v>210</v>
      </c>
      <c r="O12" s="193">
        <v>36</v>
      </c>
      <c r="P12" s="193">
        <v>1800</v>
      </c>
      <c r="Q12" s="193">
        <v>0</v>
      </c>
      <c r="R12" s="193" t="str" cm="1">
        <f t="array" ref="R12">_xlfn.IFS(H12="created",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196" cm="1">
        <f t="array" ref="S12">IF(N12="Monthly",_xlfn.IFS(H12="created",O12*P12*(1-Q12/100),H12="cancelled",-(O12*P12*(1-Q12/100)),H12="seats_change",(J12-I12)*P12*(1-Q12/100),H12="price_change",(J12-I12)*O12*(1-Q12/100),H12="discount_added",-(O12*P12*(J12-I12)/100),H12="plan_upgrade",O12*(_xlfn.XLOOKUP(J12,$M:$M,$P:$P)-_xlfn.XLOOKUP(I12,$M:$M,$P:$P))*(1-Q12/100),H12="plan_downgrade",O12*(_xlfn.XLOOKUP(J12,$M:$M,$P:$P)-_xlfn.XLOOKUP(I12,$M:$M,$P:$P))*(1-Q12/100)),_xlfn.IFS(H12="created",O12*P12*(1-Q12/100)/12,H12="cancelled",-(O12*P12*(1-Q12/100))/12,H12="seats_change",(J12-I12)*P12*(1-Q12/100)/12,H12="price_change",(J12-I12)*O12*(1-Q12/100)/12,H12="plan_upgrade",(O12*(_xlfn.XLOOKUP(J12,$M:$M,$P:$P)-_xlfn.XLOOKUP(I12,$M:$M,$P:$P))*(1-Q12/100))/12,H12="plan_downgrade",(O12*(_xlfn.XLOOKUP(J12,$M:$M,$P:$P)-_xlfn.XLOOKUP(I12,$M:$M,$P:$P))*(1-Q12/100))/12,H12="discount_added",-(O12*P12*(J12-I12)/100)/12))</f>
        <v>5400</v>
      </c>
      <c r="T12" s="193">
        <f>IF(H12&lt;&gt;"created",0,IF(COUNTIFS($C$1:C11,$C12,$H$1:H11,"created")=0,1,0))</f>
        <v>1</v>
      </c>
      <c r="U12" s="193">
        <f t="shared" si="0"/>
        <v>0</v>
      </c>
      <c r="V12" s="193">
        <f t="shared" si="1"/>
        <v>0</v>
      </c>
    </row>
    <row r="13" spans="1:22" ht="14.25" customHeight="1" x14ac:dyDescent="0.25">
      <c r="A13" s="193" t="s">
        <v>863</v>
      </c>
      <c r="B13" s="193" t="s">
        <v>138</v>
      </c>
      <c r="C13" s="193" t="s">
        <v>101</v>
      </c>
      <c r="D13" s="193" t="s">
        <v>102</v>
      </c>
      <c r="E13" s="193" t="s">
        <v>843</v>
      </c>
      <c r="F13" s="194">
        <v>45413</v>
      </c>
      <c r="G13" s="195">
        <v>45425</v>
      </c>
      <c r="H13" s="193" t="s">
        <v>844</v>
      </c>
      <c r="M13" s="193" t="s">
        <v>58</v>
      </c>
      <c r="N13" s="193" t="s">
        <v>53</v>
      </c>
      <c r="O13" s="193">
        <v>13</v>
      </c>
      <c r="P13" s="193">
        <v>45</v>
      </c>
      <c r="Q13" s="193">
        <v>0</v>
      </c>
      <c r="R13" s="193" t="str" cm="1">
        <f t="array" ref="R13">_xlfn.IFS(H13="created",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196" cm="1">
        <f t="array" ref="S13">IF(N13="Monthly",_xlfn.IFS(H13="created",O13*P13*(1-Q13/100),H13="cancelled",-(O13*P13*(1-Q13/100)),H13="seats_change",(J13-I13)*P13*(1-Q13/100),H13="price_change",(J13-I13)*O13*(1-Q13/100),H13="discount_added",-(O13*P13*(J13-I13)/100),H13="plan_upgrade",O13*(_xlfn.XLOOKUP(J13,$M:$M,$P:$P)-_xlfn.XLOOKUP(I13,$M:$M,$P:$P))*(1-Q13/100),H13="plan_downgrade",O13*(_xlfn.XLOOKUP(J13,$M:$M,$P:$P)-_xlfn.XLOOKUP(I13,$M:$M,$P:$P))*(1-Q13/100)),_xlfn.IFS(H13="created",O13*P13*(1-Q13/100)/12,H13="cancelled",-(O13*P13*(1-Q13/100))/12,H13="seats_change",(J13-I13)*P13*(1-Q13/100)/12,H13="price_change",(J13-I13)*O13*(1-Q13/100)/12,H13="plan_upgrade",(O13*(_xlfn.XLOOKUP(J13,$M:$M,$P:$P)-_xlfn.XLOOKUP(I13,$M:$M,$P:$P))*(1-Q13/100))/12,H13="plan_downgrade",(O13*(_xlfn.XLOOKUP(J13,$M:$M,$P:$P)-_xlfn.XLOOKUP(I13,$M:$M,$P:$P))*(1-Q13/100))/12,H13="discount_added",-(O13*P13*(J13-I13)/100)/12))</f>
        <v>585</v>
      </c>
      <c r="T13" s="193">
        <f>IF(H13&lt;&gt;"created",0,IF(COUNTIFS($C$1:C12,$C13,$H$1:H12,"created")=0,1,0))</f>
        <v>1</v>
      </c>
      <c r="U13" s="193">
        <f t="shared" si="0"/>
        <v>0</v>
      </c>
      <c r="V13" s="193">
        <f t="shared" si="1"/>
        <v>0</v>
      </c>
    </row>
    <row r="14" spans="1:22" ht="14.25" customHeight="1" x14ac:dyDescent="0.25">
      <c r="A14" s="193" t="s">
        <v>864</v>
      </c>
      <c r="B14" s="193" t="s">
        <v>251</v>
      </c>
      <c r="C14" s="193" t="s">
        <v>249</v>
      </c>
      <c r="D14" s="193" t="s">
        <v>250</v>
      </c>
      <c r="E14" s="193" t="s">
        <v>865</v>
      </c>
      <c r="F14" s="194">
        <v>45413</v>
      </c>
      <c r="G14" s="195">
        <v>45439</v>
      </c>
      <c r="H14" s="193" t="s">
        <v>844</v>
      </c>
      <c r="M14" s="193" t="s">
        <v>93</v>
      </c>
      <c r="N14" s="193" t="s">
        <v>53</v>
      </c>
      <c r="O14" s="193">
        <v>18</v>
      </c>
      <c r="P14" s="193">
        <v>110</v>
      </c>
      <c r="Q14" s="193">
        <v>0</v>
      </c>
      <c r="R14" s="193" t="str" cm="1">
        <f t="array" ref="R14">_xlfn.IFS(H14="created",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196" cm="1">
        <f t="array" ref="S14">IF(N14="Monthly",_xlfn.IFS(H14="created",O14*P14*(1-Q14/100),H14="cancelled",-(O14*P14*(1-Q14/100)),H14="seats_change",(J14-I14)*P14*(1-Q14/100),H14="price_change",(J14-I14)*O14*(1-Q14/100),H14="discount_added",-(O14*P14*(J14-I14)/100),H14="plan_upgrade",O14*(_xlfn.XLOOKUP(J14,$M:$M,$P:$P)-_xlfn.XLOOKUP(I14,$M:$M,$P:$P))*(1-Q14/100),H14="plan_downgrade",O14*(_xlfn.XLOOKUP(J14,$M:$M,$P:$P)-_xlfn.XLOOKUP(I14,$M:$M,$P:$P))*(1-Q14/100)),_xlfn.IFS(H14="created",O14*P14*(1-Q14/100)/12,H14="cancelled",-(O14*P14*(1-Q14/100))/12,H14="seats_change",(J14-I14)*P14*(1-Q14/100)/12,H14="price_change",(J14-I14)*O14*(1-Q14/100)/12,H14="plan_upgrade",(O14*(_xlfn.XLOOKUP(J14,$M:$M,$P:$P)-_xlfn.XLOOKUP(I14,$M:$M,$P:$P))*(1-Q14/100))/12,H14="plan_downgrade",(O14*(_xlfn.XLOOKUP(J14,$M:$M,$P:$P)-_xlfn.XLOOKUP(I14,$M:$M,$P:$P))*(1-Q14/100))/12,H14="discount_added",-(O14*P14*(J14-I14)/100)/12))</f>
        <v>1980</v>
      </c>
      <c r="T14" s="193">
        <f>IF(H14&lt;&gt;"created",0,IF(COUNTIFS($C$1:C13,$C14,$H$1:H13,"created")=0,1,0))</f>
        <v>1</v>
      </c>
      <c r="U14" s="193">
        <f t="shared" si="0"/>
        <v>0</v>
      </c>
      <c r="V14" s="193">
        <f t="shared" si="1"/>
        <v>0</v>
      </c>
    </row>
    <row r="15" spans="1:22" ht="14.25" customHeight="1" x14ac:dyDescent="0.25">
      <c r="A15" s="193" t="s">
        <v>866</v>
      </c>
      <c r="B15" s="193" t="s">
        <v>118</v>
      </c>
      <c r="C15" s="193" t="s">
        <v>116</v>
      </c>
      <c r="D15" s="193" t="s">
        <v>117</v>
      </c>
      <c r="E15" s="193" t="s">
        <v>843</v>
      </c>
      <c r="F15" s="194">
        <v>45444</v>
      </c>
      <c r="G15" s="195">
        <v>45453</v>
      </c>
      <c r="H15" s="193" t="s">
        <v>844</v>
      </c>
      <c r="M15" s="193" t="s">
        <v>119</v>
      </c>
      <c r="N15" s="193" t="s">
        <v>53</v>
      </c>
      <c r="O15" s="193">
        <v>23</v>
      </c>
      <c r="P15" s="193">
        <v>95</v>
      </c>
      <c r="Q15" s="193">
        <v>0</v>
      </c>
      <c r="R15" s="193" t="str" cm="1">
        <f t="array" ref="R15">_xlfn.IFS(H15="created",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196" cm="1">
        <f t="array" ref="S15">IF(N15="Monthly",_xlfn.IFS(H15="created",O15*P15*(1-Q15/100),H15="cancelled",-(O15*P15*(1-Q15/100)),H15="seats_change",(J15-I15)*P15*(1-Q15/100),H15="price_change",(J15-I15)*O15*(1-Q15/100),H15="discount_added",-(O15*P15*(J15-I15)/100),H15="plan_upgrade",O15*(_xlfn.XLOOKUP(J15,$M:$M,$P:$P)-_xlfn.XLOOKUP(I15,$M:$M,$P:$P))*(1-Q15/100),H15="plan_downgrade",O15*(_xlfn.XLOOKUP(J15,$M:$M,$P:$P)-_xlfn.XLOOKUP(I15,$M:$M,$P:$P))*(1-Q15/100)),_xlfn.IFS(H15="created",O15*P15*(1-Q15/100)/12,H15="cancelled",-(O15*P15*(1-Q15/100))/12,H15="seats_change",(J15-I15)*P15*(1-Q15/100)/12,H15="price_change",(J15-I15)*O15*(1-Q15/100)/12,H15="plan_upgrade",(O15*(_xlfn.XLOOKUP(J15,$M:$M,$P:$P)-_xlfn.XLOOKUP(I15,$M:$M,$P:$P))*(1-Q15/100))/12,H15="plan_downgrade",(O15*(_xlfn.XLOOKUP(J15,$M:$M,$P:$P)-_xlfn.XLOOKUP(I15,$M:$M,$P:$P))*(1-Q15/100))/12,H15="discount_added",-(O15*P15*(J15-I15)/100)/12))</f>
        <v>2185</v>
      </c>
      <c r="T15" s="193">
        <f>IF(H15&lt;&gt;"created",0,IF(COUNTIFS($C$1:C14,$C15,$H$1:H14,"created")=0,1,0))</f>
        <v>1</v>
      </c>
      <c r="U15" s="193">
        <f t="shared" si="0"/>
        <v>0</v>
      </c>
      <c r="V15" s="193">
        <f t="shared" si="1"/>
        <v>0</v>
      </c>
    </row>
    <row r="16" spans="1:22" ht="14.25" customHeight="1" x14ac:dyDescent="0.25">
      <c r="A16" s="193" t="s">
        <v>867</v>
      </c>
      <c r="B16" s="193" t="s">
        <v>868</v>
      </c>
      <c r="C16" s="193" t="s">
        <v>116</v>
      </c>
      <c r="D16" s="193" t="s">
        <v>117</v>
      </c>
      <c r="E16" s="193" t="s">
        <v>843</v>
      </c>
      <c r="F16" s="194">
        <v>45444</v>
      </c>
      <c r="G16" s="195">
        <v>45453</v>
      </c>
      <c r="H16" s="193" t="s">
        <v>844</v>
      </c>
      <c r="M16" s="193" t="s">
        <v>58</v>
      </c>
      <c r="N16" s="193" t="s">
        <v>53</v>
      </c>
      <c r="O16" s="193">
        <v>19</v>
      </c>
      <c r="P16" s="193">
        <v>45</v>
      </c>
      <c r="Q16" s="193">
        <v>0</v>
      </c>
      <c r="R16" s="193" t="str" cm="1">
        <f t="array" ref="R16">_xlfn.IFS(H16="created",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196" cm="1">
        <f t="array" ref="S16">IF(N16="Monthly",_xlfn.IFS(H16="created",O16*P16*(1-Q16/100),H16="cancelled",-(O16*P16*(1-Q16/100)),H16="seats_change",(J16-I16)*P16*(1-Q16/100),H16="price_change",(J16-I16)*O16*(1-Q16/100),H16="discount_added",-(O16*P16*(J16-I16)/100),H16="plan_upgrade",O16*(_xlfn.XLOOKUP(J16,$M:$M,$P:$P)-_xlfn.XLOOKUP(I16,$M:$M,$P:$P))*(1-Q16/100),H16="plan_downgrade",O16*(_xlfn.XLOOKUP(J16,$M:$M,$P:$P)-_xlfn.XLOOKUP(I16,$M:$M,$P:$P))*(1-Q16/100)),_xlfn.IFS(H16="created",O16*P16*(1-Q16/100)/12,H16="cancelled",-(O16*P16*(1-Q16/100))/12,H16="seats_change",(J16-I16)*P16*(1-Q16/100)/12,H16="price_change",(J16-I16)*O16*(1-Q16/100)/12,H16="plan_upgrade",(O16*(_xlfn.XLOOKUP(J16,$M:$M,$P:$P)-_xlfn.XLOOKUP(I16,$M:$M,$P:$P))*(1-Q16/100))/12,H16="plan_downgrade",(O16*(_xlfn.XLOOKUP(J16,$M:$M,$P:$P)-_xlfn.XLOOKUP(I16,$M:$M,$P:$P))*(1-Q16/100))/12,H16="discount_added",-(O16*P16*(J16-I16)/100)/12))</f>
        <v>855</v>
      </c>
      <c r="T16" s="193">
        <f>IF(H16&lt;&gt;"created",0,IF(COUNTIFS($C$1:C15,$C16,$H$1:H15,"created")=0,1,0))</f>
        <v>0</v>
      </c>
      <c r="U16" s="193">
        <f t="shared" si="0"/>
        <v>0</v>
      </c>
      <c r="V16" s="193">
        <f t="shared" si="1"/>
        <v>0</v>
      </c>
    </row>
    <row r="17" spans="1:22" ht="14.25" customHeight="1" x14ac:dyDescent="0.25">
      <c r="A17" s="193" t="s">
        <v>869</v>
      </c>
      <c r="B17" s="193" t="s">
        <v>870</v>
      </c>
      <c r="C17" s="193" t="s">
        <v>201</v>
      </c>
      <c r="D17" s="193" t="s">
        <v>202</v>
      </c>
      <c r="E17" s="193" t="s">
        <v>846</v>
      </c>
      <c r="F17" s="194">
        <v>45444</v>
      </c>
      <c r="G17" s="195">
        <v>45467</v>
      </c>
      <c r="H17" s="193" t="s">
        <v>844</v>
      </c>
      <c r="M17" s="193" t="s">
        <v>58</v>
      </c>
      <c r="N17" s="193" t="s">
        <v>53</v>
      </c>
      <c r="O17" s="193">
        <v>10</v>
      </c>
      <c r="P17" s="193">
        <v>45</v>
      </c>
      <c r="Q17" s="193">
        <v>0</v>
      </c>
      <c r="R17" s="193" t="str" cm="1">
        <f t="array" ref="R17">_xlfn.IFS(H17="created",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196" cm="1">
        <f t="array" ref="S17">IF(N17="Monthly",_xlfn.IFS(H17="created",O17*P17*(1-Q17/100),H17="cancelled",-(O17*P17*(1-Q17/100)),H17="seats_change",(J17-I17)*P17*(1-Q17/100),H17="price_change",(J17-I17)*O17*(1-Q17/100),H17="discount_added",-(O17*P17*(J17-I17)/100),H17="plan_upgrade",O17*(_xlfn.XLOOKUP(J17,$M:$M,$P:$P)-_xlfn.XLOOKUP(I17,$M:$M,$P:$P))*(1-Q17/100),H17="plan_downgrade",O17*(_xlfn.XLOOKUP(J17,$M:$M,$P:$P)-_xlfn.XLOOKUP(I17,$M:$M,$P:$P))*(1-Q17/100)),_xlfn.IFS(H17="created",O17*P17*(1-Q17/100)/12,H17="cancelled",-(O17*P17*(1-Q17/100))/12,H17="seats_change",(J17-I17)*P17*(1-Q17/100)/12,H17="price_change",(J17-I17)*O17*(1-Q17/100)/12,H17="plan_upgrade",(O17*(_xlfn.XLOOKUP(J17,$M:$M,$P:$P)-_xlfn.XLOOKUP(I17,$M:$M,$P:$P))*(1-Q17/100))/12,H17="plan_downgrade",(O17*(_xlfn.XLOOKUP(J17,$M:$M,$P:$P)-_xlfn.XLOOKUP(I17,$M:$M,$P:$P))*(1-Q17/100))/12,H17="discount_added",-(O17*P17*(J17-I17)/100)/12))</f>
        <v>450</v>
      </c>
      <c r="T17" s="193">
        <f>IF(H17&lt;&gt;"created",0,IF(COUNTIFS($C$1:C16,$C17,$H$1:H16,"created")=0,1,0))</f>
        <v>1</v>
      </c>
      <c r="U17" s="193">
        <f t="shared" si="0"/>
        <v>0</v>
      </c>
      <c r="V17" s="193">
        <f t="shared" si="1"/>
        <v>0</v>
      </c>
    </row>
    <row r="18" spans="1:22" ht="14.25" customHeight="1" x14ac:dyDescent="0.25">
      <c r="A18" s="193" t="s">
        <v>871</v>
      </c>
      <c r="B18" s="193" t="s">
        <v>98</v>
      </c>
      <c r="C18" s="193" t="s">
        <v>96</v>
      </c>
      <c r="D18" s="193" t="s">
        <v>97</v>
      </c>
      <c r="E18" s="193" t="s">
        <v>843</v>
      </c>
      <c r="F18" s="194">
        <v>45474</v>
      </c>
      <c r="G18" s="195">
        <v>45481</v>
      </c>
      <c r="H18" s="193" t="s">
        <v>844</v>
      </c>
      <c r="M18" s="193" t="s">
        <v>52</v>
      </c>
      <c r="N18" s="193" t="s">
        <v>53</v>
      </c>
      <c r="O18" s="193">
        <v>28</v>
      </c>
      <c r="P18" s="193">
        <v>85</v>
      </c>
      <c r="Q18" s="193">
        <v>0</v>
      </c>
      <c r="R18" s="193" t="str" cm="1">
        <f t="array" ref="R18">_xlfn.IFS(H18="created",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196" cm="1">
        <f t="array" ref="S18">IF(N18="Monthly",_xlfn.IFS(H18="created",O18*P18*(1-Q18/100),H18="cancelled",-(O18*P18*(1-Q18/100)),H18="seats_change",(J18-I18)*P18*(1-Q18/100),H18="price_change",(J18-I18)*O18*(1-Q18/100),H18="discount_added",-(O18*P18*(J18-I18)/100),H18="plan_upgrade",O18*(_xlfn.XLOOKUP(J18,$M:$M,$P:$P)-_xlfn.XLOOKUP(I18,$M:$M,$P:$P))*(1-Q18/100),H18="plan_downgrade",O18*(_xlfn.XLOOKUP(J18,$M:$M,$P:$P)-_xlfn.XLOOKUP(I18,$M:$M,$P:$P))*(1-Q18/100)),_xlfn.IFS(H18="created",O18*P18*(1-Q18/100)/12,H18="cancelled",-(O18*P18*(1-Q18/100))/12,H18="seats_change",(J18-I18)*P18*(1-Q18/100)/12,H18="price_change",(J18-I18)*O18*(1-Q18/100)/12,H18="plan_upgrade",(O18*(_xlfn.XLOOKUP(J18,$M:$M,$P:$P)-_xlfn.XLOOKUP(I18,$M:$M,$P:$P))*(1-Q18/100))/12,H18="plan_downgrade",(O18*(_xlfn.XLOOKUP(J18,$M:$M,$P:$P)-_xlfn.XLOOKUP(I18,$M:$M,$P:$P))*(1-Q18/100))/12,H18="discount_added",-(O18*P18*(J18-I18)/100)/12))</f>
        <v>2380</v>
      </c>
      <c r="T18" s="193">
        <f>IF(H18&lt;&gt;"created",0,IF(COUNTIFS($C$1:C17,$C18,$H$1:H17,"created")=0,1,0))</f>
        <v>1</v>
      </c>
      <c r="U18" s="193">
        <f t="shared" si="0"/>
        <v>0</v>
      </c>
      <c r="V18" s="193">
        <f t="shared" si="1"/>
        <v>0</v>
      </c>
    </row>
    <row r="19" spans="1:22" ht="14.25" customHeight="1" x14ac:dyDescent="0.25">
      <c r="A19" s="193" t="s">
        <v>872</v>
      </c>
      <c r="B19" s="193" t="s">
        <v>148</v>
      </c>
      <c r="C19" s="193" t="s">
        <v>146</v>
      </c>
      <c r="D19" s="193" t="s">
        <v>147</v>
      </c>
      <c r="E19" s="193" t="s">
        <v>843</v>
      </c>
      <c r="F19" s="194">
        <v>45474</v>
      </c>
      <c r="G19" s="195">
        <v>45488</v>
      </c>
      <c r="H19" s="193" t="s">
        <v>844</v>
      </c>
      <c r="M19" s="193" t="s">
        <v>93</v>
      </c>
      <c r="N19" s="193" t="s">
        <v>53</v>
      </c>
      <c r="O19" s="193">
        <v>16</v>
      </c>
      <c r="P19" s="193">
        <v>110</v>
      </c>
      <c r="Q19" s="193">
        <v>0</v>
      </c>
      <c r="R19" s="193" t="str" cm="1">
        <f t="array" ref="R19">_xlfn.IFS(H19="created",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196" cm="1">
        <f t="array" ref="S19">IF(N19="Monthly",_xlfn.IFS(H19="created",O19*P19*(1-Q19/100),H19="cancelled",-(O19*P19*(1-Q19/100)),H19="seats_change",(J19-I19)*P19*(1-Q19/100),H19="price_change",(J19-I19)*O19*(1-Q19/100),H19="discount_added",-(O19*P19*(J19-I19)/100),H19="plan_upgrade",O19*(_xlfn.XLOOKUP(J19,$M:$M,$P:$P)-_xlfn.XLOOKUP(I19,$M:$M,$P:$P))*(1-Q19/100),H19="plan_downgrade",O19*(_xlfn.XLOOKUP(J19,$M:$M,$P:$P)-_xlfn.XLOOKUP(I19,$M:$M,$P:$P))*(1-Q19/100)),_xlfn.IFS(H19="created",O19*P19*(1-Q19/100)/12,H19="cancelled",-(O19*P19*(1-Q19/100))/12,H19="seats_change",(J19-I19)*P19*(1-Q19/100)/12,H19="price_change",(J19-I19)*O19*(1-Q19/100)/12,H19="plan_upgrade",(O19*(_xlfn.XLOOKUP(J19,$M:$M,$P:$P)-_xlfn.XLOOKUP(I19,$M:$M,$P:$P))*(1-Q19/100))/12,H19="plan_downgrade",(O19*(_xlfn.XLOOKUP(J19,$M:$M,$P:$P)-_xlfn.XLOOKUP(I19,$M:$M,$P:$P))*(1-Q19/100))/12,H19="discount_added",-(O19*P19*(J19-I19)/100)/12))</f>
        <v>1760</v>
      </c>
      <c r="T19" s="193">
        <f>IF(H19&lt;&gt;"created",0,IF(COUNTIFS($C$1:C18,$C19,$H$1:H18,"created")=0,1,0))</f>
        <v>0</v>
      </c>
      <c r="U19" s="193">
        <f t="shared" si="0"/>
        <v>0</v>
      </c>
      <c r="V19" s="193">
        <f t="shared" si="1"/>
        <v>0</v>
      </c>
    </row>
    <row r="20" spans="1:22" ht="14.25" customHeight="1" x14ac:dyDescent="0.25">
      <c r="A20" s="193" t="s">
        <v>873</v>
      </c>
      <c r="B20" s="193" t="s">
        <v>874</v>
      </c>
      <c r="C20" s="193" t="s">
        <v>213</v>
      </c>
      <c r="D20" s="193" t="s">
        <v>214</v>
      </c>
      <c r="E20" s="193" t="s">
        <v>846</v>
      </c>
      <c r="F20" s="194">
        <v>45474</v>
      </c>
      <c r="G20" s="195">
        <v>45495</v>
      </c>
      <c r="H20" s="193" t="s">
        <v>844</v>
      </c>
      <c r="M20" s="193" t="s">
        <v>119</v>
      </c>
      <c r="N20" s="193" t="s">
        <v>53</v>
      </c>
      <c r="O20" s="193">
        <v>19</v>
      </c>
      <c r="P20" s="193">
        <v>95</v>
      </c>
      <c r="Q20" s="193">
        <v>10</v>
      </c>
      <c r="R20" s="193" t="str" cm="1">
        <f t="array" ref="R20">_xlfn.IFS(H20="created",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196" cm="1">
        <f t="array" ref="S20">IF(N20="Monthly",_xlfn.IFS(H20="created",O20*P20*(1-Q20/100),H20="cancelled",-(O20*P20*(1-Q20/100)),H20="seats_change",(J20-I20)*P20*(1-Q20/100),H20="price_change",(J20-I20)*O20*(1-Q20/100),H20="discount_added",-(O20*P20*(J20-I20)/100),H20="plan_upgrade",O20*(_xlfn.XLOOKUP(J20,$M:$M,$P:$P)-_xlfn.XLOOKUP(I20,$M:$M,$P:$P))*(1-Q20/100),H20="plan_downgrade",O20*(_xlfn.XLOOKUP(J20,$M:$M,$P:$P)-_xlfn.XLOOKUP(I20,$M:$M,$P:$P))*(1-Q20/100)),_xlfn.IFS(H20="created",O20*P20*(1-Q20/100)/12,H20="cancelled",-(O20*P20*(1-Q20/100))/12,H20="seats_change",(J20-I20)*P20*(1-Q20/100)/12,H20="price_change",(J20-I20)*O20*(1-Q20/100)/12,H20="plan_upgrade",(O20*(_xlfn.XLOOKUP(J20,$M:$M,$P:$P)-_xlfn.XLOOKUP(I20,$M:$M,$P:$P))*(1-Q20/100))/12,H20="plan_downgrade",(O20*(_xlfn.XLOOKUP(J20,$M:$M,$P:$P)-_xlfn.XLOOKUP(I20,$M:$M,$P:$P))*(1-Q20/100))/12,H20="discount_added",-(O20*P20*(J20-I20)/100)/12))</f>
        <v>1624.5</v>
      </c>
      <c r="T20" s="193">
        <f>IF(H20&lt;&gt;"created",0,IF(COUNTIFS($C$1:C19,$C20,$H$1:H19,"created")=0,1,0))</f>
        <v>1</v>
      </c>
      <c r="U20" s="193">
        <f t="shared" si="0"/>
        <v>0</v>
      </c>
      <c r="V20" s="193">
        <f t="shared" si="1"/>
        <v>0</v>
      </c>
    </row>
    <row r="21" spans="1:22" ht="14.25" customHeight="1" x14ac:dyDescent="0.25">
      <c r="A21" s="193" t="s">
        <v>875</v>
      </c>
      <c r="B21" s="193" t="s">
        <v>215</v>
      </c>
      <c r="C21" s="193" t="s">
        <v>213</v>
      </c>
      <c r="D21" s="193" t="s">
        <v>214</v>
      </c>
      <c r="E21" s="193" t="s">
        <v>846</v>
      </c>
      <c r="F21" s="194">
        <v>45474</v>
      </c>
      <c r="G21" s="195">
        <v>45495</v>
      </c>
      <c r="H21" s="193" t="s">
        <v>844</v>
      </c>
      <c r="M21" s="193" t="s">
        <v>64</v>
      </c>
      <c r="N21" s="193" t="s">
        <v>53</v>
      </c>
      <c r="O21" s="193">
        <v>20</v>
      </c>
      <c r="P21" s="193">
        <v>180</v>
      </c>
      <c r="Q21" s="193">
        <v>0</v>
      </c>
      <c r="R21" s="193" t="str" cm="1">
        <f t="array" ref="R21">_xlfn.IFS(H21="created",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196" cm="1">
        <f t="array" ref="S21">IF(N21="Monthly",_xlfn.IFS(H21="created",O21*P21*(1-Q21/100),H21="cancelled",-(O21*P21*(1-Q21/100)),H21="seats_change",(J21-I21)*P21*(1-Q21/100),H21="price_change",(J21-I21)*O21*(1-Q21/100),H21="discount_added",-(O21*P21*(J21-I21)/100),H21="plan_upgrade",O21*(_xlfn.XLOOKUP(J21,$M:$M,$P:$P)-_xlfn.XLOOKUP(I21,$M:$M,$P:$P))*(1-Q21/100),H21="plan_downgrade",O21*(_xlfn.XLOOKUP(J21,$M:$M,$P:$P)-_xlfn.XLOOKUP(I21,$M:$M,$P:$P))*(1-Q21/100)),_xlfn.IFS(H21="created",O21*P21*(1-Q21/100)/12,H21="cancelled",-(O21*P21*(1-Q21/100))/12,H21="seats_change",(J21-I21)*P21*(1-Q21/100)/12,H21="price_change",(J21-I21)*O21*(1-Q21/100)/12,H21="plan_upgrade",(O21*(_xlfn.XLOOKUP(J21,$M:$M,$P:$P)-_xlfn.XLOOKUP(I21,$M:$M,$P:$P))*(1-Q21/100))/12,H21="plan_downgrade",(O21*(_xlfn.XLOOKUP(J21,$M:$M,$P:$P)-_xlfn.XLOOKUP(I21,$M:$M,$P:$P))*(1-Q21/100))/12,H21="discount_added",-(O21*P21*(J21-I21)/100)/12))</f>
        <v>3600</v>
      </c>
      <c r="T21" s="193">
        <f>IF(H21&lt;&gt;"created",0,IF(COUNTIFS($C$1:C20,$C21,$H$1:H20,"created")=0,1,0))</f>
        <v>0</v>
      </c>
      <c r="U21" s="193">
        <f t="shared" si="0"/>
        <v>0</v>
      </c>
      <c r="V21" s="193">
        <f t="shared" si="1"/>
        <v>0</v>
      </c>
    </row>
    <row r="22" spans="1:22" ht="14.25" customHeight="1" x14ac:dyDescent="0.25">
      <c r="A22" s="193" t="s">
        <v>876</v>
      </c>
      <c r="B22" s="193" t="s">
        <v>877</v>
      </c>
      <c r="C22" s="193" t="s">
        <v>133</v>
      </c>
      <c r="D22" s="193" t="s">
        <v>134</v>
      </c>
      <c r="E22" s="193" t="s">
        <v>843</v>
      </c>
      <c r="F22" s="194">
        <v>45505</v>
      </c>
      <c r="G22" s="195">
        <v>45509</v>
      </c>
      <c r="H22" s="193" t="s">
        <v>844</v>
      </c>
      <c r="M22" s="193" t="s">
        <v>209</v>
      </c>
      <c r="N22" s="193" t="s">
        <v>210</v>
      </c>
      <c r="O22" s="193">
        <v>42</v>
      </c>
      <c r="P22" s="193">
        <v>1800</v>
      </c>
      <c r="Q22" s="193">
        <v>0</v>
      </c>
      <c r="R22" s="193" t="str" cm="1">
        <f t="array" ref="R22">_xlfn.IFS(H22="created",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196" cm="1">
        <f t="array" ref="S22">IF(N22="Monthly",_xlfn.IFS(H22="created",O22*P22*(1-Q22/100),H22="cancelled",-(O22*P22*(1-Q22/100)),H22="seats_change",(J22-I22)*P22*(1-Q22/100),H22="price_change",(J22-I22)*O22*(1-Q22/100),H22="discount_added",-(O22*P22*(J22-I22)/100),H22="plan_upgrade",O22*(_xlfn.XLOOKUP(J22,$M:$M,$P:$P)-_xlfn.XLOOKUP(I22,$M:$M,$P:$P))*(1-Q22/100),H22="plan_downgrade",O22*(_xlfn.XLOOKUP(J22,$M:$M,$P:$P)-_xlfn.XLOOKUP(I22,$M:$M,$P:$P))*(1-Q22/100)),_xlfn.IFS(H22="created",O22*P22*(1-Q22/100)/12,H22="cancelled",-(O22*P22*(1-Q22/100))/12,H22="seats_change",(J22-I22)*P22*(1-Q22/100)/12,H22="price_change",(J22-I22)*O22*(1-Q22/100)/12,H22="plan_upgrade",(O22*(_xlfn.XLOOKUP(J22,$M:$M,$P:$P)-_xlfn.XLOOKUP(I22,$M:$M,$P:$P))*(1-Q22/100))/12,H22="plan_downgrade",(O22*(_xlfn.XLOOKUP(J22,$M:$M,$P:$P)-_xlfn.XLOOKUP(I22,$M:$M,$P:$P))*(1-Q22/100))/12,H22="discount_added",-(O22*P22*(J22-I22)/100)/12))</f>
        <v>6300</v>
      </c>
      <c r="T22" s="193">
        <f>IF(H22&lt;&gt;"created",0,IF(COUNTIFS($C$1:C21,$C22,$H$1:H21,"created")=0,1,0))</f>
        <v>1</v>
      </c>
      <c r="U22" s="193">
        <f t="shared" si="0"/>
        <v>0</v>
      </c>
      <c r="V22" s="193">
        <f t="shared" si="1"/>
        <v>0</v>
      </c>
    </row>
    <row r="23" spans="1:22" ht="14.25" customHeight="1" x14ac:dyDescent="0.25">
      <c r="A23" s="193" t="s">
        <v>878</v>
      </c>
      <c r="B23" s="193" t="s">
        <v>186</v>
      </c>
      <c r="C23" s="193" t="s">
        <v>184</v>
      </c>
      <c r="D23" s="193" t="s">
        <v>185</v>
      </c>
      <c r="E23" s="193" t="s">
        <v>843</v>
      </c>
      <c r="F23" s="194">
        <v>45505</v>
      </c>
      <c r="G23" s="195">
        <v>45523</v>
      </c>
      <c r="H23" s="193" t="s">
        <v>844</v>
      </c>
      <c r="M23" s="193" t="s">
        <v>58</v>
      </c>
      <c r="N23" s="193" t="s">
        <v>53</v>
      </c>
      <c r="O23" s="193">
        <v>12</v>
      </c>
      <c r="P23" s="193">
        <v>45</v>
      </c>
      <c r="Q23" s="193">
        <v>0</v>
      </c>
      <c r="R23" s="193" t="str" cm="1">
        <f t="array" ref="R23">_xlfn.IFS(H23="created",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196" cm="1">
        <f t="array" ref="S23">IF(N23="Monthly",_xlfn.IFS(H23="created",O23*P23*(1-Q23/100),H23="cancelled",-(O23*P23*(1-Q23/100)),H23="seats_change",(J23-I23)*P23*(1-Q23/100),H23="price_change",(J23-I23)*O23*(1-Q23/100),H23="discount_added",-(O23*P23*(J23-I23)/100),H23="plan_upgrade",O23*(_xlfn.XLOOKUP(J23,$M:$M,$P:$P)-_xlfn.XLOOKUP(I23,$M:$M,$P:$P))*(1-Q23/100),H23="plan_downgrade",O23*(_xlfn.XLOOKUP(J23,$M:$M,$P:$P)-_xlfn.XLOOKUP(I23,$M:$M,$P:$P))*(1-Q23/100)),_xlfn.IFS(H23="created",O23*P23*(1-Q23/100)/12,H23="cancelled",-(O23*P23*(1-Q23/100))/12,H23="seats_change",(J23-I23)*P23*(1-Q23/100)/12,H23="price_change",(J23-I23)*O23*(1-Q23/100)/12,H23="plan_upgrade",(O23*(_xlfn.XLOOKUP(J23,$M:$M,$P:$P)-_xlfn.XLOOKUP(I23,$M:$M,$P:$P))*(1-Q23/100))/12,H23="plan_downgrade",(O23*(_xlfn.XLOOKUP(J23,$M:$M,$P:$P)-_xlfn.XLOOKUP(I23,$M:$M,$P:$P))*(1-Q23/100))/12,H23="discount_added",-(O23*P23*(J23-I23)/100)/12))</f>
        <v>540</v>
      </c>
      <c r="T23" s="193">
        <f>IF(H23&lt;&gt;"created",0,IF(COUNTIFS($C$1:C22,$C23,$H$1:H22,"created")=0,1,0))</f>
        <v>1</v>
      </c>
      <c r="U23" s="193">
        <f t="shared" si="0"/>
        <v>0</v>
      </c>
      <c r="V23" s="193">
        <f t="shared" si="1"/>
        <v>0</v>
      </c>
    </row>
    <row r="24" spans="1:22" ht="14.25" customHeight="1" x14ac:dyDescent="0.25">
      <c r="A24" s="193" t="s">
        <v>879</v>
      </c>
      <c r="B24" s="193" t="s">
        <v>842</v>
      </c>
      <c r="C24" s="193" t="s">
        <v>146</v>
      </c>
      <c r="D24" s="193" t="s">
        <v>147</v>
      </c>
      <c r="E24" s="193" t="s">
        <v>843</v>
      </c>
      <c r="F24" s="194">
        <v>45505</v>
      </c>
      <c r="G24" s="195">
        <v>45531</v>
      </c>
      <c r="H24" s="193" t="s">
        <v>880</v>
      </c>
      <c r="I24" s="193" t="s">
        <v>881</v>
      </c>
      <c r="J24" s="193" t="s">
        <v>882</v>
      </c>
      <c r="K24" s="193" t="s">
        <v>44</v>
      </c>
      <c r="L24" s="193" t="s">
        <v>883</v>
      </c>
      <c r="M24" s="193" t="s">
        <v>119</v>
      </c>
      <c r="N24" s="193" t="s">
        <v>53</v>
      </c>
      <c r="O24" s="193">
        <v>20</v>
      </c>
      <c r="P24" s="193">
        <v>95</v>
      </c>
      <c r="Q24" s="193">
        <v>0</v>
      </c>
      <c r="R24" s="193" t="str" cm="1">
        <f t="array" ref="R24">_xlfn.IFS(H24="created",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196" cm="1">
        <f t="array" ref="S24">IF(N24="Monthly",_xlfn.IFS(H24="created",O24*P24*(1-Q24/100),H24="cancelled",-(O24*P24*(1-Q24/100)),H24="seats_change",(J24-I24)*P24*(1-Q24/100),H24="price_change",(J24-I24)*O24*(1-Q24/100),H24="discount_added",-(O24*P24*(J24-I24)/100),H24="plan_upgrade",O24*(_xlfn.XLOOKUP(J24,$M:$M,$P:$P)-_xlfn.XLOOKUP(I24,$M:$M,$P:$P))*(1-Q24/100),H24="plan_downgrade",O24*(_xlfn.XLOOKUP(J24,$M:$M,$P:$P)-_xlfn.XLOOKUP(I24,$M:$M,$P:$P))*(1-Q24/100)),_xlfn.IFS(H24="created",O24*P24*(1-Q24/100)/12,H24="cancelled",-(O24*P24*(1-Q24/100))/12,H24="seats_change",(J24-I24)*P24*(1-Q24/100)/12,H24="price_change",(J24-I24)*O24*(1-Q24/100)/12,H24="plan_upgrade",(O24*(_xlfn.XLOOKUP(J24,$M:$M,$P:$P)-_xlfn.XLOOKUP(I24,$M:$M,$P:$P))*(1-Q24/100))/12,H24="plan_downgrade",(O24*(_xlfn.XLOOKUP(J24,$M:$M,$P:$P)-_xlfn.XLOOKUP(I24,$M:$M,$P:$P))*(1-Q24/100))/12,H24="discount_added",-(O24*P24*(J24-I24)/100)/12))</f>
        <v>-1900</v>
      </c>
      <c r="T24" s="193">
        <f>IF(H24&lt;&gt;"created",0,IF(COUNTIFS($C$1:C23,$C24,$H$1:H23,"created")=0,1,0))</f>
        <v>0</v>
      </c>
      <c r="U24" s="193">
        <f t="shared" si="0"/>
        <v>0</v>
      </c>
      <c r="V24" s="193">
        <f t="shared" si="1"/>
        <v>0</v>
      </c>
    </row>
    <row r="25" spans="1:22" ht="14.25" customHeight="1" x14ac:dyDescent="0.25">
      <c r="A25" s="193" t="s">
        <v>884</v>
      </c>
      <c r="B25" s="193" t="s">
        <v>63</v>
      </c>
      <c r="C25" s="193" t="s">
        <v>61</v>
      </c>
      <c r="D25" s="193" t="s">
        <v>62</v>
      </c>
      <c r="E25" s="193" t="s">
        <v>846</v>
      </c>
      <c r="F25" s="194">
        <v>45536</v>
      </c>
      <c r="G25" s="195">
        <v>45537</v>
      </c>
      <c r="H25" s="193" t="s">
        <v>844</v>
      </c>
      <c r="M25" s="193" t="s">
        <v>64</v>
      </c>
      <c r="N25" s="193" t="s">
        <v>53</v>
      </c>
      <c r="O25" s="193">
        <v>35</v>
      </c>
      <c r="P25" s="193">
        <v>180</v>
      </c>
      <c r="Q25" s="193">
        <v>0</v>
      </c>
      <c r="R25" s="193" t="str" cm="1">
        <f t="array" ref="R25">_xlfn.IFS(H25="created",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196" cm="1">
        <f t="array" ref="S25">IF(N25="Monthly",_xlfn.IFS(H25="created",O25*P25*(1-Q25/100),H25="cancelled",-(O25*P25*(1-Q25/100)),H25="seats_change",(J25-I25)*P25*(1-Q25/100),H25="price_change",(J25-I25)*O25*(1-Q25/100),H25="discount_added",-(O25*P25*(J25-I25)/100),H25="plan_upgrade",O25*(_xlfn.XLOOKUP(J25,$M:$M,$P:$P)-_xlfn.XLOOKUP(I25,$M:$M,$P:$P))*(1-Q25/100),H25="plan_downgrade",O25*(_xlfn.XLOOKUP(J25,$M:$M,$P:$P)-_xlfn.XLOOKUP(I25,$M:$M,$P:$P))*(1-Q25/100)),_xlfn.IFS(H25="created",O25*P25*(1-Q25/100)/12,H25="cancelled",-(O25*P25*(1-Q25/100))/12,H25="seats_change",(J25-I25)*P25*(1-Q25/100)/12,H25="price_change",(J25-I25)*O25*(1-Q25/100)/12,H25="plan_upgrade",(O25*(_xlfn.XLOOKUP(J25,$M:$M,$P:$P)-_xlfn.XLOOKUP(I25,$M:$M,$P:$P))*(1-Q25/100))/12,H25="plan_downgrade",(O25*(_xlfn.XLOOKUP(J25,$M:$M,$P:$P)-_xlfn.XLOOKUP(I25,$M:$M,$P:$P))*(1-Q25/100))/12,H25="discount_added",-(O25*P25*(J25-I25)/100)/12))</f>
        <v>6300</v>
      </c>
      <c r="T25" s="193">
        <f>IF(H25&lt;&gt;"created",0,IF(COUNTIFS($C$1:C24,$C25,$H$1:H24,"created")=0,1,0))</f>
        <v>1</v>
      </c>
      <c r="U25" s="193">
        <f t="shared" si="0"/>
        <v>0</v>
      </c>
      <c r="V25" s="193">
        <f t="shared" si="1"/>
        <v>0</v>
      </c>
    </row>
    <row r="26" spans="1:22" ht="14.25" customHeight="1" x14ac:dyDescent="0.25">
      <c r="A26" s="193" t="s">
        <v>885</v>
      </c>
      <c r="B26" s="193" t="s">
        <v>122</v>
      </c>
      <c r="C26" s="193" t="s">
        <v>72</v>
      </c>
      <c r="D26" s="193" t="s">
        <v>73</v>
      </c>
      <c r="E26" s="193" t="s">
        <v>843</v>
      </c>
      <c r="F26" s="194">
        <v>45536</v>
      </c>
      <c r="G26" s="195">
        <v>45545</v>
      </c>
      <c r="H26" s="193" t="s">
        <v>844</v>
      </c>
      <c r="M26" s="193" t="s">
        <v>93</v>
      </c>
      <c r="N26" s="193" t="s">
        <v>53</v>
      </c>
      <c r="O26" s="193">
        <v>19</v>
      </c>
      <c r="P26" s="193">
        <v>110</v>
      </c>
      <c r="Q26" s="193">
        <v>0</v>
      </c>
      <c r="R26" s="193" t="str" cm="1">
        <f t="array" ref="R26">_xlfn.IFS(H26="created",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196" cm="1">
        <f t="array" ref="S26">IF(N26="Monthly",_xlfn.IFS(H26="created",O26*P26*(1-Q26/100),H26="cancelled",-(O26*P26*(1-Q26/100)),H26="seats_change",(J26-I26)*P26*(1-Q26/100),H26="price_change",(J26-I26)*O26*(1-Q26/100),H26="discount_added",-(O26*P26*(J26-I26)/100),H26="plan_upgrade",O26*(_xlfn.XLOOKUP(J26,$M:$M,$P:$P)-_xlfn.XLOOKUP(I26,$M:$M,$P:$P))*(1-Q26/100),H26="plan_downgrade",O26*(_xlfn.XLOOKUP(J26,$M:$M,$P:$P)-_xlfn.XLOOKUP(I26,$M:$M,$P:$P))*(1-Q26/100)),_xlfn.IFS(H26="created",O26*P26*(1-Q26/100)/12,H26="cancelled",-(O26*P26*(1-Q26/100))/12,H26="seats_change",(J26-I26)*P26*(1-Q26/100)/12,H26="price_change",(J26-I26)*O26*(1-Q26/100)/12,H26="plan_upgrade",(O26*(_xlfn.XLOOKUP(J26,$M:$M,$P:$P)-_xlfn.XLOOKUP(I26,$M:$M,$P:$P))*(1-Q26/100))/12,H26="plan_downgrade",(O26*(_xlfn.XLOOKUP(J26,$M:$M,$P:$P)-_xlfn.XLOOKUP(I26,$M:$M,$P:$P))*(1-Q26/100))/12,H26="discount_added",-(O26*P26*(J26-I26)/100)/12))</f>
        <v>2090</v>
      </c>
      <c r="T26" s="193">
        <f>IF(H26&lt;&gt;"created",0,IF(COUNTIFS($C$1:C25,$C26,$H$1:H25,"created")=0,1,0))</f>
        <v>0</v>
      </c>
      <c r="U26" s="193">
        <f t="shared" si="0"/>
        <v>0</v>
      </c>
      <c r="V26" s="193">
        <f t="shared" si="1"/>
        <v>0</v>
      </c>
    </row>
    <row r="27" spans="1:22" ht="14.25" customHeight="1" x14ac:dyDescent="0.25">
      <c r="A27" s="193" t="s">
        <v>886</v>
      </c>
      <c r="B27" s="193" t="s">
        <v>161</v>
      </c>
      <c r="C27" s="193" t="s">
        <v>159</v>
      </c>
      <c r="D27" s="193" t="s">
        <v>160</v>
      </c>
      <c r="E27" s="193" t="s">
        <v>865</v>
      </c>
      <c r="F27" s="194">
        <v>45536</v>
      </c>
      <c r="G27" s="195">
        <v>45551</v>
      </c>
      <c r="H27" s="193" t="s">
        <v>844</v>
      </c>
      <c r="M27" s="193" t="s">
        <v>52</v>
      </c>
      <c r="N27" s="193" t="s">
        <v>53</v>
      </c>
      <c r="O27" s="193">
        <v>19</v>
      </c>
      <c r="P27" s="193">
        <v>85</v>
      </c>
      <c r="Q27" s="193">
        <v>0</v>
      </c>
      <c r="R27" s="193" t="str" cm="1">
        <f t="array" ref="R27">_xlfn.IFS(H27="created",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196" cm="1">
        <f t="array" ref="S27">IF(N27="Monthly",_xlfn.IFS(H27="created",O27*P27*(1-Q27/100),H27="cancelled",-(O27*P27*(1-Q27/100)),H27="seats_change",(J27-I27)*P27*(1-Q27/100),H27="price_change",(J27-I27)*O27*(1-Q27/100),H27="discount_added",-(O27*P27*(J27-I27)/100),H27="plan_upgrade",O27*(_xlfn.XLOOKUP(J27,$M:$M,$P:$P)-_xlfn.XLOOKUP(I27,$M:$M,$P:$P))*(1-Q27/100),H27="plan_downgrade",O27*(_xlfn.XLOOKUP(J27,$M:$M,$P:$P)-_xlfn.XLOOKUP(I27,$M:$M,$P:$P))*(1-Q27/100)),_xlfn.IFS(H27="created",O27*P27*(1-Q27/100)/12,H27="cancelled",-(O27*P27*(1-Q27/100))/12,H27="seats_change",(J27-I27)*P27*(1-Q27/100)/12,H27="price_change",(J27-I27)*O27*(1-Q27/100)/12,H27="plan_upgrade",(O27*(_xlfn.XLOOKUP(J27,$M:$M,$P:$P)-_xlfn.XLOOKUP(I27,$M:$M,$P:$P))*(1-Q27/100))/12,H27="plan_downgrade",(O27*(_xlfn.XLOOKUP(J27,$M:$M,$P:$P)-_xlfn.XLOOKUP(I27,$M:$M,$P:$P))*(1-Q27/100))/12,H27="discount_added",-(O27*P27*(J27-I27)/100)/12))</f>
        <v>1615</v>
      </c>
      <c r="T27" s="193">
        <f>IF(H27&lt;&gt;"created",0,IF(COUNTIFS($C$1:C26,$C27,$H$1:H26,"created")=0,1,0))</f>
        <v>1</v>
      </c>
      <c r="U27" s="193">
        <f t="shared" si="0"/>
        <v>0</v>
      </c>
      <c r="V27" s="193">
        <f t="shared" si="1"/>
        <v>0</v>
      </c>
    </row>
    <row r="28" spans="1:22" ht="14.25" customHeight="1" x14ac:dyDescent="0.25">
      <c r="A28" s="193" t="s">
        <v>887</v>
      </c>
      <c r="B28" s="193" t="s">
        <v>888</v>
      </c>
      <c r="C28" s="193" t="s">
        <v>159</v>
      </c>
      <c r="D28" s="193" t="s">
        <v>160</v>
      </c>
      <c r="E28" s="193" t="s">
        <v>865</v>
      </c>
      <c r="F28" s="194">
        <v>45536</v>
      </c>
      <c r="G28" s="195">
        <v>45551</v>
      </c>
      <c r="H28" s="193" t="s">
        <v>844</v>
      </c>
      <c r="M28" s="193" t="s">
        <v>93</v>
      </c>
      <c r="N28" s="193" t="s">
        <v>53</v>
      </c>
      <c r="O28" s="193">
        <v>16</v>
      </c>
      <c r="P28" s="193">
        <v>110</v>
      </c>
      <c r="Q28" s="193">
        <v>0</v>
      </c>
      <c r="R28" s="193" t="str" cm="1">
        <f t="array" ref="R28">_xlfn.IFS(H28="created",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196" cm="1">
        <f t="array" ref="S28">IF(N28="Monthly",_xlfn.IFS(H28="created",O28*P28*(1-Q28/100),H28="cancelled",-(O28*P28*(1-Q28/100)),H28="seats_change",(J28-I28)*P28*(1-Q28/100),H28="price_change",(J28-I28)*O28*(1-Q28/100),H28="discount_added",-(O28*P28*(J28-I28)/100),H28="plan_upgrade",O28*(_xlfn.XLOOKUP(J28,$M:$M,$P:$P)-_xlfn.XLOOKUP(I28,$M:$M,$P:$P))*(1-Q28/100),H28="plan_downgrade",O28*(_xlfn.XLOOKUP(J28,$M:$M,$P:$P)-_xlfn.XLOOKUP(I28,$M:$M,$P:$P))*(1-Q28/100)),_xlfn.IFS(H28="created",O28*P28*(1-Q28/100)/12,H28="cancelled",-(O28*P28*(1-Q28/100))/12,H28="seats_change",(J28-I28)*P28*(1-Q28/100)/12,H28="price_change",(J28-I28)*O28*(1-Q28/100)/12,H28="plan_upgrade",(O28*(_xlfn.XLOOKUP(J28,$M:$M,$P:$P)-_xlfn.XLOOKUP(I28,$M:$M,$P:$P))*(1-Q28/100))/12,H28="plan_downgrade",(O28*(_xlfn.XLOOKUP(J28,$M:$M,$P:$P)-_xlfn.XLOOKUP(I28,$M:$M,$P:$P))*(1-Q28/100))/12,H28="discount_added",-(O28*P28*(J28-I28)/100)/12))</f>
        <v>1760</v>
      </c>
      <c r="T28" s="193">
        <f>IF(H28&lt;&gt;"created",0,IF(COUNTIFS($C$1:C27,$C28,$H$1:H27,"created")=0,1,0))</f>
        <v>0</v>
      </c>
      <c r="U28" s="193">
        <f t="shared" si="0"/>
        <v>0</v>
      </c>
      <c r="V28" s="193">
        <f t="shared" si="1"/>
        <v>0</v>
      </c>
    </row>
    <row r="29" spans="1:22" ht="14.25" customHeight="1" x14ac:dyDescent="0.25">
      <c r="A29" s="193" t="s">
        <v>889</v>
      </c>
      <c r="B29" s="193" t="s">
        <v>269</v>
      </c>
      <c r="C29" s="193" t="s">
        <v>267</v>
      </c>
      <c r="D29" s="193" t="s">
        <v>268</v>
      </c>
      <c r="E29" s="193" t="s">
        <v>843</v>
      </c>
      <c r="F29" s="194">
        <v>45536</v>
      </c>
      <c r="G29" s="195">
        <v>45565</v>
      </c>
      <c r="H29" s="193" t="s">
        <v>844</v>
      </c>
      <c r="M29" s="193" t="s">
        <v>93</v>
      </c>
      <c r="N29" s="193" t="s">
        <v>53</v>
      </c>
      <c r="O29" s="193">
        <v>15</v>
      </c>
      <c r="P29" s="193">
        <v>110</v>
      </c>
      <c r="Q29" s="193">
        <v>0</v>
      </c>
      <c r="R29" s="193" t="str" cm="1">
        <f t="array" ref="R29">_xlfn.IFS(H29="created",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196" cm="1">
        <f t="array" ref="S29">IF(N29="Monthly",_xlfn.IFS(H29="created",O29*P29*(1-Q29/100),H29="cancelled",-(O29*P29*(1-Q29/100)),H29="seats_change",(J29-I29)*P29*(1-Q29/100),H29="price_change",(J29-I29)*O29*(1-Q29/100),H29="discount_added",-(O29*P29*(J29-I29)/100),H29="plan_upgrade",O29*(_xlfn.XLOOKUP(J29,$M:$M,$P:$P)-_xlfn.XLOOKUP(I29,$M:$M,$P:$P))*(1-Q29/100),H29="plan_downgrade",O29*(_xlfn.XLOOKUP(J29,$M:$M,$P:$P)-_xlfn.XLOOKUP(I29,$M:$M,$P:$P))*(1-Q29/100)),_xlfn.IFS(H29="created",O29*P29*(1-Q29/100)/12,H29="cancelled",-(O29*P29*(1-Q29/100))/12,H29="seats_change",(J29-I29)*P29*(1-Q29/100)/12,H29="price_change",(J29-I29)*O29*(1-Q29/100)/12,H29="plan_upgrade",(O29*(_xlfn.XLOOKUP(J29,$M:$M,$P:$P)-_xlfn.XLOOKUP(I29,$M:$M,$P:$P))*(1-Q29/100))/12,H29="plan_downgrade",(O29*(_xlfn.XLOOKUP(J29,$M:$M,$P:$P)-_xlfn.XLOOKUP(I29,$M:$M,$P:$P))*(1-Q29/100))/12,H29="discount_added",-(O29*P29*(J29-I29)/100)/12))</f>
        <v>1650</v>
      </c>
      <c r="T29" s="193">
        <f>IF(H29&lt;&gt;"created",0,IF(COUNTIFS($C$1:C28,$C29,$H$1:H28,"created")=0,1,0))</f>
        <v>1</v>
      </c>
      <c r="U29" s="193">
        <f t="shared" si="0"/>
        <v>0</v>
      </c>
      <c r="V29" s="193">
        <f t="shared" si="1"/>
        <v>0</v>
      </c>
    </row>
    <row r="30" spans="1:22" ht="14.25" customHeight="1" x14ac:dyDescent="0.25">
      <c r="A30" s="193" t="s">
        <v>890</v>
      </c>
      <c r="B30" s="193" t="s">
        <v>79</v>
      </c>
      <c r="C30" s="193" t="s">
        <v>77</v>
      </c>
      <c r="D30" s="193" t="s">
        <v>78</v>
      </c>
      <c r="E30" s="193" t="s">
        <v>846</v>
      </c>
      <c r="F30" s="194">
        <v>45566</v>
      </c>
      <c r="G30" s="195">
        <v>45570</v>
      </c>
      <c r="H30" s="193" t="s">
        <v>844</v>
      </c>
      <c r="M30" s="193" t="s">
        <v>52</v>
      </c>
      <c r="N30" s="193" t="s">
        <v>53</v>
      </c>
      <c r="O30" s="193">
        <v>33</v>
      </c>
      <c r="P30" s="193">
        <v>85</v>
      </c>
      <c r="Q30" s="193">
        <v>0</v>
      </c>
      <c r="R30" s="193" t="str" cm="1">
        <f t="array" ref="R30">_xlfn.IFS(H30="created",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196" cm="1">
        <f t="array" ref="S30">IF(N30="Monthly",_xlfn.IFS(H30="created",O30*P30*(1-Q30/100),H30="cancelled",-(O30*P30*(1-Q30/100)),H30="seats_change",(J30-I30)*P30*(1-Q30/100),H30="price_change",(J30-I30)*O30*(1-Q30/100),H30="discount_added",-(O30*P30*(J30-I30)/100),H30="plan_upgrade",O30*(_xlfn.XLOOKUP(J30,$M:$M,$P:$P)-_xlfn.XLOOKUP(I30,$M:$M,$P:$P))*(1-Q30/100),H30="plan_downgrade",O30*(_xlfn.XLOOKUP(J30,$M:$M,$P:$P)-_xlfn.XLOOKUP(I30,$M:$M,$P:$P))*(1-Q30/100)),_xlfn.IFS(H30="created",O30*P30*(1-Q30/100)/12,H30="cancelled",-(O30*P30*(1-Q30/100))/12,H30="seats_change",(J30-I30)*P30*(1-Q30/100)/12,H30="price_change",(J30-I30)*O30*(1-Q30/100)/12,H30="plan_upgrade",(O30*(_xlfn.XLOOKUP(J30,$M:$M,$P:$P)-_xlfn.XLOOKUP(I30,$M:$M,$P:$P))*(1-Q30/100))/12,H30="plan_downgrade",(O30*(_xlfn.XLOOKUP(J30,$M:$M,$P:$P)-_xlfn.XLOOKUP(I30,$M:$M,$P:$P))*(1-Q30/100))/12,H30="discount_added",-(O30*P30*(J30-I30)/100)/12))</f>
        <v>2805</v>
      </c>
      <c r="T30" s="193">
        <f>IF(H30&lt;&gt;"created",0,IF(COUNTIFS($C$1:C29,$C30,$H$1:H29,"created")=0,1,0))</f>
        <v>0</v>
      </c>
      <c r="U30" s="193">
        <f t="shared" si="0"/>
        <v>0</v>
      </c>
      <c r="V30" s="193">
        <f t="shared" si="1"/>
        <v>0</v>
      </c>
    </row>
    <row r="31" spans="1:22" ht="14.25" customHeight="1" x14ac:dyDescent="0.25">
      <c r="A31" s="193" t="s">
        <v>891</v>
      </c>
      <c r="B31" s="193" t="s">
        <v>892</v>
      </c>
      <c r="C31" s="193" t="s">
        <v>262</v>
      </c>
      <c r="D31" s="193" t="s">
        <v>263</v>
      </c>
      <c r="E31" s="193" t="s">
        <v>846</v>
      </c>
      <c r="F31" s="194">
        <v>45566</v>
      </c>
      <c r="G31" s="195">
        <v>45579</v>
      </c>
      <c r="H31" s="193" t="s">
        <v>844</v>
      </c>
      <c r="M31" s="193" t="s">
        <v>119</v>
      </c>
      <c r="N31" s="193" t="s">
        <v>53</v>
      </c>
      <c r="O31" s="193">
        <v>25</v>
      </c>
      <c r="P31" s="193">
        <v>95</v>
      </c>
      <c r="Q31" s="193">
        <v>0</v>
      </c>
      <c r="R31" s="193" t="str" cm="1">
        <f t="array" ref="R31">_xlfn.IFS(H31="created",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196" cm="1">
        <f t="array" ref="S31">IF(N31="Monthly",_xlfn.IFS(H31="created",O31*P31*(1-Q31/100),H31="cancelled",-(O31*P31*(1-Q31/100)),H31="seats_change",(J31-I31)*P31*(1-Q31/100),H31="price_change",(J31-I31)*O31*(1-Q31/100),H31="discount_added",-(O31*P31*(J31-I31)/100),H31="plan_upgrade",O31*(_xlfn.XLOOKUP(J31,$M:$M,$P:$P)-_xlfn.XLOOKUP(I31,$M:$M,$P:$P))*(1-Q31/100),H31="plan_downgrade",O31*(_xlfn.XLOOKUP(J31,$M:$M,$P:$P)-_xlfn.XLOOKUP(I31,$M:$M,$P:$P))*(1-Q31/100)),_xlfn.IFS(H31="created",O31*P31*(1-Q31/100)/12,H31="cancelled",-(O31*P31*(1-Q31/100))/12,H31="seats_change",(J31-I31)*P31*(1-Q31/100)/12,H31="price_change",(J31-I31)*O31*(1-Q31/100)/12,H31="plan_upgrade",(O31*(_xlfn.XLOOKUP(J31,$M:$M,$P:$P)-_xlfn.XLOOKUP(I31,$M:$M,$P:$P))*(1-Q31/100))/12,H31="plan_downgrade",(O31*(_xlfn.XLOOKUP(J31,$M:$M,$P:$P)-_xlfn.XLOOKUP(I31,$M:$M,$P:$P))*(1-Q31/100))/12,H31="discount_added",-(O31*P31*(J31-I31)/100)/12))</f>
        <v>2375</v>
      </c>
      <c r="T31" s="193">
        <f>IF(H31&lt;&gt;"created",0,IF(COUNTIFS($C$1:C30,$C31,$H$1:H30,"created")=0,1,0))</f>
        <v>1</v>
      </c>
      <c r="U31" s="193">
        <f t="shared" si="0"/>
        <v>0</v>
      </c>
      <c r="V31" s="193">
        <f t="shared" si="1"/>
        <v>0</v>
      </c>
    </row>
    <row r="32" spans="1:22" ht="14.25" customHeight="1" x14ac:dyDescent="0.25">
      <c r="A32" s="193" t="s">
        <v>893</v>
      </c>
      <c r="B32" s="193" t="s">
        <v>254</v>
      </c>
      <c r="C32" s="193" t="s">
        <v>174</v>
      </c>
      <c r="D32" s="193" t="s">
        <v>175</v>
      </c>
      <c r="E32" s="193" t="s">
        <v>843</v>
      </c>
      <c r="F32" s="194">
        <v>45566</v>
      </c>
      <c r="G32" s="195">
        <v>45593</v>
      </c>
      <c r="H32" s="193" t="s">
        <v>844</v>
      </c>
      <c r="M32" s="193" t="s">
        <v>209</v>
      </c>
      <c r="N32" s="193" t="s">
        <v>53</v>
      </c>
      <c r="O32" s="193">
        <v>33</v>
      </c>
      <c r="P32" s="193">
        <v>150</v>
      </c>
      <c r="Q32" s="193">
        <v>0</v>
      </c>
      <c r="R32" s="193" t="str" cm="1">
        <f t="array" ref="R32">_xlfn.IFS(H32="created",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196" cm="1">
        <f t="array" ref="S32">IF(N32="Monthly",_xlfn.IFS(H32="created",O32*P32*(1-Q32/100),H32="cancelled",-(O32*P32*(1-Q32/100)),H32="seats_change",(J32-I32)*P32*(1-Q32/100),H32="price_change",(J32-I32)*O32*(1-Q32/100),H32="discount_added",-(O32*P32*(J32-I32)/100),H32="plan_upgrade",O32*(_xlfn.XLOOKUP(J32,$M:$M,$P:$P)-_xlfn.XLOOKUP(I32,$M:$M,$P:$P))*(1-Q32/100),H32="plan_downgrade",O32*(_xlfn.XLOOKUP(J32,$M:$M,$P:$P)-_xlfn.XLOOKUP(I32,$M:$M,$P:$P))*(1-Q32/100)),_xlfn.IFS(H32="created",O32*P32*(1-Q32/100)/12,H32="cancelled",-(O32*P32*(1-Q32/100))/12,H32="seats_change",(J32-I32)*P32*(1-Q32/100)/12,H32="price_change",(J32-I32)*O32*(1-Q32/100)/12,H32="plan_upgrade",(O32*(_xlfn.XLOOKUP(J32,$M:$M,$P:$P)-_xlfn.XLOOKUP(I32,$M:$M,$P:$P))*(1-Q32/100))/12,H32="plan_downgrade",(O32*(_xlfn.XLOOKUP(J32,$M:$M,$P:$P)-_xlfn.XLOOKUP(I32,$M:$M,$P:$P))*(1-Q32/100))/12,H32="discount_added",-(O32*P32*(J32-I32)/100)/12))</f>
        <v>4950</v>
      </c>
      <c r="T32" s="193">
        <f>IF(H32&lt;&gt;"created",0,IF(COUNTIFS($C$1:C31,$C32,$H$1:H31,"created")=0,1,0))</f>
        <v>1</v>
      </c>
      <c r="U32" s="193">
        <f t="shared" si="0"/>
        <v>0</v>
      </c>
      <c r="V32" s="193">
        <f t="shared" si="1"/>
        <v>0</v>
      </c>
    </row>
    <row r="33" spans="1:22" ht="14.25" customHeight="1" x14ac:dyDescent="0.25">
      <c r="A33" s="193" t="s">
        <v>894</v>
      </c>
      <c r="B33" s="193" t="s">
        <v>89</v>
      </c>
      <c r="C33" s="193" t="s">
        <v>87</v>
      </c>
      <c r="D33" s="193" t="s">
        <v>88</v>
      </c>
      <c r="E33" s="193" t="s">
        <v>843</v>
      </c>
      <c r="F33" s="194">
        <v>45597</v>
      </c>
      <c r="G33" s="195">
        <v>45601</v>
      </c>
      <c r="H33" s="193" t="s">
        <v>844</v>
      </c>
      <c r="M33" s="193" t="s">
        <v>52</v>
      </c>
      <c r="N33" s="193" t="s">
        <v>53</v>
      </c>
      <c r="O33" s="193">
        <v>22</v>
      </c>
      <c r="P33" s="193">
        <v>85</v>
      </c>
      <c r="Q33" s="193">
        <v>0</v>
      </c>
      <c r="R33" s="193" t="str" cm="1">
        <f t="array" ref="R33">_xlfn.IFS(H33="created",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196" cm="1">
        <f t="array" ref="S33">IF(N33="Monthly",_xlfn.IFS(H33="created",O33*P33*(1-Q33/100),H33="cancelled",-(O33*P33*(1-Q33/100)),H33="seats_change",(J33-I33)*P33*(1-Q33/100),H33="price_change",(J33-I33)*O33*(1-Q33/100),H33="discount_added",-(O33*P33*(J33-I33)/100),H33="plan_upgrade",O33*(_xlfn.XLOOKUP(J33,$M:$M,$P:$P)-_xlfn.XLOOKUP(I33,$M:$M,$P:$P))*(1-Q33/100),H33="plan_downgrade",O33*(_xlfn.XLOOKUP(J33,$M:$M,$P:$P)-_xlfn.XLOOKUP(I33,$M:$M,$P:$P))*(1-Q33/100)),_xlfn.IFS(H33="created",O33*P33*(1-Q33/100)/12,H33="cancelled",-(O33*P33*(1-Q33/100))/12,H33="seats_change",(J33-I33)*P33*(1-Q33/100)/12,H33="price_change",(J33-I33)*O33*(1-Q33/100)/12,H33="plan_upgrade",(O33*(_xlfn.XLOOKUP(J33,$M:$M,$P:$P)-_xlfn.XLOOKUP(I33,$M:$M,$P:$P))*(1-Q33/100))/12,H33="plan_downgrade",(O33*(_xlfn.XLOOKUP(J33,$M:$M,$P:$P)-_xlfn.XLOOKUP(I33,$M:$M,$P:$P))*(1-Q33/100))/12,H33="discount_added",-(O33*P33*(J33-I33)/100)/12))</f>
        <v>1870</v>
      </c>
      <c r="T33" s="193">
        <f>IF(H33&lt;&gt;"created",0,IF(COUNTIFS($C$1:C32,$C33,$H$1:H32,"created")=0,1,0))</f>
        <v>0</v>
      </c>
      <c r="U33" s="193">
        <f t="shared" si="0"/>
        <v>0</v>
      </c>
      <c r="V33" s="193">
        <f t="shared" si="1"/>
        <v>0</v>
      </c>
    </row>
    <row r="34" spans="1:22" ht="14.25" customHeight="1" x14ac:dyDescent="0.25">
      <c r="A34" s="193" t="s">
        <v>895</v>
      </c>
      <c r="B34" s="193" t="s">
        <v>896</v>
      </c>
      <c r="C34" s="193" t="s">
        <v>154</v>
      </c>
      <c r="D34" s="193" t="s">
        <v>155</v>
      </c>
      <c r="E34" s="193" t="s">
        <v>843</v>
      </c>
      <c r="F34" s="194">
        <v>45597</v>
      </c>
      <c r="G34" s="195">
        <v>45607</v>
      </c>
      <c r="H34" s="193" t="s">
        <v>844</v>
      </c>
      <c r="M34" s="193" t="s">
        <v>58</v>
      </c>
      <c r="N34" s="193" t="s">
        <v>53</v>
      </c>
      <c r="O34" s="193">
        <v>10</v>
      </c>
      <c r="P34" s="193">
        <v>45</v>
      </c>
      <c r="Q34" s="193">
        <v>0</v>
      </c>
      <c r="R34" s="193" t="str" cm="1">
        <f t="array" ref="R34">_xlfn.IFS(H34="created",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196" cm="1">
        <f t="array" ref="S34">IF(N34="Monthly",_xlfn.IFS(H34="created",O34*P34*(1-Q34/100),H34="cancelled",-(O34*P34*(1-Q34/100)),H34="seats_change",(J34-I34)*P34*(1-Q34/100),H34="price_change",(J34-I34)*O34*(1-Q34/100),H34="discount_added",-(O34*P34*(J34-I34)/100),H34="plan_upgrade",O34*(_xlfn.XLOOKUP(J34,$M:$M,$P:$P)-_xlfn.XLOOKUP(I34,$M:$M,$P:$P))*(1-Q34/100),H34="plan_downgrade",O34*(_xlfn.XLOOKUP(J34,$M:$M,$P:$P)-_xlfn.XLOOKUP(I34,$M:$M,$P:$P))*(1-Q34/100)),_xlfn.IFS(H34="created",O34*P34*(1-Q34/100)/12,H34="cancelled",-(O34*P34*(1-Q34/100))/12,H34="seats_change",(J34-I34)*P34*(1-Q34/100)/12,H34="price_change",(J34-I34)*O34*(1-Q34/100)/12,H34="plan_upgrade",(O34*(_xlfn.XLOOKUP(J34,$M:$M,$P:$P)-_xlfn.XLOOKUP(I34,$M:$M,$P:$P))*(1-Q34/100))/12,H34="plan_downgrade",(O34*(_xlfn.XLOOKUP(J34,$M:$M,$P:$P)-_xlfn.XLOOKUP(I34,$M:$M,$P:$P))*(1-Q34/100))/12,H34="discount_added",-(O34*P34*(J34-I34)/100)/12))</f>
        <v>450</v>
      </c>
      <c r="T34" s="193">
        <f>IF(H34&lt;&gt;"created",0,IF(COUNTIFS($C$1:C33,$C34,$H$1:H33,"created")=0,1,0))</f>
        <v>1</v>
      </c>
      <c r="U34" s="193">
        <f t="shared" ref="U34:U65" si="2">IF(H34&lt;&gt;"cancelled",0,IF(COUNTIFS($C$2:$C$1002,$C34,$H$2:$H$1002,"created",$F$2:$F$1002,"&lt;="&amp;F34)-COUNTIFS($C$2:$C$1002,$C34,$H$2:$H$1002,"cancelled",$F$2:$F$1002,"&lt;="&amp;F34)=0,1,0))</f>
        <v>0</v>
      </c>
      <c r="V34" s="193">
        <f t="shared" ref="V34:V65" si="3">IF(AND(H34="created",T34=0,COUNTIFS($C$2:$C$1002,$C34,$H$2:$H$1002,"cancelled",$F$2:$F$1002,"&lt;"&amp;F34)&gt;0,COUNTIFS($C$2:$C$1002,$C34,$H$2:$H$1002,"created",$F$2:$F$1002,"&lt;"&amp;F34)-COUNTIFS($C$2:$C$1002,$C34,$H$2:$H$1002,"cancelled",$F$2:$F$1002,"&lt;"&amp;F34)=0),1,0)</f>
        <v>0</v>
      </c>
    </row>
    <row r="35" spans="1:22" ht="14.25" customHeight="1" x14ac:dyDescent="0.25">
      <c r="A35" s="193" t="s">
        <v>897</v>
      </c>
      <c r="B35" s="193" t="s">
        <v>852</v>
      </c>
      <c r="C35" s="193" t="s">
        <v>853</v>
      </c>
      <c r="D35" s="193" t="s">
        <v>854</v>
      </c>
      <c r="E35" s="193" t="s">
        <v>843</v>
      </c>
      <c r="F35" s="194">
        <v>45597</v>
      </c>
      <c r="G35" s="195">
        <v>45616</v>
      </c>
      <c r="H35" s="193" t="s">
        <v>880</v>
      </c>
      <c r="I35" s="193" t="s">
        <v>881</v>
      </c>
      <c r="J35" s="193" t="s">
        <v>882</v>
      </c>
      <c r="K35" s="193" t="s">
        <v>44</v>
      </c>
      <c r="L35" s="193" t="s">
        <v>898</v>
      </c>
      <c r="M35" s="193" t="s">
        <v>58</v>
      </c>
      <c r="N35" s="193" t="s">
        <v>53</v>
      </c>
      <c r="O35" s="193">
        <v>11</v>
      </c>
      <c r="P35" s="193">
        <v>45</v>
      </c>
      <c r="Q35" s="193">
        <v>0</v>
      </c>
      <c r="R35" s="193" t="str" cm="1">
        <f t="array" ref="R35">_xlfn.IFS(H35="created",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196" cm="1">
        <f t="array" ref="S35">IF(N35="Monthly",_xlfn.IFS(H35="created",O35*P35*(1-Q35/100),H35="cancelled",-(O35*P35*(1-Q35/100)),H35="seats_change",(J35-I35)*P35*(1-Q35/100),H35="price_change",(J35-I35)*O35*(1-Q35/100),H35="discount_added",-(O35*P35*(J35-I35)/100),H35="plan_upgrade",O35*(_xlfn.XLOOKUP(J35,$M:$M,$P:$P)-_xlfn.XLOOKUP(I35,$M:$M,$P:$P))*(1-Q35/100),H35="plan_downgrade",O35*(_xlfn.XLOOKUP(J35,$M:$M,$P:$P)-_xlfn.XLOOKUP(I35,$M:$M,$P:$P))*(1-Q35/100)),_xlfn.IFS(H35="created",O35*P35*(1-Q35/100)/12,H35="cancelled",-(O35*P35*(1-Q35/100))/12,H35="seats_change",(J35-I35)*P35*(1-Q35/100)/12,H35="price_change",(J35-I35)*O35*(1-Q35/100)/12,H35="plan_upgrade",(O35*(_xlfn.XLOOKUP(J35,$M:$M,$P:$P)-_xlfn.XLOOKUP(I35,$M:$M,$P:$P))*(1-Q35/100))/12,H35="plan_downgrade",(O35*(_xlfn.XLOOKUP(J35,$M:$M,$P:$P)-_xlfn.XLOOKUP(I35,$M:$M,$P:$P))*(1-Q35/100))/12,H35="discount_added",-(O35*P35*(J35-I35)/100)/12))</f>
        <v>-495</v>
      </c>
      <c r="T35" s="193">
        <f>IF(H35&lt;&gt;"created",0,IF(COUNTIFS($C$1:C34,$C35,$H$1:H34,"created")=0,1,0))</f>
        <v>0</v>
      </c>
      <c r="U35" s="193">
        <f t="shared" si="2"/>
        <v>1</v>
      </c>
      <c r="V35" s="193">
        <f t="shared" si="3"/>
        <v>0</v>
      </c>
    </row>
    <row r="36" spans="1:22" ht="14.25" customHeight="1" x14ac:dyDescent="0.25">
      <c r="A36" s="193" t="s">
        <v>899</v>
      </c>
      <c r="B36" s="193" t="s">
        <v>236</v>
      </c>
      <c r="C36" s="193" t="s">
        <v>106</v>
      </c>
      <c r="D36" s="193" t="s">
        <v>107</v>
      </c>
      <c r="E36" s="193" t="s">
        <v>846</v>
      </c>
      <c r="F36" s="194">
        <v>45597</v>
      </c>
      <c r="G36" s="195">
        <v>45621</v>
      </c>
      <c r="H36" s="193" t="s">
        <v>844</v>
      </c>
      <c r="M36" s="193" t="s">
        <v>52</v>
      </c>
      <c r="N36" s="193" t="s">
        <v>53</v>
      </c>
      <c r="O36" s="193">
        <v>31</v>
      </c>
      <c r="P36" s="193">
        <v>85</v>
      </c>
      <c r="Q36" s="193">
        <v>0</v>
      </c>
      <c r="R36" s="193" t="str" cm="1">
        <f t="array" ref="R36">_xlfn.IFS(H36="created",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196" cm="1">
        <f t="array" ref="S36">IF(N36="Monthly",_xlfn.IFS(H36="created",O36*P36*(1-Q36/100),H36="cancelled",-(O36*P36*(1-Q36/100)),H36="seats_change",(J36-I36)*P36*(1-Q36/100),H36="price_change",(J36-I36)*O36*(1-Q36/100),H36="discount_added",-(O36*P36*(J36-I36)/100),H36="plan_upgrade",O36*(_xlfn.XLOOKUP(J36,$M:$M,$P:$P)-_xlfn.XLOOKUP(I36,$M:$M,$P:$P))*(1-Q36/100),H36="plan_downgrade",O36*(_xlfn.XLOOKUP(J36,$M:$M,$P:$P)-_xlfn.XLOOKUP(I36,$M:$M,$P:$P))*(1-Q36/100)),_xlfn.IFS(H36="created",O36*P36*(1-Q36/100)/12,H36="cancelled",-(O36*P36*(1-Q36/100))/12,H36="seats_change",(J36-I36)*P36*(1-Q36/100)/12,H36="price_change",(J36-I36)*O36*(1-Q36/100)/12,H36="plan_upgrade",(O36*(_xlfn.XLOOKUP(J36,$M:$M,$P:$P)-_xlfn.XLOOKUP(I36,$M:$M,$P:$P))*(1-Q36/100))/12,H36="plan_downgrade",(O36*(_xlfn.XLOOKUP(J36,$M:$M,$P:$P)-_xlfn.XLOOKUP(I36,$M:$M,$P:$P))*(1-Q36/100))/12,H36="discount_added",-(O36*P36*(J36-I36)/100)/12))</f>
        <v>2635</v>
      </c>
      <c r="T36" s="193">
        <f>IF(H36&lt;&gt;"created",0,IF(COUNTIFS($C$1:C35,$C36,$H$1:H35,"created")=0,1,0))</f>
        <v>1</v>
      </c>
      <c r="U36" s="193">
        <f t="shared" si="2"/>
        <v>0</v>
      </c>
      <c r="V36" s="193">
        <f t="shared" si="3"/>
        <v>0</v>
      </c>
    </row>
    <row r="37" spans="1:22" ht="14.25" customHeight="1" x14ac:dyDescent="0.25">
      <c r="A37" s="193" t="s">
        <v>900</v>
      </c>
      <c r="B37" s="193" t="s">
        <v>901</v>
      </c>
      <c r="C37" s="193" t="s">
        <v>218</v>
      </c>
      <c r="D37" s="193" t="s">
        <v>219</v>
      </c>
      <c r="E37" s="193" t="s">
        <v>843</v>
      </c>
      <c r="F37" s="194">
        <v>45627</v>
      </c>
      <c r="G37" s="195">
        <v>45635</v>
      </c>
      <c r="H37" s="193" t="s">
        <v>844</v>
      </c>
      <c r="M37" s="193" t="s">
        <v>64</v>
      </c>
      <c r="N37" s="193" t="s">
        <v>210</v>
      </c>
      <c r="O37" s="193">
        <v>38</v>
      </c>
      <c r="P37" s="193">
        <v>2160</v>
      </c>
      <c r="Q37" s="193">
        <v>0</v>
      </c>
      <c r="R37" s="193" t="str" cm="1">
        <f t="array" ref="R37">_xlfn.IFS(H37="created",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196" cm="1">
        <f t="array" ref="S37">IF(N37="Monthly",_xlfn.IFS(H37="created",O37*P37*(1-Q37/100),H37="cancelled",-(O37*P37*(1-Q37/100)),H37="seats_change",(J37-I37)*P37*(1-Q37/100),H37="price_change",(J37-I37)*O37*(1-Q37/100),H37="discount_added",-(O37*P37*(J37-I37)/100),H37="plan_upgrade",O37*(_xlfn.XLOOKUP(J37,$M:$M,$P:$P)-_xlfn.XLOOKUP(I37,$M:$M,$P:$P))*(1-Q37/100),H37="plan_downgrade",O37*(_xlfn.XLOOKUP(J37,$M:$M,$P:$P)-_xlfn.XLOOKUP(I37,$M:$M,$P:$P))*(1-Q37/100)),_xlfn.IFS(H37="created",O37*P37*(1-Q37/100)/12,H37="cancelled",-(O37*P37*(1-Q37/100))/12,H37="seats_change",(J37-I37)*P37*(1-Q37/100)/12,H37="price_change",(J37-I37)*O37*(1-Q37/100)/12,H37="plan_upgrade",(O37*(_xlfn.XLOOKUP(J37,$M:$M,$P:$P)-_xlfn.XLOOKUP(I37,$M:$M,$P:$P))*(1-Q37/100))/12,H37="plan_downgrade",(O37*(_xlfn.XLOOKUP(J37,$M:$M,$P:$P)-_xlfn.XLOOKUP(I37,$M:$M,$P:$P))*(1-Q37/100))/12,H37="discount_added",-(O37*P37*(J37-I37)/100)/12))</f>
        <v>6840</v>
      </c>
      <c r="T37" s="193">
        <f>IF(H37&lt;&gt;"created",0,IF(COUNTIFS($C$1:C36,$C37,$H$1:H36,"created")=0,1,0))</f>
        <v>1</v>
      </c>
      <c r="U37" s="193">
        <f t="shared" si="2"/>
        <v>0</v>
      </c>
      <c r="V37" s="193">
        <f t="shared" si="3"/>
        <v>0</v>
      </c>
    </row>
    <row r="38" spans="1:22" ht="14.25" customHeight="1" x14ac:dyDescent="0.25">
      <c r="A38" s="193" t="s">
        <v>902</v>
      </c>
      <c r="B38" s="193" t="s">
        <v>135</v>
      </c>
      <c r="C38" s="193" t="s">
        <v>133</v>
      </c>
      <c r="D38" s="193" t="s">
        <v>134</v>
      </c>
      <c r="E38" s="193" t="s">
        <v>843</v>
      </c>
      <c r="F38" s="194">
        <v>45627</v>
      </c>
      <c r="G38" s="195">
        <v>45638</v>
      </c>
      <c r="H38" s="193" t="s">
        <v>844</v>
      </c>
      <c r="M38" s="193" t="s">
        <v>52</v>
      </c>
      <c r="N38" s="193" t="s">
        <v>53</v>
      </c>
      <c r="O38" s="193">
        <v>38</v>
      </c>
      <c r="P38" s="193">
        <v>85</v>
      </c>
      <c r="Q38" s="193">
        <v>0</v>
      </c>
      <c r="R38" s="193" t="str" cm="1">
        <f t="array" ref="R38">_xlfn.IFS(H38="created",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196" cm="1">
        <f t="array" ref="S38">IF(N38="Monthly",_xlfn.IFS(H38="created",O38*P38*(1-Q38/100),H38="cancelled",-(O38*P38*(1-Q38/100)),H38="seats_change",(J38-I38)*P38*(1-Q38/100),H38="price_change",(J38-I38)*O38*(1-Q38/100),H38="discount_added",-(O38*P38*(J38-I38)/100),H38="plan_upgrade",O38*(_xlfn.XLOOKUP(J38,$M:$M,$P:$P)-_xlfn.XLOOKUP(I38,$M:$M,$P:$P))*(1-Q38/100),H38="plan_downgrade",O38*(_xlfn.XLOOKUP(J38,$M:$M,$P:$P)-_xlfn.XLOOKUP(I38,$M:$M,$P:$P))*(1-Q38/100)),_xlfn.IFS(H38="created",O38*P38*(1-Q38/100)/12,H38="cancelled",-(O38*P38*(1-Q38/100))/12,H38="seats_change",(J38-I38)*P38*(1-Q38/100)/12,H38="price_change",(J38-I38)*O38*(1-Q38/100)/12,H38="plan_upgrade",(O38*(_xlfn.XLOOKUP(J38,$M:$M,$P:$P)-_xlfn.XLOOKUP(I38,$M:$M,$P:$P))*(1-Q38/100))/12,H38="plan_downgrade",(O38*(_xlfn.XLOOKUP(J38,$M:$M,$P:$P)-_xlfn.XLOOKUP(I38,$M:$M,$P:$P))*(1-Q38/100))/12,H38="discount_added",-(O38*P38*(J38-I38)/100)/12))</f>
        <v>3230</v>
      </c>
      <c r="T38" s="193">
        <f>IF(H38&lt;&gt;"created",0,IF(COUNTIFS($C$1:C37,$C38,$H$1:H37,"created")=0,1,0))</f>
        <v>0</v>
      </c>
      <c r="U38" s="193">
        <f t="shared" si="2"/>
        <v>0</v>
      </c>
      <c r="V38" s="193">
        <f t="shared" si="3"/>
        <v>0</v>
      </c>
    </row>
    <row r="39" spans="1:22" ht="14.25" customHeight="1" x14ac:dyDescent="0.25">
      <c r="A39" s="193" t="s">
        <v>903</v>
      </c>
      <c r="B39" s="193" t="s">
        <v>198</v>
      </c>
      <c r="C39" s="193" t="s">
        <v>196</v>
      </c>
      <c r="D39" s="193" t="s">
        <v>197</v>
      </c>
      <c r="E39" s="193" t="s">
        <v>846</v>
      </c>
      <c r="F39" s="194">
        <v>45627</v>
      </c>
      <c r="G39" s="195">
        <v>45646</v>
      </c>
      <c r="H39" s="193" t="s">
        <v>844</v>
      </c>
      <c r="M39" s="193" t="s">
        <v>119</v>
      </c>
      <c r="N39" s="193" t="s">
        <v>53</v>
      </c>
      <c r="O39" s="193">
        <v>35</v>
      </c>
      <c r="P39" s="193">
        <v>95</v>
      </c>
      <c r="Q39" s="193">
        <v>0</v>
      </c>
      <c r="R39" s="193" t="str" cm="1">
        <f t="array" ref="R39">_xlfn.IFS(H39="created",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196" cm="1">
        <f t="array" ref="S39">IF(N39="Monthly",_xlfn.IFS(H39="created",O39*P39*(1-Q39/100),H39="cancelled",-(O39*P39*(1-Q39/100)),H39="seats_change",(J39-I39)*P39*(1-Q39/100),H39="price_change",(J39-I39)*O39*(1-Q39/100),H39="discount_added",-(O39*P39*(J39-I39)/100),H39="plan_upgrade",O39*(_xlfn.XLOOKUP(J39,$M:$M,$P:$P)-_xlfn.XLOOKUP(I39,$M:$M,$P:$P))*(1-Q39/100),H39="plan_downgrade",O39*(_xlfn.XLOOKUP(J39,$M:$M,$P:$P)-_xlfn.XLOOKUP(I39,$M:$M,$P:$P))*(1-Q39/100)),_xlfn.IFS(H39="created",O39*P39*(1-Q39/100)/12,H39="cancelled",-(O39*P39*(1-Q39/100))/12,H39="seats_change",(J39-I39)*P39*(1-Q39/100)/12,H39="price_change",(J39-I39)*O39*(1-Q39/100)/12,H39="plan_upgrade",(O39*(_xlfn.XLOOKUP(J39,$M:$M,$P:$P)-_xlfn.XLOOKUP(I39,$M:$M,$P:$P))*(1-Q39/100))/12,H39="plan_downgrade",(O39*(_xlfn.XLOOKUP(J39,$M:$M,$P:$P)-_xlfn.XLOOKUP(I39,$M:$M,$P:$P))*(1-Q39/100))/12,H39="discount_added",-(O39*P39*(J39-I39)/100)/12))</f>
        <v>3325</v>
      </c>
      <c r="T39" s="193">
        <f>IF(H39&lt;&gt;"created",0,IF(COUNTIFS($C$1:C38,$C39,$H$1:H38,"created")=0,1,0))</f>
        <v>0</v>
      </c>
      <c r="U39" s="193">
        <f t="shared" si="2"/>
        <v>0</v>
      </c>
      <c r="V39" s="193">
        <f t="shared" si="3"/>
        <v>0</v>
      </c>
    </row>
    <row r="40" spans="1:22" ht="14.25" customHeight="1" x14ac:dyDescent="0.25">
      <c r="A40" s="193" t="s">
        <v>904</v>
      </c>
      <c r="B40" s="193" t="s">
        <v>860</v>
      </c>
      <c r="C40" s="193" t="s">
        <v>87</v>
      </c>
      <c r="D40" s="193" t="s">
        <v>88</v>
      </c>
      <c r="E40" s="193" t="s">
        <v>843</v>
      </c>
      <c r="F40" s="194">
        <v>45627</v>
      </c>
      <c r="G40" s="195">
        <v>45648</v>
      </c>
      <c r="H40" s="193" t="s">
        <v>880</v>
      </c>
      <c r="I40" s="193" t="s">
        <v>881</v>
      </c>
      <c r="J40" s="193" t="s">
        <v>882</v>
      </c>
      <c r="K40" s="193" t="s">
        <v>44</v>
      </c>
      <c r="L40" s="193" t="s">
        <v>898</v>
      </c>
      <c r="M40" s="193" t="s">
        <v>119</v>
      </c>
      <c r="N40" s="193" t="s">
        <v>53</v>
      </c>
      <c r="O40" s="193">
        <v>22</v>
      </c>
      <c r="P40" s="193">
        <v>95</v>
      </c>
      <c r="Q40" s="193">
        <v>0</v>
      </c>
      <c r="R40" s="193" t="str" cm="1">
        <f t="array" ref="R40">_xlfn.IFS(H40="created",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196" cm="1">
        <f t="array" ref="S40">IF(N40="Monthly",_xlfn.IFS(H40="created",O40*P40*(1-Q40/100),H40="cancelled",-(O40*P40*(1-Q40/100)),H40="seats_change",(J40-I40)*P40*(1-Q40/100),H40="price_change",(J40-I40)*O40*(1-Q40/100),H40="discount_added",-(O40*P40*(J40-I40)/100),H40="plan_upgrade",O40*(_xlfn.XLOOKUP(J40,$M:$M,$P:$P)-_xlfn.XLOOKUP(I40,$M:$M,$P:$P))*(1-Q40/100),H40="plan_downgrade",O40*(_xlfn.XLOOKUP(J40,$M:$M,$P:$P)-_xlfn.XLOOKUP(I40,$M:$M,$P:$P))*(1-Q40/100)),_xlfn.IFS(H40="created",O40*P40*(1-Q40/100)/12,H40="cancelled",-(O40*P40*(1-Q40/100))/12,H40="seats_change",(J40-I40)*P40*(1-Q40/100)/12,H40="price_change",(J40-I40)*O40*(1-Q40/100)/12,H40="plan_upgrade",(O40*(_xlfn.XLOOKUP(J40,$M:$M,$P:$P)-_xlfn.XLOOKUP(I40,$M:$M,$P:$P))*(1-Q40/100))/12,H40="plan_downgrade",(O40*(_xlfn.XLOOKUP(J40,$M:$M,$P:$P)-_xlfn.XLOOKUP(I40,$M:$M,$P:$P))*(1-Q40/100))/12,H40="discount_added",-(O40*P40*(J40-I40)/100)/12))</f>
        <v>-2090</v>
      </c>
      <c r="T40" s="193">
        <f>IF(H40&lt;&gt;"created",0,IF(COUNTIFS($C$1:C39,$C40,$H$1:H39,"created")=0,1,0))</f>
        <v>0</v>
      </c>
      <c r="U40" s="193">
        <f t="shared" si="2"/>
        <v>0</v>
      </c>
      <c r="V40" s="193">
        <f t="shared" si="3"/>
        <v>0</v>
      </c>
    </row>
    <row r="41" spans="1:22" ht="14.25" customHeight="1" x14ac:dyDescent="0.25">
      <c r="A41" s="193" t="s">
        <v>905</v>
      </c>
      <c r="B41" s="193" t="s">
        <v>228</v>
      </c>
      <c r="C41" s="193" t="s">
        <v>226</v>
      </c>
      <c r="D41" s="193" t="s">
        <v>227</v>
      </c>
      <c r="E41" s="193" t="s">
        <v>843</v>
      </c>
      <c r="F41" s="194">
        <v>45627</v>
      </c>
      <c r="G41" s="195">
        <v>45649</v>
      </c>
      <c r="H41" s="193" t="s">
        <v>844</v>
      </c>
      <c r="M41" s="193" t="s">
        <v>119</v>
      </c>
      <c r="N41" s="193" t="s">
        <v>53</v>
      </c>
      <c r="O41" s="193">
        <v>16</v>
      </c>
      <c r="P41" s="193">
        <v>95</v>
      </c>
      <c r="Q41" s="193">
        <v>0</v>
      </c>
      <c r="R41" s="193" t="str" cm="1">
        <f t="array" ref="R41">_xlfn.IFS(H41="created",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196" cm="1">
        <f t="array" ref="S41">IF(N41="Monthly",_xlfn.IFS(H41="created",O41*P41*(1-Q41/100),H41="cancelled",-(O41*P41*(1-Q41/100)),H41="seats_change",(J41-I41)*P41*(1-Q41/100),H41="price_change",(J41-I41)*O41*(1-Q41/100),H41="discount_added",-(O41*P41*(J41-I41)/100),H41="plan_upgrade",O41*(_xlfn.XLOOKUP(J41,$M:$M,$P:$P)-_xlfn.XLOOKUP(I41,$M:$M,$P:$P))*(1-Q41/100),H41="plan_downgrade",O41*(_xlfn.XLOOKUP(J41,$M:$M,$P:$P)-_xlfn.XLOOKUP(I41,$M:$M,$P:$P))*(1-Q41/100)),_xlfn.IFS(H41="created",O41*P41*(1-Q41/100)/12,H41="cancelled",-(O41*P41*(1-Q41/100))/12,H41="seats_change",(J41-I41)*P41*(1-Q41/100)/12,H41="price_change",(J41-I41)*O41*(1-Q41/100)/12,H41="plan_upgrade",(O41*(_xlfn.XLOOKUP(J41,$M:$M,$P:$P)-_xlfn.XLOOKUP(I41,$M:$M,$P:$P))*(1-Q41/100))/12,H41="plan_downgrade",(O41*(_xlfn.XLOOKUP(J41,$M:$M,$P:$P)-_xlfn.XLOOKUP(I41,$M:$M,$P:$P))*(1-Q41/100))/12,H41="discount_added",-(O41*P41*(J41-I41)/100)/12))</f>
        <v>1520</v>
      </c>
      <c r="T41" s="193">
        <f>IF(H41&lt;&gt;"created",0,IF(COUNTIFS($C$1:C40,$C41,$H$1:H40,"created")=0,1,0))</f>
        <v>1</v>
      </c>
      <c r="U41" s="193">
        <f t="shared" si="2"/>
        <v>0</v>
      </c>
      <c r="V41" s="193">
        <f t="shared" si="3"/>
        <v>0</v>
      </c>
    </row>
    <row r="42" spans="1:22" ht="14.25" customHeight="1" x14ac:dyDescent="0.25">
      <c r="A42" s="193" t="s">
        <v>906</v>
      </c>
      <c r="B42" s="193" t="s">
        <v>92</v>
      </c>
      <c r="C42" s="193" t="s">
        <v>82</v>
      </c>
      <c r="D42" s="193" t="s">
        <v>83</v>
      </c>
      <c r="E42" s="193" t="s">
        <v>846</v>
      </c>
      <c r="F42" s="194">
        <v>45658</v>
      </c>
      <c r="G42" s="195">
        <v>45663</v>
      </c>
      <c r="H42" s="193" t="s">
        <v>844</v>
      </c>
      <c r="M42" s="193" t="s">
        <v>93</v>
      </c>
      <c r="N42" s="193" t="s">
        <v>53</v>
      </c>
      <c r="O42" s="193">
        <v>28</v>
      </c>
      <c r="P42" s="193">
        <v>110</v>
      </c>
      <c r="Q42" s="193">
        <v>0</v>
      </c>
      <c r="R42" s="193" t="str" cm="1">
        <f t="array" ref="R42">_xlfn.IFS(H42="created",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196" cm="1">
        <f t="array" ref="S42">IF(N42="Monthly",_xlfn.IFS(H42="created",O42*P42*(1-Q42/100),H42="cancelled",-(O42*P42*(1-Q42/100)),H42="seats_change",(J42-I42)*P42*(1-Q42/100),H42="price_change",(J42-I42)*O42*(1-Q42/100),H42="discount_added",-(O42*P42*(J42-I42)/100),H42="plan_upgrade",O42*(_xlfn.XLOOKUP(J42,$M:$M,$P:$P)-_xlfn.XLOOKUP(I42,$M:$M,$P:$P))*(1-Q42/100),H42="plan_downgrade",O42*(_xlfn.XLOOKUP(J42,$M:$M,$P:$P)-_xlfn.XLOOKUP(I42,$M:$M,$P:$P))*(1-Q42/100)),_xlfn.IFS(H42="created",O42*P42*(1-Q42/100)/12,H42="cancelled",-(O42*P42*(1-Q42/100))/12,H42="seats_change",(J42-I42)*P42*(1-Q42/100)/12,H42="price_change",(J42-I42)*O42*(1-Q42/100)/12,H42="plan_upgrade",(O42*(_xlfn.XLOOKUP(J42,$M:$M,$P:$P)-_xlfn.XLOOKUP(I42,$M:$M,$P:$P))*(1-Q42/100))/12,H42="plan_downgrade",(O42*(_xlfn.XLOOKUP(J42,$M:$M,$P:$P)-_xlfn.XLOOKUP(I42,$M:$M,$P:$P))*(1-Q42/100))/12,H42="discount_added",-(O42*P42*(J42-I42)/100)/12))</f>
        <v>3080</v>
      </c>
      <c r="T42" s="193">
        <f>IF(H42&lt;&gt;"created",0,IF(COUNTIFS($C$1:C41,$C42,$H$1:H41,"created")=0,1,0))</f>
        <v>1</v>
      </c>
      <c r="U42" s="193">
        <f t="shared" si="2"/>
        <v>0</v>
      </c>
      <c r="V42" s="193">
        <f t="shared" si="3"/>
        <v>0</v>
      </c>
    </row>
    <row r="43" spans="1:22" ht="14.25" customHeight="1" x14ac:dyDescent="0.25">
      <c r="A43" s="193" t="s">
        <v>907</v>
      </c>
      <c r="B43" s="193" t="s">
        <v>98</v>
      </c>
      <c r="C43" s="193" t="s">
        <v>96</v>
      </c>
      <c r="D43" s="193" t="s">
        <v>97</v>
      </c>
      <c r="E43" s="193" t="s">
        <v>843</v>
      </c>
      <c r="F43" s="194">
        <v>45658</v>
      </c>
      <c r="G43" s="195">
        <v>45665</v>
      </c>
      <c r="H43" s="193" t="s">
        <v>908</v>
      </c>
      <c r="I43" s="193">
        <v>80</v>
      </c>
      <c r="J43" s="193">
        <v>85</v>
      </c>
      <c r="K43" s="193" t="s">
        <v>834</v>
      </c>
      <c r="L43" s="193" t="s">
        <v>909</v>
      </c>
      <c r="M43" s="193" t="s">
        <v>52</v>
      </c>
      <c r="N43" s="193" t="s">
        <v>53</v>
      </c>
      <c r="O43" s="193">
        <v>28</v>
      </c>
      <c r="P43" s="193">
        <v>85</v>
      </c>
      <c r="Q43" s="193">
        <v>0</v>
      </c>
      <c r="R43" s="193" t="str" cm="1">
        <f t="array" ref="R43">_xlfn.IFS(H43="created",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196" cm="1">
        <f t="array" ref="S43">IF(N43="Monthly",_xlfn.IFS(H43="created",O43*P43*(1-Q43/100),H43="cancelled",-(O43*P43*(1-Q43/100)),H43="seats_change",(J43-I43)*P43*(1-Q43/100),H43="price_change",(J43-I43)*O43*(1-Q43/100),H43="discount_added",-(O43*P43*(J43-I43)/100),H43="plan_upgrade",O43*(_xlfn.XLOOKUP(J43,$M:$M,$P:$P)-_xlfn.XLOOKUP(I43,$M:$M,$P:$P))*(1-Q43/100),H43="plan_downgrade",O43*(_xlfn.XLOOKUP(J43,$M:$M,$P:$P)-_xlfn.XLOOKUP(I43,$M:$M,$P:$P))*(1-Q43/100)),_xlfn.IFS(H43="created",O43*P43*(1-Q43/100)/12,H43="cancelled",-(O43*P43*(1-Q43/100))/12,H43="seats_change",(J43-I43)*P43*(1-Q43/100)/12,H43="price_change",(J43-I43)*O43*(1-Q43/100)/12,H43="plan_upgrade",(O43*(_xlfn.XLOOKUP(J43,$M:$M,$P:$P)-_xlfn.XLOOKUP(I43,$M:$M,$P:$P))*(1-Q43/100))/12,H43="plan_downgrade",(O43*(_xlfn.XLOOKUP(J43,$M:$M,$P:$P)-_xlfn.XLOOKUP(I43,$M:$M,$P:$P))*(1-Q43/100))/12,H43="discount_added",-(O43*P43*(J43-I43)/100)/12))</f>
        <v>140</v>
      </c>
      <c r="T43" s="193">
        <f>IF(H43&lt;&gt;"created",0,IF(COUNTIFS($C$1:C42,$C43,$H$1:H42,"created")=0,1,0))</f>
        <v>0</v>
      </c>
      <c r="U43" s="193">
        <f t="shared" si="2"/>
        <v>0</v>
      </c>
      <c r="V43" s="193">
        <f t="shared" si="3"/>
        <v>0</v>
      </c>
    </row>
    <row r="44" spans="1:22" ht="14.25" customHeight="1" x14ac:dyDescent="0.25">
      <c r="A44" s="193" t="s">
        <v>910</v>
      </c>
      <c r="B44" s="193" t="s">
        <v>870</v>
      </c>
      <c r="C44" s="193" t="s">
        <v>201</v>
      </c>
      <c r="D44" s="193" t="s">
        <v>202</v>
      </c>
      <c r="E44" s="193" t="s">
        <v>846</v>
      </c>
      <c r="F44" s="194">
        <v>45658</v>
      </c>
      <c r="G44" s="195">
        <v>45672</v>
      </c>
      <c r="H44" s="193" t="s">
        <v>880</v>
      </c>
      <c r="I44" s="193" t="s">
        <v>881</v>
      </c>
      <c r="J44" s="193" t="s">
        <v>882</v>
      </c>
      <c r="K44" s="193" t="s">
        <v>44</v>
      </c>
      <c r="L44" s="193" t="s">
        <v>911</v>
      </c>
      <c r="M44" s="193" t="s">
        <v>58</v>
      </c>
      <c r="N44" s="193" t="s">
        <v>53</v>
      </c>
      <c r="O44" s="193">
        <v>10</v>
      </c>
      <c r="P44" s="193">
        <v>45</v>
      </c>
      <c r="Q44" s="193">
        <v>0</v>
      </c>
      <c r="R44" s="193" t="str" cm="1">
        <f t="array" ref="R44">_xlfn.IFS(H44="created",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196" cm="1">
        <f t="array" ref="S44">IF(N44="Monthly",_xlfn.IFS(H44="created",O44*P44*(1-Q44/100),H44="cancelled",-(O44*P44*(1-Q44/100)),H44="seats_change",(J44-I44)*P44*(1-Q44/100),H44="price_change",(J44-I44)*O44*(1-Q44/100),H44="discount_added",-(O44*P44*(J44-I44)/100),H44="plan_upgrade",O44*(_xlfn.XLOOKUP(J44,$M:$M,$P:$P)-_xlfn.XLOOKUP(I44,$M:$M,$P:$P))*(1-Q44/100),H44="plan_downgrade",O44*(_xlfn.XLOOKUP(J44,$M:$M,$P:$P)-_xlfn.XLOOKUP(I44,$M:$M,$P:$P))*(1-Q44/100)),_xlfn.IFS(H44="created",O44*P44*(1-Q44/100)/12,H44="cancelled",-(O44*P44*(1-Q44/100))/12,H44="seats_change",(J44-I44)*P44*(1-Q44/100)/12,H44="price_change",(J44-I44)*O44*(1-Q44/100)/12,H44="plan_upgrade",(O44*(_xlfn.XLOOKUP(J44,$M:$M,$P:$P)-_xlfn.XLOOKUP(I44,$M:$M,$P:$P))*(1-Q44/100))/12,H44="plan_downgrade",(O44*(_xlfn.XLOOKUP(J44,$M:$M,$P:$P)-_xlfn.XLOOKUP(I44,$M:$M,$P:$P))*(1-Q44/100))/12,H44="discount_added",-(O44*P44*(J44-I44)/100)/12))</f>
        <v>-450</v>
      </c>
      <c r="T44" s="193">
        <f>IF(H44&lt;&gt;"created",0,IF(COUNTIFS($C$1:C43,$C44,$H$1:H43,"created")=0,1,0))</f>
        <v>0</v>
      </c>
      <c r="U44" s="193">
        <f t="shared" si="2"/>
        <v>1</v>
      </c>
      <c r="V44" s="193">
        <f t="shared" si="3"/>
        <v>0</v>
      </c>
    </row>
    <row r="45" spans="1:22" ht="14.25" customHeight="1" x14ac:dyDescent="0.25">
      <c r="A45" s="193" t="s">
        <v>912</v>
      </c>
      <c r="B45" s="193" t="s">
        <v>191</v>
      </c>
      <c r="C45" s="193" t="s">
        <v>189</v>
      </c>
      <c r="D45" s="193" t="s">
        <v>190</v>
      </c>
      <c r="E45" s="193" t="s">
        <v>865</v>
      </c>
      <c r="F45" s="194">
        <v>45658</v>
      </c>
      <c r="G45" s="195">
        <v>45677</v>
      </c>
      <c r="H45" s="193" t="s">
        <v>844</v>
      </c>
      <c r="M45" s="193" t="s">
        <v>58</v>
      </c>
      <c r="N45" s="193" t="s">
        <v>53</v>
      </c>
      <c r="O45" s="193">
        <v>15</v>
      </c>
      <c r="P45" s="193">
        <v>45</v>
      </c>
      <c r="Q45" s="193">
        <v>0</v>
      </c>
      <c r="R45" s="193" t="str" cm="1">
        <f t="array" ref="R45">_xlfn.IFS(H45="created",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196" cm="1">
        <f t="array" ref="S45">IF(N45="Monthly",_xlfn.IFS(H45="created",O45*P45*(1-Q45/100),H45="cancelled",-(O45*P45*(1-Q45/100)),H45="seats_change",(J45-I45)*P45*(1-Q45/100),H45="price_change",(J45-I45)*O45*(1-Q45/100),H45="discount_added",-(O45*P45*(J45-I45)/100),H45="plan_upgrade",O45*(_xlfn.XLOOKUP(J45,$M:$M,$P:$P)-_xlfn.XLOOKUP(I45,$M:$M,$P:$P))*(1-Q45/100),H45="plan_downgrade",O45*(_xlfn.XLOOKUP(J45,$M:$M,$P:$P)-_xlfn.XLOOKUP(I45,$M:$M,$P:$P))*(1-Q45/100)),_xlfn.IFS(H45="created",O45*P45*(1-Q45/100)/12,H45="cancelled",-(O45*P45*(1-Q45/100))/12,H45="seats_change",(J45-I45)*P45*(1-Q45/100)/12,H45="price_change",(J45-I45)*O45*(1-Q45/100)/12,H45="plan_upgrade",(O45*(_xlfn.XLOOKUP(J45,$M:$M,$P:$P)-_xlfn.XLOOKUP(I45,$M:$M,$P:$P))*(1-Q45/100))/12,H45="plan_downgrade",(O45*(_xlfn.XLOOKUP(J45,$M:$M,$P:$P)-_xlfn.XLOOKUP(I45,$M:$M,$P:$P))*(1-Q45/100))/12,H45="discount_added",-(O45*P45*(J45-I45)/100)/12))</f>
        <v>675</v>
      </c>
      <c r="T45" s="193">
        <f>IF(H45&lt;&gt;"created",0,IF(COUNTIFS($C$1:C44,$C45,$H$1:H44,"created")=0,1,0))</f>
        <v>1</v>
      </c>
      <c r="U45" s="193">
        <f t="shared" si="2"/>
        <v>0</v>
      </c>
      <c r="V45" s="193">
        <f t="shared" si="3"/>
        <v>0</v>
      </c>
    </row>
    <row r="46" spans="1:22" ht="14.25" customHeight="1" x14ac:dyDescent="0.25">
      <c r="A46" s="193" t="s">
        <v>913</v>
      </c>
      <c r="B46" s="193" t="s">
        <v>223</v>
      </c>
      <c r="C46" s="193" t="s">
        <v>206</v>
      </c>
      <c r="D46" s="193" t="s">
        <v>207</v>
      </c>
      <c r="E46" s="193" t="s">
        <v>846</v>
      </c>
      <c r="F46" s="194">
        <v>45658</v>
      </c>
      <c r="G46" s="195">
        <v>45679</v>
      </c>
      <c r="H46" s="193" t="s">
        <v>844</v>
      </c>
      <c r="M46" s="193" t="s">
        <v>119</v>
      </c>
      <c r="N46" s="193" t="s">
        <v>210</v>
      </c>
      <c r="O46" s="193">
        <v>22</v>
      </c>
      <c r="P46" s="193">
        <v>1140</v>
      </c>
      <c r="Q46" s="193">
        <v>5</v>
      </c>
      <c r="R46" s="193" t="str" cm="1">
        <f t="array" ref="R46">_xlfn.IFS(H46="created",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196" cm="1">
        <f t="array" ref="S46">IF(N46="Monthly",_xlfn.IFS(H46="created",O46*P46*(1-Q46/100),H46="cancelled",-(O46*P46*(1-Q46/100)),H46="seats_change",(J46-I46)*P46*(1-Q46/100),H46="price_change",(J46-I46)*O46*(1-Q46/100),H46="discount_added",-(O46*P46*(J46-I46)/100),H46="plan_upgrade",O46*(_xlfn.XLOOKUP(J46,$M:$M,$P:$P)-_xlfn.XLOOKUP(I46,$M:$M,$P:$P))*(1-Q46/100),H46="plan_downgrade",O46*(_xlfn.XLOOKUP(J46,$M:$M,$P:$P)-_xlfn.XLOOKUP(I46,$M:$M,$P:$P))*(1-Q46/100)),_xlfn.IFS(H46="created",O46*P46*(1-Q46/100)/12,H46="cancelled",-(O46*P46*(1-Q46/100))/12,H46="seats_change",(J46-I46)*P46*(1-Q46/100)/12,H46="price_change",(J46-I46)*O46*(1-Q46/100)/12,H46="plan_upgrade",(O46*(_xlfn.XLOOKUP(J46,$M:$M,$P:$P)-_xlfn.XLOOKUP(I46,$M:$M,$P:$P))*(1-Q46/100))/12,H46="plan_downgrade",(O46*(_xlfn.XLOOKUP(J46,$M:$M,$P:$P)-_xlfn.XLOOKUP(I46,$M:$M,$P:$P))*(1-Q46/100))/12,H46="discount_added",-(O46*P46*(J46-I46)/100)/12))</f>
        <v>1985.5</v>
      </c>
      <c r="T46" s="193">
        <f>IF(H46&lt;&gt;"created",0,IF(COUNTIFS($C$1:C45,$C46,$H$1:H45,"created")=0,1,0))</f>
        <v>0</v>
      </c>
      <c r="U46" s="193">
        <f t="shared" si="2"/>
        <v>0</v>
      </c>
      <c r="V46" s="193">
        <f t="shared" si="3"/>
        <v>0</v>
      </c>
    </row>
    <row r="47" spans="1:22" ht="14.25" customHeight="1" x14ac:dyDescent="0.25">
      <c r="A47" s="193" t="s">
        <v>914</v>
      </c>
      <c r="B47" s="193" t="s">
        <v>264</v>
      </c>
      <c r="C47" s="193" t="s">
        <v>262</v>
      </c>
      <c r="D47" s="193" t="s">
        <v>263</v>
      </c>
      <c r="E47" s="193" t="s">
        <v>846</v>
      </c>
      <c r="F47" s="194">
        <v>45658</v>
      </c>
      <c r="G47" s="195">
        <v>45685</v>
      </c>
      <c r="H47" s="193" t="s">
        <v>844</v>
      </c>
      <c r="M47" s="193" t="s">
        <v>209</v>
      </c>
      <c r="N47" s="193" t="s">
        <v>53</v>
      </c>
      <c r="O47" s="193">
        <v>28</v>
      </c>
      <c r="P47" s="193">
        <v>150</v>
      </c>
      <c r="Q47" s="193">
        <v>0</v>
      </c>
      <c r="R47" s="193" t="str" cm="1">
        <f t="array" ref="R47">_xlfn.IFS(H47="created",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196" cm="1">
        <f t="array" ref="S47">IF(N47="Monthly",_xlfn.IFS(H47="created",O47*P47*(1-Q47/100),H47="cancelled",-(O47*P47*(1-Q47/100)),H47="seats_change",(J47-I47)*P47*(1-Q47/100),H47="price_change",(J47-I47)*O47*(1-Q47/100),H47="discount_added",-(O47*P47*(J47-I47)/100),H47="plan_upgrade",O47*(_xlfn.XLOOKUP(J47,$M:$M,$P:$P)-_xlfn.XLOOKUP(I47,$M:$M,$P:$P))*(1-Q47/100),H47="plan_downgrade",O47*(_xlfn.XLOOKUP(J47,$M:$M,$P:$P)-_xlfn.XLOOKUP(I47,$M:$M,$P:$P))*(1-Q47/100)),_xlfn.IFS(H47="created",O47*P47*(1-Q47/100)/12,H47="cancelled",-(O47*P47*(1-Q47/100))/12,H47="seats_change",(J47-I47)*P47*(1-Q47/100)/12,H47="price_change",(J47-I47)*O47*(1-Q47/100)/12,H47="plan_upgrade",(O47*(_xlfn.XLOOKUP(J47,$M:$M,$P:$P)-_xlfn.XLOOKUP(I47,$M:$M,$P:$P))*(1-Q47/100))/12,H47="plan_downgrade",(O47*(_xlfn.XLOOKUP(J47,$M:$M,$P:$P)-_xlfn.XLOOKUP(I47,$M:$M,$P:$P))*(1-Q47/100))/12,H47="discount_added",-(O47*P47*(J47-I47)/100)/12))</f>
        <v>4200</v>
      </c>
      <c r="T47" s="193">
        <f>IF(H47&lt;&gt;"created",0,IF(COUNTIFS($C$1:C46,$C47,$H$1:H46,"created")=0,1,0))</f>
        <v>0</v>
      </c>
      <c r="U47" s="193">
        <f t="shared" si="2"/>
        <v>0</v>
      </c>
      <c r="V47" s="193">
        <f t="shared" si="3"/>
        <v>0</v>
      </c>
    </row>
    <row r="48" spans="1:22" ht="14.25" customHeight="1" x14ac:dyDescent="0.25">
      <c r="A48" s="193" t="s">
        <v>915</v>
      </c>
      <c r="B48" s="193" t="s">
        <v>69</v>
      </c>
      <c r="C48" s="193" t="s">
        <v>67</v>
      </c>
      <c r="D48" s="193" t="s">
        <v>68</v>
      </c>
      <c r="E48" s="193" t="s">
        <v>843</v>
      </c>
      <c r="F48" s="194">
        <v>45689</v>
      </c>
      <c r="G48" s="195">
        <v>45691</v>
      </c>
      <c r="H48" s="193" t="s">
        <v>844</v>
      </c>
      <c r="M48" s="193" t="s">
        <v>52</v>
      </c>
      <c r="N48" s="193" t="s">
        <v>53</v>
      </c>
      <c r="O48" s="193">
        <v>22</v>
      </c>
      <c r="P48" s="193">
        <v>85</v>
      </c>
      <c r="Q48" s="193">
        <v>0</v>
      </c>
      <c r="R48" s="193" t="str" cm="1">
        <f t="array" ref="R48">_xlfn.IFS(H48="created",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196" cm="1">
        <f t="array" ref="S48">IF(N48="Monthly",_xlfn.IFS(H48="created",O48*P48*(1-Q48/100),H48="cancelled",-(O48*P48*(1-Q48/100)),H48="seats_change",(J48-I48)*P48*(1-Q48/100),H48="price_change",(J48-I48)*O48*(1-Q48/100),H48="discount_added",-(O48*P48*(J48-I48)/100),H48="plan_upgrade",O48*(_xlfn.XLOOKUP(J48,$M:$M,$P:$P)-_xlfn.XLOOKUP(I48,$M:$M,$P:$P))*(1-Q48/100),H48="plan_downgrade",O48*(_xlfn.XLOOKUP(J48,$M:$M,$P:$P)-_xlfn.XLOOKUP(I48,$M:$M,$P:$P))*(1-Q48/100)),_xlfn.IFS(H48="created",O48*P48*(1-Q48/100)/12,H48="cancelled",-(O48*P48*(1-Q48/100))/12,H48="seats_change",(J48-I48)*P48*(1-Q48/100)/12,H48="price_change",(J48-I48)*O48*(1-Q48/100)/12,H48="plan_upgrade",(O48*(_xlfn.XLOOKUP(J48,$M:$M,$P:$P)-_xlfn.XLOOKUP(I48,$M:$M,$P:$P))*(1-Q48/100))/12,H48="plan_downgrade",(O48*(_xlfn.XLOOKUP(J48,$M:$M,$P:$P)-_xlfn.XLOOKUP(I48,$M:$M,$P:$P))*(1-Q48/100))/12,H48="discount_added",-(O48*P48*(J48-I48)/100)/12))</f>
        <v>1870</v>
      </c>
      <c r="T48" s="193">
        <f>IF(H48&lt;&gt;"created",0,IF(COUNTIFS($C$1:C47,$C48,$H$1:H47,"created")=0,1,0))</f>
        <v>1</v>
      </c>
      <c r="U48" s="193">
        <f t="shared" si="2"/>
        <v>0</v>
      </c>
      <c r="V48" s="193">
        <f t="shared" si="3"/>
        <v>0</v>
      </c>
    </row>
    <row r="49" spans="1:22" ht="14.25" customHeight="1" x14ac:dyDescent="0.25">
      <c r="A49" s="193" t="s">
        <v>916</v>
      </c>
      <c r="B49" s="193" t="s">
        <v>103</v>
      </c>
      <c r="C49" s="193" t="s">
        <v>101</v>
      </c>
      <c r="D49" s="193" t="s">
        <v>102</v>
      </c>
      <c r="E49" s="193" t="s">
        <v>843</v>
      </c>
      <c r="F49" s="194">
        <v>45689</v>
      </c>
      <c r="G49" s="195">
        <v>45696</v>
      </c>
      <c r="H49" s="193" t="s">
        <v>844</v>
      </c>
      <c r="M49" s="193" t="s">
        <v>52</v>
      </c>
      <c r="N49" s="193" t="s">
        <v>53</v>
      </c>
      <c r="O49" s="193">
        <v>13</v>
      </c>
      <c r="P49" s="193">
        <v>85</v>
      </c>
      <c r="Q49" s="193">
        <v>0</v>
      </c>
      <c r="R49" s="193" t="str" cm="1">
        <f t="array" ref="R49">_xlfn.IFS(H49="created",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196" cm="1">
        <f t="array" ref="S49">IF(N49="Monthly",_xlfn.IFS(H49="created",O49*P49*(1-Q49/100),H49="cancelled",-(O49*P49*(1-Q49/100)),H49="seats_change",(J49-I49)*P49*(1-Q49/100),H49="price_change",(J49-I49)*O49*(1-Q49/100),H49="discount_added",-(O49*P49*(J49-I49)/100),H49="plan_upgrade",O49*(_xlfn.XLOOKUP(J49,$M:$M,$P:$P)-_xlfn.XLOOKUP(I49,$M:$M,$P:$P))*(1-Q49/100),H49="plan_downgrade",O49*(_xlfn.XLOOKUP(J49,$M:$M,$P:$P)-_xlfn.XLOOKUP(I49,$M:$M,$P:$P))*(1-Q49/100)),_xlfn.IFS(H49="created",O49*P49*(1-Q49/100)/12,H49="cancelled",-(O49*P49*(1-Q49/100))/12,H49="seats_change",(J49-I49)*P49*(1-Q49/100)/12,H49="price_change",(J49-I49)*O49*(1-Q49/100)/12,H49="plan_upgrade",(O49*(_xlfn.XLOOKUP(J49,$M:$M,$P:$P)-_xlfn.XLOOKUP(I49,$M:$M,$P:$P))*(1-Q49/100))/12,H49="plan_downgrade",(O49*(_xlfn.XLOOKUP(J49,$M:$M,$P:$P)-_xlfn.XLOOKUP(I49,$M:$M,$P:$P))*(1-Q49/100))/12,H49="discount_added",-(O49*P49*(J49-I49)/100)/12))</f>
        <v>1105</v>
      </c>
      <c r="T49" s="193">
        <f>IF(H49&lt;&gt;"created",0,IF(COUNTIFS($C$1:C48,$C49,$H$1:H48,"created")=0,1,0))</f>
        <v>0</v>
      </c>
      <c r="U49" s="193">
        <f t="shared" si="2"/>
        <v>0</v>
      </c>
      <c r="V49" s="193">
        <f t="shared" si="3"/>
        <v>0</v>
      </c>
    </row>
    <row r="50" spans="1:22" ht="14.25" customHeight="1" x14ac:dyDescent="0.25">
      <c r="A50" s="193" t="s">
        <v>917</v>
      </c>
      <c r="B50" s="193" t="s">
        <v>125</v>
      </c>
      <c r="C50" s="193" t="s">
        <v>96</v>
      </c>
      <c r="D50" s="193" t="s">
        <v>97</v>
      </c>
      <c r="E50" s="193" t="s">
        <v>843</v>
      </c>
      <c r="F50" s="194">
        <v>45689</v>
      </c>
      <c r="G50" s="195">
        <v>45698</v>
      </c>
      <c r="H50" s="193" t="s">
        <v>844</v>
      </c>
      <c r="M50" s="193" t="s">
        <v>93</v>
      </c>
      <c r="N50" s="193" t="s">
        <v>53</v>
      </c>
      <c r="O50" s="193">
        <v>23</v>
      </c>
      <c r="P50" s="193">
        <v>110</v>
      </c>
      <c r="Q50" s="193">
        <v>0</v>
      </c>
      <c r="R50" s="193" t="str" cm="1">
        <f t="array" ref="R50">_xlfn.IFS(H50="created",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196" cm="1">
        <f t="array" ref="S50">IF(N50="Monthly",_xlfn.IFS(H50="created",O50*P50*(1-Q50/100),H50="cancelled",-(O50*P50*(1-Q50/100)),H50="seats_change",(J50-I50)*P50*(1-Q50/100),H50="price_change",(J50-I50)*O50*(1-Q50/100),H50="discount_added",-(O50*P50*(J50-I50)/100),H50="plan_upgrade",O50*(_xlfn.XLOOKUP(J50,$M:$M,$P:$P)-_xlfn.XLOOKUP(I50,$M:$M,$P:$P))*(1-Q50/100),H50="plan_downgrade",O50*(_xlfn.XLOOKUP(J50,$M:$M,$P:$P)-_xlfn.XLOOKUP(I50,$M:$M,$P:$P))*(1-Q50/100)),_xlfn.IFS(H50="created",O50*P50*(1-Q50/100)/12,H50="cancelled",-(O50*P50*(1-Q50/100))/12,H50="seats_change",(J50-I50)*P50*(1-Q50/100)/12,H50="price_change",(J50-I50)*O50*(1-Q50/100)/12,H50="plan_upgrade",(O50*(_xlfn.XLOOKUP(J50,$M:$M,$P:$P)-_xlfn.XLOOKUP(I50,$M:$M,$P:$P))*(1-Q50/100))/12,H50="plan_downgrade",(O50*(_xlfn.XLOOKUP(J50,$M:$M,$P:$P)-_xlfn.XLOOKUP(I50,$M:$M,$P:$P))*(1-Q50/100))/12,H50="discount_added",-(O50*P50*(J50-I50)/100)/12))</f>
        <v>2530</v>
      </c>
      <c r="T50" s="193">
        <f>IF(H50&lt;&gt;"created",0,IF(COUNTIFS($C$1:C49,$C50,$H$1:H49,"created")=0,1,0))</f>
        <v>0</v>
      </c>
      <c r="U50" s="193">
        <f t="shared" si="2"/>
        <v>0</v>
      </c>
      <c r="V50" s="193">
        <f t="shared" si="3"/>
        <v>0</v>
      </c>
    </row>
    <row r="51" spans="1:22" ht="14.25" customHeight="1" x14ac:dyDescent="0.25">
      <c r="A51" s="193" t="s">
        <v>918</v>
      </c>
      <c r="B51" s="193" t="s">
        <v>166</v>
      </c>
      <c r="C51" s="193" t="s">
        <v>164</v>
      </c>
      <c r="D51" s="193" t="s">
        <v>165</v>
      </c>
      <c r="E51" s="193" t="s">
        <v>846</v>
      </c>
      <c r="F51" s="194">
        <v>45689</v>
      </c>
      <c r="G51" s="195">
        <v>45705</v>
      </c>
      <c r="H51" s="193" t="s">
        <v>844</v>
      </c>
      <c r="M51" s="193" t="s">
        <v>119</v>
      </c>
      <c r="N51" s="193" t="s">
        <v>53</v>
      </c>
      <c r="O51" s="193">
        <v>20</v>
      </c>
      <c r="P51" s="193">
        <v>95</v>
      </c>
      <c r="Q51" s="193">
        <v>0</v>
      </c>
      <c r="R51" s="193" t="str" cm="1">
        <f t="array" ref="R51">_xlfn.IFS(H51="created",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196" cm="1">
        <f t="array" ref="S51">IF(N51="Monthly",_xlfn.IFS(H51="created",O51*P51*(1-Q51/100),H51="cancelled",-(O51*P51*(1-Q51/100)),H51="seats_change",(J51-I51)*P51*(1-Q51/100),H51="price_change",(J51-I51)*O51*(1-Q51/100),H51="discount_added",-(O51*P51*(J51-I51)/100),H51="plan_upgrade",O51*(_xlfn.XLOOKUP(J51,$M:$M,$P:$P)-_xlfn.XLOOKUP(I51,$M:$M,$P:$P))*(1-Q51/100),H51="plan_downgrade",O51*(_xlfn.XLOOKUP(J51,$M:$M,$P:$P)-_xlfn.XLOOKUP(I51,$M:$M,$P:$P))*(1-Q51/100)),_xlfn.IFS(H51="created",O51*P51*(1-Q51/100)/12,H51="cancelled",-(O51*P51*(1-Q51/100))/12,H51="seats_change",(J51-I51)*P51*(1-Q51/100)/12,H51="price_change",(J51-I51)*O51*(1-Q51/100)/12,H51="plan_upgrade",(O51*(_xlfn.XLOOKUP(J51,$M:$M,$P:$P)-_xlfn.XLOOKUP(I51,$M:$M,$P:$P))*(1-Q51/100))/12,H51="plan_downgrade",(O51*(_xlfn.XLOOKUP(J51,$M:$M,$P:$P)-_xlfn.XLOOKUP(I51,$M:$M,$P:$P))*(1-Q51/100))/12,H51="discount_added",-(O51*P51*(J51-I51)/100)/12))</f>
        <v>1900</v>
      </c>
      <c r="T51" s="193">
        <f>IF(H51&lt;&gt;"created",0,IF(COUNTIFS($C$1:C50,$C51,$H$1:H50,"created")=0,1,0))</f>
        <v>1</v>
      </c>
      <c r="U51" s="193">
        <f t="shared" si="2"/>
        <v>0</v>
      </c>
      <c r="V51" s="193">
        <f t="shared" si="3"/>
        <v>0</v>
      </c>
    </row>
    <row r="52" spans="1:22" ht="14.25" customHeight="1" x14ac:dyDescent="0.25">
      <c r="A52" s="193" t="s">
        <v>919</v>
      </c>
      <c r="B52" s="193" t="s">
        <v>920</v>
      </c>
      <c r="C52" s="193" t="s">
        <v>921</v>
      </c>
      <c r="D52" s="193" t="s">
        <v>922</v>
      </c>
      <c r="E52" s="193" t="s">
        <v>843</v>
      </c>
      <c r="F52" s="194">
        <v>45717</v>
      </c>
      <c r="G52" s="195">
        <v>45719</v>
      </c>
      <c r="H52" s="193" t="s">
        <v>844</v>
      </c>
      <c r="M52" s="193" t="s">
        <v>209</v>
      </c>
      <c r="N52" s="193" t="s">
        <v>210</v>
      </c>
      <c r="O52" s="193">
        <v>45</v>
      </c>
      <c r="P52" s="193">
        <v>1800</v>
      </c>
      <c r="Q52" s="193">
        <v>0</v>
      </c>
      <c r="R52" s="193" t="str" cm="1">
        <f t="array" ref="R52">_xlfn.IFS(H52="created",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196" cm="1">
        <f t="array" ref="S52">IF(N52="Monthly",_xlfn.IFS(H52="created",O52*P52*(1-Q52/100),H52="cancelled",-(O52*P52*(1-Q52/100)),H52="seats_change",(J52-I52)*P52*(1-Q52/100),H52="price_change",(J52-I52)*O52*(1-Q52/100),H52="discount_added",-(O52*P52*(J52-I52)/100),H52="plan_upgrade",O52*(_xlfn.XLOOKUP(J52,$M:$M,$P:$P)-_xlfn.XLOOKUP(I52,$M:$M,$P:$P))*(1-Q52/100),H52="plan_downgrade",O52*(_xlfn.XLOOKUP(J52,$M:$M,$P:$P)-_xlfn.XLOOKUP(I52,$M:$M,$P:$P))*(1-Q52/100)),_xlfn.IFS(H52="created",O52*P52*(1-Q52/100)/12,H52="cancelled",-(O52*P52*(1-Q52/100))/12,H52="seats_change",(J52-I52)*P52*(1-Q52/100)/12,H52="price_change",(J52-I52)*O52*(1-Q52/100)/12,H52="plan_upgrade",(O52*(_xlfn.XLOOKUP(J52,$M:$M,$P:$P)-_xlfn.XLOOKUP(I52,$M:$M,$P:$P))*(1-Q52/100))/12,H52="plan_downgrade",(O52*(_xlfn.XLOOKUP(J52,$M:$M,$P:$P)-_xlfn.XLOOKUP(I52,$M:$M,$P:$P))*(1-Q52/100))/12,H52="discount_added",-(O52*P52*(J52-I52)/100)/12))</f>
        <v>6750</v>
      </c>
      <c r="T52" s="193">
        <f>IF(H52&lt;&gt;"created",0,IF(COUNTIFS($C$1:C51,$C52,$H$1:H51,"created")=0,1,0))</f>
        <v>1</v>
      </c>
      <c r="U52" s="193">
        <f t="shared" si="2"/>
        <v>0</v>
      </c>
      <c r="V52" s="193">
        <f t="shared" si="3"/>
        <v>0</v>
      </c>
    </row>
    <row r="53" spans="1:22" ht="14.25" customHeight="1" x14ac:dyDescent="0.25">
      <c r="A53" s="193" t="s">
        <v>923</v>
      </c>
      <c r="B53" s="193" t="s">
        <v>108</v>
      </c>
      <c r="C53" s="193" t="s">
        <v>106</v>
      </c>
      <c r="D53" s="193" t="s">
        <v>107</v>
      </c>
      <c r="E53" s="193" t="s">
        <v>846</v>
      </c>
      <c r="F53" s="194">
        <v>45717</v>
      </c>
      <c r="G53" s="195">
        <v>45724</v>
      </c>
      <c r="H53" s="193" t="s">
        <v>844</v>
      </c>
      <c r="M53" s="193" t="s">
        <v>93</v>
      </c>
      <c r="N53" s="193" t="s">
        <v>53</v>
      </c>
      <c r="O53" s="193">
        <v>26</v>
      </c>
      <c r="P53" s="193">
        <v>110</v>
      </c>
      <c r="Q53" s="193">
        <v>0</v>
      </c>
      <c r="R53" s="193" t="str" cm="1">
        <f t="array" ref="R53">_xlfn.IFS(H53="created",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196" cm="1">
        <f t="array" ref="S53">IF(N53="Monthly",_xlfn.IFS(H53="created",O53*P53*(1-Q53/100),H53="cancelled",-(O53*P53*(1-Q53/100)),H53="seats_change",(J53-I53)*P53*(1-Q53/100),H53="price_change",(J53-I53)*O53*(1-Q53/100),H53="discount_added",-(O53*P53*(J53-I53)/100),H53="plan_upgrade",O53*(_xlfn.XLOOKUP(J53,$M:$M,$P:$P)-_xlfn.XLOOKUP(I53,$M:$M,$P:$P))*(1-Q53/100),H53="plan_downgrade",O53*(_xlfn.XLOOKUP(J53,$M:$M,$P:$P)-_xlfn.XLOOKUP(I53,$M:$M,$P:$P))*(1-Q53/100)),_xlfn.IFS(H53="created",O53*P53*(1-Q53/100)/12,H53="cancelled",-(O53*P53*(1-Q53/100))/12,H53="seats_change",(J53-I53)*P53*(1-Q53/100)/12,H53="price_change",(J53-I53)*O53*(1-Q53/100)/12,H53="plan_upgrade",(O53*(_xlfn.XLOOKUP(J53,$M:$M,$P:$P)-_xlfn.XLOOKUP(I53,$M:$M,$P:$P))*(1-Q53/100))/12,H53="plan_downgrade",(O53*(_xlfn.XLOOKUP(J53,$M:$M,$P:$P)-_xlfn.XLOOKUP(I53,$M:$M,$P:$P))*(1-Q53/100))/12,H53="discount_added",-(O53*P53*(J53-I53)/100)/12))</f>
        <v>2860</v>
      </c>
      <c r="T53" s="193">
        <f>IF(H53&lt;&gt;"created",0,IF(COUNTIFS($C$1:C52,$C53,$H$1:H52,"created")=0,1,0))</f>
        <v>0</v>
      </c>
      <c r="U53" s="193">
        <f t="shared" si="2"/>
        <v>0</v>
      </c>
      <c r="V53" s="193">
        <f t="shared" si="3"/>
        <v>0</v>
      </c>
    </row>
    <row r="54" spans="1:22" ht="14.25" customHeight="1" x14ac:dyDescent="0.25">
      <c r="A54" s="193" t="s">
        <v>924</v>
      </c>
      <c r="B54" s="193" t="s">
        <v>138</v>
      </c>
      <c r="C54" s="193" t="s">
        <v>101</v>
      </c>
      <c r="D54" s="193" t="s">
        <v>102</v>
      </c>
      <c r="E54" s="193" t="s">
        <v>843</v>
      </c>
      <c r="F54" s="194">
        <v>45717</v>
      </c>
      <c r="G54" s="195">
        <v>45729</v>
      </c>
      <c r="H54" s="193" t="s">
        <v>925</v>
      </c>
      <c r="I54" s="193" t="s">
        <v>119</v>
      </c>
      <c r="J54" s="193" t="s">
        <v>58</v>
      </c>
      <c r="K54" s="193" t="s">
        <v>34</v>
      </c>
      <c r="L54" s="193" t="s">
        <v>926</v>
      </c>
      <c r="M54" s="193" t="s">
        <v>58</v>
      </c>
      <c r="N54" s="193" t="s">
        <v>53</v>
      </c>
      <c r="O54" s="193">
        <v>13</v>
      </c>
      <c r="P54" s="193">
        <v>45</v>
      </c>
      <c r="Q54" s="193">
        <v>0</v>
      </c>
      <c r="R54" s="193" t="str" cm="1">
        <f t="array" ref="R54">_xlfn.IFS(H54="created",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196" cm="1">
        <f t="array" ref="S54">IF(N54="Monthly",_xlfn.IFS(H54="created",O54*P54*(1-Q54/100),H54="cancelled",-(O54*P54*(1-Q54/100)),H54="seats_change",(J54-I54)*P54*(1-Q54/100),H54="price_change",(J54-I54)*O54*(1-Q54/100),H54="discount_added",-(O54*P54*(J54-I54)/100),H54="plan_upgrade",O54*(_xlfn.XLOOKUP(J54,$M:$M,$P:$P)-_xlfn.XLOOKUP(I54,$M:$M,$P:$P))*(1-Q54/100),H54="plan_downgrade",O54*(_xlfn.XLOOKUP(J54,$M:$M,$P:$P)-_xlfn.XLOOKUP(I54,$M:$M,$P:$P))*(1-Q54/100)),_xlfn.IFS(H54="created",O54*P54*(1-Q54/100)/12,H54="cancelled",-(O54*P54*(1-Q54/100))/12,H54="seats_change",(J54-I54)*P54*(1-Q54/100)/12,H54="price_change",(J54-I54)*O54*(1-Q54/100)/12,H54="plan_upgrade",(O54*(_xlfn.XLOOKUP(J54,$M:$M,$P:$P)-_xlfn.XLOOKUP(I54,$M:$M,$P:$P))*(1-Q54/100))/12,H54="plan_downgrade",(O54*(_xlfn.XLOOKUP(J54,$M:$M,$P:$P)-_xlfn.XLOOKUP(I54,$M:$M,$P:$P))*(1-Q54/100))/12,H54="discount_added",-(O54*P54*(J54-I54)/100)/12))</f>
        <v>-650</v>
      </c>
      <c r="T54" s="193">
        <f>IF(H54&lt;&gt;"created",0,IF(COUNTIFS($C$1:C53,$C54,$H$1:H53,"created")=0,1,0))</f>
        <v>0</v>
      </c>
      <c r="U54" s="193">
        <f t="shared" si="2"/>
        <v>0</v>
      </c>
      <c r="V54" s="193">
        <f t="shared" si="3"/>
        <v>0</v>
      </c>
    </row>
    <row r="55" spans="1:22" ht="14.25" customHeight="1" x14ac:dyDescent="0.25">
      <c r="A55" s="193" t="s">
        <v>927</v>
      </c>
      <c r="B55" s="193" t="s">
        <v>151</v>
      </c>
      <c r="C55" s="193" t="s">
        <v>61</v>
      </c>
      <c r="D55" s="193" t="s">
        <v>62</v>
      </c>
      <c r="E55" s="193" t="s">
        <v>846</v>
      </c>
      <c r="F55" s="194">
        <v>45717</v>
      </c>
      <c r="G55" s="195">
        <v>45731</v>
      </c>
      <c r="H55" s="193" t="s">
        <v>844</v>
      </c>
      <c r="M55" s="193" t="s">
        <v>52</v>
      </c>
      <c r="N55" s="193" t="s">
        <v>53</v>
      </c>
      <c r="O55" s="193">
        <v>35</v>
      </c>
      <c r="P55" s="193">
        <v>85</v>
      </c>
      <c r="Q55" s="193">
        <v>0</v>
      </c>
      <c r="R55" s="193" t="str" cm="1">
        <f t="array" ref="R55">_xlfn.IFS(H55="created",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196" cm="1">
        <f t="array" ref="S55">IF(N55="Monthly",_xlfn.IFS(H55="created",O55*P55*(1-Q55/100),H55="cancelled",-(O55*P55*(1-Q55/100)),H55="seats_change",(J55-I55)*P55*(1-Q55/100),H55="price_change",(J55-I55)*O55*(1-Q55/100),H55="discount_added",-(O55*P55*(J55-I55)/100),H55="plan_upgrade",O55*(_xlfn.XLOOKUP(J55,$M:$M,$P:$P)-_xlfn.XLOOKUP(I55,$M:$M,$P:$P))*(1-Q55/100),H55="plan_downgrade",O55*(_xlfn.XLOOKUP(J55,$M:$M,$P:$P)-_xlfn.XLOOKUP(I55,$M:$M,$P:$P))*(1-Q55/100)),_xlfn.IFS(H55="created",O55*P55*(1-Q55/100)/12,H55="cancelled",-(O55*P55*(1-Q55/100))/12,H55="seats_change",(J55-I55)*P55*(1-Q55/100)/12,H55="price_change",(J55-I55)*O55*(1-Q55/100)/12,H55="plan_upgrade",(O55*(_xlfn.XLOOKUP(J55,$M:$M,$P:$P)-_xlfn.XLOOKUP(I55,$M:$M,$P:$P))*(1-Q55/100))/12,H55="plan_downgrade",(O55*(_xlfn.XLOOKUP(J55,$M:$M,$P:$P)-_xlfn.XLOOKUP(I55,$M:$M,$P:$P))*(1-Q55/100))/12,H55="discount_added",-(O55*P55*(J55-I55)/100)/12))</f>
        <v>2975</v>
      </c>
      <c r="T55" s="193">
        <f>IF(H55&lt;&gt;"created",0,IF(COUNTIFS($C$1:C54,$C55,$H$1:H54,"created")=0,1,0))</f>
        <v>0</v>
      </c>
      <c r="U55" s="193">
        <f t="shared" si="2"/>
        <v>0</v>
      </c>
      <c r="V55" s="193">
        <f t="shared" si="3"/>
        <v>0</v>
      </c>
    </row>
    <row r="56" spans="1:22" ht="14.25" customHeight="1" x14ac:dyDescent="0.25">
      <c r="A56" s="193" t="s">
        <v>928</v>
      </c>
      <c r="B56" s="193" t="s">
        <v>223</v>
      </c>
      <c r="C56" s="193" t="s">
        <v>206</v>
      </c>
      <c r="D56" s="193" t="s">
        <v>207</v>
      </c>
      <c r="E56" s="193" t="s">
        <v>846</v>
      </c>
      <c r="F56" s="194">
        <v>45717</v>
      </c>
      <c r="G56" s="195">
        <v>45731</v>
      </c>
      <c r="H56" s="193" t="s">
        <v>929</v>
      </c>
      <c r="I56" s="193">
        <v>0</v>
      </c>
      <c r="J56" s="193">
        <v>5</v>
      </c>
      <c r="K56" s="193" t="s">
        <v>835</v>
      </c>
      <c r="L56" s="193" t="s">
        <v>930</v>
      </c>
      <c r="M56" s="193" t="s">
        <v>119</v>
      </c>
      <c r="N56" s="193" t="s">
        <v>210</v>
      </c>
      <c r="O56" s="193">
        <v>22</v>
      </c>
      <c r="P56" s="193">
        <v>1140</v>
      </c>
      <c r="Q56" s="193">
        <v>5</v>
      </c>
      <c r="R56" s="193" t="str" cm="1">
        <f t="array" ref="R56">_xlfn.IFS(H56="created",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196" cm="1">
        <f t="array" ref="S56">IF(N56="Monthly",_xlfn.IFS(H56="created",O56*P56*(1-Q56/100),H56="cancelled",-(O56*P56*(1-Q56/100)),H56="seats_change",(J56-I56)*P56*(1-Q56/100),H56="price_change",(J56-I56)*O56*(1-Q56/100),H56="discount_added",-(O56*P56*(J56-I56)/100),H56="plan_upgrade",O56*(_xlfn.XLOOKUP(J56,$M:$M,$P:$P)-_xlfn.XLOOKUP(I56,$M:$M,$P:$P))*(1-Q56/100),H56="plan_downgrade",O56*(_xlfn.XLOOKUP(J56,$M:$M,$P:$P)-_xlfn.XLOOKUP(I56,$M:$M,$P:$P))*(1-Q56/100)),_xlfn.IFS(H56="created",O56*P56*(1-Q56/100)/12,H56="cancelled",-(O56*P56*(1-Q56/100))/12,H56="seats_change",(J56-I56)*P56*(1-Q56/100)/12,H56="price_change",(J56-I56)*O56*(1-Q56/100)/12,H56="plan_upgrade",(O56*(_xlfn.XLOOKUP(J56,$M:$M,$P:$P)-_xlfn.XLOOKUP(I56,$M:$M,$P:$P))*(1-Q56/100))/12,H56="plan_downgrade",(O56*(_xlfn.XLOOKUP(J56,$M:$M,$P:$P)-_xlfn.XLOOKUP(I56,$M:$M,$P:$P))*(1-Q56/100))/12,H56="discount_added",-(O56*P56*(J56-I56)/100)/12))</f>
        <v>-104.5</v>
      </c>
      <c r="T56" s="193">
        <f>IF(H56&lt;&gt;"created",0,IF(COUNTIFS($C$1:C55,$C56,$H$1:H55,"created")=0,1,0))</f>
        <v>0</v>
      </c>
      <c r="U56" s="193">
        <f t="shared" si="2"/>
        <v>0</v>
      </c>
      <c r="V56" s="193">
        <f t="shared" si="3"/>
        <v>0</v>
      </c>
    </row>
    <row r="57" spans="1:22" ht="14.25" customHeight="1" x14ac:dyDescent="0.25">
      <c r="A57" s="193" t="s">
        <v>931</v>
      </c>
      <c r="B57" s="193" t="s">
        <v>171</v>
      </c>
      <c r="C57" s="193" t="s">
        <v>169</v>
      </c>
      <c r="D57" s="193" t="s">
        <v>170</v>
      </c>
      <c r="E57" s="193" t="s">
        <v>846</v>
      </c>
      <c r="F57" s="194">
        <v>45717</v>
      </c>
      <c r="G57" s="195">
        <v>45733</v>
      </c>
      <c r="H57" s="193" t="s">
        <v>844</v>
      </c>
      <c r="M57" s="193" t="s">
        <v>64</v>
      </c>
      <c r="N57" s="193" t="s">
        <v>53</v>
      </c>
      <c r="O57" s="193">
        <v>26</v>
      </c>
      <c r="P57" s="193">
        <v>180</v>
      </c>
      <c r="Q57" s="193">
        <v>0</v>
      </c>
      <c r="R57" s="193" t="str" cm="1">
        <f t="array" ref="R57">_xlfn.IFS(H57="created",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196" cm="1">
        <f t="array" ref="S57">IF(N57="Monthly",_xlfn.IFS(H57="created",O57*P57*(1-Q57/100),H57="cancelled",-(O57*P57*(1-Q57/100)),H57="seats_change",(J57-I57)*P57*(1-Q57/100),H57="price_change",(J57-I57)*O57*(1-Q57/100),H57="discount_added",-(O57*P57*(J57-I57)/100),H57="plan_upgrade",O57*(_xlfn.XLOOKUP(J57,$M:$M,$P:$P)-_xlfn.XLOOKUP(I57,$M:$M,$P:$P))*(1-Q57/100),H57="plan_downgrade",O57*(_xlfn.XLOOKUP(J57,$M:$M,$P:$P)-_xlfn.XLOOKUP(I57,$M:$M,$P:$P))*(1-Q57/100)),_xlfn.IFS(H57="created",O57*P57*(1-Q57/100)/12,H57="cancelled",-(O57*P57*(1-Q57/100))/12,H57="seats_change",(J57-I57)*P57*(1-Q57/100)/12,H57="price_change",(J57-I57)*O57*(1-Q57/100)/12,H57="plan_upgrade",(O57*(_xlfn.XLOOKUP(J57,$M:$M,$P:$P)-_xlfn.XLOOKUP(I57,$M:$M,$P:$P))*(1-Q57/100))/12,H57="plan_downgrade",(O57*(_xlfn.XLOOKUP(J57,$M:$M,$P:$P)-_xlfn.XLOOKUP(I57,$M:$M,$P:$P))*(1-Q57/100))/12,H57="discount_added",-(O57*P57*(J57-I57)/100)/12))</f>
        <v>4680</v>
      </c>
      <c r="T57" s="193">
        <f>IF(H57&lt;&gt;"created",0,IF(COUNTIFS($C$1:C56,$C57,$H$1:H56,"created")=0,1,0))</f>
        <v>1</v>
      </c>
      <c r="U57" s="193">
        <f t="shared" si="2"/>
        <v>0</v>
      </c>
      <c r="V57" s="193">
        <f t="shared" si="3"/>
        <v>0</v>
      </c>
    </row>
    <row r="58" spans="1:22" ht="14.25" customHeight="1" x14ac:dyDescent="0.25">
      <c r="A58" s="193" t="s">
        <v>932</v>
      </c>
      <c r="B58" s="193" t="s">
        <v>161</v>
      </c>
      <c r="C58" s="193" t="s">
        <v>159</v>
      </c>
      <c r="D58" s="193" t="s">
        <v>160</v>
      </c>
      <c r="E58" s="193" t="s">
        <v>865</v>
      </c>
      <c r="F58" s="194">
        <v>45717</v>
      </c>
      <c r="G58" s="195">
        <v>45736</v>
      </c>
      <c r="H58" s="193" t="s">
        <v>933</v>
      </c>
      <c r="I58" s="193">
        <v>22</v>
      </c>
      <c r="J58" s="193">
        <v>19</v>
      </c>
      <c r="K58" s="193" t="s">
        <v>38</v>
      </c>
      <c r="L58" s="193" t="s">
        <v>934</v>
      </c>
      <c r="M58" s="193" t="s">
        <v>52</v>
      </c>
      <c r="N58" s="193" t="s">
        <v>53</v>
      </c>
      <c r="O58" s="193">
        <v>19</v>
      </c>
      <c r="P58" s="193">
        <v>85</v>
      </c>
      <c r="Q58" s="193">
        <v>0</v>
      </c>
      <c r="R58" s="193" t="str" cm="1">
        <f t="array" ref="R58">_xlfn.IFS(H58="created",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196" cm="1">
        <f t="array" ref="S58">IF(N58="Monthly",_xlfn.IFS(H58="created",O58*P58*(1-Q58/100),H58="cancelled",-(O58*P58*(1-Q58/100)),H58="seats_change",(J58-I58)*P58*(1-Q58/100),H58="price_change",(J58-I58)*O58*(1-Q58/100),H58="discount_added",-(O58*P58*(J58-I58)/100),H58="plan_upgrade",O58*(_xlfn.XLOOKUP(J58,$M:$M,$P:$P)-_xlfn.XLOOKUP(I58,$M:$M,$P:$P))*(1-Q58/100),H58="plan_downgrade",O58*(_xlfn.XLOOKUP(J58,$M:$M,$P:$P)-_xlfn.XLOOKUP(I58,$M:$M,$P:$P))*(1-Q58/100)),_xlfn.IFS(H58="created",O58*P58*(1-Q58/100)/12,H58="cancelled",-(O58*P58*(1-Q58/100))/12,H58="seats_change",(J58-I58)*P58*(1-Q58/100)/12,H58="price_change",(J58-I58)*O58*(1-Q58/100)/12,H58="plan_upgrade",(O58*(_xlfn.XLOOKUP(J58,$M:$M,$P:$P)-_xlfn.XLOOKUP(I58,$M:$M,$P:$P))*(1-Q58/100))/12,H58="plan_downgrade",(O58*(_xlfn.XLOOKUP(J58,$M:$M,$P:$P)-_xlfn.XLOOKUP(I58,$M:$M,$P:$P))*(1-Q58/100))/12,H58="discount_added",-(O58*P58*(J58-I58)/100)/12))</f>
        <v>-255</v>
      </c>
      <c r="T58" s="193">
        <f>IF(H58&lt;&gt;"created",0,IF(COUNTIFS($C$1:C57,$C58,$H$1:H57,"created")=0,1,0))</f>
        <v>0</v>
      </c>
      <c r="U58" s="193">
        <f t="shared" si="2"/>
        <v>0</v>
      </c>
      <c r="V58" s="193">
        <f t="shared" si="3"/>
        <v>0</v>
      </c>
    </row>
    <row r="59" spans="1:22" ht="14.25" customHeight="1" x14ac:dyDescent="0.25">
      <c r="A59" s="193" t="s">
        <v>935</v>
      </c>
      <c r="B59" s="193" t="s">
        <v>274</v>
      </c>
      <c r="C59" s="193" t="s">
        <v>272</v>
      </c>
      <c r="D59" s="193" t="s">
        <v>273</v>
      </c>
      <c r="E59" s="193" t="s">
        <v>843</v>
      </c>
      <c r="F59" s="194">
        <v>45717</v>
      </c>
      <c r="G59" s="195">
        <v>45747</v>
      </c>
      <c r="H59" s="193" t="s">
        <v>844</v>
      </c>
      <c r="M59" s="193" t="s">
        <v>52</v>
      </c>
      <c r="N59" s="193" t="s">
        <v>53</v>
      </c>
      <c r="O59" s="193">
        <v>25</v>
      </c>
      <c r="P59" s="193">
        <v>85</v>
      </c>
      <c r="Q59" s="193">
        <v>0</v>
      </c>
      <c r="R59" s="193" t="str" cm="1">
        <f t="array" ref="R59">_xlfn.IFS(H59="created",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196" cm="1">
        <f t="array" ref="S59">IF(N59="Monthly",_xlfn.IFS(H59="created",O59*P59*(1-Q59/100),H59="cancelled",-(O59*P59*(1-Q59/100)),H59="seats_change",(J59-I59)*P59*(1-Q59/100),H59="price_change",(J59-I59)*O59*(1-Q59/100),H59="discount_added",-(O59*P59*(J59-I59)/100),H59="plan_upgrade",O59*(_xlfn.XLOOKUP(J59,$M:$M,$P:$P)-_xlfn.XLOOKUP(I59,$M:$M,$P:$P))*(1-Q59/100),H59="plan_downgrade",O59*(_xlfn.XLOOKUP(J59,$M:$M,$P:$P)-_xlfn.XLOOKUP(I59,$M:$M,$P:$P))*(1-Q59/100)),_xlfn.IFS(H59="created",O59*P59*(1-Q59/100)/12,H59="cancelled",-(O59*P59*(1-Q59/100))/12,H59="seats_change",(J59-I59)*P59*(1-Q59/100)/12,H59="price_change",(J59-I59)*O59*(1-Q59/100)/12,H59="plan_upgrade",(O59*(_xlfn.XLOOKUP(J59,$M:$M,$P:$P)-_xlfn.XLOOKUP(I59,$M:$M,$P:$P))*(1-Q59/100))/12,H59="plan_downgrade",(O59*(_xlfn.XLOOKUP(J59,$M:$M,$P:$P)-_xlfn.XLOOKUP(I59,$M:$M,$P:$P))*(1-Q59/100))/12,H59="discount_added",-(O59*P59*(J59-I59)/100)/12))</f>
        <v>2125</v>
      </c>
      <c r="T59" s="193">
        <f>IF(H59&lt;&gt;"created",0,IF(COUNTIFS($C$1:C58,$C59,$H$1:H58,"created")=0,1,0))</f>
        <v>1</v>
      </c>
      <c r="U59" s="193">
        <f t="shared" si="2"/>
        <v>0</v>
      </c>
      <c r="V59" s="193">
        <f t="shared" si="3"/>
        <v>0</v>
      </c>
    </row>
    <row r="60" spans="1:22" ht="14.25" customHeight="1" x14ac:dyDescent="0.25">
      <c r="A60" s="193" t="s">
        <v>936</v>
      </c>
      <c r="B60" s="193" t="s">
        <v>92</v>
      </c>
      <c r="C60" s="193" t="s">
        <v>82</v>
      </c>
      <c r="D60" s="193" t="s">
        <v>83</v>
      </c>
      <c r="E60" s="193" t="s">
        <v>846</v>
      </c>
      <c r="F60" s="194">
        <v>45748</v>
      </c>
      <c r="G60" s="195">
        <v>45753</v>
      </c>
      <c r="H60" s="193" t="s">
        <v>908</v>
      </c>
      <c r="I60" s="193">
        <v>100</v>
      </c>
      <c r="J60" s="193">
        <v>110</v>
      </c>
      <c r="K60" s="193" t="s">
        <v>834</v>
      </c>
      <c r="L60" s="193" t="s">
        <v>909</v>
      </c>
      <c r="M60" s="193" t="s">
        <v>93</v>
      </c>
      <c r="N60" s="193" t="s">
        <v>53</v>
      </c>
      <c r="O60" s="193">
        <v>28</v>
      </c>
      <c r="P60" s="193">
        <v>110</v>
      </c>
      <c r="Q60" s="193">
        <v>0</v>
      </c>
      <c r="R60" s="193" t="str" cm="1">
        <f t="array" ref="R60">_xlfn.IFS(H60="created",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196" cm="1">
        <f t="array" ref="S60">IF(N60="Monthly",_xlfn.IFS(H60="created",O60*P60*(1-Q60/100),H60="cancelled",-(O60*P60*(1-Q60/100)),H60="seats_change",(J60-I60)*P60*(1-Q60/100),H60="price_change",(J60-I60)*O60*(1-Q60/100),H60="discount_added",-(O60*P60*(J60-I60)/100),H60="plan_upgrade",O60*(_xlfn.XLOOKUP(J60,$M:$M,$P:$P)-_xlfn.XLOOKUP(I60,$M:$M,$P:$P))*(1-Q60/100),H60="plan_downgrade",O60*(_xlfn.XLOOKUP(J60,$M:$M,$P:$P)-_xlfn.XLOOKUP(I60,$M:$M,$P:$P))*(1-Q60/100)),_xlfn.IFS(H60="created",O60*P60*(1-Q60/100)/12,H60="cancelled",-(O60*P60*(1-Q60/100))/12,H60="seats_change",(J60-I60)*P60*(1-Q60/100)/12,H60="price_change",(J60-I60)*O60*(1-Q60/100)/12,H60="plan_upgrade",(O60*(_xlfn.XLOOKUP(J60,$M:$M,$P:$P)-_xlfn.XLOOKUP(I60,$M:$M,$P:$P))*(1-Q60/100))/12,H60="plan_downgrade",(O60*(_xlfn.XLOOKUP(J60,$M:$M,$P:$P)-_xlfn.XLOOKUP(I60,$M:$M,$P:$P))*(1-Q60/100))/12,H60="discount_added",-(O60*P60*(J60-I60)/100)/12))</f>
        <v>280</v>
      </c>
      <c r="T60" s="193">
        <f>IF(H60&lt;&gt;"created",0,IF(COUNTIFS($C$1:C59,$C60,$H$1:H59,"created")=0,1,0))</f>
        <v>0</v>
      </c>
      <c r="U60" s="193">
        <f t="shared" si="2"/>
        <v>0</v>
      </c>
      <c r="V60" s="193">
        <f t="shared" si="3"/>
        <v>0</v>
      </c>
    </row>
    <row r="61" spans="1:22" ht="14.25" customHeight="1" x14ac:dyDescent="0.25">
      <c r="A61" s="193" t="s">
        <v>937</v>
      </c>
      <c r="B61" s="193" t="s">
        <v>143</v>
      </c>
      <c r="C61" s="193" t="s">
        <v>141</v>
      </c>
      <c r="D61" s="193" t="s">
        <v>142</v>
      </c>
      <c r="E61" s="193" t="s">
        <v>843</v>
      </c>
      <c r="F61" s="194">
        <v>45748</v>
      </c>
      <c r="G61" s="195">
        <v>45761</v>
      </c>
      <c r="H61" s="193" t="s">
        <v>844</v>
      </c>
      <c r="M61" s="193" t="s">
        <v>58</v>
      </c>
      <c r="N61" s="193" t="s">
        <v>53</v>
      </c>
      <c r="O61" s="193">
        <v>16</v>
      </c>
      <c r="P61" s="193">
        <v>45</v>
      </c>
      <c r="Q61" s="193">
        <v>0</v>
      </c>
      <c r="R61" s="193" t="str" cm="1">
        <f t="array" ref="R61">_xlfn.IFS(H61="created",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196" cm="1">
        <f t="array" ref="S61">IF(N61="Monthly",_xlfn.IFS(H61="created",O61*P61*(1-Q61/100),H61="cancelled",-(O61*P61*(1-Q61/100)),H61="seats_change",(J61-I61)*P61*(1-Q61/100),H61="price_change",(J61-I61)*O61*(1-Q61/100),H61="discount_added",-(O61*P61*(J61-I61)/100),H61="plan_upgrade",O61*(_xlfn.XLOOKUP(J61,$M:$M,$P:$P)-_xlfn.XLOOKUP(I61,$M:$M,$P:$P))*(1-Q61/100),H61="plan_downgrade",O61*(_xlfn.XLOOKUP(J61,$M:$M,$P:$P)-_xlfn.XLOOKUP(I61,$M:$M,$P:$P))*(1-Q61/100)),_xlfn.IFS(H61="created",O61*P61*(1-Q61/100)/12,H61="cancelled",-(O61*P61*(1-Q61/100))/12,H61="seats_change",(J61-I61)*P61*(1-Q61/100)/12,H61="price_change",(J61-I61)*O61*(1-Q61/100)/12,H61="plan_upgrade",(O61*(_xlfn.XLOOKUP(J61,$M:$M,$P:$P)-_xlfn.XLOOKUP(I61,$M:$M,$P:$P))*(1-Q61/100))/12,H61="plan_downgrade",(O61*(_xlfn.XLOOKUP(J61,$M:$M,$P:$P)-_xlfn.XLOOKUP(I61,$M:$M,$P:$P))*(1-Q61/100))/12,H61="discount_added",-(O61*P61*(J61-I61)/100)/12))</f>
        <v>720</v>
      </c>
      <c r="T61" s="193">
        <f>IF(H61&lt;&gt;"created",0,IF(COUNTIFS($C$1:C60,$C61,$H$1:H60,"created")=0,1,0))</f>
        <v>1</v>
      </c>
      <c r="U61" s="193">
        <f t="shared" si="2"/>
        <v>0</v>
      </c>
      <c r="V61" s="193">
        <f t="shared" si="3"/>
        <v>0</v>
      </c>
    </row>
    <row r="62" spans="1:22" ht="14.25" customHeight="1" x14ac:dyDescent="0.25">
      <c r="A62" s="193" t="s">
        <v>938</v>
      </c>
      <c r="B62" s="193" t="s">
        <v>118</v>
      </c>
      <c r="C62" s="193" t="s">
        <v>116</v>
      </c>
      <c r="D62" s="193" t="s">
        <v>117</v>
      </c>
      <c r="E62" s="193" t="s">
        <v>843</v>
      </c>
      <c r="F62" s="194">
        <v>45748</v>
      </c>
      <c r="G62" s="195">
        <v>45762</v>
      </c>
      <c r="H62" s="193" t="s">
        <v>933</v>
      </c>
      <c r="I62" s="193">
        <v>18</v>
      </c>
      <c r="J62" s="193">
        <v>23</v>
      </c>
      <c r="K62" s="193" t="s">
        <v>38</v>
      </c>
      <c r="L62" s="193" t="s">
        <v>939</v>
      </c>
      <c r="M62" s="193" t="s">
        <v>119</v>
      </c>
      <c r="N62" s="193" t="s">
        <v>53</v>
      </c>
      <c r="O62" s="193">
        <v>23</v>
      </c>
      <c r="P62" s="193">
        <v>95</v>
      </c>
      <c r="Q62" s="193">
        <v>0</v>
      </c>
      <c r="R62" s="193" t="str" cm="1">
        <f t="array" ref="R62">_xlfn.IFS(H62="created",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196" cm="1">
        <f t="array" ref="S62">IF(N62="Monthly",_xlfn.IFS(H62="created",O62*P62*(1-Q62/100),H62="cancelled",-(O62*P62*(1-Q62/100)),H62="seats_change",(J62-I62)*P62*(1-Q62/100),H62="price_change",(J62-I62)*O62*(1-Q62/100),H62="discount_added",-(O62*P62*(J62-I62)/100),H62="plan_upgrade",O62*(_xlfn.XLOOKUP(J62,$M:$M,$P:$P)-_xlfn.XLOOKUP(I62,$M:$M,$P:$P))*(1-Q62/100),H62="plan_downgrade",O62*(_xlfn.XLOOKUP(J62,$M:$M,$P:$P)-_xlfn.XLOOKUP(I62,$M:$M,$P:$P))*(1-Q62/100)),_xlfn.IFS(H62="created",O62*P62*(1-Q62/100)/12,H62="cancelled",-(O62*P62*(1-Q62/100))/12,H62="seats_change",(J62-I62)*P62*(1-Q62/100)/12,H62="price_change",(J62-I62)*O62*(1-Q62/100)/12,H62="plan_upgrade",(O62*(_xlfn.XLOOKUP(J62,$M:$M,$P:$P)-_xlfn.XLOOKUP(I62,$M:$M,$P:$P))*(1-Q62/100))/12,H62="plan_downgrade",(O62*(_xlfn.XLOOKUP(J62,$M:$M,$P:$P)-_xlfn.XLOOKUP(I62,$M:$M,$P:$P))*(1-Q62/100))/12,H62="discount_added",-(O62*P62*(J62-I62)/100)/12))</f>
        <v>475</v>
      </c>
      <c r="T62" s="193">
        <f>IF(H62&lt;&gt;"created",0,IF(COUNTIFS($C$1:C61,$C62,$H$1:H61,"created")=0,1,0))</f>
        <v>0</v>
      </c>
      <c r="U62" s="193">
        <f t="shared" si="2"/>
        <v>0</v>
      </c>
      <c r="V62" s="193">
        <f t="shared" si="3"/>
        <v>0</v>
      </c>
    </row>
    <row r="63" spans="1:22" ht="14.25" customHeight="1" x14ac:dyDescent="0.25">
      <c r="A63" s="193" t="s">
        <v>940</v>
      </c>
      <c r="B63" s="193" t="s">
        <v>176</v>
      </c>
      <c r="C63" s="193" t="s">
        <v>174</v>
      </c>
      <c r="D63" s="193" t="s">
        <v>175</v>
      </c>
      <c r="E63" s="193" t="s">
        <v>843</v>
      </c>
      <c r="F63" s="194">
        <v>45748</v>
      </c>
      <c r="G63" s="195">
        <v>45765</v>
      </c>
      <c r="H63" s="193" t="s">
        <v>844</v>
      </c>
      <c r="M63" s="193" t="s">
        <v>93</v>
      </c>
      <c r="N63" s="193" t="s">
        <v>53</v>
      </c>
      <c r="O63" s="193">
        <v>26</v>
      </c>
      <c r="P63" s="193">
        <v>110</v>
      </c>
      <c r="Q63" s="193">
        <v>0</v>
      </c>
      <c r="R63" s="193" t="str" cm="1">
        <f t="array" ref="R63">_xlfn.IFS(H63="created",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196" cm="1">
        <f t="array" ref="S63">IF(N63="Monthly",_xlfn.IFS(H63="created",O63*P63*(1-Q63/100),H63="cancelled",-(O63*P63*(1-Q63/100)),H63="seats_change",(J63-I63)*P63*(1-Q63/100),H63="price_change",(J63-I63)*O63*(1-Q63/100),H63="discount_added",-(O63*P63*(J63-I63)/100),H63="plan_upgrade",O63*(_xlfn.XLOOKUP(J63,$M:$M,$P:$P)-_xlfn.XLOOKUP(I63,$M:$M,$P:$P))*(1-Q63/100),H63="plan_downgrade",O63*(_xlfn.XLOOKUP(J63,$M:$M,$P:$P)-_xlfn.XLOOKUP(I63,$M:$M,$P:$P))*(1-Q63/100)),_xlfn.IFS(H63="created",O63*P63*(1-Q63/100)/12,H63="cancelled",-(O63*P63*(1-Q63/100))/12,H63="seats_change",(J63-I63)*P63*(1-Q63/100)/12,H63="price_change",(J63-I63)*O63*(1-Q63/100)/12,H63="plan_upgrade",(O63*(_xlfn.XLOOKUP(J63,$M:$M,$P:$P)-_xlfn.XLOOKUP(I63,$M:$M,$P:$P))*(1-Q63/100))/12,H63="plan_downgrade",(O63*(_xlfn.XLOOKUP(J63,$M:$M,$P:$P)-_xlfn.XLOOKUP(I63,$M:$M,$P:$P))*(1-Q63/100))/12,H63="discount_added",-(O63*P63*(J63-I63)/100)/12))</f>
        <v>2860</v>
      </c>
      <c r="T63" s="193">
        <f>IF(H63&lt;&gt;"created",0,IF(COUNTIFS($C$1:C62,$C63,$H$1:H62,"created")=0,1,0))</f>
        <v>0</v>
      </c>
      <c r="U63" s="193">
        <f t="shared" si="2"/>
        <v>0</v>
      </c>
      <c r="V63" s="193">
        <f t="shared" si="3"/>
        <v>0</v>
      </c>
    </row>
    <row r="64" spans="1:22" ht="14.25" customHeight="1" x14ac:dyDescent="0.25">
      <c r="A64" s="193" t="s">
        <v>941</v>
      </c>
      <c r="B64" s="193" t="s">
        <v>259</v>
      </c>
      <c r="C64" s="193" t="s">
        <v>257</v>
      </c>
      <c r="D64" s="193" t="s">
        <v>258</v>
      </c>
      <c r="E64" s="193" t="s">
        <v>846</v>
      </c>
      <c r="F64" s="194">
        <v>45748</v>
      </c>
      <c r="G64" s="195">
        <v>45775</v>
      </c>
      <c r="H64" s="193" t="s">
        <v>844</v>
      </c>
      <c r="M64" s="193" t="s">
        <v>93</v>
      </c>
      <c r="N64" s="193" t="s">
        <v>53</v>
      </c>
      <c r="O64" s="193">
        <v>20</v>
      </c>
      <c r="P64" s="193">
        <v>110</v>
      </c>
      <c r="Q64" s="193">
        <v>0</v>
      </c>
      <c r="R64" s="193" t="str" cm="1">
        <f t="array" ref="R64">_xlfn.IFS(H64="created",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196" cm="1">
        <f t="array" ref="S64">IF(N64="Monthly",_xlfn.IFS(H64="created",O64*P64*(1-Q64/100),H64="cancelled",-(O64*P64*(1-Q64/100)),H64="seats_change",(J64-I64)*P64*(1-Q64/100),H64="price_change",(J64-I64)*O64*(1-Q64/100),H64="discount_added",-(O64*P64*(J64-I64)/100),H64="plan_upgrade",O64*(_xlfn.XLOOKUP(J64,$M:$M,$P:$P)-_xlfn.XLOOKUP(I64,$M:$M,$P:$P))*(1-Q64/100),H64="plan_downgrade",O64*(_xlfn.XLOOKUP(J64,$M:$M,$P:$P)-_xlfn.XLOOKUP(I64,$M:$M,$P:$P))*(1-Q64/100)),_xlfn.IFS(H64="created",O64*P64*(1-Q64/100)/12,H64="cancelled",-(O64*P64*(1-Q64/100))/12,H64="seats_change",(J64-I64)*P64*(1-Q64/100)/12,H64="price_change",(J64-I64)*O64*(1-Q64/100)/12,H64="plan_upgrade",(O64*(_xlfn.XLOOKUP(J64,$M:$M,$P:$P)-_xlfn.XLOOKUP(I64,$M:$M,$P:$P))*(1-Q64/100))/12,H64="plan_downgrade",(O64*(_xlfn.XLOOKUP(J64,$M:$M,$P:$P)-_xlfn.XLOOKUP(I64,$M:$M,$P:$P))*(1-Q64/100))/12,H64="discount_added",-(O64*P64*(J64-I64)/100)/12))</f>
        <v>2200</v>
      </c>
      <c r="T64" s="193">
        <f>IF(H64&lt;&gt;"created",0,IF(COUNTIFS($C$1:C63,$C64,$H$1:H63,"created")=0,1,0))</f>
        <v>1</v>
      </c>
      <c r="U64" s="193">
        <f t="shared" si="2"/>
        <v>0</v>
      </c>
      <c r="V64" s="193">
        <f t="shared" si="3"/>
        <v>0</v>
      </c>
    </row>
    <row r="65" spans="1:22" ht="14.25" customHeight="1" x14ac:dyDescent="0.25">
      <c r="A65" s="193" t="s">
        <v>942</v>
      </c>
      <c r="B65" s="193" t="s">
        <v>181</v>
      </c>
      <c r="C65" s="193" t="s">
        <v>179</v>
      </c>
      <c r="D65" s="193" t="s">
        <v>180</v>
      </c>
      <c r="E65" s="193" t="s">
        <v>846</v>
      </c>
      <c r="F65" s="194">
        <v>45778</v>
      </c>
      <c r="G65" s="195">
        <v>45787</v>
      </c>
      <c r="H65" s="193" t="s">
        <v>933</v>
      </c>
      <c r="I65" s="193">
        <v>15</v>
      </c>
      <c r="J65" s="193">
        <v>18</v>
      </c>
      <c r="K65" s="193" t="s">
        <v>38</v>
      </c>
      <c r="L65" s="193" t="s">
        <v>943</v>
      </c>
      <c r="M65" s="193" t="s">
        <v>93</v>
      </c>
      <c r="N65" s="193" t="s">
        <v>53</v>
      </c>
      <c r="O65" s="193">
        <v>18</v>
      </c>
      <c r="P65" s="193">
        <v>110</v>
      </c>
      <c r="Q65" s="193">
        <v>0</v>
      </c>
      <c r="R65" s="193" t="str" cm="1">
        <f t="array" ref="R65">_xlfn.IFS(H65="created",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196" cm="1">
        <f t="array" ref="S65">IF(N65="Monthly",_xlfn.IFS(H65="created",O65*P65*(1-Q65/100),H65="cancelled",-(O65*P65*(1-Q65/100)),H65="seats_change",(J65-I65)*P65*(1-Q65/100),H65="price_change",(J65-I65)*O65*(1-Q65/100),H65="discount_added",-(O65*P65*(J65-I65)/100),H65="plan_upgrade",O65*(_xlfn.XLOOKUP(J65,$M:$M,$P:$P)-_xlfn.XLOOKUP(I65,$M:$M,$P:$P))*(1-Q65/100),H65="plan_downgrade",O65*(_xlfn.XLOOKUP(J65,$M:$M,$P:$P)-_xlfn.XLOOKUP(I65,$M:$M,$P:$P))*(1-Q65/100)),_xlfn.IFS(H65="created",O65*P65*(1-Q65/100)/12,H65="cancelled",-(O65*P65*(1-Q65/100))/12,H65="seats_change",(J65-I65)*P65*(1-Q65/100)/12,H65="price_change",(J65-I65)*O65*(1-Q65/100)/12,H65="plan_upgrade",(O65*(_xlfn.XLOOKUP(J65,$M:$M,$P:$P)-_xlfn.XLOOKUP(I65,$M:$M,$P:$P))*(1-Q65/100))/12,H65="plan_downgrade",(O65*(_xlfn.XLOOKUP(J65,$M:$M,$P:$P)-_xlfn.XLOOKUP(I65,$M:$M,$P:$P))*(1-Q65/100))/12,H65="discount_added",-(O65*P65*(J65-I65)/100)/12))</f>
        <v>330</v>
      </c>
      <c r="T65" s="193">
        <f>IF(H65&lt;&gt;"created",0,IF(COUNTIFS($C$1:C64,$C65,$H$1:H64,"created")=0,1,0))</f>
        <v>0</v>
      </c>
      <c r="U65" s="193">
        <f t="shared" si="2"/>
        <v>0</v>
      </c>
      <c r="V65" s="193">
        <f t="shared" si="3"/>
        <v>0</v>
      </c>
    </row>
    <row r="66" spans="1:22" ht="14.25" customHeight="1" x14ac:dyDescent="0.25">
      <c r="A66" s="193" t="s">
        <v>944</v>
      </c>
      <c r="B66" s="193" t="s">
        <v>130</v>
      </c>
      <c r="C66" s="193" t="s">
        <v>128</v>
      </c>
      <c r="D66" s="193" t="s">
        <v>129</v>
      </c>
      <c r="E66" s="193" t="s">
        <v>865</v>
      </c>
      <c r="F66" s="194">
        <v>45778</v>
      </c>
      <c r="G66" s="195">
        <v>45789</v>
      </c>
      <c r="H66" s="193" t="s">
        <v>844</v>
      </c>
      <c r="M66" s="193" t="s">
        <v>119</v>
      </c>
      <c r="N66" s="193" t="s">
        <v>53</v>
      </c>
      <c r="O66" s="193">
        <v>18</v>
      </c>
      <c r="P66" s="193">
        <v>95</v>
      </c>
      <c r="Q66" s="193">
        <v>0</v>
      </c>
      <c r="R66" s="193" t="str" cm="1">
        <f t="array" ref="R66">_xlfn.IFS(H66="created",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196" cm="1">
        <f t="array" ref="S66">IF(N66="Monthly",_xlfn.IFS(H66="created",O66*P66*(1-Q66/100),H66="cancelled",-(O66*P66*(1-Q66/100)),H66="seats_change",(J66-I66)*P66*(1-Q66/100),H66="price_change",(J66-I66)*O66*(1-Q66/100),H66="discount_added",-(O66*P66*(J66-I66)/100),H66="plan_upgrade",O66*(_xlfn.XLOOKUP(J66,$M:$M,$P:$P)-_xlfn.XLOOKUP(I66,$M:$M,$P:$P))*(1-Q66/100),H66="plan_downgrade",O66*(_xlfn.XLOOKUP(J66,$M:$M,$P:$P)-_xlfn.XLOOKUP(I66,$M:$M,$P:$P))*(1-Q66/100)),_xlfn.IFS(H66="created",O66*P66*(1-Q66/100)/12,H66="cancelled",-(O66*P66*(1-Q66/100))/12,H66="seats_change",(J66-I66)*P66*(1-Q66/100)/12,H66="price_change",(J66-I66)*O66*(1-Q66/100)/12,H66="plan_upgrade",(O66*(_xlfn.XLOOKUP(J66,$M:$M,$P:$P)-_xlfn.XLOOKUP(I66,$M:$M,$P:$P))*(1-Q66/100))/12,H66="plan_downgrade",(O66*(_xlfn.XLOOKUP(J66,$M:$M,$P:$P)-_xlfn.XLOOKUP(I66,$M:$M,$P:$P))*(1-Q66/100))/12,H66="discount_added",-(O66*P66*(J66-I66)/100)/12))</f>
        <v>1710</v>
      </c>
      <c r="T66" s="193">
        <f>IF(H66&lt;&gt;"created",0,IF(COUNTIFS($C$1:C65,$C66,$H$1:H65,"created")=0,1,0))</f>
        <v>1</v>
      </c>
      <c r="U66" s="193">
        <f t="shared" ref="U66:U97" si="4">IF(H66&lt;&gt;"cancelled",0,IF(COUNTIFS($C$2:$C$1002,$C66,$H$2:$H$1002,"created",$F$2:$F$1002,"&lt;="&amp;F66)-COUNTIFS($C$2:$C$1002,$C66,$H$2:$H$1002,"cancelled",$F$2:$F$1002,"&lt;="&amp;F66)=0,1,0))</f>
        <v>0</v>
      </c>
      <c r="V66" s="193">
        <f t="shared" ref="V66:V97" si="5">IF(AND(H66="created",T66=0,COUNTIFS($C$2:$C$1002,$C66,$H$2:$H$1002,"cancelled",$F$2:$F$1002,"&lt;"&amp;F66)&gt;0,COUNTIFS($C$2:$C$1002,$C66,$H$2:$H$1002,"created",$F$2:$F$1002,"&lt;"&amp;F66)-COUNTIFS($C$2:$C$1002,$C66,$H$2:$H$1002,"cancelled",$F$2:$F$1002,"&lt;"&amp;F66)=0),1,0)</f>
        <v>0</v>
      </c>
    </row>
    <row r="67" spans="1:22" ht="14.25" customHeight="1" x14ac:dyDescent="0.25">
      <c r="A67" s="193" t="s">
        <v>945</v>
      </c>
      <c r="B67" s="193" t="s">
        <v>203</v>
      </c>
      <c r="C67" s="193" t="s">
        <v>201</v>
      </c>
      <c r="D67" s="193" t="s">
        <v>202</v>
      </c>
      <c r="E67" s="193" t="s">
        <v>846</v>
      </c>
      <c r="F67" s="194">
        <v>45778</v>
      </c>
      <c r="G67" s="195">
        <v>45797</v>
      </c>
      <c r="H67" s="193" t="s">
        <v>844</v>
      </c>
      <c r="L67" s="193" t="s">
        <v>946</v>
      </c>
      <c r="M67" s="193" t="s">
        <v>119</v>
      </c>
      <c r="N67" s="193" t="s">
        <v>53</v>
      </c>
      <c r="O67" s="193">
        <v>12</v>
      </c>
      <c r="P67" s="193">
        <v>95</v>
      </c>
      <c r="Q67" s="193">
        <v>0</v>
      </c>
      <c r="R67" s="193" t="str" cm="1">
        <f t="array" ref="R67">_xlfn.IFS(H67="created",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196" cm="1">
        <f t="array" ref="S67">IF(N67="Monthly",_xlfn.IFS(H67="created",O67*P67*(1-Q67/100),H67="cancelled",-(O67*P67*(1-Q67/100)),H67="seats_change",(J67-I67)*P67*(1-Q67/100),H67="price_change",(J67-I67)*O67*(1-Q67/100),H67="discount_added",-(O67*P67*(J67-I67)/100),H67="plan_upgrade",O67*(_xlfn.XLOOKUP(J67,$M:$M,$P:$P)-_xlfn.XLOOKUP(I67,$M:$M,$P:$P))*(1-Q67/100),H67="plan_downgrade",O67*(_xlfn.XLOOKUP(J67,$M:$M,$P:$P)-_xlfn.XLOOKUP(I67,$M:$M,$P:$P))*(1-Q67/100)),_xlfn.IFS(H67="created",O67*P67*(1-Q67/100)/12,H67="cancelled",-(O67*P67*(1-Q67/100))/12,H67="seats_change",(J67-I67)*P67*(1-Q67/100)/12,H67="price_change",(J67-I67)*O67*(1-Q67/100)/12,H67="plan_upgrade",(O67*(_xlfn.XLOOKUP(J67,$M:$M,$P:$P)-_xlfn.XLOOKUP(I67,$M:$M,$P:$P))*(1-Q67/100))/12,H67="plan_downgrade",(O67*(_xlfn.XLOOKUP(J67,$M:$M,$P:$P)-_xlfn.XLOOKUP(I67,$M:$M,$P:$P))*(1-Q67/100))/12,H67="discount_added",-(O67*P67*(J67-I67)/100)/12))</f>
        <v>1140</v>
      </c>
      <c r="T67" s="193">
        <f>IF(H67&lt;&gt;"created",0,IF(COUNTIFS($C$1:C66,$C67,$H$1:H66,"created")=0,1,0))</f>
        <v>0</v>
      </c>
      <c r="U67" s="193">
        <f t="shared" si="4"/>
        <v>0</v>
      </c>
      <c r="V67" s="193">
        <f t="shared" si="5"/>
        <v>1</v>
      </c>
    </row>
    <row r="68" spans="1:22" ht="14.25" customHeight="1" x14ac:dyDescent="0.25">
      <c r="A68" s="193" t="s">
        <v>947</v>
      </c>
      <c r="B68" s="193" t="s">
        <v>220</v>
      </c>
      <c r="C68" s="193" t="s">
        <v>218</v>
      </c>
      <c r="D68" s="193" t="s">
        <v>219</v>
      </c>
      <c r="E68" s="193" t="s">
        <v>843</v>
      </c>
      <c r="F68" s="194">
        <v>45778</v>
      </c>
      <c r="G68" s="195">
        <v>45799</v>
      </c>
      <c r="H68" s="193" t="s">
        <v>844</v>
      </c>
      <c r="M68" s="193" t="s">
        <v>93</v>
      </c>
      <c r="N68" s="193" t="s">
        <v>53</v>
      </c>
      <c r="O68" s="193">
        <v>36</v>
      </c>
      <c r="P68" s="193">
        <v>110</v>
      </c>
      <c r="Q68" s="193">
        <v>0</v>
      </c>
      <c r="R68" s="193" t="str" cm="1">
        <f t="array" ref="R68">_xlfn.IFS(H68="created",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196" cm="1">
        <f t="array" ref="S68">IF(N68="Monthly",_xlfn.IFS(H68="created",O68*P68*(1-Q68/100),H68="cancelled",-(O68*P68*(1-Q68/100)),H68="seats_change",(J68-I68)*P68*(1-Q68/100),H68="price_change",(J68-I68)*O68*(1-Q68/100),H68="discount_added",-(O68*P68*(J68-I68)/100),H68="plan_upgrade",O68*(_xlfn.XLOOKUP(J68,$M:$M,$P:$P)-_xlfn.XLOOKUP(I68,$M:$M,$P:$P))*(1-Q68/100),H68="plan_downgrade",O68*(_xlfn.XLOOKUP(J68,$M:$M,$P:$P)-_xlfn.XLOOKUP(I68,$M:$M,$P:$P))*(1-Q68/100)),_xlfn.IFS(H68="created",O68*P68*(1-Q68/100)/12,H68="cancelled",-(O68*P68*(1-Q68/100))/12,H68="seats_change",(J68-I68)*P68*(1-Q68/100)/12,H68="price_change",(J68-I68)*O68*(1-Q68/100)/12,H68="plan_upgrade",(O68*(_xlfn.XLOOKUP(J68,$M:$M,$P:$P)-_xlfn.XLOOKUP(I68,$M:$M,$P:$P))*(1-Q68/100))/12,H68="plan_downgrade",(O68*(_xlfn.XLOOKUP(J68,$M:$M,$P:$P)-_xlfn.XLOOKUP(I68,$M:$M,$P:$P))*(1-Q68/100))/12,H68="discount_added",-(O68*P68*(J68-I68)/100)/12))</f>
        <v>3960</v>
      </c>
      <c r="T68" s="193">
        <f>IF(H68&lt;&gt;"created",0,IF(COUNTIFS($C$1:C67,$C68,$H$1:H67,"created")=0,1,0))</f>
        <v>0</v>
      </c>
      <c r="U68" s="193">
        <f t="shared" si="4"/>
        <v>0</v>
      </c>
      <c r="V68" s="193">
        <f t="shared" si="5"/>
        <v>0</v>
      </c>
    </row>
    <row r="69" spans="1:22" ht="14.25" customHeight="1" x14ac:dyDescent="0.25">
      <c r="A69" s="193" t="s">
        <v>948</v>
      </c>
      <c r="B69" s="193" t="s">
        <v>892</v>
      </c>
      <c r="C69" s="193" t="s">
        <v>262</v>
      </c>
      <c r="D69" s="193" t="s">
        <v>263</v>
      </c>
      <c r="E69" s="193" t="s">
        <v>846</v>
      </c>
      <c r="F69" s="194">
        <v>45778</v>
      </c>
      <c r="G69" s="195">
        <v>45803</v>
      </c>
      <c r="H69" s="193" t="s">
        <v>880</v>
      </c>
      <c r="I69" s="193" t="s">
        <v>881</v>
      </c>
      <c r="J69" s="193" t="s">
        <v>882</v>
      </c>
      <c r="K69" s="193" t="s">
        <v>44</v>
      </c>
      <c r="L69" s="193" t="s">
        <v>949</v>
      </c>
      <c r="M69" s="193" t="s">
        <v>119</v>
      </c>
      <c r="N69" s="193" t="s">
        <v>53</v>
      </c>
      <c r="O69" s="193">
        <v>25</v>
      </c>
      <c r="P69" s="193">
        <v>95</v>
      </c>
      <c r="Q69" s="193">
        <v>0</v>
      </c>
      <c r="R69" s="193" t="str" cm="1">
        <f t="array" ref="R69">_xlfn.IFS(H69="created",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196" cm="1">
        <f t="array" ref="S69">IF(N69="Monthly",_xlfn.IFS(H69="created",O69*P69*(1-Q69/100),H69="cancelled",-(O69*P69*(1-Q69/100)),H69="seats_change",(J69-I69)*P69*(1-Q69/100),H69="price_change",(J69-I69)*O69*(1-Q69/100),H69="discount_added",-(O69*P69*(J69-I69)/100),H69="plan_upgrade",O69*(_xlfn.XLOOKUP(J69,$M:$M,$P:$P)-_xlfn.XLOOKUP(I69,$M:$M,$P:$P))*(1-Q69/100),H69="plan_downgrade",O69*(_xlfn.XLOOKUP(J69,$M:$M,$P:$P)-_xlfn.XLOOKUP(I69,$M:$M,$P:$P))*(1-Q69/100)),_xlfn.IFS(H69="created",O69*P69*(1-Q69/100)/12,H69="cancelled",-(O69*P69*(1-Q69/100))/12,H69="seats_change",(J69-I69)*P69*(1-Q69/100)/12,H69="price_change",(J69-I69)*O69*(1-Q69/100)/12,H69="plan_upgrade",(O69*(_xlfn.XLOOKUP(J69,$M:$M,$P:$P)-_xlfn.XLOOKUP(I69,$M:$M,$P:$P))*(1-Q69/100))/12,H69="plan_downgrade",(O69*(_xlfn.XLOOKUP(J69,$M:$M,$P:$P)-_xlfn.XLOOKUP(I69,$M:$M,$P:$P))*(1-Q69/100))/12,H69="discount_added",-(O69*P69*(J69-I69)/100)/12))</f>
        <v>-2375</v>
      </c>
      <c r="T69" s="193">
        <f>IF(H69&lt;&gt;"created",0,IF(COUNTIFS($C$1:C68,$C69,$H$1:H68,"created")=0,1,0))</f>
        <v>0</v>
      </c>
      <c r="U69" s="193">
        <f t="shared" si="4"/>
        <v>0</v>
      </c>
      <c r="V69" s="193">
        <f t="shared" si="5"/>
        <v>0</v>
      </c>
    </row>
    <row r="70" spans="1:22" ht="14.25" customHeight="1" x14ac:dyDescent="0.25">
      <c r="A70" s="193" t="s">
        <v>950</v>
      </c>
      <c r="B70" s="193" t="s">
        <v>241</v>
      </c>
      <c r="C70" s="193" t="s">
        <v>239</v>
      </c>
      <c r="D70" s="193" t="s">
        <v>240</v>
      </c>
      <c r="E70" s="193" t="s">
        <v>843</v>
      </c>
      <c r="F70" s="194">
        <v>45778</v>
      </c>
      <c r="G70" s="195">
        <v>45803</v>
      </c>
      <c r="H70" s="193" t="s">
        <v>844</v>
      </c>
      <c r="M70" s="193" t="s">
        <v>209</v>
      </c>
      <c r="N70" s="193" t="s">
        <v>53</v>
      </c>
      <c r="O70" s="193">
        <v>35</v>
      </c>
      <c r="P70" s="193">
        <v>150</v>
      </c>
      <c r="Q70" s="193">
        <v>0</v>
      </c>
      <c r="R70" s="193" t="str" cm="1">
        <f t="array" ref="R70">_xlfn.IFS(H70="created",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196" cm="1">
        <f t="array" ref="S70">IF(N70="Monthly",_xlfn.IFS(H70="created",O70*P70*(1-Q70/100),H70="cancelled",-(O70*P70*(1-Q70/100)),H70="seats_change",(J70-I70)*P70*(1-Q70/100),H70="price_change",(J70-I70)*O70*(1-Q70/100),H70="discount_added",-(O70*P70*(J70-I70)/100),H70="plan_upgrade",O70*(_xlfn.XLOOKUP(J70,$M:$M,$P:$P)-_xlfn.XLOOKUP(I70,$M:$M,$P:$P))*(1-Q70/100),H70="plan_downgrade",O70*(_xlfn.XLOOKUP(J70,$M:$M,$P:$P)-_xlfn.XLOOKUP(I70,$M:$M,$P:$P))*(1-Q70/100)),_xlfn.IFS(H70="created",O70*P70*(1-Q70/100)/12,H70="cancelled",-(O70*P70*(1-Q70/100))/12,H70="seats_change",(J70-I70)*P70*(1-Q70/100)/12,H70="price_change",(J70-I70)*O70*(1-Q70/100)/12,H70="plan_upgrade",(O70*(_xlfn.XLOOKUP(J70,$M:$M,$P:$P)-_xlfn.XLOOKUP(I70,$M:$M,$P:$P))*(1-Q70/100))/12,H70="plan_downgrade",(O70*(_xlfn.XLOOKUP(J70,$M:$M,$P:$P)-_xlfn.XLOOKUP(I70,$M:$M,$P:$P))*(1-Q70/100))/12,H70="discount_added",-(O70*P70*(J70-I70)/100)/12))</f>
        <v>5250</v>
      </c>
      <c r="T70" s="193">
        <f>IF(H70&lt;&gt;"created",0,IF(COUNTIFS($C$1:C69,$C70,$H$1:H69,"created")=0,1,0))</f>
        <v>1</v>
      </c>
      <c r="U70" s="193">
        <f t="shared" si="4"/>
        <v>0</v>
      </c>
      <c r="V70" s="193">
        <f t="shared" si="5"/>
        <v>0</v>
      </c>
    </row>
    <row r="71" spans="1:22" ht="14.25" customHeight="1" x14ac:dyDescent="0.25">
      <c r="A71" s="193" t="s">
        <v>951</v>
      </c>
      <c r="B71" s="193" t="s">
        <v>63</v>
      </c>
      <c r="C71" s="193" t="s">
        <v>61</v>
      </c>
      <c r="D71" s="193" t="s">
        <v>62</v>
      </c>
      <c r="E71" s="193" t="s">
        <v>846</v>
      </c>
      <c r="F71" s="194">
        <v>45809</v>
      </c>
      <c r="G71" s="195">
        <v>45809</v>
      </c>
      <c r="H71" s="193" t="s">
        <v>933</v>
      </c>
      <c r="I71" s="193">
        <v>30</v>
      </c>
      <c r="J71" s="193">
        <v>35</v>
      </c>
      <c r="K71" s="193" t="s">
        <v>38</v>
      </c>
      <c r="L71" s="193" t="s">
        <v>952</v>
      </c>
      <c r="M71" s="193" t="s">
        <v>64</v>
      </c>
      <c r="N71" s="193" t="s">
        <v>53</v>
      </c>
      <c r="O71" s="193">
        <v>35</v>
      </c>
      <c r="P71" s="193">
        <v>180</v>
      </c>
      <c r="Q71" s="193">
        <v>0</v>
      </c>
      <c r="R71" s="193" t="str" cm="1">
        <f t="array" ref="R71">_xlfn.IFS(H71="created",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196" cm="1">
        <f t="array" ref="S71">IF(N71="Monthly",_xlfn.IFS(H71="created",O71*P71*(1-Q71/100),H71="cancelled",-(O71*P71*(1-Q71/100)),H71="seats_change",(J71-I71)*P71*(1-Q71/100),H71="price_change",(J71-I71)*O71*(1-Q71/100),H71="discount_added",-(O71*P71*(J71-I71)/100),H71="plan_upgrade",O71*(_xlfn.XLOOKUP(J71,$M:$M,$P:$P)-_xlfn.XLOOKUP(I71,$M:$M,$P:$P))*(1-Q71/100),H71="plan_downgrade",O71*(_xlfn.XLOOKUP(J71,$M:$M,$P:$P)-_xlfn.XLOOKUP(I71,$M:$M,$P:$P))*(1-Q71/100)),_xlfn.IFS(H71="created",O71*P71*(1-Q71/100)/12,H71="cancelled",-(O71*P71*(1-Q71/100))/12,H71="seats_change",(J71-I71)*P71*(1-Q71/100)/12,H71="price_change",(J71-I71)*O71*(1-Q71/100)/12,H71="plan_upgrade",(O71*(_xlfn.XLOOKUP(J71,$M:$M,$P:$P)-_xlfn.XLOOKUP(I71,$M:$M,$P:$P))*(1-Q71/100))/12,H71="plan_downgrade",(O71*(_xlfn.XLOOKUP(J71,$M:$M,$P:$P)-_xlfn.XLOOKUP(I71,$M:$M,$P:$P))*(1-Q71/100))/12,H71="discount_added",-(O71*P71*(J71-I71)/100)/12))</f>
        <v>900</v>
      </c>
      <c r="T71" s="193">
        <f>IF(H71&lt;&gt;"created",0,IF(COUNTIFS($C$1:C70,$C71,$H$1:H70,"created")=0,1,0))</f>
        <v>0</v>
      </c>
      <c r="U71" s="193">
        <f t="shared" si="4"/>
        <v>0</v>
      </c>
      <c r="V71" s="193">
        <f t="shared" si="5"/>
        <v>0</v>
      </c>
    </row>
    <row r="72" spans="1:22" ht="14.25" customHeight="1" x14ac:dyDescent="0.25">
      <c r="A72" s="193" t="s">
        <v>953</v>
      </c>
      <c r="B72" s="193" t="s">
        <v>84</v>
      </c>
      <c r="C72" s="193" t="s">
        <v>82</v>
      </c>
      <c r="D72" s="193" t="s">
        <v>83</v>
      </c>
      <c r="E72" s="193" t="s">
        <v>846</v>
      </c>
      <c r="F72" s="194">
        <v>45809</v>
      </c>
      <c r="G72" s="195">
        <v>45813</v>
      </c>
      <c r="H72" s="193" t="s">
        <v>844</v>
      </c>
      <c r="M72" s="193" t="s">
        <v>64</v>
      </c>
      <c r="N72" s="193" t="s">
        <v>53</v>
      </c>
      <c r="O72" s="193">
        <v>31</v>
      </c>
      <c r="P72" s="193">
        <v>180</v>
      </c>
      <c r="Q72" s="193">
        <v>0</v>
      </c>
      <c r="R72" s="193" t="str" cm="1">
        <f t="array" ref="R72">_xlfn.IFS(H72="created",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196" cm="1">
        <f t="array" ref="S72">IF(N72="Monthly",_xlfn.IFS(H72="created",O72*P72*(1-Q72/100),H72="cancelled",-(O72*P72*(1-Q72/100)),H72="seats_change",(J72-I72)*P72*(1-Q72/100),H72="price_change",(J72-I72)*O72*(1-Q72/100),H72="discount_added",-(O72*P72*(J72-I72)/100),H72="plan_upgrade",O72*(_xlfn.XLOOKUP(J72,$M:$M,$P:$P)-_xlfn.XLOOKUP(I72,$M:$M,$P:$P))*(1-Q72/100),H72="plan_downgrade",O72*(_xlfn.XLOOKUP(J72,$M:$M,$P:$P)-_xlfn.XLOOKUP(I72,$M:$M,$P:$P))*(1-Q72/100)),_xlfn.IFS(H72="created",O72*P72*(1-Q72/100)/12,H72="cancelled",-(O72*P72*(1-Q72/100))/12,H72="seats_change",(J72-I72)*P72*(1-Q72/100)/12,H72="price_change",(J72-I72)*O72*(1-Q72/100)/12,H72="plan_upgrade",(O72*(_xlfn.XLOOKUP(J72,$M:$M,$P:$P)-_xlfn.XLOOKUP(I72,$M:$M,$P:$P))*(1-Q72/100))/12,H72="plan_downgrade",(O72*(_xlfn.XLOOKUP(J72,$M:$M,$P:$P)-_xlfn.XLOOKUP(I72,$M:$M,$P:$P))*(1-Q72/100))/12,H72="discount_added",-(O72*P72*(J72-I72)/100)/12))</f>
        <v>5580</v>
      </c>
      <c r="T72" s="193">
        <f>IF(H72&lt;&gt;"created",0,IF(COUNTIFS($C$1:C71,$C72,$H$1:H71,"created")=0,1,0))</f>
        <v>0</v>
      </c>
      <c r="U72" s="193">
        <f t="shared" si="4"/>
        <v>0</v>
      </c>
      <c r="V72" s="193">
        <f t="shared" si="5"/>
        <v>0</v>
      </c>
    </row>
    <row r="73" spans="1:22" ht="14.25" customHeight="1" x14ac:dyDescent="0.25">
      <c r="A73" s="193" t="s">
        <v>954</v>
      </c>
      <c r="B73" s="193" t="s">
        <v>113</v>
      </c>
      <c r="C73" s="193" t="s">
        <v>111</v>
      </c>
      <c r="D73" s="193" t="s">
        <v>112</v>
      </c>
      <c r="E73" s="193" t="s">
        <v>846</v>
      </c>
      <c r="F73" s="194">
        <v>45809</v>
      </c>
      <c r="G73" s="195">
        <v>45817</v>
      </c>
      <c r="H73" s="193" t="s">
        <v>844</v>
      </c>
      <c r="M73" s="193" t="s">
        <v>58</v>
      </c>
      <c r="N73" s="193" t="s">
        <v>53</v>
      </c>
      <c r="O73" s="193">
        <v>13</v>
      </c>
      <c r="P73" s="193">
        <v>45</v>
      </c>
      <c r="Q73" s="193">
        <v>0</v>
      </c>
      <c r="R73" s="193" t="str" cm="1">
        <f t="array" ref="R73">_xlfn.IFS(H73="created",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196" cm="1">
        <f t="array" ref="S73">IF(N73="Monthly",_xlfn.IFS(H73="created",O73*P73*(1-Q73/100),H73="cancelled",-(O73*P73*(1-Q73/100)),H73="seats_change",(J73-I73)*P73*(1-Q73/100),H73="price_change",(J73-I73)*O73*(1-Q73/100),H73="discount_added",-(O73*P73*(J73-I73)/100),H73="plan_upgrade",O73*(_xlfn.XLOOKUP(J73,$M:$M,$P:$P)-_xlfn.XLOOKUP(I73,$M:$M,$P:$P))*(1-Q73/100),H73="plan_downgrade",O73*(_xlfn.XLOOKUP(J73,$M:$M,$P:$P)-_xlfn.XLOOKUP(I73,$M:$M,$P:$P))*(1-Q73/100)),_xlfn.IFS(H73="created",O73*P73*(1-Q73/100)/12,H73="cancelled",-(O73*P73*(1-Q73/100))/12,H73="seats_change",(J73-I73)*P73*(1-Q73/100)/12,H73="price_change",(J73-I73)*O73*(1-Q73/100)/12,H73="plan_upgrade",(O73*(_xlfn.XLOOKUP(J73,$M:$M,$P:$P)-_xlfn.XLOOKUP(I73,$M:$M,$P:$P))*(1-Q73/100))/12,H73="plan_downgrade",(O73*(_xlfn.XLOOKUP(J73,$M:$M,$P:$P)-_xlfn.XLOOKUP(I73,$M:$M,$P:$P))*(1-Q73/100))/12,H73="discount_added",-(O73*P73*(J73-I73)/100)/12))</f>
        <v>585</v>
      </c>
      <c r="T73" s="193">
        <f>IF(H73&lt;&gt;"created",0,IF(COUNTIFS($C$1:C72,$C73,$H$1:H72,"created")=0,1,0))</f>
        <v>1</v>
      </c>
      <c r="U73" s="193">
        <f t="shared" si="4"/>
        <v>0</v>
      </c>
      <c r="V73" s="193">
        <f t="shared" si="5"/>
        <v>0</v>
      </c>
    </row>
    <row r="74" spans="1:22" ht="14.25" customHeight="1" x14ac:dyDescent="0.25">
      <c r="A74" s="193" t="s">
        <v>955</v>
      </c>
      <c r="B74" s="193" t="s">
        <v>868</v>
      </c>
      <c r="C74" s="193" t="s">
        <v>116</v>
      </c>
      <c r="D74" s="193" t="s">
        <v>117</v>
      </c>
      <c r="E74" s="193" t="s">
        <v>843</v>
      </c>
      <c r="F74" s="194">
        <v>45809</v>
      </c>
      <c r="G74" s="195">
        <v>45818</v>
      </c>
      <c r="H74" s="193" t="s">
        <v>880</v>
      </c>
      <c r="I74" s="193" t="s">
        <v>881</v>
      </c>
      <c r="J74" s="193" t="s">
        <v>880</v>
      </c>
      <c r="K74" s="193" t="s">
        <v>44</v>
      </c>
      <c r="L74" s="193" t="s">
        <v>956</v>
      </c>
      <c r="M74" s="193" t="s">
        <v>58</v>
      </c>
      <c r="N74" s="193" t="s">
        <v>53</v>
      </c>
      <c r="O74" s="193">
        <v>19</v>
      </c>
      <c r="P74" s="193">
        <v>45</v>
      </c>
      <c r="Q74" s="193">
        <v>0</v>
      </c>
      <c r="R74" s="193" t="str" cm="1">
        <f t="array" ref="R74">_xlfn.IFS(H74="created",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196" cm="1">
        <f t="array" ref="S74">IF(N74="Monthly",_xlfn.IFS(H74="created",O74*P74*(1-Q74/100),H74="cancelled",-(O74*P74*(1-Q74/100)),H74="seats_change",(J74-I74)*P74*(1-Q74/100),H74="price_change",(J74-I74)*O74*(1-Q74/100),H74="discount_added",-(O74*P74*(J74-I74)/100),H74="plan_upgrade",O74*(_xlfn.XLOOKUP(J74,$M:$M,$P:$P)-_xlfn.XLOOKUP(I74,$M:$M,$P:$P))*(1-Q74/100),H74="plan_downgrade",O74*(_xlfn.XLOOKUP(J74,$M:$M,$P:$P)-_xlfn.XLOOKUP(I74,$M:$M,$P:$P))*(1-Q74/100)),_xlfn.IFS(H74="created",O74*P74*(1-Q74/100)/12,H74="cancelled",-(O74*P74*(1-Q74/100))/12,H74="seats_change",(J74-I74)*P74*(1-Q74/100)/12,H74="price_change",(J74-I74)*O74*(1-Q74/100)/12,H74="plan_upgrade",(O74*(_xlfn.XLOOKUP(J74,$M:$M,$P:$P)-_xlfn.XLOOKUP(I74,$M:$M,$P:$P))*(1-Q74/100))/12,H74="plan_downgrade",(O74*(_xlfn.XLOOKUP(J74,$M:$M,$P:$P)-_xlfn.XLOOKUP(I74,$M:$M,$P:$P))*(1-Q74/100))/12,H74="discount_added",-(O74*P74*(J74-I74)/100)/12))</f>
        <v>-855</v>
      </c>
      <c r="T74" s="193">
        <f>IF(H74&lt;&gt;"created",0,IF(COUNTIFS($C$1:C73,$C74,$H$1:H73,"created")=0,1,0))</f>
        <v>0</v>
      </c>
      <c r="U74" s="193">
        <f t="shared" si="4"/>
        <v>0</v>
      </c>
      <c r="V74" s="193">
        <f t="shared" si="5"/>
        <v>0</v>
      </c>
    </row>
    <row r="75" spans="1:22" ht="14.25" customHeight="1" x14ac:dyDescent="0.25">
      <c r="A75" s="193" t="s">
        <v>957</v>
      </c>
      <c r="B75" s="193" t="s">
        <v>228</v>
      </c>
      <c r="C75" s="193" t="s">
        <v>226</v>
      </c>
      <c r="D75" s="193" t="s">
        <v>227</v>
      </c>
      <c r="E75" s="193" t="s">
        <v>843</v>
      </c>
      <c r="F75" s="194">
        <v>45809</v>
      </c>
      <c r="G75" s="195">
        <v>45823</v>
      </c>
      <c r="H75" s="193" t="s">
        <v>958</v>
      </c>
      <c r="I75" s="193" t="s">
        <v>58</v>
      </c>
      <c r="J75" s="193" t="s">
        <v>119</v>
      </c>
      <c r="K75" s="193" t="s">
        <v>34</v>
      </c>
      <c r="L75" s="193" t="s">
        <v>959</v>
      </c>
      <c r="M75" s="193" t="s">
        <v>119</v>
      </c>
      <c r="N75" s="193" t="s">
        <v>53</v>
      </c>
      <c r="O75" s="193">
        <v>16</v>
      </c>
      <c r="P75" s="193">
        <v>95</v>
      </c>
      <c r="Q75" s="193">
        <v>0</v>
      </c>
      <c r="R75" s="193" t="str" cm="1">
        <f t="array" ref="R75">_xlfn.IFS(H75="created",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196" cm="1">
        <f t="array" ref="S75">IF(N75="Monthly",_xlfn.IFS(H75="created",O75*P75*(1-Q75/100),H75="cancelled",-(O75*P75*(1-Q75/100)),H75="seats_change",(J75-I75)*P75*(1-Q75/100),H75="price_change",(J75-I75)*O75*(1-Q75/100),H75="discount_added",-(O75*P75*(J75-I75)/100),H75="plan_upgrade",O75*(_xlfn.XLOOKUP(J75,$M:$M,$P:$P)-_xlfn.XLOOKUP(I75,$M:$M,$P:$P))*(1-Q75/100),H75="plan_downgrade",O75*(_xlfn.XLOOKUP(J75,$M:$M,$P:$P)-_xlfn.XLOOKUP(I75,$M:$M,$P:$P))*(1-Q75/100)),_xlfn.IFS(H75="created",O75*P75*(1-Q75/100)/12,H75="cancelled",-(O75*P75*(1-Q75/100))/12,H75="seats_change",(J75-I75)*P75*(1-Q75/100)/12,H75="price_change",(J75-I75)*O75*(1-Q75/100)/12,H75="plan_upgrade",(O75*(_xlfn.XLOOKUP(J75,$M:$M,$P:$P)-_xlfn.XLOOKUP(I75,$M:$M,$P:$P))*(1-Q75/100))/12,H75="plan_downgrade",(O75*(_xlfn.XLOOKUP(J75,$M:$M,$P:$P)-_xlfn.XLOOKUP(I75,$M:$M,$P:$P))*(1-Q75/100))/12,H75="discount_added",-(O75*P75*(J75-I75)/100)/12))</f>
        <v>800</v>
      </c>
      <c r="T75" s="193">
        <f>IF(H75&lt;&gt;"created",0,IF(COUNTIFS($C$1:C74,$C75,$H$1:H74,"created")=0,1,0))</f>
        <v>0</v>
      </c>
      <c r="U75" s="193">
        <f t="shared" si="4"/>
        <v>0</v>
      </c>
      <c r="V75" s="193">
        <f t="shared" si="5"/>
        <v>0</v>
      </c>
    </row>
    <row r="76" spans="1:22" ht="14.25" customHeight="1" x14ac:dyDescent="0.25">
      <c r="A76" s="193" t="s">
        <v>960</v>
      </c>
      <c r="B76" s="193" t="s">
        <v>233</v>
      </c>
      <c r="C76" s="193" t="s">
        <v>231</v>
      </c>
      <c r="D76" s="193" t="s">
        <v>232</v>
      </c>
      <c r="E76" s="193" t="s">
        <v>843</v>
      </c>
      <c r="F76" s="194">
        <v>45809</v>
      </c>
      <c r="G76" s="195">
        <v>45831</v>
      </c>
      <c r="H76" s="193" t="s">
        <v>844</v>
      </c>
      <c r="M76" s="193" t="s">
        <v>52</v>
      </c>
      <c r="N76" s="193" t="s">
        <v>53</v>
      </c>
      <c r="O76" s="193">
        <v>29</v>
      </c>
      <c r="P76" s="193">
        <v>85</v>
      </c>
      <c r="Q76" s="193">
        <v>0</v>
      </c>
      <c r="R76" s="193" t="str" cm="1">
        <f t="array" ref="R76">_xlfn.IFS(H76="created",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196" cm="1">
        <f t="array" ref="S76">IF(N76="Monthly",_xlfn.IFS(H76="created",O76*P76*(1-Q76/100),H76="cancelled",-(O76*P76*(1-Q76/100)),H76="seats_change",(J76-I76)*P76*(1-Q76/100),H76="price_change",(J76-I76)*O76*(1-Q76/100),H76="discount_added",-(O76*P76*(J76-I76)/100),H76="plan_upgrade",O76*(_xlfn.XLOOKUP(J76,$M:$M,$P:$P)-_xlfn.XLOOKUP(I76,$M:$M,$P:$P))*(1-Q76/100),H76="plan_downgrade",O76*(_xlfn.XLOOKUP(J76,$M:$M,$P:$P)-_xlfn.XLOOKUP(I76,$M:$M,$P:$P))*(1-Q76/100)),_xlfn.IFS(H76="created",O76*P76*(1-Q76/100)/12,H76="cancelled",-(O76*P76*(1-Q76/100))/12,H76="seats_change",(J76-I76)*P76*(1-Q76/100)/12,H76="price_change",(J76-I76)*O76*(1-Q76/100)/12,H76="plan_upgrade",(O76*(_xlfn.XLOOKUP(J76,$M:$M,$P:$P)-_xlfn.XLOOKUP(I76,$M:$M,$P:$P))*(1-Q76/100))/12,H76="plan_downgrade",(O76*(_xlfn.XLOOKUP(J76,$M:$M,$P:$P)-_xlfn.XLOOKUP(I76,$M:$M,$P:$P))*(1-Q76/100))/12,H76="discount_added",-(O76*P76*(J76-I76)/100)/12))</f>
        <v>2465</v>
      </c>
      <c r="T76" s="193">
        <f>IF(H76&lt;&gt;"created",0,IF(COUNTIFS($C$1:C75,$C76,$H$1:H75,"created")=0,1,0))</f>
        <v>1</v>
      </c>
      <c r="U76" s="193">
        <f t="shared" si="4"/>
        <v>0</v>
      </c>
      <c r="V76" s="193">
        <f t="shared" si="5"/>
        <v>0</v>
      </c>
    </row>
    <row r="77" spans="1:22" ht="14.25" customHeight="1" x14ac:dyDescent="0.25">
      <c r="A77" s="193" t="s">
        <v>961</v>
      </c>
      <c r="B77" s="193" t="s">
        <v>896</v>
      </c>
      <c r="C77" s="193" t="s">
        <v>154</v>
      </c>
      <c r="D77" s="193" t="s">
        <v>155</v>
      </c>
      <c r="E77" s="193" t="s">
        <v>843</v>
      </c>
      <c r="F77" s="194">
        <v>45809</v>
      </c>
      <c r="G77" s="195">
        <v>45833</v>
      </c>
      <c r="H77" s="193" t="s">
        <v>880</v>
      </c>
      <c r="I77" s="193" t="s">
        <v>881</v>
      </c>
      <c r="J77" s="193" t="s">
        <v>882</v>
      </c>
      <c r="K77" s="193" t="s">
        <v>44</v>
      </c>
      <c r="L77" s="193" t="s">
        <v>883</v>
      </c>
      <c r="M77" s="193" t="s">
        <v>58</v>
      </c>
      <c r="N77" s="193" t="s">
        <v>53</v>
      </c>
      <c r="O77" s="193">
        <v>10</v>
      </c>
      <c r="P77" s="193">
        <v>45</v>
      </c>
      <c r="Q77" s="193">
        <v>0</v>
      </c>
      <c r="R77" s="193" t="str" cm="1">
        <f t="array" ref="R77">_xlfn.IFS(H77="created",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196" cm="1">
        <f t="array" ref="S77">IF(N77="Monthly",_xlfn.IFS(H77="created",O77*P77*(1-Q77/100),H77="cancelled",-(O77*P77*(1-Q77/100)),H77="seats_change",(J77-I77)*P77*(1-Q77/100),H77="price_change",(J77-I77)*O77*(1-Q77/100),H77="discount_added",-(O77*P77*(J77-I77)/100),H77="plan_upgrade",O77*(_xlfn.XLOOKUP(J77,$M:$M,$P:$P)-_xlfn.XLOOKUP(I77,$M:$M,$P:$P))*(1-Q77/100),H77="plan_downgrade",O77*(_xlfn.XLOOKUP(J77,$M:$M,$P:$P)-_xlfn.XLOOKUP(I77,$M:$M,$P:$P))*(1-Q77/100)),_xlfn.IFS(H77="created",O77*P77*(1-Q77/100)/12,H77="cancelled",-(O77*P77*(1-Q77/100))/12,H77="seats_change",(J77-I77)*P77*(1-Q77/100)/12,H77="price_change",(J77-I77)*O77*(1-Q77/100)/12,H77="plan_upgrade",(O77*(_xlfn.XLOOKUP(J77,$M:$M,$P:$P)-_xlfn.XLOOKUP(I77,$M:$M,$P:$P))*(1-Q77/100))/12,H77="plan_downgrade",(O77*(_xlfn.XLOOKUP(J77,$M:$M,$P:$P)-_xlfn.XLOOKUP(I77,$M:$M,$P:$P))*(1-Q77/100))/12,H77="discount_added",-(O77*P77*(J77-I77)/100)/12))</f>
        <v>-450</v>
      </c>
      <c r="T77" s="193">
        <f>IF(H77&lt;&gt;"created",0,IF(COUNTIFS($C$1:C76,$C77,$H$1:H76,"created")=0,1,0))</f>
        <v>0</v>
      </c>
      <c r="U77" s="193">
        <f t="shared" si="4"/>
        <v>1</v>
      </c>
      <c r="V77" s="193">
        <f t="shared" si="5"/>
        <v>0</v>
      </c>
    </row>
    <row r="78" spans="1:22" ht="14.25" customHeight="1" x14ac:dyDescent="0.25">
      <c r="A78" s="193" t="s">
        <v>962</v>
      </c>
      <c r="B78" s="193" t="s">
        <v>89</v>
      </c>
      <c r="C78" s="193" t="s">
        <v>87</v>
      </c>
      <c r="D78" s="193" t="s">
        <v>88</v>
      </c>
      <c r="E78" s="193" t="s">
        <v>843</v>
      </c>
      <c r="F78" s="194">
        <v>45839</v>
      </c>
      <c r="G78" s="195">
        <v>45843</v>
      </c>
      <c r="H78" s="193" t="s">
        <v>908</v>
      </c>
      <c r="I78" s="193">
        <v>75</v>
      </c>
      <c r="J78" s="193">
        <v>85</v>
      </c>
      <c r="K78" s="193" t="s">
        <v>834</v>
      </c>
      <c r="L78" s="193" t="s">
        <v>909</v>
      </c>
      <c r="M78" s="193" t="s">
        <v>52</v>
      </c>
      <c r="N78" s="193" t="s">
        <v>53</v>
      </c>
      <c r="O78" s="193">
        <v>22</v>
      </c>
      <c r="P78" s="193">
        <v>85</v>
      </c>
      <c r="Q78" s="193">
        <v>0</v>
      </c>
      <c r="R78" s="193" t="str" cm="1">
        <f t="array" ref="R78">_xlfn.IFS(H78="created",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196" cm="1">
        <f t="array" ref="S78">IF(N78="Monthly",_xlfn.IFS(H78="created",O78*P78*(1-Q78/100),H78="cancelled",-(O78*P78*(1-Q78/100)),H78="seats_change",(J78-I78)*P78*(1-Q78/100),H78="price_change",(J78-I78)*O78*(1-Q78/100),H78="discount_added",-(O78*P78*(J78-I78)/100),H78="plan_upgrade",O78*(_xlfn.XLOOKUP(J78,$M:$M,$P:$P)-_xlfn.XLOOKUP(I78,$M:$M,$P:$P))*(1-Q78/100),H78="plan_downgrade",O78*(_xlfn.XLOOKUP(J78,$M:$M,$P:$P)-_xlfn.XLOOKUP(I78,$M:$M,$P:$P))*(1-Q78/100)),_xlfn.IFS(H78="created",O78*P78*(1-Q78/100)/12,H78="cancelled",-(O78*P78*(1-Q78/100))/12,H78="seats_change",(J78-I78)*P78*(1-Q78/100)/12,H78="price_change",(J78-I78)*O78*(1-Q78/100)/12,H78="plan_upgrade",(O78*(_xlfn.XLOOKUP(J78,$M:$M,$P:$P)-_xlfn.XLOOKUP(I78,$M:$M,$P:$P))*(1-Q78/100))/12,H78="plan_downgrade",(O78*(_xlfn.XLOOKUP(J78,$M:$M,$P:$P)-_xlfn.XLOOKUP(I78,$M:$M,$P:$P))*(1-Q78/100))/12,H78="discount_added",-(O78*P78*(J78-I78)/100)/12))</f>
        <v>220</v>
      </c>
      <c r="T78" s="193">
        <f>IF(H78&lt;&gt;"created",0,IF(COUNTIFS($C$1:C77,$C78,$H$1:H77,"created")=0,1,0))</f>
        <v>0</v>
      </c>
      <c r="U78" s="193">
        <f t="shared" si="4"/>
        <v>0</v>
      </c>
      <c r="V78" s="193">
        <f t="shared" si="5"/>
        <v>0</v>
      </c>
    </row>
    <row r="79" spans="1:22" ht="14.25" customHeight="1" x14ac:dyDescent="0.25">
      <c r="A79" s="193" t="s">
        <v>963</v>
      </c>
      <c r="B79" s="193" t="s">
        <v>888</v>
      </c>
      <c r="C79" s="193" t="s">
        <v>159</v>
      </c>
      <c r="D79" s="193" t="s">
        <v>160</v>
      </c>
      <c r="E79" s="193" t="s">
        <v>865</v>
      </c>
      <c r="F79" s="194">
        <v>45839</v>
      </c>
      <c r="G79" s="195">
        <v>45858</v>
      </c>
      <c r="H79" s="193" t="s">
        <v>880</v>
      </c>
      <c r="I79" s="193" t="s">
        <v>881</v>
      </c>
      <c r="J79" s="193" t="s">
        <v>880</v>
      </c>
      <c r="K79" s="193" t="s">
        <v>44</v>
      </c>
      <c r="L79" s="193" t="s">
        <v>964</v>
      </c>
      <c r="M79" s="193" t="s">
        <v>93</v>
      </c>
      <c r="N79" s="193" t="s">
        <v>53</v>
      </c>
      <c r="O79" s="193">
        <v>16</v>
      </c>
      <c r="P79" s="193">
        <v>110</v>
      </c>
      <c r="Q79" s="193">
        <v>0</v>
      </c>
      <c r="R79" s="193" t="str" cm="1">
        <f t="array" ref="R79">_xlfn.IFS(H79="created",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196" cm="1">
        <f t="array" ref="S79">IF(N79="Monthly",_xlfn.IFS(H79="created",O79*P79*(1-Q79/100),H79="cancelled",-(O79*P79*(1-Q79/100)),H79="seats_change",(J79-I79)*P79*(1-Q79/100),H79="price_change",(J79-I79)*O79*(1-Q79/100),H79="discount_added",-(O79*P79*(J79-I79)/100),H79="plan_upgrade",O79*(_xlfn.XLOOKUP(J79,$M:$M,$P:$P)-_xlfn.XLOOKUP(I79,$M:$M,$P:$P))*(1-Q79/100),H79="plan_downgrade",O79*(_xlfn.XLOOKUP(J79,$M:$M,$P:$P)-_xlfn.XLOOKUP(I79,$M:$M,$P:$P))*(1-Q79/100)),_xlfn.IFS(H79="created",O79*P79*(1-Q79/100)/12,H79="cancelled",-(O79*P79*(1-Q79/100))/12,H79="seats_change",(J79-I79)*P79*(1-Q79/100)/12,H79="price_change",(J79-I79)*O79*(1-Q79/100)/12,H79="plan_upgrade",(O79*(_xlfn.XLOOKUP(J79,$M:$M,$P:$P)-_xlfn.XLOOKUP(I79,$M:$M,$P:$P))*(1-Q79/100))/12,H79="plan_downgrade",(O79*(_xlfn.XLOOKUP(J79,$M:$M,$P:$P)-_xlfn.XLOOKUP(I79,$M:$M,$P:$P))*(1-Q79/100))/12,H79="discount_added",-(O79*P79*(J79-I79)/100)/12))</f>
        <v>-1760</v>
      </c>
      <c r="T79" s="193">
        <f>IF(H79&lt;&gt;"created",0,IF(COUNTIFS($C$1:C78,$C79,$H$1:H78,"created")=0,1,0))</f>
        <v>0</v>
      </c>
      <c r="U79" s="193">
        <f t="shared" si="4"/>
        <v>0</v>
      </c>
      <c r="V79" s="193">
        <f t="shared" si="5"/>
        <v>0</v>
      </c>
    </row>
    <row r="80" spans="1:22" ht="14.25" customHeight="1" x14ac:dyDescent="0.25">
      <c r="A80" s="193" t="s">
        <v>965</v>
      </c>
      <c r="B80" s="193" t="s">
        <v>251</v>
      </c>
      <c r="C80" s="193" t="s">
        <v>249</v>
      </c>
      <c r="D80" s="193" t="s">
        <v>250</v>
      </c>
      <c r="E80" s="193" t="s">
        <v>865</v>
      </c>
      <c r="F80" s="194">
        <v>45839</v>
      </c>
      <c r="G80" s="195">
        <v>45860</v>
      </c>
      <c r="H80" s="193" t="s">
        <v>933</v>
      </c>
      <c r="I80" s="193">
        <v>14</v>
      </c>
      <c r="J80" s="193">
        <v>18</v>
      </c>
      <c r="K80" s="193" t="s">
        <v>38</v>
      </c>
      <c r="L80" s="193" t="s">
        <v>966</v>
      </c>
      <c r="M80" s="193" t="s">
        <v>93</v>
      </c>
      <c r="N80" s="193" t="s">
        <v>53</v>
      </c>
      <c r="O80" s="193">
        <v>18</v>
      </c>
      <c r="P80" s="193">
        <v>110</v>
      </c>
      <c r="Q80" s="193">
        <v>0</v>
      </c>
      <c r="R80" s="193" t="str" cm="1">
        <f t="array" ref="R80">_xlfn.IFS(H80="created",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196" cm="1">
        <f t="array" ref="S80">IF(N80="Monthly",_xlfn.IFS(H80="created",O80*P80*(1-Q80/100),H80="cancelled",-(O80*P80*(1-Q80/100)),H80="seats_change",(J80-I80)*P80*(1-Q80/100),H80="price_change",(J80-I80)*O80*(1-Q80/100),H80="discount_added",-(O80*P80*(J80-I80)/100),H80="plan_upgrade",O80*(_xlfn.XLOOKUP(J80,$M:$M,$P:$P)-_xlfn.XLOOKUP(I80,$M:$M,$P:$P))*(1-Q80/100),H80="plan_downgrade",O80*(_xlfn.XLOOKUP(J80,$M:$M,$P:$P)-_xlfn.XLOOKUP(I80,$M:$M,$P:$P))*(1-Q80/100)),_xlfn.IFS(H80="created",O80*P80*(1-Q80/100)/12,H80="cancelled",-(O80*P80*(1-Q80/100))/12,H80="seats_change",(J80-I80)*P80*(1-Q80/100)/12,H80="price_change",(J80-I80)*O80*(1-Q80/100)/12,H80="plan_upgrade",(O80*(_xlfn.XLOOKUP(J80,$M:$M,$P:$P)-_xlfn.XLOOKUP(I80,$M:$M,$P:$P))*(1-Q80/100))/12,H80="plan_downgrade",(O80*(_xlfn.XLOOKUP(J80,$M:$M,$P:$P)-_xlfn.XLOOKUP(I80,$M:$M,$P:$P))*(1-Q80/100))/12,H80="discount_added",-(O80*P80*(J80-I80)/100)/12))</f>
        <v>440</v>
      </c>
      <c r="T80" s="193">
        <f>IF(H80&lt;&gt;"created",0,IF(COUNTIFS($C$1:C79,$C80,$H$1:H79,"created")=0,1,0))</f>
        <v>0</v>
      </c>
      <c r="U80" s="193">
        <f t="shared" si="4"/>
        <v>0</v>
      </c>
      <c r="V80" s="193">
        <f t="shared" si="5"/>
        <v>0</v>
      </c>
    </row>
    <row r="81" spans="1:22" ht="14.25" customHeight="1" x14ac:dyDescent="0.25">
      <c r="A81" s="193" t="s">
        <v>967</v>
      </c>
      <c r="B81" s="193" t="s">
        <v>69</v>
      </c>
      <c r="C81" s="193" t="s">
        <v>67</v>
      </c>
      <c r="D81" s="193" t="s">
        <v>68</v>
      </c>
      <c r="E81" s="193" t="s">
        <v>843</v>
      </c>
      <c r="F81" s="194">
        <v>45870</v>
      </c>
      <c r="G81" s="195">
        <v>45872</v>
      </c>
      <c r="H81" s="193" t="s">
        <v>908</v>
      </c>
      <c r="I81" s="193">
        <v>90</v>
      </c>
      <c r="J81" s="193">
        <v>85</v>
      </c>
      <c r="K81" s="193" t="s">
        <v>834</v>
      </c>
      <c r="L81" s="193" t="s">
        <v>968</v>
      </c>
      <c r="M81" s="193" t="s">
        <v>52</v>
      </c>
      <c r="N81" s="193" t="s">
        <v>53</v>
      </c>
      <c r="O81" s="193">
        <v>22</v>
      </c>
      <c r="P81" s="193">
        <v>85</v>
      </c>
      <c r="Q81" s="193">
        <v>0</v>
      </c>
      <c r="R81" s="193" t="str" cm="1">
        <f t="array" ref="R81">_xlfn.IFS(H81="created",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196" cm="1">
        <f t="array" ref="S81">IF(N81="Monthly",_xlfn.IFS(H81="created",O81*P81*(1-Q81/100),H81="cancelled",-(O81*P81*(1-Q81/100)),H81="seats_change",(J81-I81)*P81*(1-Q81/100),H81="price_change",(J81-I81)*O81*(1-Q81/100),H81="discount_added",-(O81*P81*(J81-I81)/100),H81="plan_upgrade",O81*(_xlfn.XLOOKUP(J81,$M:$M,$P:$P)-_xlfn.XLOOKUP(I81,$M:$M,$P:$P))*(1-Q81/100),H81="plan_downgrade",O81*(_xlfn.XLOOKUP(J81,$M:$M,$P:$P)-_xlfn.XLOOKUP(I81,$M:$M,$P:$P))*(1-Q81/100)),_xlfn.IFS(H81="created",O81*P81*(1-Q81/100)/12,H81="cancelled",-(O81*P81*(1-Q81/100))/12,H81="seats_change",(J81-I81)*P81*(1-Q81/100)/12,H81="price_change",(J81-I81)*O81*(1-Q81/100)/12,H81="plan_upgrade",(O81*(_xlfn.XLOOKUP(J81,$M:$M,$P:$P)-_xlfn.XLOOKUP(I81,$M:$M,$P:$P))*(1-Q81/100))/12,H81="plan_downgrade",(O81*(_xlfn.XLOOKUP(J81,$M:$M,$P:$P)-_xlfn.XLOOKUP(I81,$M:$M,$P:$P))*(1-Q81/100))/12,H81="discount_added",-(O81*P81*(J81-I81)/100)/12))</f>
        <v>-110</v>
      </c>
      <c r="T81" s="193">
        <f>IF(H81&lt;&gt;"created",0,IF(COUNTIFS($C$1:C80,$C81,$H$1:H80,"created")=0,1,0))</f>
        <v>0</v>
      </c>
      <c r="U81" s="193">
        <f t="shared" si="4"/>
        <v>0</v>
      </c>
      <c r="V81" s="193">
        <f t="shared" si="5"/>
        <v>0</v>
      </c>
    </row>
    <row r="82" spans="1:22" ht="14.25" customHeight="1" x14ac:dyDescent="0.25">
      <c r="A82" s="193" t="s">
        <v>969</v>
      </c>
      <c r="B82" s="193" t="s">
        <v>171</v>
      </c>
      <c r="C82" s="193" t="s">
        <v>169</v>
      </c>
      <c r="D82" s="193" t="s">
        <v>170</v>
      </c>
      <c r="E82" s="193" t="s">
        <v>846</v>
      </c>
      <c r="F82" s="194">
        <v>45870</v>
      </c>
      <c r="G82" s="195">
        <v>45881</v>
      </c>
      <c r="H82" s="193" t="s">
        <v>958</v>
      </c>
      <c r="I82" s="193" t="s">
        <v>119</v>
      </c>
      <c r="J82" s="193" t="s">
        <v>64</v>
      </c>
      <c r="K82" s="193" t="s">
        <v>34</v>
      </c>
      <c r="L82" s="193" t="s">
        <v>970</v>
      </c>
      <c r="M82" s="193" t="s">
        <v>64</v>
      </c>
      <c r="N82" s="193" t="s">
        <v>53</v>
      </c>
      <c r="O82" s="193">
        <v>26</v>
      </c>
      <c r="P82" s="193">
        <v>180</v>
      </c>
      <c r="Q82" s="193">
        <v>0</v>
      </c>
      <c r="R82" s="193" t="str" cm="1">
        <f t="array" ref="R82">_xlfn.IFS(H82="created",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196" cm="1">
        <f t="array" ref="S82">IF(N82="Monthly",_xlfn.IFS(H82="created",O82*P82*(1-Q82/100),H82="cancelled",-(O82*P82*(1-Q82/100)),H82="seats_change",(J82-I82)*P82*(1-Q82/100),H82="price_change",(J82-I82)*O82*(1-Q82/100),H82="discount_added",-(O82*P82*(J82-I82)/100),H82="plan_upgrade",O82*(_xlfn.XLOOKUP(J82,$M:$M,$P:$P)-_xlfn.XLOOKUP(I82,$M:$M,$P:$P))*(1-Q82/100),H82="plan_downgrade",O82*(_xlfn.XLOOKUP(J82,$M:$M,$P:$P)-_xlfn.XLOOKUP(I82,$M:$M,$P:$P))*(1-Q82/100)),_xlfn.IFS(H82="created",O82*P82*(1-Q82/100)/12,H82="cancelled",-(O82*P82*(1-Q82/100))/12,H82="seats_change",(J82-I82)*P82*(1-Q82/100)/12,H82="price_change",(J82-I82)*O82*(1-Q82/100)/12,H82="plan_upgrade",(O82*(_xlfn.XLOOKUP(J82,$M:$M,$P:$P)-_xlfn.XLOOKUP(I82,$M:$M,$P:$P))*(1-Q82/100))/12,H82="plan_downgrade",(O82*(_xlfn.XLOOKUP(J82,$M:$M,$P:$P)-_xlfn.XLOOKUP(I82,$M:$M,$P:$P))*(1-Q82/100))/12,H82="discount_added",-(O82*P82*(J82-I82)/100)/12))</f>
        <v>2210</v>
      </c>
      <c r="T82" s="193">
        <f>IF(H82&lt;&gt;"created",0,IF(COUNTIFS($C$1:C81,$C82,$H$1:H81,"created")=0,1,0))</f>
        <v>0</v>
      </c>
      <c r="U82" s="193">
        <f t="shared" si="4"/>
        <v>0</v>
      </c>
      <c r="V82" s="193">
        <f t="shared" si="5"/>
        <v>0</v>
      </c>
    </row>
    <row r="83" spans="1:22" ht="14.25" customHeight="1" x14ac:dyDescent="0.25">
      <c r="A83" s="193" t="s">
        <v>971</v>
      </c>
      <c r="B83" s="193" t="s">
        <v>186</v>
      </c>
      <c r="C83" s="193" t="s">
        <v>184</v>
      </c>
      <c r="D83" s="193" t="s">
        <v>185</v>
      </c>
      <c r="E83" s="193" t="s">
        <v>843</v>
      </c>
      <c r="F83" s="194">
        <v>45870</v>
      </c>
      <c r="G83" s="195">
        <v>45888</v>
      </c>
      <c r="H83" s="193" t="s">
        <v>925</v>
      </c>
      <c r="I83" s="193" t="s">
        <v>119</v>
      </c>
      <c r="J83" s="193" t="s">
        <v>58</v>
      </c>
      <c r="K83" s="193" t="s">
        <v>34</v>
      </c>
      <c r="L83" s="193" t="s">
        <v>972</v>
      </c>
      <c r="M83" s="193" t="s">
        <v>58</v>
      </c>
      <c r="N83" s="193" t="s">
        <v>53</v>
      </c>
      <c r="O83" s="193">
        <v>12</v>
      </c>
      <c r="P83" s="193">
        <v>45</v>
      </c>
      <c r="Q83" s="193">
        <v>0</v>
      </c>
      <c r="R83" s="193" t="str" cm="1">
        <f t="array" ref="R83">_xlfn.IFS(H83="created",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196" cm="1">
        <f t="array" ref="S83">IF(N83="Monthly",_xlfn.IFS(H83="created",O83*P83*(1-Q83/100),H83="cancelled",-(O83*P83*(1-Q83/100)),H83="seats_change",(J83-I83)*P83*(1-Q83/100),H83="price_change",(J83-I83)*O83*(1-Q83/100),H83="discount_added",-(O83*P83*(J83-I83)/100),H83="plan_upgrade",O83*(_xlfn.XLOOKUP(J83,$M:$M,$P:$P)-_xlfn.XLOOKUP(I83,$M:$M,$P:$P))*(1-Q83/100),H83="plan_downgrade",O83*(_xlfn.XLOOKUP(J83,$M:$M,$P:$P)-_xlfn.XLOOKUP(I83,$M:$M,$P:$P))*(1-Q83/100)),_xlfn.IFS(H83="created",O83*P83*(1-Q83/100)/12,H83="cancelled",-(O83*P83*(1-Q83/100))/12,H83="seats_change",(J83-I83)*P83*(1-Q83/100)/12,H83="price_change",(J83-I83)*O83*(1-Q83/100)/12,H83="plan_upgrade",(O83*(_xlfn.XLOOKUP(J83,$M:$M,$P:$P)-_xlfn.XLOOKUP(I83,$M:$M,$P:$P))*(1-Q83/100))/12,H83="plan_downgrade",(O83*(_xlfn.XLOOKUP(J83,$M:$M,$P:$P)-_xlfn.XLOOKUP(I83,$M:$M,$P:$P))*(1-Q83/100))/12,H83="discount_added",-(O83*P83*(J83-I83)/100)/12))</f>
        <v>-600</v>
      </c>
      <c r="T83" s="193">
        <f>IF(H83&lt;&gt;"created",0,IF(COUNTIFS($C$1:C82,$C83,$H$1:H82,"created")=0,1,0))</f>
        <v>0</v>
      </c>
      <c r="U83" s="193">
        <f t="shared" si="4"/>
        <v>0</v>
      </c>
      <c r="V83" s="193">
        <f t="shared" si="5"/>
        <v>0</v>
      </c>
    </row>
    <row r="84" spans="1:22" ht="14.25" customHeight="1" x14ac:dyDescent="0.25">
      <c r="A84" s="193" t="s">
        <v>973</v>
      </c>
      <c r="B84" s="193" t="s">
        <v>254</v>
      </c>
      <c r="C84" s="193" t="s">
        <v>174</v>
      </c>
      <c r="D84" s="193" t="s">
        <v>175</v>
      </c>
      <c r="E84" s="193" t="s">
        <v>843</v>
      </c>
      <c r="F84" s="194">
        <v>45870</v>
      </c>
      <c r="G84" s="195">
        <v>45889</v>
      </c>
      <c r="H84" s="193" t="s">
        <v>933</v>
      </c>
      <c r="I84" s="193">
        <v>28</v>
      </c>
      <c r="J84" s="193">
        <v>33</v>
      </c>
      <c r="K84" s="193" t="s">
        <v>38</v>
      </c>
      <c r="L84" s="193" t="s">
        <v>974</v>
      </c>
      <c r="M84" s="193" t="s">
        <v>209</v>
      </c>
      <c r="N84" s="193" t="s">
        <v>53</v>
      </c>
      <c r="O84" s="193">
        <v>33</v>
      </c>
      <c r="P84" s="193">
        <v>150</v>
      </c>
      <c r="Q84" s="193">
        <v>0</v>
      </c>
      <c r="R84" s="193" t="str" cm="1">
        <f t="array" ref="R84">_xlfn.IFS(H84="created",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196" cm="1">
        <f t="array" ref="S84">IF(N84="Monthly",_xlfn.IFS(H84="created",O84*P84*(1-Q84/100),H84="cancelled",-(O84*P84*(1-Q84/100)),H84="seats_change",(J84-I84)*P84*(1-Q84/100),H84="price_change",(J84-I84)*O84*(1-Q84/100),H84="discount_added",-(O84*P84*(J84-I84)/100),H84="plan_upgrade",O84*(_xlfn.XLOOKUP(J84,$M:$M,$P:$P)-_xlfn.XLOOKUP(I84,$M:$M,$P:$P))*(1-Q84/100),H84="plan_downgrade",O84*(_xlfn.XLOOKUP(J84,$M:$M,$P:$P)-_xlfn.XLOOKUP(I84,$M:$M,$P:$P))*(1-Q84/100)),_xlfn.IFS(H84="created",O84*P84*(1-Q84/100)/12,H84="cancelled",-(O84*P84*(1-Q84/100))/12,H84="seats_change",(J84-I84)*P84*(1-Q84/100)/12,H84="price_change",(J84-I84)*O84*(1-Q84/100)/12,H84="plan_upgrade",(O84*(_xlfn.XLOOKUP(J84,$M:$M,$P:$P)-_xlfn.XLOOKUP(I84,$M:$M,$P:$P))*(1-Q84/100))/12,H84="plan_downgrade",(O84*(_xlfn.XLOOKUP(J84,$M:$M,$P:$P)-_xlfn.XLOOKUP(I84,$M:$M,$P:$P))*(1-Q84/100))/12,H84="discount_added",-(O84*P84*(J84-I84)/100)/12))</f>
        <v>750</v>
      </c>
      <c r="T84" s="193">
        <f>IF(H84&lt;&gt;"created",0,IF(COUNTIFS($C$1:C83,$C84,$H$1:H83,"created")=0,1,0))</f>
        <v>0</v>
      </c>
      <c r="U84" s="193">
        <f t="shared" si="4"/>
        <v>0</v>
      </c>
      <c r="V84" s="193">
        <f t="shared" si="5"/>
        <v>0</v>
      </c>
    </row>
    <row r="85" spans="1:22" ht="14.25" customHeight="1" x14ac:dyDescent="0.25">
      <c r="A85" s="193" t="s">
        <v>975</v>
      </c>
      <c r="B85" s="193" t="s">
        <v>850</v>
      </c>
      <c r="C85" s="193" t="s">
        <v>179</v>
      </c>
      <c r="D85" s="193" t="s">
        <v>180</v>
      </c>
      <c r="E85" s="193" t="s">
        <v>846</v>
      </c>
      <c r="F85" s="194">
        <v>45870</v>
      </c>
      <c r="G85" s="195">
        <v>45899</v>
      </c>
      <c r="H85" s="193" t="s">
        <v>880</v>
      </c>
      <c r="I85" s="193" t="s">
        <v>881</v>
      </c>
      <c r="J85" s="193" t="s">
        <v>882</v>
      </c>
      <c r="K85" s="193" t="s">
        <v>44</v>
      </c>
      <c r="L85" s="193" t="s">
        <v>911</v>
      </c>
      <c r="M85" s="193" t="s">
        <v>64</v>
      </c>
      <c r="N85" s="193" t="s">
        <v>53</v>
      </c>
      <c r="O85" s="193">
        <v>26</v>
      </c>
      <c r="P85" s="193">
        <v>180</v>
      </c>
      <c r="Q85" s="193">
        <v>0</v>
      </c>
      <c r="R85" s="193" t="str" cm="1">
        <f t="array" ref="R85">_xlfn.IFS(H85="created",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196" cm="1">
        <f t="array" ref="S85">IF(N85="Monthly",_xlfn.IFS(H85="created",O85*P85*(1-Q85/100),H85="cancelled",-(O85*P85*(1-Q85/100)),H85="seats_change",(J85-I85)*P85*(1-Q85/100),H85="price_change",(J85-I85)*O85*(1-Q85/100),H85="discount_added",-(O85*P85*(J85-I85)/100),H85="plan_upgrade",O85*(_xlfn.XLOOKUP(J85,$M:$M,$P:$P)-_xlfn.XLOOKUP(I85,$M:$M,$P:$P))*(1-Q85/100),H85="plan_downgrade",O85*(_xlfn.XLOOKUP(J85,$M:$M,$P:$P)-_xlfn.XLOOKUP(I85,$M:$M,$P:$P))*(1-Q85/100)),_xlfn.IFS(H85="created",O85*P85*(1-Q85/100)/12,H85="cancelled",-(O85*P85*(1-Q85/100))/12,H85="seats_change",(J85-I85)*P85*(1-Q85/100)/12,H85="price_change",(J85-I85)*O85*(1-Q85/100)/12,H85="plan_upgrade",(O85*(_xlfn.XLOOKUP(J85,$M:$M,$P:$P)-_xlfn.XLOOKUP(I85,$M:$M,$P:$P))*(1-Q85/100))/12,H85="plan_downgrade",(O85*(_xlfn.XLOOKUP(J85,$M:$M,$P:$P)-_xlfn.XLOOKUP(I85,$M:$M,$P:$P))*(1-Q85/100))/12,H85="discount_added",-(O85*P85*(J85-I85)/100)/12))</f>
        <v>-4680</v>
      </c>
      <c r="T85" s="193">
        <f>IF(H85&lt;&gt;"created",0,IF(COUNTIFS($C$1:C84,$C85,$H$1:H84,"created")=0,1,0))</f>
        <v>0</v>
      </c>
      <c r="U85" s="193">
        <f t="shared" si="4"/>
        <v>0</v>
      </c>
      <c r="V85" s="193">
        <f t="shared" si="5"/>
        <v>0</v>
      </c>
    </row>
    <row r="86" spans="1:22" ht="14.25" customHeight="1" x14ac:dyDescent="0.25">
      <c r="A86" s="193" t="s">
        <v>976</v>
      </c>
      <c r="B86" s="193" t="s">
        <v>166</v>
      </c>
      <c r="C86" s="193" t="s">
        <v>164</v>
      </c>
      <c r="D86" s="193" t="s">
        <v>165</v>
      </c>
      <c r="E86" s="193" t="s">
        <v>846</v>
      </c>
      <c r="F86" s="194">
        <v>45901</v>
      </c>
      <c r="G86" s="195">
        <v>45905</v>
      </c>
      <c r="H86" s="193" t="s">
        <v>958</v>
      </c>
      <c r="I86" s="193" t="s">
        <v>58</v>
      </c>
      <c r="J86" s="193" t="s">
        <v>119</v>
      </c>
      <c r="K86" s="193" t="s">
        <v>34</v>
      </c>
      <c r="L86" s="193" t="s">
        <v>977</v>
      </c>
      <c r="M86" s="193" t="s">
        <v>119</v>
      </c>
      <c r="N86" s="193" t="s">
        <v>53</v>
      </c>
      <c r="O86" s="193">
        <v>20</v>
      </c>
      <c r="P86" s="193">
        <v>95</v>
      </c>
      <c r="Q86" s="193">
        <v>0</v>
      </c>
      <c r="R86" s="193" t="str" cm="1">
        <f t="array" ref="R86">_xlfn.IFS(H86="created",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196" cm="1">
        <f t="array" ref="S86">IF(N86="Monthly",_xlfn.IFS(H86="created",O86*P86*(1-Q86/100),H86="cancelled",-(O86*P86*(1-Q86/100)),H86="seats_change",(J86-I86)*P86*(1-Q86/100),H86="price_change",(J86-I86)*O86*(1-Q86/100),H86="discount_added",-(O86*P86*(J86-I86)/100),H86="plan_upgrade",O86*(_xlfn.XLOOKUP(J86,$M:$M,$P:$P)-_xlfn.XLOOKUP(I86,$M:$M,$P:$P))*(1-Q86/100),H86="plan_downgrade",O86*(_xlfn.XLOOKUP(J86,$M:$M,$P:$P)-_xlfn.XLOOKUP(I86,$M:$M,$P:$P))*(1-Q86/100)),_xlfn.IFS(H86="created",O86*P86*(1-Q86/100)/12,H86="cancelled",-(O86*P86*(1-Q86/100))/12,H86="seats_change",(J86-I86)*P86*(1-Q86/100)/12,H86="price_change",(J86-I86)*O86*(1-Q86/100)/12,H86="plan_upgrade",(O86*(_xlfn.XLOOKUP(J86,$M:$M,$P:$P)-_xlfn.XLOOKUP(I86,$M:$M,$P:$P))*(1-Q86/100))/12,H86="plan_downgrade",(O86*(_xlfn.XLOOKUP(J86,$M:$M,$P:$P)-_xlfn.XLOOKUP(I86,$M:$M,$P:$P))*(1-Q86/100))/12,H86="discount_added",-(O86*P86*(J86-I86)/100)/12))</f>
        <v>1000</v>
      </c>
      <c r="T86" s="193">
        <f>IF(H86&lt;&gt;"created",0,IF(COUNTIFS($C$1:C85,$C86,$H$1:H85,"created")=0,1,0))</f>
        <v>0</v>
      </c>
      <c r="U86" s="193">
        <f t="shared" si="4"/>
        <v>0</v>
      </c>
      <c r="V86" s="193">
        <f t="shared" si="5"/>
        <v>0</v>
      </c>
    </row>
    <row r="87" spans="1:22" ht="14.25" customHeight="1" x14ac:dyDescent="0.25">
      <c r="A87" s="193" t="s">
        <v>978</v>
      </c>
      <c r="B87" s="193" t="s">
        <v>84</v>
      </c>
      <c r="C87" s="193" t="s">
        <v>82</v>
      </c>
      <c r="D87" s="193" t="s">
        <v>83</v>
      </c>
      <c r="E87" s="193" t="s">
        <v>846</v>
      </c>
      <c r="F87" s="194">
        <v>45901</v>
      </c>
      <c r="G87" s="195">
        <v>45910</v>
      </c>
      <c r="H87" s="193" t="s">
        <v>933</v>
      </c>
      <c r="I87" s="193">
        <v>26</v>
      </c>
      <c r="J87" s="193">
        <v>31</v>
      </c>
      <c r="K87" s="193" t="s">
        <v>38</v>
      </c>
      <c r="L87" s="193" t="s">
        <v>979</v>
      </c>
      <c r="M87" s="193" t="s">
        <v>64</v>
      </c>
      <c r="N87" s="193" t="s">
        <v>53</v>
      </c>
      <c r="O87" s="193">
        <v>31</v>
      </c>
      <c r="P87" s="193">
        <v>180</v>
      </c>
      <c r="Q87" s="193">
        <v>0</v>
      </c>
      <c r="R87" s="193" t="str" cm="1">
        <f t="array" ref="R87">_xlfn.IFS(H87="created",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196" cm="1">
        <f t="array" ref="S87">IF(N87="Monthly",_xlfn.IFS(H87="created",O87*P87*(1-Q87/100),H87="cancelled",-(O87*P87*(1-Q87/100)),H87="seats_change",(J87-I87)*P87*(1-Q87/100),H87="price_change",(J87-I87)*O87*(1-Q87/100),H87="discount_added",-(O87*P87*(J87-I87)/100),H87="plan_upgrade",O87*(_xlfn.XLOOKUP(J87,$M:$M,$P:$P)-_xlfn.XLOOKUP(I87,$M:$M,$P:$P))*(1-Q87/100),H87="plan_downgrade",O87*(_xlfn.XLOOKUP(J87,$M:$M,$P:$P)-_xlfn.XLOOKUP(I87,$M:$M,$P:$P))*(1-Q87/100)),_xlfn.IFS(H87="created",O87*P87*(1-Q87/100)/12,H87="cancelled",-(O87*P87*(1-Q87/100))/12,H87="seats_change",(J87-I87)*P87*(1-Q87/100)/12,H87="price_change",(J87-I87)*O87*(1-Q87/100)/12,H87="plan_upgrade",(O87*(_xlfn.XLOOKUP(J87,$M:$M,$P:$P)-_xlfn.XLOOKUP(I87,$M:$M,$P:$P))*(1-Q87/100))/12,H87="plan_downgrade",(O87*(_xlfn.XLOOKUP(J87,$M:$M,$P:$P)-_xlfn.XLOOKUP(I87,$M:$M,$P:$P))*(1-Q87/100))/12,H87="discount_added",-(O87*P87*(J87-I87)/100)/12))</f>
        <v>900</v>
      </c>
      <c r="T87" s="193">
        <f>IF(H87&lt;&gt;"created",0,IF(COUNTIFS($C$1:C86,$C87,$H$1:H86,"created")=0,1,0))</f>
        <v>0</v>
      </c>
      <c r="U87" s="193">
        <f t="shared" si="4"/>
        <v>0</v>
      </c>
      <c r="V87" s="193">
        <f t="shared" si="5"/>
        <v>0</v>
      </c>
    </row>
    <row r="88" spans="1:22" ht="14.25" customHeight="1" x14ac:dyDescent="0.25">
      <c r="A88" s="193" t="s">
        <v>980</v>
      </c>
      <c r="B88" s="193" t="s">
        <v>274</v>
      </c>
      <c r="C88" s="193" t="s">
        <v>272</v>
      </c>
      <c r="D88" s="193" t="s">
        <v>273</v>
      </c>
      <c r="E88" s="193" t="s">
        <v>843</v>
      </c>
      <c r="F88" s="194">
        <v>45901</v>
      </c>
      <c r="G88" s="195">
        <v>45930</v>
      </c>
      <c r="H88" s="193" t="s">
        <v>908</v>
      </c>
      <c r="I88" s="193">
        <v>90</v>
      </c>
      <c r="J88" s="193">
        <v>85</v>
      </c>
      <c r="K88" s="193" t="s">
        <v>834</v>
      </c>
      <c r="L88" s="193" t="s">
        <v>981</v>
      </c>
      <c r="M88" s="193" t="s">
        <v>52</v>
      </c>
      <c r="N88" s="193" t="s">
        <v>53</v>
      </c>
      <c r="O88" s="193">
        <v>25</v>
      </c>
      <c r="P88" s="193">
        <v>85</v>
      </c>
      <c r="Q88" s="193">
        <v>0</v>
      </c>
      <c r="R88" s="193" t="str" cm="1">
        <f t="array" ref="R88">_xlfn.IFS(H88="created",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196" cm="1">
        <f t="array" ref="S88">IF(N88="Monthly",_xlfn.IFS(H88="created",O88*P88*(1-Q88/100),H88="cancelled",-(O88*P88*(1-Q88/100)),H88="seats_change",(J88-I88)*P88*(1-Q88/100),H88="price_change",(J88-I88)*O88*(1-Q88/100),H88="discount_added",-(O88*P88*(J88-I88)/100),H88="plan_upgrade",O88*(_xlfn.XLOOKUP(J88,$M:$M,$P:$P)-_xlfn.XLOOKUP(I88,$M:$M,$P:$P))*(1-Q88/100),H88="plan_downgrade",O88*(_xlfn.XLOOKUP(J88,$M:$M,$P:$P)-_xlfn.XLOOKUP(I88,$M:$M,$P:$P))*(1-Q88/100)),_xlfn.IFS(H88="created",O88*P88*(1-Q88/100)/12,H88="cancelled",-(O88*P88*(1-Q88/100))/12,H88="seats_change",(J88-I88)*P88*(1-Q88/100)/12,H88="price_change",(J88-I88)*O88*(1-Q88/100)/12,H88="plan_upgrade",(O88*(_xlfn.XLOOKUP(J88,$M:$M,$P:$P)-_xlfn.XLOOKUP(I88,$M:$M,$P:$P))*(1-Q88/100))/12,H88="plan_downgrade",(O88*(_xlfn.XLOOKUP(J88,$M:$M,$P:$P)-_xlfn.XLOOKUP(I88,$M:$M,$P:$P))*(1-Q88/100))/12,H88="discount_added",-(O88*P88*(J88-I88)/100)/12))</f>
        <v>-125</v>
      </c>
      <c r="T88" s="193">
        <f>IF(H88&lt;&gt;"created",0,IF(COUNTIFS($C$1:C87,$C88,$H$1:H87,"created")=0,1,0))</f>
        <v>0</v>
      </c>
      <c r="U88" s="193">
        <f t="shared" si="4"/>
        <v>0</v>
      </c>
      <c r="V88" s="193">
        <f t="shared" si="5"/>
        <v>0</v>
      </c>
    </row>
    <row r="89" spans="1:22" ht="14.25" customHeight="1" x14ac:dyDescent="0.25">
      <c r="A89" s="193" t="s">
        <v>982</v>
      </c>
      <c r="B89" s="193" t="s">
        <v>236</v>
      </c>
      <c r="C89" s="193" t="s">
        <v>106</v>
      </c>
      <c r="D89" s="193" t="s">
        <v>107</v>
      </c>
      <c r="E89" s="193" t="s">
        <v>846</v>
      </c>
      <c r="F89" s="194">
        <v>45931</v>
      </c>
      <c r="G89" s="195">
        <v>45935</v>
      </c>
      <c r="H89" s="193" t="s">
        <v>933</v>
      </c>
      <c r="I89" s="193">
        <v>26</v>
      </c>
      <c r="J89" s="193">
        <v>31</v>
      </c>
      <c r="K89" s="193" t="s">
        <v>38</v>
      </c>
      <c r="L89" s="193" t="s">
        <v>983</v>
      </c>
      <c r="M89" s="193" t="s">
        <v>52</v>
      </c>
      <c r="N89" s="193" t="s">
        <v>53</v>
      </c>
      <c r="O89" s="193">
        <v>31</v>
      </c>
      <c r="P89" s="193">
        <v>85</v>
      </c>
      <c r="Q89" s="193">
        <v>0</v>
      </c>
      <c r="R89" s="193" t="str" cm="1">
        <f t="array" ref="R89">_xlfn.IFS(H89="created",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196" cm="1">
        <f t="array" ref="S89">IF(N89="Monthly",_xlfn.IFS(H89="created",O89*P89*(1-Q89/100),H89="cancelled",-(O89*P89*(1-Q89/100)),H89="seats_change",(J89-I89)*P89*(1-Q89/100),H89="price_change",(J89-I89)*O89*(1-Q89/100),H89="discount_added",-(O89*P89*(J89-I89)/100),H89="plan_upgrade",O89*(_xlfn.XLOOKUP(J89,$M:$M,$P:$P)-_xlfn.XLOOKUP(I89,$M:$M,$P:$P))*(1-Q89/100),H89="plan_downgrade",O89*(_xlfn.XLOOKUP(J89,$M:$M,$P:$P)-_xlfn.XLOOKUP(I89,$M:$M,$P:$P))*(1-Q89/100)),_xlfn.IFS(H89="created",O89*P89*(1-Q89/100)/12,H89="cancelled",-(O89*P89*(1-Q89/100))/12,H89="seats_change",(J89-I89)*P89*(1-Q89/100)/12,H89="price_change",(J89-I89)*O89*(1-Q89/100)/12,H89="plan_upgrade",(O89*(_xlfn.XLOOKUP(J89,$M:$M,$P:$P)-_xlfn.XLOOKUP(I89,$M:$M,$P:$P))*(1-Q89/100))/12,H89="plan_downgrade",(O89*(_xlfn.XLOOKUP(J89,$M:$M,$P:$P)-_xlfn.XLOOKUP(I89,$M:$M,$P:$P))*(1-Q89/100))/12,H89="discount_added",-(O89*P89*(J89-I89)/100)/12))</f>
        <v>425</v>
      </c>
      <c r="T89" s="193">
        <f>IF(H89&lt;&gt;"created",0,IF(COUNTIFS($C$1:C88,$C89,$H$1:H88,"created")=0,1,0))</f>
        <v>0</v>
      </c>
      <c r="U89" s="193">
        <f t="shared" si="4"/>
        <v>0</v>
      </c>
      <c r="V89" s="193">
        <f t="shared" si="5"/>
        <v>0</v>
      </c>
    </row>
    <row r="90" spans="1:22" ht="14.25" customHeight="1" x14ac:dyDescent="0.25">
      <c r="A90" s="193" t="s">
        <v>984</v>
      </c>
      <c r="B90" s="193" t="s">
        <v>156</v>
      </c>
      <c r="C90" s="193" t="s">
        <v>154</v>
      </c>
      <c r="D90" s="193" t="s">
        <v>155</v>
      </c>
      <c r="E90" s="193" t="s">
        <v>843</v>
      </c>
      <c r="F90" s="194">
        <v>45931</v>
      </c>
      <c r="G90" s="195">
        <v>45945</v>
      </c>
      <c r="H90" s="193" t="s">
        <v>844</v>
      </c>
      <c r="L90" s="193" t="s">
        <v>946</v>
      </c>
      <c r="M90" s="193" t="s">
        <v>52</v>
      </c>
      <c r="N90" s="193" t="s">
        <v>53</v>
      </c>
      <c r="O90" s="193">
        <v>11</v>
      </c>
      <c r="P90" s="193">
        <v>85</v>
      </c>
      <c r="Q90" s="193">
        <v>0</v>
      </c>
      <c r="R90" s="193" t="str" cm="1">
        <f t="array" ref="R90">_xlfn.IFS(H90="created",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196" cm="1">
        <f t="array" ref="S90">IF(N90="Monthly",_xlfn.IFS(H90="created",O90*P90*(1-Q90/100),H90="cancelled",-(O90*P90*(1-Q90/100)),H90="seats_change",(J90-I90)*P90*(1-Q90/100),H90="price_change",(J90-I90)*O90*(1-Q90/100),H90="discount_added",-(O90*P90*(J90-I90)/100),H90="plan_upgrade",O90*(_xlfn.XLOOKUP(J90,$M:$M,$P:$P)-_xlfn.XLOOKUP(I90,$M:$M,$P:$P))*(1-Q90/100),H90="plan_downgrade",O90*(_xlfn.XLOOKUP(J90,$M:$M,$P:$P)-_xlfn.XLOOKUP(I90,$M:$M,$P:$P))*(1-Q90/100)),_xlfn.IFS(H90="created",O90*P90*(1-Q90/100)/12,H90="cancelled",-(O90*P90*(1-Q90/100))/12,H90="seats_change",(J90-I90)*P90*(1-Q90/100)/12,H90="price_change",(J90-I90)*O90*(1-Q90/100)/12,H90="plan_upgrade",(O90*(_xlfn.XLOOKUP(J90,$M:$M,$P:$P)-_xlfn.XLOOKUP(I90,$M:$M,$P:$P))*(1-Q90/100))/12,H90="plan_downgrade",(O90*(_xlfn.XLOOKUP(J90,$M:$M,$P:$P)-_xlfn.XLOOKUP(I90,$M:$M,$P:$P))*(1-Q90/100))/12,H90="discount_added",-(O90*P90*(J90-I90)/100)/12))</f>
        <v>935</v>
      </c>
      <c r="T90" s="193">
        <f>IF(H90&lt;&gt;"created",0,IF(COUNTIFS($C$1:C89,$C90,$H$1:H89,"created")=0,1,0))</f>
        <v>0</v>
      </c>
      <c r="U90" s="193">
        <f t="shared" si="4"/>
        <v>0</v>
      </c>
      <c r="V90" s="193">
        <f t="shared" si="5"/>
        <v>1</v>
      </c>
    </row>
    <row r="91" spans="1:22" ht="14.25" customHeight="1" x14ac:dyDescent="0.25">
      <c r="A91" s="193" t="s">
        <v>985</v>
      </c>
      <c r="B91" s="193" t="s">
        <v>130</v>
      </c>
      <c r="C91" s="193" t="s">
        <v>128</v>
      </c>
      <c r="D91" s="193" t="s">
        <v>129</v>
      </c>
      <c r="E91" s="193" t="s">
        <v>865</v>
      </c>
      <c r="F91" s="194">
        <v>45931</v>
      </c>
      <c r="G91" s="195">
        <v>45950</v>
      </c>
      <c r="H91" s="193" t="s">
        <v>958</v>
      </c>
      <c r="I91" s="193" t="s">
        <v>58</v>
      </c>
      <c r="J91" s="193" t="s">
        <v>119</v>
      </c>
      <c r="K91" s="193" t="s">
        <v>34</v>
      </c>
      <c r="L91" s="193" t="s">
        <v>986</v>
      </c>
      <c r="M91" s="193" t="s">
        <v>119</v>
      </c>
      <c r="N91" s="193" t="s">
        <v>53</v>
      </c>
      <c r="O91" s="193">
        <v>18</v>
      </c>
      <c r="P91" s="193">
        <v>95</v>
      </c>
      <c r="Q91" s="193">
        <v>0</v>
      </c>
      <c r="R91" s="193" t="str" cm="1">
        <f t="array" ref="R91">_xlfn.IFS(H91="created",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196" cm="1">
        <f t="array" ref="S91">IF(N91="Monthly",_xlfn.IFS(H91="created",O91*P91*(1-Q91/100),H91="cancelled",-(O91*P91*(1-Q91/100)),H91="seats_change",(J91-I91)*P91*(1-Q91/100),H91="price_change",(J91-I91)*O91*(1-Q91/100),H91="discount_added",-(O91*P91*(J91-I91)/100),H91="plan_upgrade",O91*(_xlfn.XLOOKUP(J91,$M:$M,$P:$P)-_xlfn.XLOOKUP(I91,$M:$M,$P:$P))*(1-Q91/100),H91="plan_downgrade",O91*(_xlfn.XLOOKUP(J91,$M:$M,$P:$P)-_xlfn.XLOOKUP(I91,$M:$M,$P:$P))*(1-Q91/100)),_xlfn.IFS(H91="created",O91*P91*(1-Q91/100)/12,H91="cancelled",-(O91*P91*(1-Q91/100))/12,H91="seats_change",(J91-I91)*P91*(1-Q91/100)/12,H91="price_change",(J91-I91)*O91*(1-Q91/100)/12,H91="plan_upgrade",(O91*(_xlfn.XLOOKUP(J91,$M:$M,$P:$P)-_xlfn.XLOOKUP(I91,$M:$M,$P:$P))*(1-Q91/100))/12,H91="plan_downgrade",(O91*(_xlfn.XLOOKUP(J91,$M:$M,$P:$P)-_xlfn.XLOOKUP(I91,$M:$M,$P:$P))*(1-Q91/100))/12,H91="discount_added",-(O91*P91*(J91-I91)/100)/12))</f>
        <v>900</v>
      </c>
      <c r="T91" s="193">
        <f>IF(H91&lt;&gt;"created",0,IF(COUNTIFS($C$1:C90,$C91,$H$1:H90,"created")=0,1,0))</f>
        <v>0</v>
      </c>
      <c r="U91" s="193">
        <f t="shared" si="4"/>
        <v>0</v>
      </c>
      <c r="V91" s="193">
        <f t="shared" si="5"/>
        <v>0</v>
      </c>
    </row>
    <row r="92" spans="1:22" ht="14.25" customHeight="1" x14ac:dyDescent="0.25">
      <c r="A92" s="193" t="s">
        <v>987</v>
      </c>
      <c r="B92" s="193" t="s">
        <v>874</v>
      </c>
      <c r="C92" s="193" t="s">
        <v>213</v>
      </c>
      <c r="D92" s="193" t="s">
        <v>214</v>
      </c>
      <c r="E92" s="193" t="s">
        <v>846</v>
      </c>
      <c r="F92" s="194">
        <v>45962</v>
      </c>
      <c r="G92" s="195">
        <v>45962</v>
      </c>
      <c r="H92" s="193" t="s">
        <v>929</v>
      </c>
      <c r="I92" s="193">
        <v>0</v>
      </c>
      <c r="J92" s="193">
        <v>10</v>
      </c>
      <c r="K92" s="193" t="s">
        <v>835</v>
      </c>
      <c r="L92" s="193" t="s">
        <v>988</v>
      </c>
      <c r="M92" s="193" t="s">
        <v>119</v>
      </c>
      <c r="N92" s="193" t="s">
        <v>53</v>
      </c>
      <c r="O92" s="193">
        <v>19</v>
      </c>
      <c r="P92" s="193">
        <v>95</v>
      </c>
      <c r="Q92" s="193">
        <v>10</v>
      </c>
      <c r="R92" s="193" t="str" cm="1">
        <f t="array" ref="R92">_xlfn.IFS(H92="created",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196" cm="1">
        <f t="array" ref="S92">IF(N92="Monthly",_xlfn.IFS(H92="created",O92*P92*(1-Q92/100),H92="cancelled",-(O92*P92*(1-Q92/100)),H92="seats_change",(J92-I92)*P92*(1-Q92/100),H92="price_change",(J92-I92)*O92*(1-Q92/100),H92="discount_added",-(O92*P92*(J92-I92)/100),H92="plan_upgrade",O92*(_xlfn.XLOOKUP(J92,$M:$M,$P:$P)-_xlfn.XLOOKUP(I92,$M:$M,$P:$P))*(1-Q92/100),H92="plan_downgrade",O92*(_xlfn.XLOOKUP(J92,$M:$M,$P:$P)-_xlfn.XLOOKUP(I92,$M:$M,$P:$P))*(1-Q92/100)),_xlfn.IFS(H92="created",O92*P92*(1-Q92/100)/12,H92="cancelled",-(O92*P92*(1-Q92/100))/12,H92="seats_change",(J92-I92)*P92*(1-Q92/100)/12,H92="price_change",(J92-I92)*O92*(1-Q92/100)/12,H92="plan_upgrade",(O92*(_xlfn.XLOOKUP(J92,$M:$M,$P:$P)-_xlfn.XLOOKUP(I92,$M:$M,$P:$P))*(1-Q92/100))/12,H92="plan_downgrade",(O92*(_xlfn.XLOOKUP(J92,$M:$M,$P:$P)-_xlfn.XLOOKUP(I92,$M:$M,$P:$P))*(1-Q92/100))/12,H92="discount_added",-(O92*P92*(J92-I92)/100)/12))</f>
        <v>-180.5</v>
      </c>
      <c r="T92" s="193">
        <f>IF(H92&lt;&gt;"created",0,IF(COUNTIFS($C$1:C91,$C92,$H$1:H91,"created")=0,1,0))</f>
        <v>0</v>
      </c>
      <c r="U92" s="193">
        <f t="shared" si="4"/>
        <v>0</v>
      </c>
      <c r="V92" s="193">
        <f t="shared" si="5"/>
        <v>0</v>
      </c>
    </row>
    <row r="93" spans="1:22" ht="14.25" customHeight="1" x14ac:dyDescent="0.25">
      <c r="A93" s="193" t="s">
        <v>989</v>
      </c>
      <c r="B93" s="193" t="s">
        <v>233</v>
      </c>
      <c r="C93" s="193" t="s">
        <v>231</v>
      </c>
      <c r="D93" s="193" t="s">
        <v>232</v>
      </c>
      <c r="E93" s="193" t="s">
        <v>843</v>
      </c>
      <c r="F93" s="194">
        <v>45962</v>
      </c>
      <c r="G93" s="195">
        <v>45976</v>
      </c>
      <c r="H93" s="193" t="s">
        <v>933</v>
      </c>
      <c r="I93" s="193">
        <v>32</v>
      </c>
      <c r="J93" s="193">
        <v>29</v>
      </c>
      <c r="K93" s="193" t="s">
        <v>38</v>
      </c>
      <c r="L93" s="193" t="s">
        <v>990</v>
      </c>
      <c r="M93" s="193" t="s">
        <v>52</v>
      </c>
      <c r="N93" s="193" t="s">
        <v>53</v>
      </c>
      <c r="O93" s="193">
        <v>29</v>
      </c>
      <c r="P93" s="193">
        <v>85</v>
      </c>
      <c r="Q93" s="193">
        <v>0</v>
      </c>
      <c r="R93" s="193" t="str" cm="1">
        <f t="array" ref="R93">_xlfn.IFS(H93="created",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196" cm="1">
        <f t="array" ref="S93">IF(N93="Monthly",_xlfn.IFS(H93="created",O93*P93*(1-Q93/100),H93="cancelled",-(O93*P93*(1-Q93/100)),H93="seats_change",(J93-I93)*P93*(1-Q93/100),H93="price_change",(J93-I93)*O93*(1-Q93/100),H93="discount_added",-(O93*P93*(J93-I93)/100),H93="plan_upgrade",O93*(_xlfn.XLOOKUP(J93,$M:$M,$P:$P)-_xlfn.XLOOKUP(I93,$M:$M,$P:$P))*(1-Q93/100),H93="plan_downgrade",O93*(_xlfn.XLOOKUP(J93,$M:$M,$P:$P)-_xlfn.XLOOKUP(I93,$M:$M,$P:$P))*(1-Q93/100)),_xlfn.IFS(H93="created",O93*P93*(1-Q93/100)/12,H93="cancelled",-(O93*P93*(1-Q93/100))/12,H93="seats_change",(J93-I93)*P93*(1-Q93/100)/12,H93="price_change",(J93-I93)*O93*(1-Q93/100)/12,H93="plan_upgrade",(O93*(_xlfn.XLOOKUP(J93,$M:$M,$P:$P)-_xlfn.XLOOKUP(I93,$M:$M,$P:$P))*(1-Q93/100))/12,H93="plan_downgrade",(O93*(_xlfn.XLOOKUP(J93,$M:$M,$P:$P)-_xlfn.XLOOKUP(I93,$M:$M,$P:$P))*(1-Q93/100))/12,H93="discount_added",-(O93*P93*(J93-I93)/100)/12))</f>
        <v>-255</v>
      </c>
      <c r="T93" s="193">
        <f>IF(H93&lt;&gt;"created",0,IF(COUNTIFS($C$1:C92,$C93,$H$1:H92,"created")=0,1,0))</f>
        <v>0</v>
      </c>
      <c r="U93" s="193">
        <f t="shared" si="4"/>
        <v>0</v>
      </c>
      <c r="V93" s="193">
        <f t="shared" si="5"/>
        <v>0</v>
      </c>
    </row>
    <row r="94" spans="1:22" ht="14.25" customHeight="1" x14ac:dyDescent="0.25">
      <c r="A94" s="193" t="s">
        <v>991</v>
      </c>
      <c r="B94" s="193" t="s">
        <v>176</v>
      </c>
      <c r="C94" s="193" t="s">
        <v>174</v>
      </c>
      <c r="D94" s="193" t="s">
        <v>175</v>
      </c>
      <c r="E94" s="193" t="s">
        <v>843</v>
      </c>
      <c r="F94" s="194">
        <v>45992</v>
      </c>
      <c r="G94" s="195">
        <v>45999</v>
      </c>
      <c r="H94" s="193" t="s">
        <v>933</v>
      </c>
      <c r="I94" s="193">
        <v>22</v>
      </c>
      <c r="J94" s="193">
        <v>26</v>
      </c>
      <c r="K94" s="193" t="s">
        <v>38</v>
      </c>
      <c r="L94" s="193" t="s">
        <v>992</v>
      </c>
      <c r="M94" s="193" t="s">
        <v>93</v>
      </c>
      <c r="N94" s="193" t="s">
        <v>53</v>
      </c>
      <c r="O94" s="193">
        <v>26</v>
      </c>
      <c r="P94" s="193">
        <v>110</v>
      </c>
      <c r="Q94" s="193">
        <v>0</v>
      </c>
      <c r="R94" s="193" t="str" cm="1">
        <f t="array" ref="R94">_xlfn.IFS(H94="created",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196" cm="1">
        <f t="array" ref="S94">IF(N94="Monthly",_xlfn.IFS(H94="created",O94*P94*(1-Q94/100),H94="cancelled",-(O94*P94*(1-Q94/100)),H94="seats_change",(J94-I94)*P94*(1-Q94/100),H94="price_change",(J94-I94)*O94*(1-Q94/100),H94="discount_added",-(O94*P94*(J94-I94)/100),H94="plan_upgrade",O94*(_xlfn.XLOOKUP(J94,$M:$M,$P:$P)-_xlfn.XLOOKUP(I94,$M:$M,$P:$P))*(1-Q94/100),H94="plan_downgrade",O94*(_xlfn.XLOOKUP(J94,$M:$M,$P:$P)-_xlfn.XLOOKUP(I94,$M:$M,$P:$P))*(1-Q94/100)),_xlfn.IFS(H94="created",O94*P94*(1-Q94/100)/12,H94="cancelled",-(O94*P94*(1-Q94/100))/12,H94="seats_change",(J94-I94)*P94*(1-Q94/100)/12,H94="price_change",(J94-I94)*O94*(1-Q94/100)/12,H94="plan_upgrade",(O94*(_xlfn.XLOOKUP(J94,$M:$M,$P:$P)-_xlfn.XLOOKUP(I94,$M:$M,$P:$P))*(1-Q94/100))/12,H94="plan_downgrade",(O94*(_xlfn.XLOOKUP(J94,$M:$M,$P:$P)-_xlfn.XLOOKUP(I94,$M:$M,$P:$P))*(1-Q94/100))/12,H94="discount_added",-(O94*P94*(J94-I94)/100)/12))</f>
        <v>440</v>
      </c>
      <c r="T94" s="193">
        <f>IF(H94&lt;&gt;"created",0,IF(COUNTIFS($C$1:C93,$C94,$H$1:H93,"created")=0,1,0))</f>
        <v>0</v>
      </c>
      <c r="U94" s="193">
        <f t="shared" si="4"/>
        <v>0</v>
      </c>
      <c r="V94" s="193">
        <f t="shared" si="5"/>
        <v>0</v>
      </c>
    </row>
    <row r="95" spans="1:22" ht="14.25" customHeight="1" x14ac:dyDescent="0.25">
      <c r="A95" s="193" t="s">
        <v>993</v>
      </c>
      <c r="B95" s="193" t="s">
        <v>57</v>
      </c>
      <c r="C95" s="193" t="s">
        <v>49</v>
      </c>
      <c r="D95" s="193" t="s">
        <v>50</v>
      </c>
      <c r="E95" s="193" t="s">
        <v>843</v>
      </c>
      <c r="F95" s="194">
        <v>45992</v>
      </c>
      <c r="G95" s="195">
        <v>46006</v>
      </c>
      <c r="H95" s="193" t="s">
        <v>929</v>
      </c>
      <c r="I95" s="193">
        <v>0</v>
      </c>
      <c r="J95" s="193">
        <v>12</v>
      </c>
      <c r="K95" s="193" t="s">
        <v>835</v>
      </c>
      <c r="L95" s="193" t="s">
        <v>994</v>
      </c>
      <c r="M95" s="193" t="s">
        <v>58</v>
      </c>
      <c r="N95" s="193" t="s">
        <v>53</v>
      </c>
      <c r="O95" s="193">
        <v>15</v>
      </c>
      <c r="P95" s="193">
        <v>45</v>
      </c>
      <c r="Q95" s="193">
        <v>12</v>
      </c>
      <c r="R95" s="193" t="str" cm="1">
        <f t="array" ref="R95">_xlfn.IFS(H95="created",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196" cm="1">
        <f t="array" ref="S95">IF(N95="Monthly",_xlfn.IFS(H95="created",O95*P95*(1-Q95/100),H95="cancelled",-(O95*P95*(1-Q95/100)),H95="seats_change",(J95-I95)*P95*(1-Q95/100),H95="price_change",(J95-I95)*O95*(1-Q95/100),H95="discount_added",-(O95*P95*(J95-I95)/100),H95="plan_upgrade",O95*(_xlfn.XLOOKUP(J95,$M:$M,$P:$P)-_xlfn.XLOOKUP(I95,$M:$M,$P:$P))*(1-Q95/100),H95="plan_downgrade",O95*(_xlfn.XLOOKUP(J95,$M:$M,$P:$P)-_xlfn.XLOOKUP(I95,$M:$M,$P:$P))*(1-Q95/100)),_xlfn.IFS(H95="created",O95*P95*(1-Q95/100)/12,H95="cancelled",-(O95*P95*(1-Q95/100))/12,H95="seats_change",(J95-I95)*P95*(1-Q95/100)/12,H95="price_change",(J95-I95)*O95*(1-Q95/100)/12,H95="plan_upgrade",(O95*(_xlfn.XLOOKUP(J95,$M:$M,$P:$P)-_xlfn.XLOOKUP(I95,$M:$M,$P:$P))*(1-Q95/100))/12,H95="plan_downgrade",(O95*(_xlfn.XLOOKUP(J95,$M:$M,$P:$P)-_xlfn.XLOOKUP(I95,$M:$M,$P:$P))*(1-Q95/100))/12,H95="discount_added",-(O95*P95*(J95-I95)/100)/12))</f>
        <v>-81</v>
      </c>
      <c r="T95" s="193">
        <f>IF(H95&lt;&gt;"created",0,IF(COUNTIFS($C$1:C94,$C95,$H$1:H94,"created")=0,1,0))</f>
        <v>0</v>
      </c>
      <c r="U95" s="193">
        <f t="shared" si="4"/>
        <v>0</v>
      </c>
      <c r="V95" s="193">
        <f t="shared" si="5"/>
        <v>0</v>
      </c>
    </row>
    <row r="96" spans="1:22" ht="14.25" customHeight="1" x14ac:dyDescent="0.25">
      <c r="A96" s="193" t="s">
        <v>995</v>
      </c>
      <c r="B96" s="193" t="s">
        <v>874</v>
      </c>
      <c r="C96" s="193" t="s">
        <v>213</v>
      </c>
      <c r="D96" s="193" t="s">
        <v>214</v>
      </c>
      <c r="E96" s="193" t="s">
        <v>846</v>
      </c>
      <c r="F96" s="194">
        <v>45992</v>
      </c>
      <c r="G96" s="195">
        <v>46021</v>
      </c>
      <c r="H96" s="193" t="s">
        <v>880</v>
      </c>
      <c r="I96" s="193" t="s">
        <v>881</v>
      </c>
      <c r="J96" s="193" t="s">
        <v>882</v>
      </c>
      <c r="K96" s="193" t="s">
        <v>44</v>
      </c>
      <c r="L96" s="193" t="s">
        <v>911</v>
      </c>
      <c r="M96" s="193" t="s">
        <v>119</v>
      </c>
      <c r="N96" s="193" t="s">
        <v>53</v>
      </c>
      <c r="O96" s="193">
        <v>19</v>
      </c>
      <c r="P96" s="193">
        <v>95</v>
      </c>
      <c r="Q96" s="193">
        <v>10</v>
      </c>
      <c r="R96" s="193" t="str" cm="1">
        <f t="array" ref="R96">_xlfn.IFS(H96="created",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196" cm="1">
        <f t="array" ref="S96">IF(N96="Monthly",_xlfn.IFS(H96="created",O96*P96*(1-Q96/100),H96="cancelled",-(O96*P96*(1-Q96/100)),H96="seats_change",(J96-I96)*P96*(1-Q96/100),H96="price_change",(J96-I96)*O96*(1-Q96/100),H96="discount_added",-(O96*P96*(J96-I96)/100),H96="plan_upgrade",O96*(_xlfn.XLOOKUP(J96,$M:$M,$P:$P)-_xlfn.XLOOKUP(I96,$M:$M,$P:$P))*(1-Q96/100),H96="plan_downgrade",O96*(_xlfn.XLOOKUP(J96,$M:$M,$P:$P)-_xlfn.XLOOKUP(I96,$M:$M,$P:$P))*(1-Q96/100)),_xlfn.IFS(H96="created",O96*P96*(1-Q96/100)/12,H96="cancelled",-(O96*P96*(1-Q96/100))/12,H96="seats_change",(J96-I96)*P96*(1-Q96/100)/12,H96="price_change",(J96-I96)*O96*(1-Q96/100)/12,H96="plan_upgrade",(O96*(_xlfn.XLOOKUP(J96,$M:$M,$P:$P)-_xlfn.XLOOKUP(I96,$M:$M,$P:$P))*(1-Q96/100))/12,H96="plan_downgrade",(O96*(_xlfn.XLOOKUP(J96,$M:$M,$P:$P)-_xlfn.XLOOKUP(I96,$M:$M,$P:$P))*(1-Q96/100))/12,H96="discount_added",-(O96*P96*(J96-I96)/100)/12))</f>
        <v>-1624.5</v>
      </c>
      <c r="T96" s="193">
        <f>IF(H96&lt;&gt;"created",0,IF(COUNTIFS($C$1:C95,$C96,$H$1:H95,"created")=0,1,0))</f>
        <v>0</v>
      </c>
      <c r="U96" s="193">
        <f t="shared" si="4"/>
        <v>0</v>
      </c>
      <c r="V96" s="193">
        <f t="shared" si="5"/>
        <v>0</v>
      </c>
    </row>
    <row r="97" spans="1:22" ht="14.25" customHeight="1" x14ac:dyDescent="0.25">
      <c r="A97" s="193" t="s">
        <v>996</v>
      </c>
      <c r="B97" s="193" t="s">
        <v>246</v>
      </c>
      <c r="C97" s="193" t="s">
        <v>244</v>
      </c>
      <c r="D97" s="193" t="s">
        <v>245</v>
      </c>
      <c r="E97" s="193" t="s">
        <v>846</v>
      </c>
      <c r="F97" s="194">
        <v>46023</v>
      </c>
      <c r="G97" s="195">
        <v>46048</v>
      </c>
      <c r="H97" s="193" t="s">
        <v>844</v>
      </c>
      <c r="M97" s="193" t="s">
        <v>119</v>
      </c>
      <c r="N97" s="193" t="s">
        <v>53</v>
      </c>
      <c r="O97" s="193">
        <v>18</v>
      </c>
      <c r="P97" s="193">
        <v>95</v>
      </c>
      <c r="Q97" s="193">
        <v>0</v>
      </c>
      <c r="R97" s="193" t="str" cm="1">
        <f t="array" ref="R97">_xlfn.IFS(H97="created",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196" cm="1">
        <f t="array" ref="S97">IF(N97="Monthly",_xlfn.IFS(H97="created",O97*P97*(1-Q97/100),H97="cancelled",-(O97*P97*(1-Q97/100)),H97="seats_change",(J97-I97)*P97*(1-Q97/100),H97="price_change",(J97-I97)*O97*(1-Q97/100),H97="discount_added",-(O97*P97*(J97-I97)/100),H97="plan_upgrade",O97*(_xlfn.XLOOKUP(J97,$M:$M,$P:$P)-_xlfn.XLOOKUP(I97,$M:$M,$P:$P))*(1-Q97/100),H97="plan_downgrade",O97*(_xlfn.XLOOKUP(J97,$M:$M,$P:$P)-_xlfn.XLOOKUP(I97,$M:$M,$P:$P))*(1-Q97/100)),_xlfn.IFS(H97="created",O97*P97*(1-Q97/100)/12,H97="cancelled",-(O97*P97*(1-Q97/100))/12,H97="seats_change",(J97-I97)*P97*(1-Q97/100)/12,H97="price_change",(J97-I97)*O97*(1-Q97/100)/12,H97="plan_upgrade",(O97*(_xlfn.XLOOKUP(J97,$M:$M,$P:$P)-_xlfn.XLOOKUP(I97,$M:$M,$P:$P))*(1-Q97/100))/12,H97="plan_downgrade",(O97*(_xlfn.XLOOKUP(J97,$M:$M,$P:$P)-_xlfn.XLOOKUP(I97,$M:$M,$P:$P))*(1-Q97/100))/12,H97="discount_added",-(O97*P97*(J97-I97)/100)/12))</f>
        <v>1710</v>
      </c>
      <c r="T97" s="193">
        <f>IF(H97&lt;&gt;"created",0,IF(COUNTIFS($C$1:C96,$C97,$H$1:H96,"created")=0,1,0))</f>
        <v>1</v>
      </c>
      <c r="U97" s="193">
        <f t="shared" si="4"/>
        <v>0</v>
      </c>
      <c r="V97" s="193">
        <f t="shared" si="5"/>
        <v>0</v>
      </c>
    </row>
    <row r="98" spans="1:22" ht="14.25" customHeight="1" x14ac:dyDescent="0.25">
      <c r="A98" s="193" t="s">
        <v>997</v>
      </c>
      <c r="B98" s="193" t="s">
        <v>57</v>
      </c>
      <c r="C98" s="193" t="s">
        <v>49</v>
      </c>
      <c r="D98" s="193" t="s">
        <v>50</v>
      </c>
      <c r="E98" s="193" t="s">
        <v>843</v>
      </c>
      <c r="F98" s="194">
        <v>46054</v>
      </c>
      <c r="G98" s="195">
        <v>46073</v>
      </c>
      <c r="H98" s="193" t="s">
        <v>880</v>
      </c>
      <c r="I98" s="193" t="s">
        <v>881</v>
      </c>
      <c r="J98" s="193" t="s">
        <v>882</v>
      </c>
      <c r="K98" s="193" t="s">
        <v>44</v>
      </c>
      <c r="L98" s="193" t="s">
        <v>998</v>
      </c>
      <c r="M98" s="193" t="s">
        <v>58</v>
      </c>
      <c r="N98" s="193" t="s">
        <v>53</v>
      </c>
      <c r="O98" s="193">
        <v>15</v>
      </c>
      <c r="P98" s="193">
        <v>45</v>
      </c>
      <c r="Q98" s="193">
        <v>12</v>
      </c>
      <c r="R98" s="193" t="str" cm="1">
        <f t="array" ref="R98">_xlfn.IFS(H98="created",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196" cm="1">
        <f t="array" ref="S98">IF(N98="Monthly",_xlfn.IFS(H98="created",O98*P98*(1-Q98/100),H98="cancelled",-(O98*P98*(1-Q98/100)),H98="seats_change",(J98-I98)*P98*(1-Q98/100),H98="price_change",(J98-I98)*O98*(1-Q98/100),H98="discount_added",-(O98*P98*(J98-I98)/100),H98="plan_upgrade",O98*(_xlfn.XLOOKUP(J98,$M:$M,$P:$P)-_xlfn.XLOOKUP(I98,$M:$M,$P:$P))*(1-Q98/100),H98="plan_downgrade",O98*(_xlfn.XLOOKUP(J98,$M:$M,$P:$P)-_xlfn.XLOOKUP(I98,$M:$M,$P:$P))*(1-Q98/100)),_xlfn.IFS(H98="created",O98*P98*(1-Q98/100)/12,H98="cancelled",-(O98*P98*(1-Q98/100))/12,H98="seats_change",(J98-I98)*P98*(1-Q98/100)/12,H98="price_change",(J98-I98)*O98*(1-Q98/100)/12,H98="plan_upgrade",(O98*(_xlfn.XLOOKUP(J98,$M:$M,$P:$P)-_xlfn.XLOOKUP(I98,$M:$M,$P:$P))*(1-Q98/100))/12,H98="plan_downgrade",(O98*(_xlfn.XLOOKUP(J98,$M:$M,$P:$P)-_xlfn.XLOOKUP(I98,$M:$M,$P:$P))*(1-Q98/100))/12,H98="discount_added",-(O98*P98*(J98-I98)/100)/12))</f>
        <v>-594</v>
      </c>
      <c r="T98" s="193">
        <f>IF(H98&lt;&gt;"created",0,IF(COUNTIFS($C$1:C97,$C98,$H$1:H97,"created")=0,1,0))</f>
        <v>0</v>
      </c>
      <c r="U98" s="193">
        <f t="shared" ref="U98:U106" si="6">IF(H98&lt;&gt;"cancelled",0,IF(COUNTIFS($C$2:$C$1002,$C98,$H$2:$H$1002,"created",$F$2:$F$1002,"&lt;="&amp;F98)-COUNTIFS($C$2:$C$1002,$C98,$H$2:$H$1002,"cancelled",$F$2:$F$1002,"&lt;="&amp;F98)=0,1,0))</f>
        <v>0</v>
      </c>
      <c r="V98" s="193">
        <f t="shared" ref="V98:V106" si="7">IF(AND(H98="created",T98=0,COUNTIFS($C$2:$C$1002,$C98,$H$2:$H$1002,"cancelled",$F$2:$F$1002,"&lt;"&amp;F98)&gt;0,COUNTIFS($C$2:$C$1002,$C98,$H$2:$H$1002,"created",$F$2:$F$1002,"&lt;"&amp;F98)-COUNTIFS($C$2:$C$1002,$C98,$H$2:$H$1002,"cancelled",$F$2:$F$1002,"&lt;"&amp;F98)=0),1,0)</f>
        <v>0</v>
      </c>
    </row>
    <row r="99" spans="1:22" ht="14.25" customHeight="1" x14ac:dyDescent="0.25">
      <c r="A99" s="193" t="s">
        <v>999</v>
      </c>
      <c r="B99" s="193" t="s">
        <v>311</v>
      </c>
      <c r="C99" s="193" t="s">
        <v>309</v>
      </c>
      <c r="D99" s="193" t="s">
        <v>310</v>
      </c>
      <c r="E99" s="193" t="s">
        <v>865</v>
      </c>
      <c r="F99" s="194">
        <v>46054</v>
      </c>
      <c r="G99" s="195">
        <v>46063</v>
      </c>
      <c r="H99" s="193" t="s">
        <v>844</v>
      </c>
      <c r="M99" s="193" t="s">
        <v>93</v>
      </c>
      <c r="N99" s="193" t="s">
        <v>53</v>
      </c>
      <c r="O99" s="193">
        <v>28</v>
      </c>
      <c r="P99" s="193">
        <v>110</v>
      </c>
      <c r="Q99" s="193">
        <v>0</v>
      </c>
      <c r="R99" s="193" t="str" cm="1">
        <f t="array" ref="R99">_xlfn.IFS(H99="created", "New", H99="cancelled", "Churned", AND(H99="seats_change", J99 &gt; I99), "Expansion", AND(H99="seats_change", J99 &lt; I99), "Contraction", AND(H99="price_change", J99 &gt; I99), "Expansion", AND(H99="price_change", J99 &lt; I99), "Contraction", H99="plan_upgrade", "Expansion", H99="plan_downgrade", "Contraction", H99="discount_added", "Contraction")</f>
        <v>New</v>
      </c>
      <c r="S99" s="196" cm="1">
        <f t="array" ref="S99">IF(N99="Monthly",_xlfn.IFS(H99="created",O99*P99*(1-Q99/100),H99="cancelled",-(O99*P99*(1-Q99/100)),H99="seats_change",(J99-I99)*P99*(1-Q99/100),H99="price_change",(J99-I99)*O99*(1-Q99/100),H99="discount_added",-(O99*P99*(J99-I99)/100),H99="plan_upgrade",O99*(_xlfn.XLOOKUP(J99,$M:$M,$P:$P)-_xlfn.XLOOKUP(I99,$M:$M,$P:$P))*(1-Q99/100),H99="plan_downgrade",O99*(_xlfn.XLOOKUP(J99,$M:$M,$P:$P)-_xlfn.XLOOKUP(I99,$M:$M,$P:$P))*(1-Q99/100)),_xlfn.IFS(H99="created",O99*P99*(1-Q99/100)/12,H99="cancelled",-(O99*P99*(1-Q99/100))/12,H99="seats_change",(J99-I99)*P99*(1-Q99/100)/12,H99="price_change",(J99-I99)*O99*(1-Q99/100)/12,H99="plan_upgrade",(O99*(_xlfn.XLOOKUP(J99,$M:$M,$P:$P)-_xlfn.XLOOKUP(I99,$M:$M,$P:$P))*(1-Q99/100))/12,H99="plan_downgrade",(O99*(_xlfn.XLOOKUP(J99,$M:$M,$P:$P)-_xlfn.XLOOKUP(I99,$M:$M,$P:$P))*(1-Q99/100))/12,H99="discount_added",-(O99*P99*(J99-I99)/100)/12))</f>
        <v>3080</v>
      </c>
      <c r="T99" s="193">
        <f>IF(H99&lt;&gt;"created",0,IF(COUNTIFS($C$1:C98,$C99,$H$1:H98,"created")=0,1,0))</f>
        <v>1</v>
      </c>
      <c r="U99" s="193">
        <f t="shared" si="6"/>
        <v>0</v>
      </c>
      <c r="V99" s="193">
        <f t="shared" si="7"/>
        <v>0</v>
      </c>
    </row>
    <row r="100" spans="1:22" ht="14.25" customHeight="1" x14ac:dyDescent="0.25">
      <c r="A100" s="193" t="s">
        <v>1000</v>
      </c>
      <c r="B100" s="193" t="s">
        <v>348</v>
      </c>
      <c r="C100" s="193" t="s">
        <v>346</v>
      </c>
      <c r="D100" s="193" t="s">
        <v>347</v>
      </c>
      <c r="E100" s="193" t="s">
        <v>846</v>
      </c>
      <c r="F100" s="194">
        <v>46054</v>
      </c>
      <c r="G100" s="195">
        <v>46073</v>
      </c>
      <c r="H100" s="193" t="s">
        <v>844</v>
      </c>
      <c r="M100" s="193" t="s">
        <v>119</v>
      </c>
      <c r="N100" s="193" t="s">
        <v>53</v>
      </c>
      <c r="O100" s="193">
        <v>32</v>
      </c>
      <c r="P100" s="193">
        <v>95</v>
      </c>
      <c r="Q100" s="193">
        <v>0</v>
      </c>
      <c r="R100" s="193" t="str" cm="1">
        <f t="array" ref="R100">_xlfn.IFS(H100="created", "New", H100="cancelled", "Churned", AND(H100="seats_change", J100 &gt; I100), "Expansion", AND(H100="seats_change", J100 &lt; I100), "Contraction", AND(H100="price_change", J100 &gt; I100), "Expansion", AND(H100="price_change", J100 &lt; I100), "Contraction", H100="plan_upgrade", "Expansion", H100="plan_downgrade", "Contraction", H100="discount_added", "Contraction")</f>
        <v>New</v>
      </c>
      <c r="S100" s="196" cm="1">
        <f t="array" ref="S100">IF(N100="Monthly",_xlfn.IFS(H100="created",O100*P100*(1-Q100/100),H100="cancelled",-(O100*P100*(1-Q100/100)),H100="seats_change",(J100-I100)*P100*(1-Q100/100),H100="price_change",(J100-I100)*O100*(1-Q100/100),H100="discount_added",-(O100*P100*(J100-I100)/100),H100="plan_upgrade",O100*(_xlfn.XLOOKUP(J100,$M:$M,$P:$P)-_xlfn.XLOOKUP(I100,$M:$M,$P:$P))*(1-Q100/100),H100="plan_downgrade",O100*(_xlfn.XLOOKUP(J100,$M:$M,$P:$P)-_xlfn.XLOOKUP(I100,$M:$M,$P:$P))*(1-Q100/100)),_xlfn.IFS(H100="created",O100*P100*(1-Q100/100)/12,H100="cancelled",-(O100*P100*(1-Q100/100))/12,H100="seats_change",(J100-I100)*P100*(1-Q100/100)/12,H100="price_change",(J100-I100)*O100*(1-Q100/100)/12,H100="plan_upgrade",(O100*(_xlfn.XLOOKUP(J100,$M:$M,$P:$P)-_xlfn.XLOOKUP(I100,$M:$M,$P:$P))*(1-Q100/100))/12,H100="plan_downgrade",(O100*(_xlfn.XLOOKUP(J100,$M:$M,$P:$P)-_xlfn.XLOOKUP(I100,$M:$M,$P:$P))*(1-Q100/100))/12,H100="discount_added",-(O100*P100*(J100-I100)/100)/12))</f>
        <v>3040</v>
      </c>
      <c r="T100" s="193">
        <f>IF(H100&lt;&gt;"created",0,IF(COUNTIFS($C$1:C99,$C100,$H$1:H99,"created")=0,1,0))</f>
        <v>1</v>
      </c>
      <c r="U100" s="193">
        <f t="shared" si="6"/>
        <v>0</v>
      </c>
      <c r="V100" s="193">
        <f t="shared" si="7"/>
        <v>0</v>
      </c>
    </row>
    <row r="101" spans="1:22" ht="14.25" customHeight="1" x14ac:dyDescent="0.25">
      <c r="A101" s="193" t="s">
        <v>1001</v>
      </c>
      <c r="B101" s="193" t="s">
        <v>1002</v>
      </c>
      <c r="C101" s="193" t="s">
        <v>1003</v>
      </c>
      <c r="D101" s="193" t="s">
        <v>1004</v>
      </c>
      <c r="E101" s="193" t="s">
        <v>843</v>
      </c>
      <c r="F101" s="194">
        <v>46082</v>
      </c>
      <c r="G101" s="195">
        <v>46089</v>
      </c>
      <c r="H101" s="193" t="s">
        <v>844</v>
      </c>
      <c r="M101" s="193" t="s">
        <v>209</v>
      </c>
      <c r="N101" s="193" t="s">
        <v>53</v>
      </c>
      <c r="O101" s="193">
        <v>20</v>
      </c>
      <c r="P101" s="193">
        <v>150</v>
      </c>
      <c r="Q101" s="193">
        <v>0</v>
      </c>
      <c r="R101" s="193" t="str" cm="1">
        <f t="array" ref="R101">_xlfn.IFS(H101="created", "New", H101="cancelled", "Churned", AND(H101="seats_change", J101 &gt; I101), "Expansion", AND(H101="seats_change", J101 &lt; I101), "Contraction", AND(H101="price_change", J101 &gt; I101), "Expansion", AND(H101="price_change", J101 &lt; I101), "Contraction", H101="plan_upgrade", "Expansion", H101="plan_downgrade", "Contraction", H101="discount_added", "Contraction")</f>
        <v>New</v>
      </c>
      <c r="S101" s="196" cm="1">
        <f t="array" ref="S101">IF(N101="Monthly",_xlfn.IFS(H101="created",O101*P101*(1-Q101/100),H101="cancelled",-(O101*P101*(1-Q101/100)),H101="seats_change",(J101-I101)*P101*(1-Q101/100),H101="price_change",(J101-I101)*O101*(1-Q101/100),H101="discount_added",-(O101*P101*(J101-I101)/100),H101="plan_upgrade",O101*(_xlfn.XLOOKUP(J101,$M:$M,$P:$P)-_xlfn.XLOOKUP(I101,$M:$M,$P:$P))*(1-Q101/100),H101="plan_downgrade",O101*(_xlfn.XLOOKUP(J101,$M:$M,$P:$P)-_xlfn.XLOOKUP(I101,$M:$M,$P:$P))*(1-Q101/100)),_xlfn.IFS(H101="created",O101*P101*(1-Q101/100)/12,H101="cancelled",-(O101*P101*(1-Q101/100))/12,H101="seats_change",(J101-I101)*P101*(1-Q101/100)/12,H101="price_change",(J101-I101)*O101*(1-Q101/100)/12,H101="plan_upgrade",(O101*(_xlfn.XLOOKUP(J101,$M:$M,$P:$P)-_xlfn.XLOOKUP(I101,$M:$M,$P:$P))*(1-Q101/100))/12,H101="plan_downgrade",(O101*(_xlfn.XLOOKUP(J101,$M:$M,$P:$P)-_xlfn.XLOOKUP(I101,$M:$M,$P:$P))*(1-Q101/100))/12,H101="discount_added",-(O101*P101*(J101-I101)/100)/12))</f>
        <v>3000</v>
      </c>
      <c r="T101" s="193">
        <f>IF(H101&lt;&gt;"created",0,IF(COUNTIFS($C$1:C100,$C101,$H$1:H100,"created")=0,1,0))</f>
        <v>1</v>
      </c>
      <c r="U101" s="193">
        <f t="shared" si="6"/>
        <v>0</v>
      </c>
      <c r="V101" s="193">
        <f t="shared" si="7"/>
        <v>0</v>
      </c>
    </row>
    <row r="102" spans="1:22" ht="14.25" customHeight="1" x14ac:dyDescent="0.25">
      <c r="A102" s="193" t="s">
        <v>1005</v>
      </c>
      <c r="B102" s="193" t="s">
        <v>118</v>
      </c>
      <c r="C102" s="193" t="s">
        <v>116</v>
      </c>
      <c r="D102" s="193" t="s">
        <v>117</v>
      </c>
      <c r="E102" s="193" t="s">
        <v>843</v>
      </c>
      <c r="F102" s="194">
        <v>46082</v>
      </c>
      <c r="G102" s="195">
        <v>46096</v>
      </c>
      <c r="H102" s="193" t="s">
        <v>933</v>
      </c>
      <c r="I102" s="193">
        <v>23</v>
      </c>
      <c r="J102" s="193">
        <v>27</v>
      </c>
      <c r="K102" s="193" t="s">
        <v>38</v>
      </c>
      <c r="L102" s="193" t="s">
        <v>1006</v>
      </c>
      <c r="M102" s="193" t="s">
        <v>119</v>
      </c>
      <c r="N102" s="193" t="s">
        <v>53</v>
      </c>
      <c r="O102" s="193">
        <v>27</v>
      </c>
      <c r="P102" s="193">
        <v>95</v>
      </c>
      <c r="Q102" s="193">
        <v>0</v>
      </c>
      <c r="R102" s="193" t="str" cm="1">
        <f t="array" ref="R102">_xlfn.IFS(H102="created", "New", H102="cancelled", "Churned", AND(H102="seats_change", J102 &gt; I102), "Expansion", AND(H102="seats_change", J102 &lt; I102), "Contraction", AND(H102="price_change", J102 &gt; I102), "Expansion", AND(H102="price_change", J102 &lt; I102), "Contraction", H102="plan_upgrade", "Expansion", H102="plan_downgrade", "Contraction", H102="discount_added", "Contraction")</f>
        <v>Expansion</v>
      </c>
      <c r="S102" s="196" cm="1">
        <f t="array" ref="S102">IF(N102="Monthly",_xlfn.IFS(H102="created",O102*P102*(1-Q102/100),H102="cancelled",-(O102*P102*(1-Q102/100)),H102="seats_change",(J102-I102)*P102*(1-Q102/100),H102="price_change",(J102-I102)*O102*(1-Q102/100),H102="discount_added",-(O102*P102*(J102-I102)/100),H102="plan_upgrade",O102*(_xlfn.XLOOKUP(J102,$M:$M,$P:$P)-_xlfn.XLOOKUP(I102,$M:$M,$P:$P))*(1-Q102/100),H102="plan_downgrade",O102*(_xlfn.XLOOKUP(J102,$M:$M,$P:$P)-_xlfn.XLOOKUP(I102,$M:$M,$P:$P))*(1-Q102/100)),_xlfn.IFS(H102="created",O102*P102*(1-Q102/100)/12,H102="cancelled",-(O102*P102*(1-Q102/100))/12,H102="seats_change",(J102-I102)*P102*(1-Q102/100)/12,H102="price_change",(J102-I102)*O102*(1-Q102/100)/12,H102="plan_upgrade",(O102*(_xlfn.XLOOKUP(J102,$M:$M,$P:$P)-_xlfn.XLOOKUP(I102,$M:$M,$P:$P))*(1-Q102/100))/12,H102="plan_downgrade",(O102*(_xlfn.XLOOKUP(J102,$M:$M,$P:$P)-_xlfn.XLOOKUP(I102,$M:$M,$P:$P))*(1-Q102/100))/12,H102="discount_added",-(O102*P102*(J102-I102)/100)/12))</f>
        <v>380</v>
      </c>
      <c r="T102" s="193">
        <f>IF(H102&lt;&gt;"created",0,IF(COUNTIFS($C$1:C101,$C102,$H$1:H101,"created")=0,1,0))</f>
        <v>0</v>
      </c>
      <c r="U102" s="193">
        <f t="shared" si="6"/>
        <v>0</v>
      </c>
      <c r="V102" s="193">
        <f t="shared" si="7"/>
        <v>0</v>
      </c>
    </row>
    <row r="103" spans="1:22" ht="14.25" customHeight="1" x14ac:dyDescent="0.25">
      <c r="A103" s="193" t="s">
        <v>1007</v>
      </c>
      <c r="B103" s="193" t="s">
        <v>1008</v>
      </c>
      <c r="C103" s="193" t="s">
        <v>1009</v>
      </c>
      <c r="D103" s="193" t="s">
        <v>1010</v>
      </c>
      <c r="E103" s="193" t="s">
        <v>865</v>
      </c>
      <c r="F103" s="194">
        <v>46113</v>
      </c>
      <c r="G103" s="197">
        <v>46121</v>
      </c>
      <c r="H103" s="198" t="s">
        <v>844</v>
      </c>
      <c r="I103" s="193"/>
      <c r="M103" s="193" t="s">
        <v>52</v>
      </c>
      <c r="N103" s="193" t="s">
        <v>53</v>
      </c>
      <c r="O103" s="193">
        <v>18</v>
      </c>
      <c r="P103" s="193">
        <v>85</v>
      </c>
      <c r="Q103" s="193">
        <v>0</v>
      </c>
      <c r="R103" s="193" t="str" cm="1">
        <f t="array" ref="R103">_xlfn.IFS(H103="created", "New", H103="cancelled", "Churned", AND(H103="seats_change", J103 &gt; I103), "Expansion", AND(H103="seats_change", J103 &lt; I103), "Contraction", AND(H103="price_change", J103 &gt; I103), "Expansion", AND(H103="price_change", J103 &lt; I103), "Contraction", H103="plan_upgrade", "Expansion", H103="plan_downgrade", "Contraction", H103="discount_added", "Contraction")</f>
        <v>New</v>
      </c>
      <c r="S103" s="196" cm="1">
        <f t="array" ref="S103">IF(N103="Monthly",_xlfn.IFS(H103="created",O103*P103*(1-Q103/100),H103="cancelled",-(O103*P103*(1-Q103/100)),H103="seats_change",(J103-I103)*P103*(1-Q103/100),H103="price_change",(J103-I103)*O103*(1-Q103/100),H103="discount_added",-(O103*P103*(J103-I103)/100),H103="plan_upgrade",O103*(_xlfn.XLOOKUP(J103,$M:$M,$P:$P)-_xlfn.XLOOKUP(I103,$M:$M,$P:$P))*(1-Q103/100),H103="plan_downgrade",O103*(_xlfn.XLOOKUP(J103,$M:$M,$P:$P)-_xlfn.XLOOKUP(I103,$M:$M,$P:$P))*(1-Q103/100)),_xlfn.IFS(H103="created",O103*P103*(1-Q103/100)/12,H103="cancelled",-(O103*P103*(1-Q103/100))/12,H103="seats_change",(J103-I103)*P103*(1-Q103/100)/12,H103="price_change",(J103-I103)*O103*(1-Q103/100)/12,H103="plan_upgrade",(O103*(_xlfn.XLOOKUP(J103,$M:$M,$P:$P)-_xlfn.XLOOKUP(I103,$M:$M,$P:$P))*(1-Q103/100))/12,H103="plan_downgrade",(O103*(_xlfn.XLOOKUP(J103,$M:$M,$P:$P)-_xlfn.XLOOKUP(I103,$M:$M,$P:$P))*(1-Q103/100))/12,H103="discount_added",-(O103*P103*(J103-I103)/100)/12))</f>
        <v>1530</v>
      </c>
      <c r="T103" s="193">
        <f>IF(H103&lt;&gt;"created",0,IF(COUNTIFS($C$1:C102,$C103,$H$1:H102,"created")=0,1,0))</f>
        <v>1</v>
      </c>
      <c r="U103" s="193">
        <f t="shared" si="6"/>
        <v>0</v>
      </c>
      <c r="V103" s="193">
        <f t="shared" si="7"/>
        <v>0</v>
      </c>
    </row>
    <row r="104" spans="1:22" ht="14.25" customHeight="1" x14ac:dyDescent="0.25">
      <c r="A104" s="193" t="s">
        <v>1011</v>
      </c>
      <c r="B104" s="193" t="s">
        <v>259</v>
      </c>
      <c r="C104" s="193" t="s">
        <v>257</v>
      </c>
      <c r="D104" s="193" t="s">
        <v>258</v>
      </c>
      <c r="E104" s="193" t="s">
        <v>846</v>
      </c>
      <c r="F104" s="194">
        <v>46113</v>
      </c>
      <c r="G104" s="197">
        <v>46126</v>
      </c>
      <c r="H104" s="198" t="s">
        <v>933</v>
      </c>
      <c r="I104" s="193">
        <v>20</v>
      </c>
      <c r="J104" s="193">
        <v>24</v>
      </c>
      <c r="K104" s="193" t="s">
        <v>38</v>
      </c>
      <c r="L104" s="193" t="s">
        <v>1006</v>
      </c>
      <c r="M104" s="193" t="s">
        <v>93</v>
      </c>
      <c r="N104" s="193" t="s">
        <v>53</v>
      </c>
      <c r="O104" s="193">
        <v>24</v>
      </c>
      <c r="P104" s="193">
        <v>110</v>
      </c>
      <c r="Q104" s="193">
        <v>0</v>
      </c>
      <c r="R104" s="193" t="str" cm="1">
        <f t="array" ref="R104">_xlfn.IFS(H104="created", "New", H104="cancelled", "Churned", AND(H104="seats_change", J104 &gt; I104), "Expansion", AND(H104="seats_change", J104 &lt; I104), "Contraction", AND(H104="price_change", J104 &gt; I104), "Expansion", AND(H104="price_change", J104 &lt; I104), "Contraction", H104="plan_upgrade", "Expansion", H104="plan_downgrade", "Contraction", H104="discount_added", "Contraction")</f>
        <v>Expansion</v>
      </c>
      <c r="S104" s="196" cm="1">
        <f t="array" ref="S104">IF(N104="Monthly",_xlfn.IFS(H104="created",O104*P104*(1-Q104/100),H104="cancelled",-(O104*P104*(1-Q104/100)),H104="seats_change",(J104-I104)*P104*(1-Q104/100),H104="price_change",(J104-I104)*O104*(1-Q104/100),H104="discount_added",-(O104*P104*(J104-I104)/100),H104="plan_upgrade",O104*(_xlfn.XLOOKUP(J104,$M:$M,$P:$P)-_xlfn.XLOOKUP(I104,$M:$M,$P:$P))*(1-Q104/100),H104="plan_downgrade",O104*(_xlfn.XLOOKUP(J104,$M:$M,$P:$P)-_xlfn.XLOOKUP(I104,$M:$M,$P:$P))*(1-Q104/100)),_xlfn.IFS(H104="created",O104*P104*(1-Q104/100)/12,H104="cancelled",-(O104*P104*(1-Q104/100))/12,H104="seats_change",(J104-I104)*P104*(1-Q104/100)/12,H104="price_change",(J104-I104)*O104*(1-Q104/100)/12,H104="plan_upgrade",(O104*(_xlfn.XLOOKUP(J104,$M:$M,$P:$P)-_xlfn.XLOOKUP(I104,$M:$M,$P:$P))*(1-Q104/100))/12,H104="plan_downgrade",(O104*(_xlfn.XLOOKUP(J104,$M:$M,$P:$P)-_xlfn.XLOOKUP(I104,$M:$M,$P:$P))*(1-Q104/100))/12,H104="discount_added",-(O104*P104*(J104-I104)/100)/12))</f>
        <v>440</v>
      </c>
      <c r="T104" s="193">
        <f>IF(H104&lt;&gt;"created",0,IF(COUNTIFS($C$1:C103,$C104,$H$1:H103,"created")=0,1,0))</f>
        <v>0</v>
      </c>
      <c r="U104" s="193">
        <f t="shared" si="6"/>
        <v>0</v>
      </c>
      <c r="V104" s="193">
        <f t="shared" si="7"/>
        <v>0</v>
      </c>
    </row>
    <row r="105" spans="1:22" ht="14.25" customHeight="1" x14ac:dyDescent="0.25">
      <c r="A105" s="193" t="s">
        <v>1012</v>
      </c>
      <c r="B105" s="193" t="s">
        <v>1013</v>
      </c>
      <c r="C105" s="193" t="s">
        <v>1014</v>
      </c>
      <c r="D105" s="193" t="s">
        <v>1015</v>
      </c>
      <c r="E105" s="193" t="s">
        <v>846</v>
      </c>
      <c r="F105" s="194">
        <v>46113</v>
      </c>
      <c r="G105" s="197">
        <v>46133</v>
      </c>
      <c r="H105" s="198" t="s">
        <v>844</v>
      </c>
      <c r="I105" s="193"/>
      <c r="M105" s="193" t="s">
        <v>119</v>
      </c>
      <c r="N105" s="193" t="s">
        <v>53</v>
      </c>
      <c r="O105" s="193">
        <v>24</v>
      </c>
      <c r="P105" s="193">
        <v>95</v>
      </c>
      <c r="Q105" s="193">
        <v>0</v>
      </c>
      <c r="R105" s="193" t="str" cm="1">
        <f t="array" ref="R105">_xlfn.IFS(H105="created", "New", H105="cancelled", "Churned", AND(H105="seats_change", J105 &gt; I105), "Expansion", AND(H105="seats_change", J105 &lt; I105), "Contraction", AND(H105="price_change", J105 &gt; I105), "Expansion", AND(H105="price_change", J105 &lt; I105), "Contraction", H105="plan_upgrade", "Expansion", H105="plan_downgrade", "Contraction", H105="discount_added", "Contraction")</f>
        <v>New</v>
      </c>
      <c r="S105" s="196" cm="1">
        <f t="array" ref="S105">IF(N105="Monthly",_xlfn.IFS(H105="created",O105*P105*(1-Q105/100),H105="cancelled",-(O105*P105*(1-Q105/100)),H105="seats_change",(J105-I105)*P105*(1-Q105/100),H105="price_change",(J105-I105)*O105*(1-Q105/100),H105="discount_added",-(O105*P105*(J105-I105)/100),H105="plan_upgrade",O105*(_xlfn.XLOOKUP(J105,$M:$M,$P:$P)-_xlfn.XLOOKUP(I105,$M:$M,$P:$P))*(1-Q105/100),H105="plan_downgrade",O105*(_xlfn.XLOOKUP(J105,$M:$M,$P:$P)-_xlfn.XLOOKUP(I105,$M:$M,$P:$P))*(1-Q105/100)),_xlfn.IFS(H105="created",O105*P105*(1-Q105/100)/12,H105="cancelled",-(O105*P105*(1-Q105/100))/12,H105="seats_change",(J105-I105)*P105*(1-Q105/100)/12,H105="price_change",(J105-I105)*O105*(1-Q105/100)/12,H105="plan_upgrade",(O105*(_xlfn.XLOOKUP(J105,$M:$M,$P:$P)-_xlfn.XLOOKUP(I105,$M:$M,$P:$P))*(1-Q105/100))/12,H105="plan_downgrade",(O105*(_xlfn.XLOOKUP(J105,$M:$M,$P:$P)-_xlfn.XLOOKUP(I105,$M:$M,$P:$P))*(1-Q105/100))/12,H105="discount_added",-(O105*P105*(J105-I105)/100)/12))</f>
        <v>2280</v>
      </c>
      <c r="T105" s="193">
        <f>IF(H105&lt;&gt;"created",0,IF(COUNTIFS($C$1:C104,$C105,$H$1:H104,"created")=0,1,0))</f>
        <v>1</v>
      </c>
      <c r="U105" s="193">
        <f t="shared" si="6"/>
        <v>0</v>
      </c>
      <c r="V105" s="193">
        <f t="shared" si="7"/>
        <v>0</v>
      </c>
    </row>
    <row r="106" spans="1:22" ht="14.25" customHeight="1" x14ac:dyDescent="0.25">
      <c r="A106" s="193" t="s">
        <v>1016</v>
      </c>
      <c r="B106" s="193" t="s">
        <v>103</v>
      </c>
      <c r="C106" s="193" t="s">
        <v>101</v>
      </c>
      <c r="D106" s="193" t="s">
        <v>102</v>
      </c>
      <c r="E106" s="193" t="s">
        <v>843</v>
      </c>
      <c r="F106" s="194">
        <v>46113</v>
      </c>
      <c r="G106" s="197">
        <v>46136</v>
      </c>
      <c r="H106" s="198" t="s">
        <v>880</v>
      </c>
      <c r="I106" s="193" t="s">
        <v>881</v>
      </c>
      <c r="J106" s="193" t="s">
        <v>882</v>
      </c>
      <c r="K106" s="193" t="s">
        <v>44</v>
      </c>
      <c r="L106" s="193" t="s">
        <v>898</v>
      </c>
      <c r="M106" s="193" t="s">
        <v>52</v>
      </c>
      <c r="N106" s="193" t="s">
        <v>53</v>
      </c>
      <c r="O106" s="193">
        <v>13</v>
      </c>
      <c r="P106" s="193">
        <v>85</v>
      </c>
      <c r="Q106" s="193">
        <v>0</v>
      </c>
      <c r="R106" s="193" t="str" cm="1">
        <f t="array" ref="R106">_xlfn.IFS(H106="created", "New", H106="cancelled", "Churned", AND(H106="seats_change", J106 &gt; I106), "Expansion", AND(H106="seats_change", J106 &lt; I106), "Contraction", AND(H106="price_change", J106 &gt; I106), "Expansion", AND(H106="price_change", J106 &lt; I106), "Contraction", H106="plan_upgrade", "Expansion", H106="plan_downgrade", "Contraction", H106="discount_added", "Contraction")</f>
        <v>Churned</v>
      </c>
      <c r="S106" s="196" cm="1">
        <f t="array" ref="S106">IF(N106="Monthly",_xlfn.IFS(H106="created",O106*P106*(1-Q106/100),H106="cancelled",-(O106*P106*(1-Q106/100)),H106="seats_change",(J106-I106)*P106*(1-Q106/100),H106="price_change",(J106-I106)*O106*(1-Q106/100),H106="discount_added",-(O106*P106*(J106-I106)/100),H106="plan_upgrade",O106*(_xlfn.XLOOKUP(J106,$M:$M,$P:$P)-_xlfn.XLOOKUP(I106,$M:$M,$P:$P))*(1-Q106/100),H106="plan_downgrade",O106*(_xlfn.XLOOKUP(J106,$M:$M,$P:$P)-_xlfn.XLOOKUP(I106,$M:$M,$P:$P))*(1-Q106/100)),_xlfn.IFS(H106="created",O106*P106*(1-Q106/100)/12,H106="cancelled",-(O106*P106*(1-Q106/100))/12,H106="seats_change",(J106-I106)*P106*(1-Q106/100)/12,H106="price_change",(J106-I106)*O106*(1-Q106/100)/12,H106="plan_upgrade",(O106*(_xlfn.XLOOKUP(J106,$M:$M,$P:$P)-_xlfn.XLOOKUP(I106,$M:$M,$P:$P))*(1-Q106/100))/12,H106="plan_downgrade",(O106*(_xlfn.XLOOKUP(J106,$M:$M,$P:$P)-_xlfn.XLOOKUP(I106,$M:$M,$P:$P))*(1-Q106/100))/12,H106="discount_added",-(O106*P106*(J106-I106)/100)/12))</f>
        <v>-1105</v>
      </c>
      <c r="T106" s="193">
        <f>IF(H106&lt;&gt;"created",0,IF(COUNTIFS($C$1:C105,$C106,$H$1:H105,"created")=0,1,0))</f>
        <v>0</v>
      </c>
      <c r="U106" s="193">
        <f t="shared" si="6"/>
        <v>0</v>
      </c>
      <c r="V106" s="193">
        <f t="shared" si="7"/>
        <v>0</v>
      </c>
    </row>
    <row r="107" spans="1:22" ht="14.25" customHeight="1" x14ac:dyDescent="0.25">
      <c r="A107" t="s">
        <v>1169</v>
      </c>
      <c r="B107" t="s">
        <v>1170</v>
      </c>
      <c r="C107" t="s">
        <v>1171</v>
      </c>
      <c r="D107" t="s">
        <v>1172</v>
      </c>
      <c r="E107" t="s">
        <v>846</v>
      </c>
      <c r="F107" s="250">
        <v>46143</v>
      </c>
      <c r="G107" s="251">
        <v>46149</v>
      </c>
      <c r="H107" t="s">
        <v>844</v>
      </c>
      <c r="J107" s="199"/>
      <c r="M107" t="s">
        <v>93</v>
      </c>
      <c r="N107" t="s">
        <v>53</v>
      </c>
      <c r="O107">
        <v>21</v>
      </c>
      <c r="P107">
        <v>110</v>
      </c>
      <c r="Q107">
        <v>0</v>
      </c>
      <c r="R107" s="193" t="str" cm="1">
        <f t="array" ref="R107">_xlfn.IFS(H107="created", "New", H107="cancelled", "Churned", AND(H107="seats_change", J107 &gt; I107), "Expansion", AND(H107="seats_change", J107 &lt; I107), "Contraction", AND(H107="price_change", J107 &gt; I107), "Expansion", AND(H107="price_change", J107 &lt; I107), "Contraction", H107="plan_upgrade", "Expansion", H107="plan_downgrade", "Contraction", H107="discount_added", "Contraction")</f>
        <v>New</v>
      </c>
      <c r="S107" s="196" cm="1">
        <f t="array" ref="S107">IF(N107="Monthly",_xlfn.IFS(H107="created",O107*P107*(1-Q107/100),H107="cancelled",-(O107*P107*(1-Q107/100)),H107="seats_change",(J107-I107)*P107*(1-Q107/100),H107="price_change",(J107-I107)*O107*(1-Q107/100),H107="discount_added",-(O107*P107*(J107-I107)/100),H107="plan_upgrade",O107*(_xlfn.XLOOKUP(J107,$M:$M,$P:$P)-_xlfn.XLOOKUP(I107,$M:$M,$P:$P))*(1-Q107/100),H107="plan_downgrade",O107*(_xlfn.XLOOKUP(J107,$M:$M,$P:$P)-_xlfn.XLOOKUP(I107,$M:$M,$P:$P))*(1-Q107/100)),_xlfn.IFS(H107="created",O107*P107*(1-Q107/100)/12,H107="cancelled",-(O107*P107*(1-Q107/100))/12,H107="seats_change",(J107-I107)*P107*(1-Q107/100)/12,H107="price_change",(J107-I107)*O107*(1-Q107/100)/12,H107="plan_upgrade",(O107*(_xlfn.XLOOKUP(J107,$M:$M,$P:$P)-_xlfn.XLOOKUP(I107,$M:$M,$P:$P))*(1-Q107/100))/12,H107="plan_downgrade",(O107*(_xlfn.XLOOKUP(J107,$M:$M,$P:$P)-_xlfn.XLOOKUP(I107,$M:$M,$P:$P))*(1-Q107/100))/12,H107="discount_added",-(O107*P107*(J107-I107)/100)/12))</f>
        <v>2310</v>
      </c>
      <c r="T107" s="193">
        <f>IF(H107&lt;&gt;"created",0,IF(COUNTIFS($C$1:C106,$C107,$H$1:H106,"created")=0,1,0))</f>
        <v>1</v>
      </c>
      <c r="U107" s="193">
        <f t="shared" ref="U107:U111" si="8">IF(H107&lt;&gt;"cancelled",0,IF(COUNTIFS($C$2:$C$1002,$C107,$H$2:$H$1002,"created",$F$2:$F$1002,"&lt;="&amp;F107)-COUNTIFS($C$2:$C$1002,$C107,$H$2:$H$1002,"cancelled",$F$2:$F$1002,"&lt;="&amp;F107)=0,1,0))</f>
        <v>0</v>
      </c>
      <c r="V107" s="193">
        <f t="shared" ref="V107:V111" si="9">IF(AND(H107="created",T107=0,COUNTIFS($C$2:$C$1002,$C107,$H$2:$H$1002,"cancelled",$F$2:$F$1002,"&lt;"&amp;F107)&gt;0,COUNTIFS($C$2:$C$1002,$C107,$H$2:$H$1002,"created",$F$2:$F$1002,"&lt;"&amp;F107)-COUNTIFS($C$2:$C$1002,$C107,$H$2:$H$1002,"cancelled",$F$2:$F$1002,"&lt;"&amp;F107)=0),1,0)</f>
        <v>0</v>
      </c>
    </row>
    <row r="108" spans="1:22" ht="14.25" customHeight="1" x14ac:dyDescent="0.25">
      <c r="A108" t="s">
        <v>1173</v>
      </c>
      <c r="B108" t="s">
        <v>125</v>
      </c>
      <c r="C108" t="s">
        <v>96</v>
      </c>
      <c r="D108" t="s">
        <v>97</v>
      </c>
      <c r="E108" t="s">
        <v>843</v>
      </c>
      <c r="F108" s="250">
        <v>46143</v>
      </c>
      <c r="G108" s="251">
        <v>46154</v>
      </c>
      <c r="H108" t="s">
        <v>933</v>
      </c>
      <c r="I108">
        <v>23</v>
      </c>
      <c r="J108" s="193">
        <v>19</v>
      </c>
      <c r="K108" t="s">
        <v>38</v>
      </c>
      <c r="L108" t="s">
        <v>1167</v>
      </c>
      <c r="M108" t="s">
        <v>93</v>
      </c>
      <c r="N108" t="s">
        <v>53</v>
      </c>
      <c r="O108">
        <v>19</v>
      </c>
      <c r="P108">
        <v>110</v>
      </c>
      <c r="Q108">
        <v>0</v>
      </c>
      <c r="R108" s="193" t="str" cm="1">
        <f t="array" ref="R108">_xlfn.IFS(H108="created", "New", H108="cancelled", "Churned", AND(H108="seats_change", J108 &gt; I108), "Expansion", AND(H108="seats_change", J108 &lt; I108), "Contraction", AND(H108="price_change", J108 &gt; I108), "Expansion", AND(H108="price_change", J108 &lt; I108), "Contraction", H108="plan_upgrade", "Expansion", H108="plan_downgrade", "Contraction", H108="discount_added", "Contraction")</f>
        <v>Contraction</v>
      </c>
      <c r="S108" s="196" cm="1">
        <f t="array" ref="S108">IF(N108="Monthly",_xlfn.IFS(H108="created",O108*P108*(1-Q108/100),H108="cancelled",-(O108*P108*(1-Q108/100)),H108="seats_change",(J108-I108)*P108*(1-Q108/100),H108="price_change",(J108-I108)*O108*(1-Q108/100),H108="discount_added",-(O108*P108*(J108-I108)/100),H108="plan_upgrade",O108*(_xlfn.XLOOKUP(J108,$M:$M,$P:$P)-_xlfn.XLOOKUP(I108,$M:$M,$P:$P))*(1-Q108/100),H108="plan_downgrade",O108*(_xlfn.XLOOKUP(J108,$M:$M,$P:$P)-_xlfn.XLOOKUP(I108,$M:$M,$P:$P))*(1-Q108/100)),_xlfn.IFS(H108="created",O108*P108*(1-Q108/100)/12,H108="cancelled",-(O108*P108*(1-Q108/100))/12,H108="seats_change",(J108-I108)*P108*(1-Q108/100)/12,H108="price_change",(J108-I108)*O108*(1-Q108/100)/12,H108="plan_upgrade",(O108*(_xlfn.XLOOKUP(J108,$M:$M,$P:$P)-_xlfn.XLOOKUP(I108,$M:$M,$P:$P))*(1-Q108/100))/12,H108="plan_downgrade",(O108*(_xlfn.XLOOKUP(J108,$M:$M,$P:$P)-_xlfn.XLOOKUP(I108,$M:$M,$P:$P))*(1-Q108/100))/12,H108="discount_added",-(O108*P108*(J108-I108)/100)/12))</f>
        <v>-440</v>
      </c>
      <c r="T108" s="193">
        <f>IF(H108&lt;&gt;"created",0,IF(COUNTIFS($C$1:C107,$C108,$H$1:H107,"created")=0,1,0))</f>
        <v>0</v>
      </c>
      <c r="U108" s="193">
        <f t="shared" si="8"/>
        <v>0</v>
      </c>
      <c r="V108" s="193">
        <f t="shared" si="9"/>
        <v>0</v>
      </c>
    </row>
    <row r="109" spans="1:22" ht="14.25" customHeight="1" x14ac:dyDescent="0.25">
      <c r="A109" t="s">
        <v>1174</v>
      </c>
      <c r="B109" t="s">
        <v>69</v>
      </c>
      <c r="C109" t="s">
        <v>67</v>
      </c>
      <c r="D109" t="s">
        <v>68</v>
      </c>
      <c r="E109" t="s">
        <v>843</v>
      </c>
      <c r="F109" s="250">
        <v>46143</v>
      </c>
      <c r="G109" s="251">
        <v>46157</v>
      </c>
      <c r="H109" t="s">
        <v>933</v>
      </c>
      <c r="I109">
        <v>22</v>
      </c>
      <c r="J109">
        <v>27</v>
      </c>
      <c r="K109" t="s">
        <v>38</v>
      </c>
      <c r="L109" t="s">
        <v>1006</v>
      </c>
      <c r="M109" t="s">
        <v>52</v>
      </c>
      <c r="N109" t="s">
        <v>53</v>
      </c>
      <c r="O109">
        <v>27</v>
      </c>
      <c r="P109">
        <v>85</v>
      </c>
      <c r="Q109">
        <v>0</v>
      </c>
      <c r="R109" s="193" t="str" cm="1">
        <f t="array" ref="R109">_xlfn.IFS(H109="created", "New", H109="cancelled", "Churned", AND(H109="seats_change", J109 &gt; I109), "Expansion", AND(H109="seats_change", J109 &lt; I109), "Contraction", AND(H109="price_change", J109 &gt; I109), "Expansion", AND(H109="price_change", J109 &lt; I109), "Contraction", H109="plan_upgrade", "Expansion", H109="plan_downgrade", "Contraction", H109="discount_added", "Contraction")</f>
        <v>Expansion</v>
      </c>
      <c r="S109" s="196" cm="1">
        <f t="array" ref="S109">IF(N109="Monthly",_xlfn.IFS(H109="created",O109*P109*(1-Q109/100),H109="cancelled",-(O109*P109*(1-Q109/100)),H109="seats_change",(J109-I109)*P109*(1-Q109/100),H109="price_change",(J109-I109)*O109*(1-Q109/100),H109="discount_added",-(O109*P109*(J109-I109)/100),H109="plan_upgrade",O109*(_xlfn.XLOOKUP(J109,$M:$M,$P:$P)-_xlfn.XLOOKUP(I109,$M:$M,$P:$P))*(1-Q109/100),H109="plan_downgrade",O109*(_xlfn.XLOOKUP(J109,$M:$M,$P:$P)-_xlfn.XLOOKUP(I109,$M:$M,$P:$P))*(1-Q109/100)),_xlfn.IFS(H109="created",O109*P109*(1-Q109/100)/12,H109="cancelled",-(O109*P109*(1-Q109/100))/12,H109="seats_change",(J109-I109)*P109*(1-Q109/100)/12,H109="price_change",(J109-I109)*O109*(1-Q109/100)/12,H109="plan_upgrade",(O109*(_xlfn.XLOOKUP(J109,$M:$M,$P:$P)-_xlfn.XLOOKUP(I109,$M:$M,$P:$P))*(1-Q109/100))/12,H109="plan_downgrade",(O109*(_xlfn.XLOOKUP(J109,$M:$M,$P:$P)-_xlfn.XLOOKUP(I109,$M:$M,$P:$P))*(1-Q109/100))/12,H109="discount_added",-(O109*P109*(J109-I109)/100)/12))</f>
        <v>425</v>
      </c>
      <c r="T109" s="193">
        <f>IF(H109&lt;&gt;"created",0,IF(COUNTIFS($C$1:C108,$C109,$H$1:H108,"created")=0,1,0))</f>
        <v>0</v>
      </c>
      <c r="U109" s="193">
        <f t="shared" si="8"/>
        <v>0</v>
      </c>
      <c r="V109" s="193">
        <f t="shared" si="9"/>
        <v>0</v>
      </c>
    </row>
    <row r="110" spans="1:22" ht="14.25" customHeight="1" x14ac:dyDescent="0.25">
      <c r="A110" t="s">
        <v>1175</v>
      </c>
      <c r="B110" t="s">
        <v>1176</v>
      </c>
      <c r="C110" t="s">
        <v>1177</v>
      </c>
      <c r="D110" t="s">
        <v>1178</v>
      </c>
      <c r="E110" t="s">
        <v>865</v>
      </c>
      <c r="F110" s="250">
        <v>46143</v>
      </c>
      <c r="G110" s="251">
        <v>46161</v>
      </c>
      <c r="H110" t="s">
        <v>844</v>
      </c>
      <c r="M110" t="s">
        <v>119</v>
      </c>
      <c r="N110" t="s">
        <v>53</v>
      </c>
      <c r="O110">
        <v>26</v>
      </c>
      <c r="P110">
        <v>95</v>
      </c>
      <c r="Q110">
        <v>0</v>
      </c>
      <c r="R110" s="193" t="str" cm="1">
        <f t="array" ref="R110">_xlfn.IFS(H110="created", "New", H110="cancelled", "Churned", AND(H110="seats_change", J110 &gt; I110), "Expansion", AND(H110="seats_change", J110 &lt; I110), "Contraction", AND(H110="price_change", J110 &gt; I110), "Expansion", AND(H110="price_change", J110 &lt; I110), "Contraction", H110="plan_upgrade", "Expansion", H110="plan_downgrade", "Contraction", H110="discount_added", "Contraction")</f>
        <v>New</v>
      </c>
      <c r="S110" s="196" cm="1">
        <f t="array" ref="S110">IF(N110="Monthly",_xlfn.IFS(H110="created",O110*P110*(1-Q110/100),H110="cancelled",-(O110*P110*(1-Q110/100)),H110="seats_change",(J110-I110)*P110*(1-Q110/100),H110="price_change",(J110-I110)*O110*(1-Q110/100),H110="discount_added",-(O110*P110*(J110-I110)/100),H110="plan_upgrade",O110*(_xlfn.XLOOKUP(J110,$M:$M,$P:$P)-_xlfn.XLOOKUP(I110,$M:$M,$P:$P))*(1-Q110/100),H110="plan_downgrade",O110*(_xlfn.XLOOKUP(J110,$M:$M,$P:$P)-_xlfn.XLOOKUP(I110,$M:$M,$P:$P))*(1-Q110/100)),_xlfn.IFS(H110="created",O110*P110*(1-Q110/100)/12,H110="cancelled",-(O110*P110*(1-Q110/100))/12,H110="seats_change",(J110-I110)*P110*(1-Q110/100)/12,H110="price_change",(J110-I110)*O110*(1-Q110/100)/12,H110="plan_upgrade",(O110*(_xlfn.XLOOKUP(J110,$M:$M,$P:$P)-_xlfn.XLOOKUP(I110,$M:$M,$P:$P))*(1-Q110/100))/12,H110="plan_downgrade",(O110*(_xlfn.XLOOKUP(J110,$M:$M,$P:$P)-_xlfn.XLOOKUP(I110,$M:$M,$P:$P))*(1-Q110/100))/12,H110="discount_added",-(O110*P110*(J110-I110)/100)/12))</f>
        <v>2470</v>
      </c>
      <c r="T110" s="193">
        <f>IF(H110&lt;&gt;"created",0,IF(COUNTIFS($C$1:C109,$C110,$H$1:H109,"created")=0,1,0))</f>
        <v>1</v>
      </c>
      <c r="U110" s="193">
        <f t="shared" si="8"/>
        <v>0</v>
      </c>
      <c r="V110" s="193">
        <f t="shared" si="9"/>
        <v>0</v>
      </c>
    </row>
    <row r="111" spans="1:22" ht="14.25" customHeight="1" x14ac:dyDescent="0.25">
      <c r="A111" t="s">
        <v>1179</v>
      </c>
      <c r="B111" t="s">
        <v>228</v>
      </c>
      <c r="C111" t="s">
        <v>226</v>
      </c>
      <c r="D111" t="s">
        <v>227</v>
      </c>
      <c r="E111" t="s">
        <v>843</v>
      </c>
      <c r="F111" s="250">
        <v>46143</v>
      </c>
      <c r="G111" s="251">
        <v>46165</v>
      </c>
      <c r="H111" t="s">
        <v>880</v>
      </c>
      <c r="I111" t="s">
        <v>881</v>
      </c>
      <c r="J111" t="s">
        <v>880</v>
      </c>
      <c r="K111" t="s">
        <v>44</v>
      </c>
      <c r="L111" t="s">
        <v>883</v>
      </c>
      <c r="M111" t="s">
        <v>119</v>
      </c>
      <c r="N111" t="s">
        <v>53</v>
      </c>
      <c r="O111">
        <v>16</v>
      </c>
      <c r="P111">
        <v>95</v>
      </c>
      <c r="Q111">
        <v>0</v>
      </c>
      <c r="R111" s="193" t="str" cm="1">
        <f t="array" ref="R111">_xlfn.IFS(H111="created", "New", H111="cancelled", "Churned", AND(H111="seats_change", J111 &gt; I111), "Expansion", AND(H111="seats_change", J111 &lt; I111), "Contraction", AND(H111="price_change", J111 &gt; I111), "Expansion", AND(H111="price_change", J111 &lt; I111), "Contraction", H111="plan_upgrade", "Expansion", H111="plan_downgrade", "Contraction", H111="discount_added", "Contraction")</f>
        <v>Churned</v>
      </c>
      <c r="S111" s="196" cm="1">
        <f t="array" ref="S111">IF(N111="Monthly",_xlfn.IFS(H111="created",O111*P111*(1-Q111/100),H111="cancelled",-(O111*P111*(1-Q111/100)),H111="seats_change",(J111-I111)*P111*(1-Q111/100),H111="price_change",(J111-I111)*O111*(1-Q111/100),H111="discount_added",-(O111*P111*(J111-I111)/100),H111="plan_upgrade",O111*(_xlfn.XLOOKUP(J111,$M:$M,$P:$P)-_xlfn.XLOOKUP(I111,$M:$M,$P:$P))*(1-Q111/100),H111="plan_downgrade",O111*(_xlfn.XLOOKUP(J111,$M:$M,$P:$P)-_xlfn.XLOOKUP(I111,$M:$M,$P:$P))*(1-Q111/100)),_xlfn.IFS(H111="created",O111*P111*(1-Q111/100)/12,H111="cancelled",-(O111*P111*(1-Q111/100))/12,H111="seats_change",(J111-I111)*P111*(1-Q111/100)/12,H111="price_change",(J111-I111)*O111*(1-Q111/100)/12,H111="plan_upgrade",(O111*(_xlfn.XLOOKUP(J111,$M:$M,$P:$P)-_xlfn.XLOOKUP(I111,$M:$M,$P:$P))*(1-Q111/100))/12,H111="plan_downgrade",(O111*(_xlfn.XLOOKUP(J111,$M:$M,$P:$P)-_xlfn.XLOOKUP(I111,$M:$M,$P:$P))*(1-Q111/100))/12,H111="discount_added",-(O111*P111*(J111-I111)/100)/12))</f>
        <v>-1520</v>
      </c>
      <c r="T111" s="193">
        <f>IF(H111&lt;&gt;"created",0,IF(COUNTIFS($C$1:C110,$C111,$H$1:H110,"created")=0,1,0))</f>
        <v>0</v>
      </c>
      <c r="U111" s="193">
        <f t="shared" si="8"/>
        <v>1</v>
      </c>
      <c r="V111" s="193">
        <f t="shared" si="9"/>
        <v>0</v>
      </c>
    </row>
    <row r="112" spans="1:22" ht="14.25" customHeight="1" x14ac:dyDescent="0.25">
      <c r="S112" s="200"/>
    </row>
    <row r="113" spans="19:19" ht="14.25" customHeight="1" x14ac:dyDescent="0.25">
      <c r="S113" s="200"/>
    </row>
    <row r="114" spans="19:19" ht="14.25" customHeight="1" x14ac:dyDescent="0.25">
      <c r="S114" s="200"/>
    </row>
    <row r="115" spans="19:19" ht="14.25" customHeight="1" x14ac:dyDescent="0.25">
      <c r="S115" s="200"/>
    </row>
    <row r="116" spans="19:19" ht="14.25" customHeight="1" x14ac:dyDescent="0.25">
      <c r="S116" s="200"/>
    </row>
    <row r="117" spans="19:19" ht="14.25" customHeight="1" x14ac:dyDescent="0.25">
      <c r="S117" s="200"/>
    </row>
    <row r="118" spans="19:19" ht="14.25" customHeight="1" x14ac:dyDescent="0.25">
      <c r="S118" s="200"/>
    </row>
    <row r="119" spans="19:19" ht="14.25" customHeight="1" x14ac:dyDescent="0.25">
      <c r="S119" s="200"/>
    </row>
    <row r="120" spans="19:19" ht="14.25" customHeight="1" x14ac:dyDescent="0.25">
      <c r="S120" s="200"/>
    </row>
    <row r="121" spans="19:19" ht="14.25" customHeight="1" x14ac:dyDescent="0.25">
      <c r="S121" s="200"/>
    </row>
    <row r="122" spans="19:19" ht="14.25" customHeight="1" x14ac:dyDescent="0.25">
      <c r="S122" s="200"/>
    </row>
    <row r="123" spans="19:19" ht="14.25" customHeight="1" x14ac:dyDescent="0.25">
      <c r="S123" s="200"/>
    </row>
    <row r="124" spans="19:19" ht="14.25" customHeight="1" x14ac:dyDescent="0.25">
      <c r="S124" s="200"/>
    </row>
    <row r="125" spans="19:19" ht="14.25" customHeight="1" x14ac:dyDescent="0.25">
      <c r="S125" s="200"/>
    </row>
    <row r="126" spans="19:19" ht="14.25" customHeight="1" x14ac:dyDescent="0.25">
      <c r="S126" s="200"/>
    </row>
    <row r="127" spans="19:19" ht="14.25" customHeight="1" x14ac:dyDescent="0.25">
      <c r="S127" s="200"/>
    </row>
    <row r="128" spans="19:19" ht="14.25" customHeight="1" x14ac:dyDescent="0.25">
      <c r="S128" s="200"/>
    </row>
    <row r="129" spans="19:19" ht="14.25" customHeight="1" x14ac:dyDescent="0.25">
      <c r="S129" s="200"/>
    </row>
    <row r="130" spans="19:19" ht="14.25" customHeight="1" x14ac:dyDescent="0.25">
      <c r="S130" s="200"/>
    </row>
    <row r="131" spans="19:19" ht="14.25" customHeight="1" x14ac:dyDescent="0.25">
      <c r="S131" s="200"/>
    </row>
    <row r="132" spans="19:19" ht="14.25" customHeight="1" x14ac:dyDescent="0.25">
      <c r="S132" s="200"/>
    </row>
    <row r="133" spans="19:19" ht="14.25" customHeight="1" x14ac:dyDescent="0.25">
      <c r="S133" s="200"/>
    </row>
    <row r="134" spans="19:19" ht="14.25" customHeight="1" x14ac:dyDescent="0.25">
      <c r="S134" s="200"/>
    </row>
    <row r="135" spans="19:19" ht="14.25" customHeight="1" x14ac:dyDescent="0.25">
      <c r="S135" s="200"/>
    </row>
    <row r="136" spans="19:19" ht="14.25" customHeight="1" x14ac:dyDescent="0.25">
      <c r="S136" s="200"/>
    </row>
    <row r="137" spans="19:19" ht="14.25" customHeight="1" x14ac:dyDescent="0.25">
      <c r="S137" s="200"/>
    </row>
    <row r="138" spans="19:19" ht="14.25" customHeight="1" x14ac:dyDescent="0.25">
      <c r="S138" s="200"/>
    </row>
    <row r="139" spans="19:19" ht="14.25" customHeight="1" x14ac:dyDescent="0.25">
      <c r="S139" s="200"/>
    </row>
    <row r="140" spans="19:19" ht="14.25" customHeight="1" x14ac:dyDescent="0.25">
      <c r="S140" s="200"/>
    </row>
    <row r="141" spans="19:19" ht="14.25" customHeight="1" x14ac:dyDescent="0.25">
      <c r="S141" s="200"/>
    </row>
    <row r="142" spans="19:19" ht="14.25" customHeight="1" x14ac:dyDescent="0.25">
      <c r="S142" s="200"/>
    </row>
    <row r="143" spans="19:19" ht="14.25" customHeight="1" x14ac:dyDescent="0.25">
      <c r="S143" s="200"/>
    </row>
    <row r="144" spans="19:19" ht="14.25" customHeight="1" x14ac:dyDescent="0.25">
      <c r="S144" s="200"/>
    </row>
    <row r="145" spans="19:19" ht="14.25" customHeight="1" x14ac:dyDescent="0.25">
      <c r="S145" s="200"/>
    </row>
    <row r="146" spans="19:19" ht="14.25" customHeight="1" x14ac:dyDescent="0.25">
      <c r="S146" s="200"/>
    </row>
    <row r="147" spans="19:19" ht="14.25" customHeight="1" x14ac:dyDescent="0.25">
      <c r="S147" s="200"/>
    </row>
    <row r="148" spans="19:19" ht="14.25" customHeight="1" x14ac:dyDescent="0.25">
      <c r="S148" s="200"/>
    </row>
    <row r="149" spans="19:19" ht="14.25" customHeight="1" x14ac:dyDescent="0.25">
      <c r="S149" s="200"/>
    </row>
    <row r="150" spans="19:19" ht="14.25" customHeight="1" x14ac:dyDescent="0.25">
      <c r="S150" s="200"/>
    </row>
    <row r="151" spans="19:19" ht="14.25" customHeight="1" x14ac:dyDescent="0.25">
      <c r="S151" s="200"/>
    </row>
    <row r="152" spans="19:19" ht="14.25" customHeight="1" x14ac:dyDescent="0.25">
      <c r="S152" s="200"/>
    </row>
    <row r="153" spans="19:19" ht="14.25" customHeight="1" x14ac:dyDescent="0.25">
      <c r="S153" s="200"/>
    </row>
    <row r="154" spans="19:19" ht="14.25" customHeight="1" x14ac:dyDescent="0.25">
      <c r="S154" s="200"/>
    </row>
    <row r="155" spans="19:19" ht="14.25" customHeight="1" x14ac:dyDescent="0.25">
      <c r="S155" s="200"/>
    </row>
    <row r="156" spans="19:19" ht="14.25" customHeight="1" x14ac:dyDescent="0.25">
      <c r="S156" s="200"/>
    </row>
    <row r="157" spans="19:19" ht="14.25" customHeight="1" x14ac:dyDescent="0.25">
      <c r="S157" s="200"/>
    </row>
    <row r="158" spans="19:19" ht="14.25" customHeight="1" x14ac:dyDescent="0.25">
      <c r="S158" s="200"/>
    </row>
    <row r="159" spans="19:19" ht="14.25" customHeight="1" x14ac:dyDescent="0.25">
      <c r="S159" s="200"/>
    </row>
    <row r="160" spans="19:19" ht="14.25" customHeight="1" x14ac:dyDescent="0.25">
      <c r="S160" s="200"/>
    </row>
    <row r="161" spans="19:19" ht="14.25" customHeight="1" x14ac:dyDescent="0.25">
      <c r="S161" s="200"/>
    </row>
    <row r="162" spans="19:19" ht="14.25" customHeight="1" x14ac:dyDescent="0.25">
      <c r="S162" s="200"/>
    </row>
    <row r="163" spans="19:19" ht="14.25" customHeight="1" x14ac:dyDescent="0.25">
      <c r="S163" s="200"/>
    </row>
    <row r="164" spans="19:19" ht="14.25" customHeight="1" x14ac:dyDescent="0.25">
      <c r="S164" s="200"/>
    </row>
    <row r="165" spans="19:19" ht="14.25" customHeight="1" x14ac:dyDescent="0.25">
      <c r="S165" s="200"/>
    </row>
    <row r="166" spans="19:19" ht="14.25" customHeight="1" x14ac:dyDescent="0.25">
      <c r="S166" s="200"/>
    </row>
    <row r="167" spans="19:19" ht="14.25" customHeight="1" x14ac:dyDescent="0.25">
      <c r="S167" s="200"/>
    </row>
    <row r="168" spans="19:19" ht="14.25" customHeight="1" x14ac:dyDescent="0.25">
      <c r="S168" s="200"/>
    </row>
    <row r="169" spans="19:19" ht="14.25" customHeight="1" x14ac:dyDescent="0.25">
      <c r="S169" s="200"/>
    </row>
    <row r="170" spans="19:19" ht="14.25" customHeight="1" x14ac:dyDescent="0.25">
      <c r="S170" s="200"/>
    </row>
    <row r="171" spans="19:19" ht="14.25" customHeight="1" x14ac:dyDescent="0.25">
      <c r="S171" s="200"/>
    </row>
    <row r="172" spans="19:19" ht="14.25" customHeight="1" x14ac:dyDescent="0.25">
      <c r="S172" s="200"/>
    </row>
    <row r="173" spans="19:19" ht="14.25" customHeight="1" x14ac:dyDescent="0.25">
      <c r="S173" s="200"/>
    </row>
    <row r="174" spans="19:19" ht="14.25" customHeight="1" x14ac:dyDescent="0.25">
      <c r="S174" s="200"/>
    </row>
    <row r="175" spans="19:19" ht="14.25" customHeight="1" x14ac:dyDescent="0.25">
      <c r="S175" s="200"/>
    </row>
    <row r="176" spans="19:19" ht="14.25" customHeight="1" x14ac:dyDescent="0.25">
      <c r="S176" s="200"/>
    </row>
    <row r="177" spans="19:19" ht="14.25" customHeight="1" x14ac:dyDescent="0.25">
      <c r="S177" s="200"/>
    </row>
    <row r="178" spans="19:19" ht="14.25" customHeight="1" x14ac:dyDescent="0.25">
      <c r="S178" s="200"/>
    </row>
    <row r="179" spans="19:19" ht="14.25" customHeight="1" x14ac:dyDescent="0.25">
      <c r="S179" s="200"/>
    </row>
    <row r="180" spans="19:19" ht="14.25" customHeight="1" x14ac:dyDescent="0.25">
      <c r="S180" s="200"/>
    </row>
    <row r="181" spans="19:19" ht="14.25" customHeight="1" x14ac:dyDescent="0.25">
      <c r="S181" s="200"/>
    </row>
    <row r="182" spans="19:19" ht="14.25" customHeight="1" x14ac:dyDescent="0.25">
      <c r="S182" s="200"/>
    </row>
    <row r="183" spans="19:19" ht="14.25" customHeight="1" x14ac:dyDescent="0.25">
      <c r="S183" s="200"/>
    </row>
    <row r="184" spans="19:19" ht="14.25" customHeight="1" x14ac:dyDescent="0.25">
      <c r="S184" s="200"/>
    </row>
    <row r="185" spans="19:19" ht="14.25" customHeight="1" x14ac:dyDescent="0.25">
      <c r="S185" s="200"/>
    </row>
    <row r="186" spans="19:19" ht="14.25" customHeight="1" x14ac:dyDescent="0.25">
      <c r="S186" s="200"/>
    </row>
    <row r="187" spans="19:19" ht="14.25" customHeight="1" x14ac:dyDescent="0.25">
      <c r="S187" s="200"/>
    </row>
    <row r="188" spans="19:19" ht="14.25" customHeight="1" x14ac:dyDescent="0.25">
      <c r="S188" s="200"/>
    </row>
    <row r="189" spans="19:19" ht="14.25" customHeight="1" x14ac:dyDescent="0.25">
      <c r="S189" s="200"/>
    </row>
    <row r="190" spans="19:19" ht="14.25" customHeight="1" x14ac:dyDescent="0.25">
      <c r="S190" s="200"/>
    </row>
    <row r="191" spans="19:19" ht="14.25" customHeight="1" x14ac:dyDescent="0.25">
      <c r="S191" s="200"/>
    </row>
    <row r="192" spans="19:19" ht="14.25" customHeight="1" x14ac:dyDescent="0.25">
      <c r="S192" s="200"/>
    </row>
    <row r="193" spans="19:19" ht="14.25" customHeight="1" x14ac:dyDescent="0.25">
      <c r="S193" s="200"/>
    </row>
    <row r="194" spans="19:19" ht="14.25" customHeight="1" x14ac:dyDescent="0.25">
      <c r="S194" s="200"/>
    </row>
    <row r="195" spans="19:19" ht="14.25" customHeight="1" x14ac:dyDescent="0.25">
      <c r="S195" s="200"/>
    </row>
    <row r="196" spans="19:19" ht="14.25" customHeight="1" x14ac:dyDescent="0.25">
      <c r="S196" s="200"/>
    </row>
    <row r="197" spans="19:19" ht="14.25" customHeight="1" x14ac:dyDescent="0.25">
      <c r="S197" s="200"/>
    </row>
    <row r="198" spans="19:19" ht="14.25" customHeight="1" x14ac:dyDescent="0.25">
      <c r="S198" s="200"/>
    </row>
    <row r="199" spans="19:19" ht="14.25" customHeight="1" x14ac:dyDescent="0.25">
      <c r="S199" s="200"/>
    </row>
    <row r="200" spans="19:19" ht="14.25" customHeight="1" x14ac:dyDescent="0.25">
      <c r="S200" s="200"/>
    </row>
    <row r="201" spans="19:19" ht="14.25" customHeight="1" x14ac:dyDescent="0.25">
      <c r="S201" s="200"/>
    </row>
    <row r="202" spans="19:19" ht="14.25" customHeight="1" x14ac:dyDescent="0.25">
      <c r="S202" s="200"/>
    </row>
    <row r="203" spans="19:19" ht="14.25" customHeight="1" x14ac:dyDescent="0.25">
      <c r="S203" s="200"/>
    </row>
    <row r="204" spans="19:19" ht="14.25" customHeight="1" x14ac:dyDescent="0.25">
      <c r="S204" s="200"/>
    </row>
    <row r="205" spans="19:19" ht="14.25" customHeight="1" x14ac:dyDescent="0.25">
      <c r="S205" s="200"/>
    </row>
    <row r="206" spans="19:19" ht="14.25" customHeight="1" x14ac:dyDescent="0.25">
      <c r="S206" s="200"/>
    </row>
    <row r="207" spans="19:19" ht="14.25" customHeight="1" x14ac:dyDescent="0.25">
      <c r="S207" s="200"/>
    </row>
    <row r="208" spans="19:19" ht="14.25" customHeight="1" x14ac:dyDescent="0.25">
      <c r="S208" s="200"/>
    </row>
    <row r="209" spans="19:19" ht="14.25" customHeight="1" x14ac:dyDescent="0.25">
      <c r="S209" s="200"/>
    </row>
    <row r="210" spans="19:19" ht="14.25" customHeight="1" x14ac:dyDescent="0.25">
      <c r="S210" s="200"/>
    </row>
    <row r="211" spans="19:19" ht="14.25" customHeight="1" x14ac:dyDescent="0.25">
      <c r="S211" s="200"/>
    </row>
    <row r="212" spans="19:19" ht="14.25" customHeight="1" x14ac:dyDescent="0.25">
      <c r="S212" s="200"/>
    </row>
    <row r="213" spans="19:19" ht="14.25" customHeight="1" x14ac:dyDescent="0.25">
      <c r="S213" s="200"/>
    </row>
    <row r="214" spans="19:19" ht="14.25" customHeight="1" x14ac:dyDescent="0.25">
      <c r="S214" s="200"/>
    </row>
    <row r="215" spans="19:19" ht="14.25" customHeight="1" x14ac:dyDescent="0.25">
      <c r="S215" s="200"/>
    </row>
    <row r="216" spans="19:19" ht="14.25" customHeight="1" x14ac:dyDescent="0.25">
      <c r="S216" s="200"/>
    </row>
    <row r="217" spans="19:19" ht="14.25" customHeight="1" x14ac:dyDescent="0.25">
      <c r="S217" s="200"/>
    </row>
    <row r="218" spans="19:19" ht="14.25" customHeight="1" x14ac:dyDescent="0.25">
      <c r="S218" s="200"/>
    </row>
    <row r="219" spans="19:19" ht="14.25" customHeight="1" x14ac:dyDescent="0.25">
      <c r="S219" s="200"/>
    </row>
    <row r="220" spans="19:19" ht="14.25" customHeight="1" x14ac:dyDescent="0.25">
      <c r="S220" s="200"/>
    </row>
    <row r="221" spans="19:19" ht="14.25" customHeight="1" x14ac:dyDescent="0.25">
      <c r="S221" s="200"/>
    </row>
    <row r="222" spans="19:19" ht="14.25" customHeight="1" x14ac:dyDescent="0.25">
      <c r="S222" s="200"/>
    </row>
    <row r="223" spans="19:19" ht="14.25" customHeight="1" x14ac:dyDescent="0.25">
      <c r="S223" s="200"/>
    </row>
    <row r="224" spans="19:19" ht="14.25" customHeight="1" x14ac:dyDescent="0.25">
      <c r="S224" s="200"/>
    </row>
    <row r="225" spans="19:19" ht="14.25" customHeight="1" x14ac:dyDescent="0.25">
      <c r="S225" s="200"/>
    </row>
    <row r="226" spans="19:19" ht="14.25" customHeight="1" x14ac:dyDescent="0.25">
      <c r="S226" s="200"/>
    </row>
    <row r="227" spans="19:19" ht="14.25" customHeight="1" x14ac:dyDescent="0.25">
      <c r="S227" s="200"/>
    </row>
    <row r="228" spans="19:19" ht="14.25" customHeight="1" x14ac:dyDescent="0.25">
      <c r="S228" s="200"/>
    </row>
    <row r="229" spans="19:19" ht="14.25" customHeight="1" x14ac:dyDescent="0.25">
      <c r="S229" s="200"/>
    </row>
    <row r="230" spans="19:19" ht="14.25" customHeight="1" x14ac:dyDescent="0.25">
      <c r="S230" s="200"/>
    </row>
    <row r="231" spans="19:19" ht="14.25" customHeight="1" x14ac:dyDescent="0.25">
      <c r="S231" s="200"/>
    </row>
    <row r="232" spans="19:19" ht="14.25" customHeight="1" x14ac:dyDescent="0.25">
      <c r="S232" s="200"/>
    </row>
    <row r="233" spans="19:19" ht="14.25" customHeight="1" x14ac:dyDescent="0.25">
      <c r="S233" s="200"/>
    </row>
    <row r="234" spans="19:19" ht="14.25" customHeight="1" x14ac:dyDescent="0.25">
      <c r="S234" s="200"/>
    </row>
    <row r="235" spans="19:19" ht="14.25" customHeight="1" x14ac:dyDescent="0.25">
      <c r="S235" s="200"/>
    </row>
    <row r="236" spans="19:19" ht="14.25" customHeight="1" x14ac:dyDescent="0.25">
      <c r="S236" s="200"/>
    </row>
    <row r="237" spans="19:19" ht="14.25" customHeight="1" x14ac:dyDescent="0.25">
      <c r="S237" s="200"/>
    </row>
    <row r="238" spans="19:19" ht="14.25" customHeight="1" x14ac:dyDescent="0.25">
      <c r="S238" s="200"/>
    </row>
    <row r="239" spans="19:19" ht="14.25" customHeight="1" x14ac:dyDescent="0.25">
      <c r="S239" s="200"/>
    </row>
    <row r="240" spans="19:19" ht="14.25" customHeight="1" x14ac:dyDescent="0.25">
      <c r="S240" s="200"/>
    </row>
    <row r="241" spans="19:19" ht="14.25" customHeight="1" x14ac:dyDescent="0.25">
      <c r="S241" s="200"/>
    </row>
    <row r="242" spans="19:19" ht="14.25" customHeight="1" x14ac:dyDescent="0.25">
      <c r="S242" s="200"/>
    </row>
    <row r="243" spans="19:19" ht="14.25" customHeight="1" x14ac:dyDescent="0.25">
      <c r="S243" s="200"/>
    </row>
    <row r="244" spans="19:19" ht="14.25" customHeight="1" x14ac:dyDescent="0.25">
      <c r="S244" s="200"/>
    </row>
    <row r="245" spans="19:19" ht="14.25" customHeight="1" x14ac:dyDescent="0.25">
      <c r="S245" s="200"/>
    </row>
    <row r="246" spans="19:19" ht="14.25" customHeight="1" x14ac:dyDescent="0.25">
      <c r="S246" s="200"/>
    </row>
    <row r="247" spans="19:19" ht="14.25" customHeight="1" x14ac:dyDescent="0.25">
      <c r="S247" s="200"/>
    </row>
    <row r="248" spans="19:19" ht="14.25" customHeight="1" x14ac:dyDescent="0.25">
      <c r="S248" s="200"/>
    </row>
    <row r="249" spans="19:19" ht="14.25" customHeight="1" x14ac:dyDescent="0.25">
      <c r="S249" s="200"/>
    </row>
    <row r="250" spans="19:19" ht="14.25" customHeight="1" x14ac:dyDescent="0.25">
      <c r="S250" s="200"/>
    </row>
    <row r="251" spans="19:19" ht="14.25" customHeight="1" x14ac:dyDescent="0.25">
      <c r="S251" s="200"/>
    </row>
    <row r="252" spans="19:19" ht="14.25" customHeight="1" x14ac:dyDescent="0.25">
      <c r="S252" s="200"/>
    </row>
    <row r="253" spans="19:19" ht="14.25" customHeight="1" x14ac:dyDescent="0.25">
      <c r="S253" s="200"/>
    </row>
    <row r="254" spans="19:19" ht="14.25" customHeight="1" x14ac:dyDescent="0.25">
      <c r="S254" s="200"/>
    </row>
    <row r="255" spans="19:19" ht="14.25" customHeight="1" x14ac:dyDescent="0.25">
      <c r="S255" s="200"/>
    </row>
    <row r="256" spans="19:19" ht="14.25" customHeight="1" x14ac:dyDescent="0.25">
      <c r="S256" s="200"/>
    </row>
    <row r="257" spans="19:19" ht="14.25" customHeight="1" x14ac:dyDescent="0.25">
      <c r="S257" s="200"/>
    </row>
    <row r="258" spans="19:19" ht="14.25" customHeight="1" x14ac:dyDescent="0.25">
      <c r="S258" s="200"/>
    </row>
    <row r="259" spans="19:19" ht="14.25" customHeight="1" x14ac:dyDescent="0.25">
      <c r="S259" s="200"/>
    </row>
    <row r="260" spans="19:19" ht="14.25" customHeight="1" x14ac:dyDescent="0.25">
      <c r="S260" s="200"/>
    </row>
    <row r="261" spans="19:19" ht="14.25" customHeight="1" x14ac:dyDescent="0.25">
      <c r="S261" s="200"/>
    </row>
    <row r="262" spans="19:19" ht="14.25" customHeight="1" x14ac:dyDescent="0.25">
      <c r="S262" s="200"/>
    </row>
    <row r="263" spans="19:19" ht="14.25" customHeight="1" x14ac:dyDescent="0.25">
      <c r="S263" s="200"/>
    </row>
    <row r="264" spans="19:19" ht="14.25" customHeight="1" x14ac:dyDescent="0.25">
      <c r="S264" s="200"/>
    </row>
    <row r="265" spans="19:19" ht="14.25" customHeight="1" x14ac:dyDescent="0.25">
      <c r="S265" s="200"/>
    </row>
    <row r="266" spans="19:19" ht="14.25" customHeight="1" x14ac:dyDescent="0.25">
      <c r="S266" s="200"/>
    </row>
    <row r="267" spans="19:19" ht="14.25" customHeight="1" x14ac:dyDescent="0.25">
      <c r="S267" s="200"/>
    </row>
    <row r="268" spans="19:19" ht="14.25" customHeight="1" x14ac:dyDescent="0.25">
      <c r="S268" s="200"/>
    </row>
    <row r="269" spans="19:19" ht="14.25" customHeight="1" x14ac:dyDescent="0.25">
      <c r="S269" s="200"/>
    </row>
    <row r="270" spans="19:19" ht="14.25" customHeight="1" x14ac:dyDescent="0.25">
      <c r="S270" s="200"/>
    </row>
    <row r="271" spans="19:19" ht="14.25" customHeight="1" x14ac:dyDescent="0.25">
      <c r="S271" s="200"/>
    </row>
    <row r="272" spans="19:19" ht="14.25" customHeight="1" x14ac:dyDescent="0.25">
      <c r="S272" s="200"/>
    </row>
    <row r="273" spans="19:19" ht="14.25" customHeight="1" x14ac:dyDescent="0.25">
      <c r="S273" s="200"/>
    </row>
    <row r="274" spans="19:19" ht="14.25" customHeight="1" x14ac:dyDescent="0.25">
      <c r="S274" s="200"/>
    </row>
    <row r="275" spans="19:19" ht="14.25" customHeight="1" x14ac:dyDescent="0.25">
      <c r="S275" s="200"/>
    </row>
    <row r="276" spans="19:19" ht="14.25" customHeight="1" x14ac:dyDescent="0.25">
      <c r="S276" s="200"/>
    </row>
    <row r="277" spans="19:19" ht="14.25" customHeight="1" x14ac:dyDescent="0.25">
      <c r="S277" s="200"/>
    </row>
    <row r="278" spans="19:19" ht="14.25" customHeight="1" x14ac:dyDescent="0.25">
      <c r="S278" s="200"/>
    </row>
    <row r="279" spans="19:19" ht="14.25" customHeight="1" x14ac:dyDescent="0.25">
      <c r="S279" s="200"/>
    </row>
    <row r="280" spans="19:19" ht="14.25" customHeight="1" x14ac:dyDescent="0.25">
      <c r="S280" s="200"/>
    </row>
    <row r="281" spans="19:19" ht="14.25" customHeight="1" x14ac:dyDescent="0.25">
      <c r="S281" s="200"/>
    </row>
    <row r="282" spans="19:19" ht="14.25" customHeight="1" x14ac:dyDescent="0.25">
      <c r="S282" s="200"/>
    </row>
    <row r="283" spans="19:19" ht="14.25" customHeight="1" x14ac:dyDescent="0.25">
      <c r="S283" s="200"/>
    </row>
    <row r="284" spans="19:19" ht="14.25" customHeight="1" x14ac:dyDescent="0.25">
      <c r="S284" s="200"/>
    </row>
    <row r="285" spans="19:19" ht="14.25" customHeight="1" x14ac:dyDescent="0.25">
      <c r="S285" s="200"/>
    </row>
    <row r="286" spans="19:19" ht="14.25" customHeight="1" x14ac:dyDescent="0.25">
      <c r="S286" s="200"/>
    </row>
    <row r="287" spans="19:19" ht="14.25" customHeight="1" x14ac:dyDescent="0.25">
      <c r="S287" s="200"/>
    </row>
    <row r="288" spans="19:19" ht="14.25" customHeight="1" x14ac:dyDescent="0.25">
      <c r="S288" s="200"/>
    </row>
    <row r="289" spans="19:19" ht="14.25" customHeight="1" x14ac:dyDescent="0.25">
      <c r="S289" s="200"/>
    </row>
    <row r="290" spans="19:19" ht="14.25" customHeight="1" x14ac:dyDescent="0.25">
      <c r="S290" s="200"/>
    </row>
    <row r="291" spans="19:19" ht="14.25" customHeight="1" x14ac:dyDescent="0.25">
      <c r="S291" s="200"/>
    </row>
    <row r="292" spans="19:19" ht="14.25" customHeight="1" x14ac:dyDescent="0.25">
      <c r="S292" s="200"/>
    </row>
    <row r="293" spans="19:19" ht="14.25" customHeight="1" x14ac:dyDescent="0.25">
      <c r="S293" s="200"/>
    </row>
    <row r="294" spans="19:19" ht="14.25" customHeight="1" x14ac:dyDescent="0.25">
      <c r="S294" s="200"/>
    </row>
    <row r="295" spans="19:19" ht="14.25" customHeight="1" x14ac:dyDescent="0.25">
      <c r="S295" s="200"/>
    </row>
    <row r="296" spans="19:19" ht="14.25" customHeight="1" x14ac:dyDescent="0.25">
      <c r="S296" s="200"/>
    </row>
    <row r="297" spans="19:19" ht="14.25" customHeight="1" x14ac:dyDescent="0.25">
      <c r="S297" s="200"/>
    </row>
    <row r="298" spans="19:19" ht="14.25" customHeight="1" x14ac:dyDescent="0.25">
      <c r="S298" s="200"/>
    </row>
    <row r="299" spans="19:19" ht="14.25" customHeight="1" x14ac:dyDescent="0.25">
      <c r="S299" s="200"/>
    </row>
    <row r="300" spans="19:19" ht="14.25" customHeight="1" x14ac:dyDescent="0.25">
      <c r="S300" s="200"/>
    </row>
    <row r="301" spans="19:19" ht="14.25" customHeight="1" x14ac:dyDescent="0.25">
      <c r="S301" s="200"/>
    </row>
    <row r="302" spans="19:19" ht="14.25" customHeight="1" x14ac:dyDescent="0.25">
      <c r="S302" s="200"/>
    </row>
    <row r="303" spans="19:19" ht="14.25" customHeight="1" x14ac:dyDescent="0.25">
      <c r="S303" s="200"/>
    </row>
    <row r="304" spans="19:19" ht="14.25" customHeight="1" x14ac:dyDescent="0.25">
      <c r="S304" s="200"/>
    </row>
    <row r="305" spans="19:19" ht="14.25" customHeight="1" x14ac:dyDescent="0.25">
      <c r="S305" s="200"/>
    </row>
    <row r="306" spans="19:19" ht="14.25" customHeight="1" x14ac:dyDescent="0.25">
      <c r="S306" s="200"/>
    </row>
    <row r="307" spans="19:19" ht="14.25" customHeight="1" x14ac:dyDescent="0.25">
      <c r="S307" s="200"/>
    </row>
    <row r="308" spans="19:19" ht="14.25" customHeight="1" x14ac:dyDescent="0.25">
      <c r="S308" s="200"/>
    </row>
    <row r="309" spans="19:19" ht="14.25" customHeight="1" x14ac:dyDescent="0.25">
      <c r="S309" s="200"/>
    </row>
    <row r="310" spans="19:19" ht="14.25" customHeight="1" x14ac:dyDescent="0.25">
      <c r="S310" s="200"/>
    </row>
    <row r="311" spans="19:19" ht="14.25" customHeight="1" x14ac:dyDescent="0.25">
      <c r="S311" s="200"/>
    </row>
    <row r="312" spans="19:19" ht="14.25" customHeight="1" x14ac:dyDescent="0.25">
      <c r="S312" s="200"/>
    </row>
    <row r="313" spans="19:19" ht="14.25" customHeight="1" x14ac:dyDescent="0.25">
      <c r="S313" s="200"/>
    </row>
    <row r="314" spans="19:19" ht="14.25" customHeight="1" x14ac:dyDescent="0.25">
      <c r="S314" s="200"/>
    </row>
    <row r="315" spans="19:19" ht="14.25" customHeight="1" x14ac:dyDescent="0.25">
      <c r="S315" s="200"/>
    </row>
    <row r="316" spans="19:19" ht="14.25" customHeight="1" x14ac:dyDescent="0.25">
      <c r="S316" s="200"/>
    </row>
    <row r="317" spans="19:19" ht="14.25" customHeight="1" x14ac:dyDescent="0.25">
      <c r="S317" s="200"/>
    </row>
    <row r="318" spans="19:19" ht="14.25" customHeight="1" x14ac:dyDescent="0.25">
      <c r="S318" s="200"/>
    </row>
    <row r="319" spans="19:19" ht="14.25" customHeight="1" x14ac:dyDescent="0.25">
      <c r="S319" s="200"/>
    </row>
    <row r="320" spans="19:19" ht="14.25" customHeight="1" x14ac:dyDescent="0.25">
      <c r="S320" s="200"/>
    </row>
    <row r="321" spans="19:19" ht="14.25" customHeight="1" x14ac:dyDescent="0.25">
      <c r="S321" s="200"/>
    </row>
    <row r="322" spans="19:19" ht="14.25" customHeight="1" x14ac:dyDescent="0.25">
      <c r="S322" s="200"/>
    </row>
    <row r="323" spans="19:19" ht="14.25" customHeight="1" x14ac:dyDescent="0.25">
      <c r="S323" s="200"/>
    </row>
    <row r="324" spans="19:19" ht="14.25" customHeight="1" x14ac:dyDescent="0.25">
      <c r="S324" s="200"/>
    </row>
    <row r="325" spans="19:19" ht="14.25" customHeight="1" x14ac:dyDescent="0.25">
      <c r="S325" s="200"/>
    </row>
    <row r="326" spans="19:19" ht="14.25" customHeight="1" x14ac:dyDescent="0.25">
      <c r="S326" s="200"/>
    </row>
    <row r="327" spans="19:19" ht="14.25" customHeight="1" x14ac:dyDescent="0.25">
      <c r="S327" s="200"/>
    </row>
    <row r="328" spans="19:19" ht="14.25" customHeight="1" x14ac:dyDescent="0.25">
      <c r="S328" s="200"/>
    </row>
    <row r="329" spans="19:19" ht="14.25" customHeight="1" x14ac:dyDescent="0.25">
      <c r="S329" s="200"/>
    </row>
    <row r="330" spans="19:19" ht="14.25" customHeight="1" x14ac:dyDescent="0.25">
      <c r="S330" s="200"/>
    </row>
    <row r="331" spans="19:19" ht="14.25" customHeight="1" x14ac:dyDescent="0.25">
      <c r="S331" s="200"/>
    </row>
    <row r="332" spans="19:19" ht="14.25" customHeight="1" x14ac:dyDescent="0.25">
      <c r="S332" s="200"/>
    </row>
    <row r="333" spans="19:19" ht="14.25" customHeight="1" x14ac:dyDescent="0.25">
      <c r="S333" s="200"/>
    </row>
    <row r="334" spans="19:19" ht="14.25" customHeight="1" x14ac:dyDescent="0.25">
      <c r="S334" s="200"/>
    </row>
    <row r="335" spans="19:19" ht="14.25" customHeight="1" x14ac:dyDescent="0.25">
      <c r="S335" s="200"/>
    </row>
    <row r="336" spans="19:19" ht="14.25" customHeight="1" x14ac:dyDescent="0.25">
      <c r="S336" s="200"/>
    </row>
    <row r="337" spans="19:19" ht="14.25" customHeight="1" x14ac:dyDescent="0.25">
      <c r="S337" s="200"/>
    </row>
    <row r="338" spans="19:19" ht="14.25" customHeight="1" x14ac:dyDescent="0.25">
      <c r="S338" s="200"/>
    </row>
    <row r="339" spans="19:19" ht="14.25" customHeight="1" x14ac:dyDescent="0.25">
      <c r="S339" s="200"/>
    </row>
    <row r="340" spans="19:19" ht="14.25" customHeight="1" x14ac:dyDescent="0.25">
      <c r="S340" s="200"/>
    </row>
    <row r="341" spans="19:19" ht="14.25" customHeight="1" x14ac:dyDescent="0.25">
      <c r="S341" s="200"/>
    </row>
    <row r="342" spans="19:19" ht="14.25" customHeight="1" x14ac:dyDescent="0.25">
      <c r="S342" s="200"/>
    </row>
    <row r="343" spans="19:19" ht="14.25" customHeight="1" x14ac:dyDescent="0.25">
      <c r="S343" s="200"/>
    </row>
    <row r="344" spans="19:19" ht="14.25" customHeight="1" x14ac:dyDescent="0.25">
      <c r="S344" s="200"/>
    </row>
    <row r="345" spans="19:19" ht="14.25" customHeight="1" x14ac:dyDescent="0.25">
      <c r="S345" s="200"/>
    </row>
    <row r="346" spans="19:19" ht="14.25" customHeight="1" x14ac:dyDescent="0.25">
      <c r="S346" s="200"/>
    </row>
    <row r="347" spans="19:19" ht="14.25" customHeight="1" x14ac:dyDescent="0.25">
      <c r="S347" s="200"/>
    </row>
    <row r="348" spans="19:19" ht="14.25" customHeight="1" x14ac:dyDescent="0.25">
      <c r="S348" s="200"/>
    </row>
    <row r="349" spans="19:19" ht="14.25" customHeight="1" x14ac:dyDescent="0.25">
      <c r="S349" s="200"/>
    </row>
    <row r="350" spans="19:19" ht="14.25" customHeight="1" x14ac:dyDescent="0.25">
      <c r="S350" s="200"/>
    </row>
    <row r="351" spans="19:19" ht="14.25" customHeight="1" x14ac:dyDescent="0.25">
      <c r="S351" s="200"/>
    </row>
    <row r="352" spans="19:19" ht="14.25" customHeight="1" x14ac:dyDescent="0.25">
      <c r="S352" s="200"/>
    </row>
    <row r="353" spans="19:19" ht="14.25" customHeight="1" x14ac:dyDescent="0.25">
      <c r="S353" s="200"/>
    </row>
    <row r="354" spans="19:19" ht="14.25" customHeight="1" x14ac:dyDescent="0.25">
      <c r="S354" s="200"/>
    </row>
    <row r="355" spans="19:19" ht="14.25" customHeight="1" x14ac:dyDescent="0.25">
      <c r="S355" s="200"/>
    </row>
    <row r="356" spans="19:19" ht="14.25" customHeight="1" x14ac:dyDescent="0.25">
      <c r="S356" s="200"/>
    </row>
    <row r="357" spans="19:19" ht="14.25" customHeight="1" x14ac:dyDescent="0.25">
      <c r="S357" s="200"/>
    </row>
    <row r="358" spans="19:19" ht="14.25" customHeight="1" x14ac:dyDescent="0.25">
      <c r="S358" s="200"/>
    </row>
    <row r="359" spans="19:19" ht="14.25" customHeight="1" x14ac:dyDescent="0.25">
      <c r="S359" s="200"/>
    </row>
    <row r="360" spans="19:19" ht="14.25" customHeight="1" x14ac:dyDescent="0.25">
      <c r="S360" s="200"/>
    </row>
    <row r="361" spans="19:19" ht="14.25" customHeight="1" x14ac:dyDescent="0.25">
      <c r="S361" s="200"/>
    </row>
    <row r="362" spans="19:19" ht="14.25" customHeight="1" x14ac:dyDescent="0.25">
      <c r="S362" s="200"/>
    </row>
    <row r="363" spans="19:19" ht="14.25" customHeight="1" x14ac:dyDescent="0.25">
      <c r="S363" s="200"/>
    </row>
    <row r="364" spans="19:19" ht="14.25" customHeight="1" x14ac:dyDescent="0.25">
      <c r="S364" s="200"/>
    </row>
    <row r="365" spans="19:19" ht="14.25" customHeight="1" x14ac:dyDescent="0.25">
      <c r="S365" s="200"/>
    </row>
    <row r="366" spans="19:19" ht="14.25" customHeight="1" x14ac:dyDescent="0.25">
      <c r="S366" s="200"/>
    </row>
    <row r="367" spans="19:19" ht="14.25" customHeight="1" x14ac:dyDescent="0.25">
      <c r="S367" s="200"/>
    </row>
    <row r="368" spans="19:19" ht="14.25" customHeight="1" x14ac:dyDescent="0.25">
      <c r="S368" s="200"/>
    </row>
    <row r="369" spans="19:19" ht="14.25" customHeight="1" x14ac:dyDescent="0.25">
      <c r="S369" s="200"/>
    </row>
    <row r="370" spans="19:19" ht="14.25" customHeight="1" x14ac:dyDescent="0.25">
      <c r="S370" s="200"/>
    </row>
    <row r="371" spans="19:19" ht="14.25" customHeight="1" x14ac:dyDescent="0.25">
      <c r="S371" s="200"/>
    </row>
    <row r="372" spans="19:19" ht="14.25" customHeight="1" x14ac:dyDescent="0.25">
      <c r="S372" s="200"/>
    </row>
    <row r="373" spans="19:19" ht="14.25" customHeight="1" x14ac:dyDescent="0.25">
      <c r="S373" s="200"/>
    </row>
    <row r="374" spans="19:19" ht="14.25" customHeight="1" x14ac:dyDescent="0.25">
      <c r="S374" s="200"/>
    </row>
    <row r="375" spans="19:19" ht="14.25" customHeight="1" x14ac:dyDescent="0.25">
      <c r="S375" s="200"/>
    </row>
    <row r="376" spans="19:19" ht="14.25" customHeight="1" x14ac:dyDescent="0.25">
      <c r="S376" s="200"/>
    </row>
    <row r="377" spans="19:19" ht="14.25" customHeight="1" x14ac:dyDescent="0.25">
      <c r="S377" s="200"/>
    </row>
    <row r="378" spans="19:19" ht="14.25" customHeight="1" x14ac:dyDescent="0.25">
      <c r="S378" s="200"/>
    </row>
    <row r="379" spans="19:19" ht="14.25" customHeight="1" x14ac:dyDescent="0.25">
      <c r="S379" s="200"/>
    </row>
    <row r="380" spans="19:19" ht="14.25" customHeight="1" x14ac:dyDescent="0.25">
      <c r="S380" s="200"/>
    </row>
    <row r="381" spans="19:19" ht="14.25" customHeight="1" x14ac:dyDescent="0.25">
      <c r="S381" s="200"/>
    </row>
    <row r="382" spans="19:19" ht="14.25" customHeight="1" x14ac:dyDescent="0.25">
      <c r="S382" s="200"/>
    </row>
    <row r="383" spans="19:19" ht="14.25" customHeight="1" x14ac:dyDescent="0.25">
      <c r="S383" s="200"/>
    </row>
    <row r="384" spans="19:19" ht="14.25" customHeight="1" x14ac:dyDescent="0.25">
      <c r="S384" s="200"/>
    </row>
    <row r="385" spans="19:19" ht="14.25" customHeight="1" x14ac:dyDescent="0.25">
      <c r="S385" s="200"/>
    </row>
    <row r="386" spans="19:19" ht="14.25" customHeight="1" x14ac:dyDescent="0.25">
      <c r="S386" s="200"/>
    </row>
    <row r="387" spans="19:19" ht="14.25" customHeight="1" x14ac:dyDescent="0.25">
      <c r="S387" s="200"/>
    </row>
    <row r="388" spans="19:19" ht="14.25" customHeight="1" x14ac:dyDescent="0.25">
      <c r="S388" s="200"/>
    </row>
    <row r="389" spans="19:19" ht="14.25" customHeight="1" x14ac:dyDescent="0.25">
      <c r="S389" s="200"/>
    </row>
    <row r="390" spans="19:19" ht="14.25" customHeight="1" x14ac:dyDescent="0.25">
      <c r="S390" s="200"/>
    </row>
    <row r="391" spans="19:19" ht="14.25" customHeight="1" x14ac:dyDescent="0.25">
      <c r="S391" s="200"/>
    </row>
    <row r="392" spans="19:19" ht="14.25" customHeight="1" x14ac:dyDescent="0.25">
      <c r="S392" s="200"/>
    </row>
    <row r="393" spans="19:19" ht="14.25" customHeight="1" x14ac:dyDescent="0.25">
      <c r="S393" s="200"/>
    </row>
    <row r="394" spans="19:19" ht="14.25" customHeight="1" x14ac:dyDescent="0.25">
      <c r="S394" s="200"/>
    </row>
    <row r="395" spans="19:19" ht="14.25" customHeight="1" x14ac:dyDescent="0.25">
      <c r="S395" s="200"/>
    </row>
    <row r="396" spans="19:19" ht="14.25" customHeight="1" x14ac:dyDescent="0.25">
      <c r="S396" s="200"/>
    </row>
    <row r="397" spans="19:19" ht="14.25" customHeight="1" x14ac:dyDescent="0.25">
      <c r="S397" s="200"/>
    </row>
    <row r="398" spans="19:19" ht="14.25" customHeight="1" x14ac:dyDescent="0.25">
      <c r="S398" s="200"/>
    </row>
    <row r="399" spans="19:19" ht="14.25" customHeight="1" x14ac:dyDescent="0.25">
      <c r="S399" s="200"/>
    </row>
    <row r="400" spans="19:19" ht="14.25" customHeight="1" x14ac:dyDescent="0.25">
      <c r="S400" s="200"/>
    </row>
    <row r="401" spans="19:19" ht="14.25" customHeight="1" x14ac:dyDescent="0.25">
      <c r="S401" s="200"/>
    </row>
    <row r="402" spans="19:19" ht="14.25" customHeight="1" x14ac:dyDescent="0.25">
      <c r="S402" s="200"/>
    </row>
    <row r="403" spans="19:19" ht="14.25" customHeight="1" x14ac:dyDescent="0.25">
      <c r="S403" s="200"/>
    </row>
    <row r="404" spans="19:19" ht="14.25" customHeight="1" x14ac:dyDescent="0.25">
      <c r="S404" s="200"/>
    </row>
    <row r="405" spans="19:19" ht="14.25" customHeight="1" x14ac:dyDescent="0.25">
      <c r="S405" s="200"/>
    </row>
    <row r="406" spans="19:19" ht="14.25" customHeight="1" x14ac:dyDescent="0.25">
      <c r="S406" s="200"/>
    </row>
    <row r="407" spans="19:19" ht="14.25" customHeight="1" x14ac:dyDescent="0.25">
      <c r="S407" s="200"/>
    </row>
    <row r="408" spans="19:19" ht="14.25" customHeight="1" x14ac:dyDescent="0.25">
      <c r="S408" s="200"/>
    </row>
    <row r="409" spans="19:19" ht="14.25" customHeight="1" x14ac:dyDescent="0.25">
      <c r="S409" s="200"/>
    </row>
    <row r="410" spans="19:19" ht="14.25" customHeight="1" x14ac:dyDescent="0.25">
      <c r="S410" s="200"/>
    </row>
    <row r="411" spans="19:19" ht="14.25" customHeight="1" x14ac:dyDescent="0.25">
      <c r="S411" s="200"/>
    </row>
    <row r="412" spans="19:19" ht="14.25" customHeight="1" x14ac:dyDescent="0.25">
      <c r="S412" s="200"/>
    </row>
    <row r="413" spans="19:19" ht="14.25" customHeight="1" x14ac:dyDescent="0.25">
      <c r="S413" s="200"/>
    </row>
    <row r="414" spans="19:19" ht="14.25" customHeight="1" x14ac:dyDescent="0.25">
      <c r="S414" s="200"/>
    </row>
    <row r="415" spans="19:19" ht="14.25" customHeight="1" x14ac:dyDescent="0.25">
      <c r="S415" s="200"/>
    </row>
    <row r="416" spans="19:19" ht="14.25" customHeight="1" x14ac:dyDescent="0.25">
      <c r="S416" s="200"/>
    </row>
    <row r="417" spans="19:19" ht="14.25" customHeight="1" x14ac:dyDescent="0.25">
      <c r="S417" s="200"/>
    </row>
    <row r="418" spans="19:19" ht="14.25" customHeight="1" x14ac:dyDescent="0.25">
      <c r="S418" s="200"/>
    </row>
    <row r="419" spans="19:19" ht="14.25" customHeight="1" x14ac:dyDescent="0.25">
      <c r="S419" s="200"/>
    </row>
    <row r="420" spans="19:19" ht="14.25" customHeight="1" x14ac:dyDescent="0.25">
      <c r="S420" s="200"/>
    </row>
    <row r="421" spans="19:19" ht="14.25" customHeight="1" x14ac:dyDescent="0.25">
      <c r="S421" s="200"/>
    </row>
    <row r="422" spans="19:19" ht="14.25" customHeight="1" x14ac:dyDescent="0.25">
      <c r="S422" s="200"/>
    </row>
    <row r="423" spans="19:19" ht="14.25" customHeight="1" x14ac:dyDescent="0.25">
      <c r="S423" s="200"/>
    </row>
    <row r="424" spans="19:19" ht="14.25" customHeight="1" x14ac:dyDescent="0.25">
      <c r="S424" s="200"/>
    </row>
    <row r="425" spans="19:19" ht="14.25" customHeight="1" x14ac:dyDescent="0.25">
      <c r="S425" s="200"/>
    </row>
    <row r="426" spans="19:19" ht="14.25" customHeight="1" x14ac:dyDescent="0.25">
      <c r="S426" s="200"/>
    </row>
    <row r="427" spans="19:19" ht="14.25" customHeight="1" x14ac:dyDescent="0.25">
      <c r="S427" s="200"/>
    </row>
    <row r="428" spans="19:19" ht="14.25" customHeight="1" x14ac:dyDescent="0.25">
      <c r="S428" s="200"/>
    </row>
    <row r="429" spans="19:19" ht="14.25" customHeight="1" x14ac:dyDescent="0.25">
      <c r="S429" s="200"/>
    </row>
    <row r="430" spans="19:19" ht="14.25" customHeight="1" x14ac:dyDescent="0.25">
      <c r="S430" s="200"/>
    </row>
    <row r="431" spans="19:19" ht="14.25" customHeight="1" x14ac:dyDescent="0.25">
      <c r="S431" s="200"/>
    </row>
    <row r="432" spans="19:19" ht="14.25" customHeight="1" x14ac:dyDescent="0.25">
      <c r="S432" s="200"/>
    </row>
    <row r="433" spans="19:19" ht="14.25" customHeight="1" x14ac:dyDescent="0.25">
      <c r="S433" s="200"/>
    </row>
    <row r="434" spans="19:19" ht="14.25" customHeight="1" x14ac:dyDescent="0.25">
      <c r="S434" s="200"/>
    </row>
    <row r="435" spans="19:19" ht="14.25" customHeight="1" x14ac:dyDescent="0.25">
      <c r="S435" s="200"/>
    </row>
    <row r="436" spans="19:19" ht="14.25" customHeight="1" x14ac:dyDescent="0.25">
      <c r="S436" s="200"/>
    </row>
    <row r="437" spans="19:19" ht="14.25" customHeight="1" x14ac:dyDescent="0.25">
      <c r="S437" s="200"/>
    </row>
    <row r="438" spans="19:19" ht="14.25" customHeight="1" x14ac:dyDescent="0.25">
      <c r="S438" s="200"/>
    </row>
    <row r="439" spans="19:19" ht="14.25" customHeight="1" x14ac:dyDescent="0.25">
      <c r="S439" s="200"/>
    </row>
    <row r="440" spans="19:19" ht="14.25" customHeight="1" x14ac:dyDescent="0.25">
      <c r="S440" s="200"/>
    </row>
    <row r="441" spans="19:19" ht="14.25" customHeight="1" x14ac:dyDescent="0.25">
      <c r="S441" s="200"/>
    </row>
    <row r="442" spans="19:19" ht="14.25" customHeight="1" x14ac:dyDescent="0.25">
      <c r="S442" s="200"/>
    </row>
    <row r="443" spans="19:19" ht="14.25" customHeight="1" x14ac:dyDescent="0.25">
      <c r="S443" s="200"/>
    </row>
    <row r="444" spans="19:19" ht="14.25" customHeight="1" x14ac:dyDescent="0.25">
      <c r="S444" s="200"/>
    </row>
    <row r="445" spans="19:19" ht="14.25" customHeight="1" x14ac:dyDescent="0.25">
      <c r="S445" s="200"/>
    </row>
    <row r="446" spans="19:19" ht="14.25" customHeight="1" x14ac:dyDescent="0.25">
      <c r="S446" s="200"/>
    </row>
    <row r="447" spans="19:19" ht="14.25" customHeight="1" x14ac:dyDescent="0.25">
      <c r="S447" s="200"/>
    </row>
    <row r="448" spans="19:19" ht="14.25" customHeight="1" x14ac:dyDescent="0.25">
      <c r="S448" s="200"/>
    </row>
    <row r="449" spans="19:19" ht="14.25" customHeight="1" x14ac:dyDescent="0.25">
      <c r="S449" s="200"/>
    </row>
    <row r="450" spans="19:19" ht="14.25" customHeight="1" x14ac:dyDescent="0.25">
      <c r="S450" s="200"/>
    </row>
    <row r="451" spans="19:19" ht="14.25" customHeight="1" x14ac:dyDescent="0.25">
      <c r="S451" s="200"/>
    </row>
    <row r="452" spans="19:19" ht="14.25" customHeight="1" x14ac:dyDescent="0.25">
      <c r="S452" s="200"/>
    </row>
    <row r="453" spans="19:19" ht="14.25" customHeight="1" x14ac:dyDescent="0.25">
      <c r="S453" s="200"/>
    </row>
    <row r="454" spans="19:19" ht="14.25" customHeight="1" x14ac:dyDescent="0.25">
      <c r="S454" s="200"/>
    </row>
    <row r="455" spans="19:19" ht="14.25" customHeight="1" x14ac:dyDescent="0.25">
      <c r="S455" s="200"/>
    </row>
    <row r="456" spans="19:19" ht="14.25" customHeight="1" x14ac:dyDescent="0.25">
      <c r="S456" s="200"/>
    </row>
    <row r="457" spans="19:19" ht="14.25" customHeight="1" x14ac:dyDescent="0.25">
      <c r="S457" s="200"/>
    </row>
    <row r="458" spans="19:19" ht="14.25" customHeight="1" x14ac:dyDescent="0.25">
      <c r="S458" s="200"/>
    </row>
    <row r="459" spans="19:19" ht="14.25" customHeight="1" x14ac:dyDescent="0.25">
      <c r="S459" s="200"/>
    </row>
    <row r="460" spans="19:19" ht="14.25" customHeight="1" x14ac:dyDescent="0.25">
      <c r="S460" s="200"/>
    </row>
    <row r="461" spans="19:19" ht="14.25" customHeight="1" x14ac:dyDescent="0.25">
      <c r="S461" s="200"/>
    </row>
    <row r="462" spans="19:19" ht="14.25" customHeight="1" x14ac:dyDescent="0.25">
      <c r="S462" s="200"/>
    </row>
    <row r="463" spans="19:19" ht="14.25" customHeight="1" x14ac:dyDescent="0.25">
      <c r="S463" s="200"/>
    </row>
    <row r="464" spans="19:19" ht="14.25" customHeight="1" x14ac:dyDescent="0.25">
      <c r="S464" s="200"/>
    </row>
    <row r="465" spans="19:19" ht="14.25" customHeight="1" x14ac:dyDescent="0.25">
      <c r="S465" s="200"/>
    </row>
    <row r="466" spans="19:19" ht="14.25" customHeight="1" x14ac:dyDescent="0.25">
      <c r="S466" s="200"/>
    </row>
    <row r="467" spans="19:19" ht="14.25" customHeight="1" x14ac:dyDescent="0.25">
      <c r="S467" s="200"/>
    </row>
    <row r="468" spans="19:19" ht="14.25" customHeight="1" x14ac:dyDescent="0.25">
      <c r="S468" s="200"/>
    </row>
    <row r="469" spans="19:19" ht="14.25" customHeight="1" x14ac:dyDescent="0.25">
      <c r="S469" s="200"/>
    </row>
    <row r="470" spans="19:19" ht="14.25" customHeight="1" x14ac:dyDescent="0.25">
      <c r="S470" s="200"/>
    </row>
    <row r="471" spans="19:19" ht="14.25" customHeight="1" x14ac:dyDescent="0.25">
      <c r="S471" s="200"/>
    </row>
    <row r="472" spans="19:19" ht="14.25" customHeight="1" x14ac:dyDescent="0.25">
      <c r="S472" s="200"/>
    </row>
    <row r="473" spans="19:19" ht="14.25" customHeight="1" x14ac:dyDescent="0.25">
      <c r="S473" s="200"/>
    </row>
    <row r="474" spans="19:19" ht="14.25" customHeight="1" x14ac:dyDescent="0.25">
      <c r="S474" s="200"/>
    </row>
    <row r="475" spans="19:19" ht="14.25" customHeight="1" x14ac:dyDescent="0.25">
      <c r="S475" s="200"/>
    </row>
    <row r="476" spans="19:19" ht="14.25" customHeight="1" x14ac:dyDescent="0.25">
      <c r="S476" s="200"/>
    </row>
    <row r="477" spans="19:19" ht="14.25" customHeight="1" x14ac:dyDescent="0.25">
      <c r="S477" s="200"/>
    </row>
    <row r="478" spans="19:19" ht="14.25" customHeight="1" x14ac:dyDescent="0.25">
      <c r="S478" s="200"/>
    </row>
    <row r="479" spans="19:19" ht="14.25" customHeight="1" x14ac:dyDescent="0.25">
      <c r="S479" s="200"/>
    </row>
    <row r="480" spans="19:19" ht="14.25" customHeight="1" x14ac:dyDescent="0.25">
      <c r="S480" s="200"/>
    </row>
    <row r="481" spans="19:19" ht="14.25" customHeight="1" x14ac:dyDescent="0.25">
      <c r="S481" s="200"/>
    </row>
    <row r="482" spans="19:19" ht="14.25" customHeight="1" x14ac:dyDescent="0.25">
      <c r="S482" s="200"/>
    </row>
    <row r="483" spans="19:19" ht="14.25" customHeight="1" x14ac:dyDescent="0.25">
      <c r="S483" s="200"/>
    </row>
    <row r="484" spans="19:19" ht="14.25" customHeight="1" x14ac:dyDescent="0.25">
      <c r="S484" s="200"/>
    </row>
    <row r="485" spans="19:19" ht="14.25" customHeight="1" x14ac:dyDescent="0.25">
      <c r="S485" s="200"/>
    </row>
    <row r="486" spans="19:19" ht="14.25" customHeight="1" x14ac:dyDescent="0.25">
      <c r="S486" s="200"/>
    </row>
    <row r="487" spans="19:19" ht="14.25" customHeight="1" x14ac:dyDescent="0.25">
      <c r="S487" s="200"/>
    </row>
    <row r="488" spans="19:19" ht="14.25" customHeight="1" x14ac:dyDescent="0.25">
      <c r="S488" s="200"/>
    </row>
    <row r="489" spans="19:19" ht="14.25" customHeight="1" x14ac:dyDescent="0.25">
      <c r="S489" s="200"/>
    </row>
    <row r="490" spans="19:19" ht="14.25" customHeight="1" x14ac:dyDescent="0.25">
      <c r="S490" s="200"/>
    </row>
    <row r="491" spans="19:19" ht="14.25" customHeight="1" x14ac:dyDescent="0.25">
      <c r="S491" s="200"/>
    </row>
    <row r="492" spans="19:19" ht="14.25" customHeight="1" x14ac:dyDescent="0.25">
      <c r="S492" s="200"/>
    </row>
    <row r="493" spans="19:19" ht="14.25" customHeight="1" x14ac:dyDescent="0.25">
      <c r="S493" s="200"/>
    </row>
    <row r="494" spans="19:19" ht="14.25" customHeight="1" x14ac:dyDescent="0.25">
      <c r="S494" s="200"/>
    </row>
    <row r="495" spans="19:19" ht="14.25" customHeight="1" x14ac:dyDescent="0.25">
      <c r="S495" s="200"/>
    </row>
    <row r="496" spans="19:19" ht="14.25" customHeight="1" x14ac:dyDescent="0.25">
      <c r="S496" s="200"/>
    </row>
    <row r="497" spans="19:19" ht="14.25" customHeight="1" x14ac:dyDescent="0.25">
      <c r="S497" s="200"/>
    </row>
    <row r="498" spans="19:19" ht="14.25" customHeight="1" x14ac:dyDescent="0.25">
      <c r="S498" s="200"/>
    </row>
    <row r="499" spans="19:19" ht="14.25" customHeight="1" x14ac:dyDescent="0.25">
      <c r="S499" s="200"/>
    </row>
    <row r="500" spans="19:19" ht="14.25" customHeight="1" x14ac:dyDescent="0.25">
      <c r="S500" s="200"/>
    </row>
    <row r="501" spans="19:19" ht="14.25" customHeight="1" x14ac:dyDescent="0.25">
      <c r="S501" s="200"/>
    </row>
    <row r="502" spans="19:19" ht="14.25" customHeight="1" x14ac:dyDescent="0.25">
      <c r="S502" s="200"/>
    </row>
    <row r="503" spans="19:19" ht="14.25" customHeight="1" x14ac:dyDescent="0.25">
      <c r="S503" s="200"/>
    </row>
    <row r="504" spans="19:19" ht="14.25" customHeight="1" x14ac:dyDescent="0.25">
      <c r="S504" s="200"/>
    </row>
    <row r="505" spans="19:19" ht="14.25" customHeight="1" x14ac:dyDescent="0.25">
      <c r="S505" s="200"/>
    </row>
    <row r="506" spans="19:19" ht="14.25" customHeight="1" x14ac:dyDescent="0.25">
      <c r="S506" s="200"/>
    </row>
    <row r="507" spans="19:19" ht="14.25" customHeight="1" x14ac:dyDescent="0.25">
      <c r="S507" s="200"/>
    </row>
    <row r="508" spans="19:19" ht="14.25" customHeight="1" x14ac:dyDescent="0.25">
      <c r="S508" s="200"/>
    </row>
    <row r="509" spans="19:19" ht="14.25" customHeight="1" x14ac:dyDescent="0.25">
      <c r="S509" s="200"/>
    </row>
    <row r="510" spans="19:19" ht="14.25" customHeight="1" x14ac:dyDescent="0.25">
      <c r="S510" s="200"/>
    </row>
    <row r="511" spans="19:19" ht="14.25" customHeight="1" x14ac:dyDescent="0.25">
      <c r="S511" s="200"/>
    </row>
    <row r="512" spans="19:19" ht="14.25" customHeight="1" x14ac:dyDescent="0.25">
      <c r="S512" s="200"/>
    </row>
    <row r="513" spans="19:19" ht="14.25" customHeight="1" x14ac:dyDescent="0.25">
      <c r="S513" s="200"/>
    </row>
    <row r="514" spans="19:19" ht="14.25" customHeight="1" x14ac:dyDescent="0.25">
      <c r="S514" s="200"/>
    </row>
    <row r="515" spans="19:19" ht="14.25" customHeight="1" x14ac:dyDescent="0.25">
      <c r="S515" s="200"/>
    </row>
    <row r="516" spans="19:19" ht="14.25" customHeight="1" x14ac:dyDescent="0.25">
      <c r="S516" s="200"/>
    </row>
    <row r="517" spans="19:19" ht="14.25" customHeight="1" x14ac:dyDescent="0.25">
      <c r="S517" s="200"/>
    </row>
    <row r="518" spans="19:19" ht="14.25" customHeight="1" x14ac:dyDescent="0.25">
      <c r="S518" s="200"/>
    </row>
    <row r="519" spans="19:19" ht="14.25" customHeight="1" x14ac:dyDescent="0.25">
      <c r="S519" s="200"/>
    </row>
    <row r="520" spans="19:19" ht="14.25" customHeight="1" x14ac:dyDescent="0.25">
      <c r="S520" s="200"/>
    </row>
    <row r="521" spans="19:19" ht="14.25" customHeight="1" x14ac:dyDescent="0.25">
      <c r="S521" s="200"/>
    </row>
    <row r="522" spans="19:19" ht="14.25" customHeight="1" x14ac:dyDescent="0.25">
      <c r="S522" s="200"/>
    </row>
    <row r="523" spans="19:19" ht="14.25" customHeight="1" x14ac:dyDescent="0.25">
      <c r="S523" s="200"/>
    </row>
    <row r="524" spans="19:19" ht="14.25" customHeight="1" x14ac:dyDescent="0.25">
      <c r="S524" s="200"/>
    </row>
    <row r="525" spans="19:19" ht="14.25" customHeight="1" x14ac:dyDescent="0.25">
      <c r="S525" s="200"/>
    </row>
    <row r="526" spans="19:19" ht="14.25" customHeight="1" x14ac:dyDescent="0.25">
      <c r="S526" s="200"/>
    </row>
    <row r="527" spans="19:19" ht="14.25" customHeight="1" x14ac:dyDescent="0.25">
      <c r="S527" s="200"/>
    </row>
    <row r="528" spans="19:19" ht="14.25" customHeight="1" x14ac:dyDescent="0.25">
      <c r="S528" s="200"/>
    </row>
    <row r="529" spans="19:19" ht="14.25" customHeight="1" x14ac:dyDescent="0.25">
      <c r="S529" s="200"/>
    </row>
    <row r="530" spans="19:19" ht="14.25" customHeight="1" x14ac:dyDescent="0.25">
      <c r="S530" s="200"/>
    </row>
    <row r="531" spans="19:19" ht="14.25" customHeight="1" x14ac:dyDescent="0.25">
      <c r="S531" s="200"/>
    </row>
    <row r="532" spans="19:19" ht="14.25" customHeight="1" x14ac:dyDescent="0.25">
      <c r="S532" s="200"/>
    </row>
    <row r="533" spans="19:19" ht="14.25" customHeight="1" x14ac:dyDescent="0.25">
      <c r="S533" s="200"/>
    </row>
    <row r="534" spans="19:19" ht="14.25" customHeight="1" x14ac:dyDescent="0.25">
      <c r="S534" s="200"/>
    </row>
    <row r="535" spans="19:19" ht="14.25" customHeight="1" x14ac:dyDescent="0.25">
      <c r="S535" s="200"/>
    </row>
    <row r="536" spans="19:19" ht="14.25" customHeight="1" x14ac:dyDescent="0.25">
      <c r="S536" s="200"/>
    </row>
    <row r="537" spans="19:19" ht="14.25" customHeight="1" x14ac:dyDescent="0.25">
      <c r="S537" s="200"/>
    </row>
    <row r="538" spans="19:19" ht="14.25" customHeight="1" x14ac:dyDescent="0.25">
      <c r="S538" s="200"/>
    </row>
    <row r="539" spans="19:19" ht="14.25" customHeight="1" x14ac:dyDescent="0.25">
      <c r="S539" s="200"/>
    </row>
    <row r="540" spans="19:19" ht="14.25" customHeight="1" x14ac:dyDescent="0.25">
      <c r="S540" s="200"/>
    </row>
    <row r="541" spans="19:19" ht="14.25" customHeight="1" x14ac:dyDescent="0.25">
      <c r="S541" s="200"/>
    </row>
    <row r="542" spans="19:19" ht="14.25" customHeight="1" x14ac:dyDescent="0.25">
      <c r="S542" s="200"/>
    </row>
    <row r="543" spans="19:19" ht="14.25" customHeight="1" x14ac:dyDescent="0.25">
      <c r="S543" s="200"/>
    </row>
    <row r="544" spans="19:19" ht="14.25" customHeight="1" x14ac:dyDescent="0.25">
      <c r="S544" s="200"/>
    </row>
    <row r="545" spans="19:19" ht="14.25" customHeight="1" x14ac:dyDescent="0.25">
      <c r="S545" s="200"/>
    </row>
    <row r="546" spans="19:19" ht="14.25" customHeight="1" x14ac:dyDescent="0.25">
      <c r="S546" s="200"/>
    </row>
    <row r="547" spans="19:19" ht="14.25" customHeight="1" x14ac:dyDescent="0.25">
      <c r="S547" s="200"/>
    </row>
    <row r="548" spans="19:19" ht="14.25" customHeight="1" x14ac:dyDescent="0.25">
      <c r="S548" s="200"/>
    </row>
    <row r="549" spans="19:19" ht="14.25" customHeight="1" x14ac:dyDescent="0.25">
      <c r="S549" s="200"/>
    </row>
    <row r="550" spans="19:19" ht="14.25" customHeight="1" x14ac:dyDescent="0.25">
      <c r="S550" s="200"/>
    </row>
    <row r="551" spans="19:19" ht="14.25" customHeight="1" x14ac:dyDescent="0.25">
      <c r="S551" s="200"/>
    </row>
    <row r="552" spans="19:19" ht="14.25" customHeight="1" x14ac:dyDescent="0.25">
      <c r="S552" s="200"/>
    </row>
    <row r="553" spans="19:19" ht="14.25" customHeight="1" x14ac:dyDescent="0.25">
      <c r="S553" s="200"/>
    </row>
    <row r="554" spans="19:19" ht="14.25" customHeight="1" x14ac:dyDescent="0.25">
      <c r="S554" s="200"/>
    </row>
    <row r="555" spans="19:19" ht="14.25" customHeight="1" x14ac:dyDescent="0.25">
      <c r="S555" s="200"/>
    </row>
    <row r="556" spans="19:19" ht="14.25" customHeight="1" x14ac:dyDescent="0.25">
      <c r="S556" s="200"/>
    </row>
    <row r="557" spans="19:19" ht="14.25" customHeight="1" x14ac:dyDescent="0.25">
      <c r="S557" s="200"/>
    </row>
    <row r="558" spans="19:19" ht="14.25" customHeight="1" x14ac:dyDescent="0.25">
      <c r="S558" s="200"/>
    </row>
    <row r="559" spans="19:19" ht="14.25" customHeight="1" x14ac:dyDescent="0.25">
      <c r="S559" s="200"/>
    </row>
    <row r="560" spans="19:19" ht="14.25" customHeight="1" x14ac:dyDescent="0.25">
      <c r="S560" s="200"/>
    </row>
    <row r="561" spans="19:19" ht="14.25" customHeight="1" x14ac:dyDescent="0.25">
      <c r="S561" s="200"/>
    </row>
    <row r="562" spans="19:19" ht="14.25" customHeight="1" x14ac:dyDescent="0.25">
      <c r="S562" s="200"/>
    </row>
    <row r="563" spans="19:19" ht="14.25" customHeight="1" x14ac:dyDescent="0.25">
      <c r="S563" s="200"/>
    </row>
    <row r="564" spans="19:19" ht="14.25" customHeight="1" x14ac:dyDescent="0.25">
      <c r="S564" s="200"/>
    </row>
    <row r="565" spans="19:19" ht="14.25" customHeight="1" x14ac:dyDescent="0.25">
      <c r="S565" s="200"/>
    </row>
    <row r="566" spans="19:19" ht="14.25" customHeight="1" x14ac:dyDescent="0.25">
      <c r="S566" s="200"/>
    </row>
    <row r="567" spans="19:19" ht="14.25" customHeight="1" x14ac:dyDescent="0.25">
      <c r="S567" s="200"/>
    </row>
    <row r="568" spans="19:19" ht="14.25" customHeight="1" x14ac:dyDescent="0.25">
      <c r="S568" s="200"/>
    </row>
    <row r="569" spans="19:19" ht="14.25" customHeight="1" x14ac:dyDescent="0.25">
      <c r="S569" s="200"/>
    </row>
    <row r="570" spans="19:19" ht="14.25" customHeight="1" x14ac:dyDescent="0.25">
      <c r="S570" s="200"/>
    </row>
    <row r="571" spans="19:19" ht="14.25" customHeight="1" x14ac:dyDescent="0.25">
      <c r="S571" s="200"/>
    </row>
    <row r="572" spans="19:19" ht="14.25" customHeight="1" x14ac:dyDescent="0.25">
      <c r="S572" s="200"/>
    </row>
    <row r="573" spans="19:19" ht="14.25" customHeight="1" x14ac:dyDescent="0.25">
      <c r="S573" s="200"/>
    </row>
    <row r="574" spans="19:19" ht="14.25" customHeight="1" x14ac:dyDescent="0.25">
      <c r="S574" s="200"/>
    </row>
    <row r="575" spans="19:19" ht="14.25" customHeight="1" x14ac:dyDescent="0.25">
      <c r="S575" s="200"/>
    </row>
    <row r="576" spans="19:19" ht="14.25" customHeight="1" x14ac:dyDescent="0.25">
      <c r="S576" s="200"/>
    </row>
    <row r="577" spans="19:19" ht="14.25" customHeight="1" x14ac:dyDescent="0.25">
      <c r="S577" s="200"/>
    </row>
    <row r="578" spans="19:19" ht="14.25" customHeight="1" x14ac:dyDescent="0.25">
      <c r="S578" s="200"/>
    </row>
    <row r="579" spans="19:19" ht="14.25" customHeight="1" x14ac:dyDescent="0.25">
      <c r="S579" s="200"/>
    </row>
    <row r="580" spans="19:19" ht="14.25" customHeight="1" x14ac:dyDescent="0.25">
      <c r="S580" s="200"/>
    </row>
    <row r="581" spans="19:19" ht="14.25" customHeight="1" x14ac:dyDescent="0.25">
      <c r="S581" s="200"/>
    </row>
    <row r="582" spans="19:19" ht="14.25" customHeight="1" x14ac:dyDescent="0.25">
      <c r="S582" s="200"/>
    </row>
    <row r="583" spans="19:19" ht="14.25" customHeight="1" x14ac:dyDescent="0.25">
      <c r="S583" s="200"/>
    </row>
    <row r="584" spans="19:19" ht="14.25" customHeight="1" x14ac:dyDescent="0.25">
      <c r="S584" s="200"/>
    </row>
    <row r="585" spans="19:19" ht="14.25" customHeight="1" x14ac:dyDescent="0.25">
      <c r="S585" s="200"/>
    </row>
    <row r="586" spans="19:19" ht="14.25" customHeight="1" x14ac:dyDescent="0.25">
      <c r="S586" s="200"/>
    </row>
    <row r="587" spans="19:19" ht="14.25" customHeight="1" x14ac:dyDescent="0.25">
      <c r="S587" s="200"/>
    </row>
    <row r="588" spans="19:19" ht="14.25" customHeight="1" x14ac:dyDescent="0.25">
      <c r="S588" s="200"/>
    </row>
    <row r="589" spans="19:19" ht="14.25" customHeight="1" x14ac:dyDescent="0.25">
      <c r="S589" s="200"/>
    </row>
    <row r="590" spans="19:19" ht="14.25" customHeight="1" x14ac:dyDescent="0.25">
      <c r="S590" s="200"/>
    </row>
    <row r="591" spans="19:19" ht="14.25" customHeight="1" x14ac:dyDescent="0.25">
      <c r="S591" s="200"/>
    </row>
    <row r="592" spans="19:19" ht="14.25" customHeight="1" x14ac:dyDescent="0.25">
      <c r="S592" s="200"/>
    </row>
    <row r="593" spans="19:19" ht="14.25" customHeight="1" x14ac:dyDescent="0.25">
      <c r="S593" s="200"/>
    </row>
    <row r="594" spans="19:19" ht="14.25" customHeight="1" x14ac:dyDescent="0.25">
      <c r="S594" s="200"/>
    </row>
    <row r="595" spans="19:19" ht="14.25" customHeight="1" x14ac:dyDescent="0.25">
      <c r="S595" s="200"/>
    </row>
    <row r="596" spans="19:19" ht="14.25" customHeight="1" x14ac:dyDescent="0.25">
      <c r="S596" s="200"/>
    </row>
    <row r="597" spans="19:19" ht="14.25" customHeight="1" x14ac:dyDescent="0.25">
      <c r="S597" s="200"/>
    </row>
    <row r="598" spans="19:19" ht="14.25" customHeight="1" x14ac:dyDescent="0.25">
      <c r="S598" s="200"/>
    </row>
    <row r="599" spans="19:19" ht="14.25" customHeight="1" x14ac:dyDescent="0.25">
      <c r="S599" s="200"/>
    </row>
    <row r="600" spans="19:19" ht="14.25" customHeight="1" x14ac:dyDescent="0.25">
      <c r="S600" s="200"/>
    </row>
    <row r="601" spans="19:19" ht="14.25" customHeight="1" x14ac:dyDescent="0.25">
      <c r="S601" s="200"/>
    </row>
    <row r="602" spans="19:19" ht="14.25" customHeight="1" x14ac:dyDescent="0.25">
      <c r="S602" s="200"/>
    </row>
    <row r="603" spans="19:19" ht="14.25" customHeight="1" x14ac:dyDescent="0.25">
      <c r="S603" s="200"/>
    </row>
    <row r="604" spans="19:19" ht="14.25" customHeight="1" x14ac:dyDescent="0.25">
      <c r="S604" s="200"/>
    </row>
    <row r="605" spans="19:19" ht="14.25" customHeight="1" x14ac:dyDescent="0.25">
      <c r="S605" s="200"/>
    </row>
    <row r="606" spans="19:19" ht="14.25" customHeight="1" x14ac:dyDescent="0.25">
      <c r="S606" s="200"/>
    </row>
    <row r="607" spans="19:19" ht="14.25" customHeight="1" x14ac:dyDescent="0.25">
      <c r="S607" s="200"/>
    </row>
    <row r="608" spans="19:19" ht="14.25" customHeight="1" x14ac:dyDescent="0.25">
      <c r="S608" s="200"/>
    </row>
    <row r="609" spans="19:19" ht="14.25" customHeight="1" x14ac:dyDescent="0.25">
      <c r="S609" s="200"/>
    </row>
    <row r="610" spans="19:19" ht="14.25" customHeight="1" x14ac:dyDescent="0.25">
      <c r="S610" s="200"/>
    </row>
    <row r="611" spans="19:19" ht="14.25" customHeight="1" x14ac:dyDescent="0.25">
      <c r="S611" s="200"/>
    </row>
    <row r="612" spans="19:19" ht="14.25" customHeight="1" x14ac:dyDescent="0.25">
      <c r="S612" s="200"/>
    </row>
    <row r="613" spans="19:19" ht="14.25" customHeight="1" x14ac:dyDescent="0.25">
      <c r="S613" s="200"/>
    </row>
    <row r="614" spans="19:19" ht="14.25" customHeight="1" x14ac:dyDescent="0.25">
      <c r="S614" s="200"/>
    </row>
    <row r="615" spans="19:19" ht="14.25" customHeight="1" x14ac:dyDescent="0.25">
      <c r="S615" s="200"/>
    </row>
    <row r="616" spans="19:19" ht="14.25" customHeight="1" x14ac:dyDescent="0.25">
      <c r="S616" s="200"/>
    </row>
    <row r="617" spans="19:19" ht="14.25" customHeight="1" x14ac:dyDescent="0.25">
      <c r="S617" s="200"/>
    </row>
    <row r="618" spans="19:19" ht="14.25" customHeight="1" x14ac:dyDescent="0.25">
      <c r="S618" s="200"/>
    </row>
    <row r="619" spans="19:19" ht="14.25" customHeight="1" x14ac:dyDescent="0.25">
      <c r="S619" s="200"/>
    </row>
    <row r="620" spans="19:19" ht="14.25" customHeight="1" x14ac:dyDescent="0.25">
      <c r="S620" s="200"/>
    </row>
    <row r="621" spans="19:19" ht="14.25" customHeight="1" x14ac:dyDescent="0.25">
      <c r="S621" s="200"/>
    </row>
    <row r="622" spans="19:19" ht="14.25" customHeight="1" x14ac:dyDescent="0.25">
      <c r="S622" s="200"/>
    </row>
    <row r="623" spans="19:19" ht="14.25" customHeight="1" x14ac:dyDescent="0.25">
      <c r="S623" s="200"/>
    </row>
    <row r="624" spans="19:19" ht="14.25" customHeight="1" x14ac:dyDescent="0.25">
      <c r="S624" s="200"/>
    </row>
    <row r="625" spans="19:19" ht="14.25" customHeight="1" x14ac:dyDescent="0.25">
      <c r="S625" s="200"/>
    </row>
    <row r="626" spans="19:19" ht="14.25" customHeight="1" x14ac:dyDescent="0.25">
      <c r="S626" s="200"/>
    </row>
    <row r="627" spans="19:19" ht="14.25" customHeight="1" x14ac:dyDescent="0.25">
      <c r="S627" s="200"/>
    </row>
    <row r="628" spans="19:19" ht="14.25" customHeight="1" x14ac:dyDescent="0.25">
      <c r="S628" s="200"/>
    </row>
    <row r="629" spans="19:19" ht="14.25" customHeight="1" x14ac:dyDescent="0.25">
      <c r="S629" s="200"/>
    </row>
    <row r="630" spans="19:19" ht="14.25" customHeight="1" x14ac:dyDescent="0.25">
      <c r="S630" s="200"/>
    </row>
    <row r="631" spans="19:19" ht="14.25" customHeight="1" x14ac:dyDescent="0.25">
      <c r="S631" s="200"/>
    </row>
    <row r="632" spans="19:19" ht="14.25" customHeight="1" x14ac:dyDescent="0.25">
      <c r="S632" s="200"/>
    </row>
    <row r="633" spans="19:19" ht="14.25" customHeight="1" x14ac:dyDescent="0.25">
      <c r="S633" s="200"/>
    </row>
    <row r="634" spans="19:19" ht="14.25" customHeight="1" x14ac:dyDescent="0.25">
      <c r="S634" s="200"/>
    </row>
    <row r="635" spans="19:19" ht="14.25" customHeight="1" x14ac:dyDescent="0.25">
      <c r="S635" s="200"/>
    </row>
    <row r="636" spans="19:19" ht="14.25" customHeight="1" x14ac:dyDescent="0.25">
      <c r="S636" s="200"/>
    </row>
    <row r="637" spans="19:19" ht="14.25" customHeight="1" x14ac:dyDescent="0.25">
      <c r="S637" s="200"/>
    </row>
    <row r="638" spans="19:19" ht="14.25" customHeight="1" x14ac:dyDescent="0.25">
      <c r="S638" s="200"/>
    </row>
    <row r="639" spans="19:19" ht="14.25" customHeight="1" x14ac:dyDescent="0.25">
      <c r="S639" s="200"/>
    </row>
    <row r="640" spans="19:19" ht="14.25" customHeight="1" x14ac:dyDescent="0.25">
      <c r="S640" s="200"/>
    </row>
    <row r="641" spans="19:19" ht="14.25" customHeight="1" x14ac:dyDescent="0.25">
      <c r="S641" s="200"/>
    </row>
    <row r="642" spans="19:19" ht="14.25" customHeight="1" x14ac:dyDescent="0.25">
      <c r="S642" s="200"/>
    </row>
    <row r="643" spans="19:19" ht="14.25" customHeight="1" x14ac:dyDescent="0.25">
      <c r="S643" s="200"/>
    </row>
    <row r="644" spans="19:19" ht="14.25" customHeight="1" x14ac:dyDescent="0.25">
      <c r="S644" s="200"/>
    </row>
    <row r="645" spans="19:19" ht="14.25" customHeight="1" x14ac:dyDescent="0.25">
      <c r="S645" s="200"/>
    </row>
    <row r="646" spans="19:19" ht="14.25" customHeight="1" x14ac:dyDescent="0.25">
      <c r="S646" s="200"/>
    </row>
    <row r="647" spans="19:19" ht="14.25" customHeight="1" x14ac:dyDescent="0.25">
      <c r="S647" s="200"/>
    </row>
    <row r="648" spans="19:19" ht="14.25" customHeight="1" x14ac:dyDescent="0.25">
      <c r="S648" s="200"/>
    </row>
    <row r="649" spans="19:19" ht="14.25" customHeight="1" x14ac:dyDescent="0.25">
      <c r="S649" s="200"/>
    </row>
    <row r="650" spans="19:19" ht="14.25" customHeight="1" x14ac:dyDescent="0.25">
      <c r="S650" s="200"/>
    </row>
    <row r="651" spans="19:19" ht="14.25" customHeight="1" x14ac:dyDescent="0.25">
      <c r="S651" s="200"/>
    </row>
    <row r="652" spans="19:19" ht="14.25" customHeight="1" x14ac:dyDescent="0.25">
      <c r="S652" s="200"/>
    </row>
    <row r="653" spans="19:19" ht="14.25" customHeight="1" x14ac:dyDescent="0.25">
      <c r="S653" s="200"/>
    </row>
    <row r="654" spans="19:19" ht="14.25" customHeight="1" x14ac:dyDescent="0.25">
      <c r="S654" s="200"/>
    </row>
    <row r="655" spans="19:19" ht="14.25" customHeight="1" x14ac:dyDescent="0.25">
      <c r="S655" s="200"/>
    </row>
    <row r="656" spans="19:19" ht="14.25" customHeight="1" x14ac:dyDescent="0.25">
      <c r="S656" s="200"/>
    </row>
    <row r="657" spans="19:19" ht="14.25" customHeight="1" x14ac:dyDescent="0.25">
      <c r="S657" s="200"/>
    </row>
    <row r="658" spans="19:19" ht="14.25" customHeight="1" x14ac:dyDescent="0.25">
      <c r="S658" s="200"/>
    </row>
    <row r="659" spans="19:19" ht="14.25" customHeight="1" x14ac:dyDescent="0.25">
      <c r="S659" s="200"/>
    </row>
    <row r="660" spans="19:19" ht="14.25" customHeight="1" x14ac:dyDescent="0.25">
      <c r="S660" s="200"/>
    </row>
    <row r="661" spans="19:19" ht="14.25" customHeight="1" x14ac:dyDescent="0.25">
      <c r="S661" s="200"/>
    </row>
    <row r="662" spans="19:19" ht="14.25" customHeight="1" x14ac:dyDescent="0.25">
      <c r="S662" s="200"/>
    </row>
    <row r="663" spans="19:19" ht="14.25" customHeight="1" x14ac:dyDescent="0.25">
      <c r="S663" s="200"/>
    </row>
    <row r="664" spans="19:19" ht="14.25" customHeight="1" x14ac:dyDescent="0.25">
      <c r="S664" s="200"/>
    </row>
    <row r="665" spans="19:19" ht="14.25" customHeight="1" x14ac:dyDescent="0.25">
      <c r="S665" s="200"/>
    </row>
    <row r="666" spans="19:19" ht="14.25" customHeight="1" x14ac:dyDescent="0.25">
      <c r="S666" s="200"/>
    </row>
    <row r="667" spans="19:19" ht="14.25" customHeight="1" x14ac:dyDescent="0.25">
      <c r="S667" s="200"/>
    </row>
    <row r="668" spans="19:19" ht="14.25" customHeight="1" x14ac:dyDescent="0.25">
      <c r="S668" s="200"/>
    </row>
    <row r="669" spans="19:19" ht="14.25" customHeight="1" x14ac:dyDescent="0.25">
      <c r="S669" s="200"/>
    </row>
    <row r="670" spans="19:19" ht="14.25" customHeight="1" x14ac:dyDescent="0.25">
      <c r="S670" s="200"/>
    </row>
    <row r="671" spans="19:19" ht="14.25" customHeight="1" x14ac:dyDescent="0.25">
      <c r="S671" s="200"/>
    </row>
    <row r="672" spans="19:19" ht="14.25" customHeight="1" x14ac:dyDescent="0.25">
      <c r="S672" s="200"/>
    </row>
    <row r="673" spans="19:19" ht="14.25" customHeight="1" x14ac:dyDescent="0.25">
      <c r="S673" s="200"/>
    </row>
    <row r="674" spans="19:19" ht="14.25" customHeight="1" x14ac:dyDescent="0.25">
      <c r="S674" s="200"/>
    </row>
    <row r="675" spans="19:19" ht="14.25" customHeight="1" x14ac:dyDescent="0.25">
      <c r="S675" s="200"/>
    </row>
    <row r="676" spans="19:19" ht="14.25" customHeight="1" x14ac:dyDescent="0.25">
      <c r="S676" s="200"/>
    </row>
    <row r="677" spans="19:19" ht="14.25" customHeight="1" x14ac:dyDescent="0.25">
      <c r="S677" s="200"/>
    </row>
    <row r="678" spans="19:19" ht="14.25" customHeight="1" x14ac:dyDescent="0.25">
      <c r="S678" s="200"/>
    </row>
    <row r="679" spans="19:19" ht="14.25" customHeight="1" x14ac:dyDescent="0.25">
      <c r="S679" s="200"/>
    </row>
    <row r="680" spans="19:19" ht="14.25" customHeight="1" x14ac:dyDescent="0.25">
      <c r="S680" s="200"/>
    </row>
    <row r="681" spans="19:19" ht="14.25" customHeight="1" x14ac:dyDescent="0.25">
      <c r="S681" s="200"/>
    </row>
    <row r="682" spans="19:19" ht="14.25" customHeight="1" x14ac:dyDescent="0.25">
      <c r="S682" s="200"/>
    </row>
    <row r="683" spans="19:19" ht="14.25" customHeight="1" x14ac:dyDescent="0.25">
      <c r="S683" s="200"/>
    </row>
    <row r="684" spans="19:19" ht="14.25" customHeight="1" x14ac:dyDescent="0.25">
      <c r="S684" s="200"/>
    </row>
    <row r="685" spans="19:19" ht="14.25" customHeight="1" x14ac:dyDescent="0.25">
      <c r="S685" s="200"/>
    </row>
    <row r="686" spans="19:19" ht="14.25" customHeight="1" x14ac:dyDescent="0.25">
      <c r="S686" s="200"/>
    </row>
    <row r="687" spans="19:19" ht="14.25" customHeight="1" x14ac:dyDescent="0.25">
      <c r="S687" s="200"/>
    </row>
    <row r="688" spans="19:19" ht="14.25" customHeight="1" x14ac:dyDescent="0.25">
      <c r="S688" s="200"/>
    </row>
    <row r="689" spans="19:19" ht="14.25" customHeight="1" x14ac:dyDescent="0.25">
      <c r="S689" s="200"/>
    </row>
    <row r="690" spans="19:19" ht="14.25" customHeight="1" x14ac:dyDescent="0.25">
      <c r="S690" s="200"/>
    </row>
    <row r="691" spans="19:19" ht="14.25" customHeight="1" x14ac:dyDescent="0.25">
      <c r="S691" s="200"/>
    </row>
    <row r="692" spans="19:19" ht="14.25" customHeight="1" x14ac:dyDescent="0.25">
      <c r="S692" s="200"/>
    </row>
    <row r="693" spans="19:19" ht="14.25" customHeight="1" x14ac:dyDescent="0.25">
      <c r="S693" s="200"/>
    </row>
    <row r="694" spans="19:19" ht="14.25" customHeight="1" x14ac:dyDescent="0.25">
      <c r="S694" s="200"/>
    </row>
    <row r="695" spans="19:19" ht="14.25" customHeight="1" x14ac:dyDescent="0.25">
      <c r="S695" s="200"/>
    </row>
    <row r="696" spans="19:19" ht="14.25" customHeight="1" x14ac:dyDescent="0.25">
      <c r="S696" s="200"/>
    </row>
    <row r="697" spans="19:19" ht="14.25" customHeight="1" x14ac:dyDescent="0.25">
      <c r="S697" s="200"/>
    </row>
    <row r="698" spans="19:19" ht="14.25" customHeight="1" x14ac:dyDescent="0.25">
      <c r="S698" s="200"/>
    </row>
    <row r="699" spans="19:19" ht="14.25" customHeight="1" x14ac:dyDescent="0.25">
      <c r="S699" s="200"/>
    </row>
    <row r="700" spans="19:19" ht="14.25" customHeight="1" x14ac:dyDescent="0.25">
      <c r="S700" s="200"/>
    </row>
    <row r="701" spans="19:19" ht="14.25" customHeight="1" x14ac:dyDescent="0.25">
      <c r="S701" s="200"/>
    </row>
    <row r="702" spans="19:19" ht="14.25" customHeight="1" x14ac:dyDescent="0.25">
      <c r="S702" s="200"/>
    </row>
    <row r="703" spans="19:19" ht="14.25" customHeight="1" x14ac:dyDescent="0.25">
      <c r="S703" s="200"/>
    </row>
    <row r="704" spans="19:19" ht="14.25" customHeight="1" x14ac:dyDescent="0.25">
      <c r="S704" s="200"/>
    </row>
    <row r="705" spans="19:19" ht="14.25" customHeight="1" x14ac:dyDescent="0.25">
      <c r="S705" s="200"/>
    </row>
    <row r="706" spans="19:19" ht="14.25" customHeight="1" x14ac:dyDescent="0.25">
      <c r="S706" s="200"/>
    </row>
    <row r="707" spans="19:19" ht="14.25" customHeight="1" x14ac:dyDescent="0.25">
      <c r="S707" s="200"/>
    </row>
    <row r="708" spans="19:19" ht="14.25" customHeight="1" x14ac:dyDescent="0.25">
      <c r="S708" s="200"/>
    </row>
    <row r="709" spans="19:19" ht="14.25" customHeight="1" x14ac:dyDescent="0.25">
      <c r="S709" s="200"/>
    </row>
    <row r="710" spans="19:19" ht="14.25" customHeight="1" x14ac:dyDescent="0.25">
      <c r="S710" s="200"/>
    </row>
    <row r="711" spans="19:19" ht="14.25" customHeight="1" x14ac:dyDescent="0.25">
      <c r="S711" s="200"/>
    </row>
    <row r="712" spans="19:19" ht="14.25" customHeight="1" x14ac:dyDescent="0.25">
      <c r="S712" s="200"/>
    </row>
    <row r="713" spans="19:19" ht="14.25" customHeight="1" x14ac:dyDescent="0.25">
      <c r="S713" s="200"/>
    </row>
    <row r="714" spans="19:19" ht="14.25" customHeight="1" x14ac:dyDescent="0.25">
      <c r="S714" s="200"/>
    </row>
    <row r="715" spans="19:19" ht="14.25" customHeight="1" x14ac:dyDescent="0.25">
      <c r="S715" s="200"/>
    </row>
    <row r="716" spans="19:19" ht="14.25" customHeight="1" x14ac:dyDescent="0.25">
      <c r="S716" s="200"/>
    </row>
    <row r="717" spans="19:19" ht="14.25" customHeight="1" x14ac:dyDescent="0.25">
      <c r="S717" s="200"/>
    </row>
    <row r="718" spans="19:19" ht="14.25" customHeight="1" x14ac:dyDescent="0.25">
      <c r="S718" s="200"/>
    </row>
    <row r="719" spans="19:19" ht="14.25" customHeight="1" x14ac:dyDescent="0.25">
      <c r="S719" s="200"/>
    </row>
    <row r="720" spans="19:19" ht="14.25" customHeight="1" x14ac:dyDescent="0.25">
      <c r="S720" s="200"/>
    </row>
    <row r="721" spans="19:19" ht="14.25" customHeight="1" x14ac:dyDescent="0.25">
      <c r="S721" s="200"/>
    </row>
    <row r="722" spans="19:19" ht="14.25" customHeight="1" x14ac:dyDescent="0.25">
      <c r="S722" s="200"/>
    </row>
    <row r="723" spans="19:19" ht="14.25" customHeight="1" x14ac:dyDescent="0.25">
      <c r="S723" s="200"/>
    </row>
    <row r="724" spans="19:19" ht="14.25" customHeight="1" x14ac:dyDescent="0.25">
      <c r="S724" s="200"/>
    </row>
    <row r="725" spans="19:19" ht="14.25" customHeight="1" x14ac:dyDescent="0.25">
      <c r="S725" s="200"/>
    </row>
    <row r="726" spans="19:19" ht="14.25" customHeight="1" x14ac:dyDescent="0.25">
      <c r="S726" s="200"/>
    </row>
    <row r="727" spans="19:19" ht="14.25" customHeight="1" x14ac:dyDescent="0.25">
      <c r="S727" s="200"/>
    </row>
    <row r="728" spans="19:19" ht="14.25" customHeight="1" x14ac:dyDescent="0.25">
      <c r="S728" s="200"/>
    </row>
    <row r="729" spans="19:19" ht="14.25" customHeight="1" x14ac:dyDescent="0.25">
      <c r="S729" s="200"/>
    </row>
    <row r="730" spans="19:19" ht="14.25" customHeight="1" x14ac:dyDescent="0.25">
      <c r="S730" s="200"/>
    </row>
    <row r="731" spans="19:19" ht="14.25" customHeight="1" x14ac:dyDescent="0.25">
      <c r="S731" s="200"/>
    </row>
    <row r="732" spans="19:19" ht="14.25" customHeight="1" x14ac:dyDescent="0.25">
      <c r="S732" s="200"/>
    </row>
    <row r="733" spans="19:19" ht="14.25" customHeight="1" x14ac:dyDescent="0.25">
      <c r="S733" s="200"/>
    </row>
    <row r="734" spans="19:19" ht="14.25" customHeight="1" x14ac:dyDescent="0.25">
      <c r="S734" s="200"/>
    </row>
    <row r="735" spans="19:19" ht="14.25" customHeight="1" x14ac:dyDescent="0.25">
      <c r="S735" s="200"/>
    </row>
    <row r="736" spans="19:19" ht="14.25" customHeight="1" x14ac:dyDescent="0.25">
      <c r="S736" s="200"/>
    </row>
    <row r="737" spans="19:19" ht="14.25" customHeight="1" x14ac:dyDescent="0.25">
      <c r="S737" s="200"/>
    </row>
    <row r="738" spans="19:19" ht="14.25" customHeight="1" x14ac:dyDescent="0.25">
      <c r="S738" s="200"/>
    </row>
    <row r="739" spans="19:19" ht="14.25" customHeight="1" x14ac:dyDescent="0.25">
      <c r="S739" s="200"/>
    </row>
    <row r="740" spans="19:19" ht="14.25" customHeight="1" x14ac:dyDescent="0.25">
      <c r="S740" s="200"/>
    </row>
    <row r="741" spans="19:19" ht="14.25" customHeight="1" x14ac:dyDescent="0.25">
      <c r="S741" s="200"/>
    </row>
    <row r="742" spans="19:19" ht="14.25" customHeight="1" x14ac:dyDescent="0.25">
      <c r="S742" s="200"/>
    </row>
    <row r="743" spans="19:19" ht="14.25" customHeight="1" x14ac:dyDescent="0.25">
      <c r="S743" s="200"/>
    </row>
    <row r="744" spans="19:19" ht="14.25" customHeight="1" x14ac:dyDescent="0.25">
      <c r="S744" s="200"/>
    </row>
    <row r="745" spans="19:19" ht="14.25" customHeight="1" x14ac:dyDescent="0.25">
      <c r="S745" s="200"/>
    </row>
    <row r="746" spans="19:19" ht="14.25" customHeight="1" x14ac:dyDescent="0.25">
      <c r="S746" s="200"/>
    </row>
    <row r="747" spans="19:19" ht="14.25" customHeight="1" x14ac:dyDescent="0.25">
      <c r="S747" s="200"/>
    </row>
    <row r="748" spans="19:19" ht="14.25" customHeight="1" x14ac:dyDescent="0.25">
      <c r="S748" s="200"/>
    </row>
    <row r="749" spans="19:19" ht="14.25" customHeight="1" x14ac:dyDescent="0.25">
      <c r="S749" s="200"/>
    </row>
    <row r="750" spans="19:19" ht="14.25" customHeight="1" x14ac:dyDescent="0.25">
      <c r="S750" s="200"/>
    </row>
    <row r="751" spans="19:19" ht="14.25" customHeight="1" x14ac:dyDescent="0.25">
      <c r="S751" s="200"/>
    </row>
    <row r="752" spans="19:19" ht="14.25" customHeight="1" x14ac:dyDescent="0.25">
      <c r="S752" s="200"/>
    </row>
    <row r="753" spans="19:19" ht="14.25" customHeight="1" x14ac:dyDescent="0.25">
      <c r="S753" s="200"/>
    </row>
    <row r="754" spans="19:19" ht="14.25" customHeight="1" x14ac:dyDescent="0.25">
      <c r="S754" s="200"/>
    </row>
    <row r="755" spans="19:19" ht="14.25" customHeight="1" x14ac:dyDescent="0.25">
      <c r="S755" s="200"/>
    </row>
    <row r="756" spans="19:19" ht="14.25" customHeight="1" x14ac:dyDescent="0.25">
      <c r="S756" s="200"/>
    </row>
    <row r="757" spans="19:19" ht="14.25" customHeight="1" x14ac:dyDescent="0.25">
      <c r="S757" s="200"/>
    </row>
    <row r="758" spans="19:19" ht="14.25" customHeight="1" x14ac:dyDescent="0.25">
      <c r="S758" s="200"/>
    </row>
    <row r="759" spans="19:19" ht="14.25" customHeight="1" x14ac:dyDescent="0.25">
      <c r="S759" s="200"/>
    </row>
    <row r="760" spans="19:19" ht="14.25" customHeight="1" x14ac:dyDescent="0.25">
      <c r="S760" s="200"/>
    </row>
    <row r="761" spans="19:19" ht="14.25" customHeight="1" x14ac:dyDescent="0.25">
      <c r="S761" s="200"/>
    </row>
    <row r="762" spans="19:19" ht="14.25" customHeight="1" x14ac:dyDescent="0.25">
      <c r="S762" s="200"/>
    </row>
    <row r="763" spans="19:19" ht="14.25" customHeight="1" x14ac:dyDescent="0.25">
      <c r="S763" s="200"/>
    </row>
    <row r="764" spans="19:19" ht="14.25" customHeight="1" x14ac:dyDescent="0.25">
      <c r="S764" s="200"/>
    </row>
    <row r="765" spans="19:19" ht="14.25" customHeight="1" x14ac:dyDescent="0.25">
      <c r="S765" s="200"/>
    </row>
    <row r="766" spans="19:19" ht="14.25" customHeight="1" x14ac:dyDescent="0.25">
      <c r="S766" s="200"/>
    </row>
    <row r="767" spans="19:19" ht="14.25" customHeight="1" x14ac:dyDescent="0.25">
      <c r="S767" s="200"/>
    </row>
    <row r="768" spans="19:19" ht="14.25" customHeight="1" x14ac:dyDescent="0.25">
      <c r="S768" s="200"/>
    </row>
    <row r="769" spans="19:19" ht="14.25" customHeight="1" x14ac:dyDescent="0.25">
      <c r="S769" s="200"/>
    </row>
    <row r="770" spans="19:19" ht="14.25" customHeight="1" x14ac:dyDescent="0.25">
      <c r="S770" s="200"/>
    </row>
    <row r="771" spans="19:19" ht="14.25" customHeight="1" x14ac:dyDescent="0.25">
      <c r="S771" s="200"/>
    </row>
    <row r="772" spans="19:19" ht="14.25" customHeight="1" x14ac:dyDescent="0.25">
      <c r="S772" s="200"/>
    </row>
    <row r="773" spans="19:19" ht="14.25" customHeight="1" x14ac:dyDescent="0.25">
      <c r="S773" s="200"/>
    </row>
    <row r="774" spans="19:19" ht="14.25" customHeight="1" x14ac:dyDescent="0.25">
      <c r="S774" s="200"/>
    </row>
    <row r="775" spans="19:19" ht="14.25" customHeight="1" x14ac:dyDescent="0.25">
      <c r="S775" s="200"/>
    </row>
    <row r="776" spans="19:19" ht="14.25" customHeight="1" x14ac:dyDescent="0.25">
      <c r="S776" s="200"/>
    </row>
    <row r="777" spans="19:19" ht="14.25" customHeight="1" x14ac:dyDescent="0.25">
      <c r="S777" s="200"/>
    </row>
    <row r="778" spans="19:19" ht="14.25" customHeight="1" x14ac:dyDescent="0.25">
      <c r="S778" s="200"/>
    </row>
    <row r="779" spans="19:19" ht="14.25" customHeight="1" x14ac:dyDescent="0.25">
      <c r="S779" s="200"/>
    </row>
    <row r="780" spans="19:19" ht="14.25" customHeight="1" x14ac:dyDescent="0.25">
      <c r="S780" s="200"/>
    </row>
    <row r="781" spans="19:19" ht="14.25" customHeight="1" x14ac:dyDescent="0.25">
      <c r="S781" s="200"/>
    </row>
    <row r="782" spans="19:19" ht="14.25" customHeight="1" x14ac:dyDescent="0.25">
      <c r="S782" s="200"/>
    </row>
    <row r="783" spans="19:19" ht="14.25" customHeight="1" x14ac:dyDescent="0.25">
      <c r="S783" s="200"/>
    </row>
    <row r="784" spans="19:19" ht="14.25" customHeight="1" x14ac:dyDescent="0.25">
      <c r="S784" s="200"/>
    </row>
    <row r="785" spans="19:19" ht="14.25" customHeight="1" x14ac:dyDescent="0.25">
      <c r="S785" s="200"/>
    </row>
    <row r="786" spans="19:19" ht="14.25" customHeight="1" x14ac:dyDescent="0.25">
      <c r="S786" s="200"/>
    </row>
    <row r="787" spans="19:19" ht="14.25" customHeight="1" x14ac:dyDescent="0.25">
      <c r="S787" s="200"/>
    </row>
    <row r="788" spans="19:19" ht="14.25" customHeight="1" x14ac:dyDescent="0.25">
      <c r="S788" s="200"/>
    </row>
    <row r="789" spans="19:19" ht="14.25" customHeight="1" x14ac:dyDescent="0.25">
      <c r="S789" s="200"/>
    </row>
    <row r="790" spans="19:19" ht="14.25" customHeight="1" x14ac:dyDescent="0.25">
      <c r="S790" s="200"/>
    </row>
    <row r="791" spans="19:19" ht="14.25" customHeight="1" x14ac:dyDescent="0.25">
      <c r="S791" s="200"/>
    </row>
    <row r="792" spans="19:19" ht="14.25" customHeight="1" x14ac:dyDescent="0.25">
      <c r="S792" s="200"/>
    </row>
    <row r="793" spans="19:19" ht="14.25" customHeight="1" x14ac:dyDescent="0.25">
      <c r="S793" s="200"/>
    </row>
    <row r="794" spans="19:19" ht="14.25" customHeight="1" x14ac:dyDescent="0.25">
      <c r="S794" s="200"/>
    </row>
    <row r="795" spans="19:19" ht="14.25" customHeight="1" x14ac:dyDescent="0.25">
      <c r="S795" s="200"/>
    </row>
    <row r="796" spans="19:19" ht="14.25" customHeight="1" x14ac:dyDescent="0.25">
      <c r="S796" s="200"/>
    </row>
    <row r="797" spans="19:19" ht="14.25" customHeight="1" x14ac:dyDescent="0.25">
      <c r="S797" s="200"/>
    </row>
    <row r="798" spans="19:19" ht="14.25" customHeight="1" x14ac:dyDescent="0.25">
      <c r="S798" s="200"/>
    </row>
    <row r="799" spans="19:19" ht="14.25" customHeight="1" x14ac:dyDescent="0.25">
      <c r="S799" s="200"/>
    </row>
    <row r="800" spans="19:19" ht="14.25" customHeight="1" x14ac:dyDescent="0.25">
      <c r="S800" s="200"/>
    </row>
    <row r="801" spans="19:19" ht="14.25" customHeight="1" x14ac:dyDescent="0.25">
      <c r="S801" s="200"/>
    </row>
    <row r="802" spans="19:19" ht="14.25" customHeight="1" x14ac:dyDescent="0.25">
      <c r="S802" s="200"/>
    </row>
    <row r="803" spans="19:19" ht="14.25" customHeight="1" x14ac:dyDescent="0.25">
      <c r="S803" s="200"/>
    </row>
    <row r="804" spans="19:19" ht="14.25" customHeight="1" x14ac:dyDescent="0.25">
      <c r="S804" s="200"/>
    </row>
    <row r="805" spans="19:19" ht="14.25" customHeight="1" x14ac:dyDescent="0.25">
      <c r="S805" s="200"/>
    </row>
    <row r="806" spans="19:19" ht="14.25" customHeight="1" x14ac:dyDescent="0.25">
      <c r="S806" s="200"/>
    </row>
    <row r="807" spans="19:19" ht="14.25" customHeight="1" x14ac:dyDescent="0.25">
      <c r="S807" s="200"/>
    </row>
    <row r="808" spans="19:19" ht="14.25" customHeight="1" x14ac:dyDescent="0.25">
      <c r="S808" s="200"/>
    </row>
    <row r="809" spans="19:19" ht="14.25" customHeight="1" x14ac:dyDescent="0.25">
      <c r="S809" s="200"/>
    </row>
    <row r="810" spans="19:19" ht="14.25" customHeight="1" x14ac:dyDescent="0.25">
      <c r="S810" s="200"/>
    </row>
    <row r="811" spans="19:19" ht="14.25" customHeight="1" x14ac:dyDescent="0.25">
      <c r="S811" s="200"/>
    </row>
    <row r="812" spans="19:19" ht="14.25" customHeight="1" x14ac:dyDescent="0.25">
      <c r="S812" s="200"/>
    </row>
    <row r="813" spans="19:19" ht="14.25" customHeight="1" x14ac:dyDescent="0.25">
      <c r="S813" s="200"/>
    </row>
    <row r="814" spans="19:19" ht="14.25" customHeight="1" x14ac:dyDescent="0.25">
      <c r="S814" s="200"/>
    </row>
    <row r="815" spans="19:19" ht="14.25" customHeight="1" x14ac:dyDescent="0.25">
      <c r="S815" s="200"/>
    </row>
    <row r="816" spans="19:19" ht="14.25" customHeight="1" x14ac:dyDescent="0.25">
      <c r="S816" s="200"/>
    </row>
    <row r="817" spans="19:19" ht="14.25" customHeight="1" x14ac:dyDescent="0.25">
      <c r="S817" s="200"/>
    </row>
    <row r="818" spans="19:19" ht="14.25" customHeight="1" x14ac:dyDescent="0.25">
      <c r="S818" s="200"/>
    </row>
    <row r="819" spans="19:19" ht="14.25" customHeight="1" x14ac:dyDescent="0.25">
      <c r="S819" s="200"/>
    </row>
    <row r="820" spans="19:19" ht="14.25" customHeight="1" x14ac:dyDescent="0.25">
      <c r="S820" s="200"/>
    </row>
    <row r="821" spans="19:19" ht="14.25" customHeight="1" x14ac:dyDescent="0.25">
      <c r="S821" s="200"/>
    </row>
    <row r="822" spans="19:19" ht="14.25" customHeight="1" x14ac:dyDescent="0.25">
      <c r="S822" s="200"/>
    </row>
    <row r="823" spans="19:19" ht="14.25" customHeight="1" x14ac:dyDescent="0.25">
      <c r="S823" s="200"/>
    </row>
    <row r="824" spans="19:19" ht="14.25" customHeight="1" x14ac:dyDescent="0.25">
      <c r="S824" s="200"/>
    </row>
    <row r="825" spans="19:19" ht="14.25" customHeight="1" x14ac:dyDescent="0.25">
      <c r="S825" s="200"/>
    </row>
    <row r="826" spans="19:19" ht="14.25" customHeight="1" x14ac:dyDescent="0.25">
      <c r="S826" s="200"/>
    </row>
    <row r="827" spans="19:19" ht="14.25" customHeight="1" x14ac:dyDescent="0.25">
      <c r="S827" s="200"/>
    </row>
    <row r="828" spans="19:19" ht="14.25" customHeight="1" x14ac:dyDescent="0.25">
      <c r="S828" s="200"/>
    </row>
    <row r="829" spans="19:19" ht="14.25" customHeight="1" x14ac:dyDescent="0.25">
      <c r="S829" s="200"/>
    </row>
    <row r="830" spans="19:19" ht="14.25" customHeight="1" x14ac:dyDescent="0.25">
      <c r="S830" s="200"/>
    </row>
    <row r="831" spans="19:19" ht="14.25" customHeight="1" x14ac:dyDescent="0.25">
      <c r="S831" s="200"/>
    </row>
    <row r="832" spans="19:19" ht="14.25" customHeight="1" x14ac:dyDescent="0.25">
      <c r="S832" s="200"/>
    </row>
    <row r="833" spans="19:19" ht="14.25" customHeight="1" x14ac:dyDescent="0.25">
      <c r="S833" s="200"/>
    </row>
    <row r="834" spans="19:19" ht="14.25" customHeight="1" x14ac:dyDescent="0.25">
      <c r="S834" s="200"/>
    </row>
    <row r="835" spans="19:19" ht="14.25" customHeight="1" x14ac:dyDescent="0.25">
      <c r="S835" s="200"/>
    </row>
    <row r="836" spans="19:19" ht="14.25" customHeight="1" x14ac:dyDescent="0.25">
      <c r="S836" s="200"/>
    </row>
    <row r="837" spans="19:19" ht="14.25" customHeight="1" x14ac:dyDescent="0.25">
      <c r="S837" s="200"/>
    </row>
    <row r="838" spans="19:19" ht="14.25" customHeight="1" x14ac:dyDescent="0.25">
      <c r="S838" s="200"/>
    </row>
    <row r="839" spans="19:19" ht="14.25" customHeight="1" x14ac:dyDescent="0.25">
      <c r="S839" s="200"/>
    </row>
    <row r="840" spans="19:19" ht="14.25" customHeight="1" x14ac:dyDescent="0.25">
      <c r="S840" s="200"/>
    </row>
    <row r="841" spans="19:19" ht="14.25" customHeight="1" x14ac:dyDescent="0.25">
      <c r="S841" s="200"/>
    </row>
    <row r="842" spans="19:19" ht="14.25" customHeight="1" x14ac:dyDescent="0.25">
      <c r="S842" s="200"/>
    </row>
    <row r="843" spans="19:19" ht="14.25" customHeight="1" x14ac:dyDescent="0.25">
      <c r="S843" s="200"/>
    </row>
    <row r="844" spans="19:19" ht="14.25" customHeight="1" x14ac:dyDescent="0.25">
      <c r="S844" s="200"/>
    </row>
    <row r="845" spans="19:19" ht="14.25" customHeight="1" x14ac:dyDescent="0.25">
      <c r="S845" s="200"/>
    </row>
    <row r="846" spans="19:19" ht="14.25" customHeight="1" x14ac:dyDescent="0.25">
      <c r="S846" s="200"/>
    </row>
    <row r="847" spans="19:19" ht="14.25" customHeight="1" x14ac:dyDescent="0.25">
      <c r="S847" s="200"/>
    </row>
    <row r="848" spans="19:19" ht="14.25" customHeight="1" x14ac:dyDescent="0.25">
      <c r="S848" s="200"/>
    </row>
    <row r="849" spans="19:19" ht="14.25" customHeight="1" x14ac:dyDescent="0.25">
      <c r="S849" s="200"/>
    </row>
    <row r="850" spans="19:19" ht="14.25" customHeight="1" x14ac:dyDescent="0.25">
      <c r="S850" s="200"/>
    </row>
    <row r="851" spans="19:19" ht="14.25" customHeight="1" x14ac:dyDescent="0.25">
      <c r="S851" s="200"/>
    </row>
    <row r="852" spans="19:19" ht="14.25" customHeight="1" x14ac:dyDescent="0.25">
      <c r="S852" s="200"/>
    </row>
    <row r="853" spans="19:19" ht="14.25" customHeight="1" x14ac:dyDescent="0.25">
      <c r="S853" s="200"/>
    </row>
    <row r="854" spans="19:19" ht="14.25" customHeight="1" x14ac:dyDescent="0.25">
      <c r="S854" s="200"/>
    </row>
    <row r="855" spans="19:19" ht="14.25" customHeight="1" x14ac:dyDescent="0.25">
      <c r="S855" s="200"/>
    </row>
    <row r="856" spans="19:19" ht="14.25" customHeight="1" x14ac:dyDescent="0.25">
      <c r="S856" s="200"/>
    </row>
    <row r="857" spans="19:19" ht="14.25" customHeight="1" x14ac:dyDescent="0.25">
      <c r="S857" s="200"/>
    </row>
    <row r="858" spans="19:19" ht="14.25" customHeight="1" x14ac:dyDescent="0.25">
      <c r="S858" s="200"/>
    </row>
    <row r="859" spans="19:19" ht="14.25" customHeight="1" x14ac:dyDescent="0.25">
      <c r="S859" s="200"/>
    </row>
    <row r="860" spans="19:19" ht="14.25" customHeight="1" x14ac:dyDescent="0.25">
      <c r="S860" s="200"/>
    </row>
    <row r="861" spans="19:19" ht="14.25" customHeight="1" x14ac:dyDescent="0.25">
      <c r="S861" s="200"/>
    </row>
    <row r="862" spans="19:19" ht="14.25" customHeight="1" x14ac:dyDescent="0.25">
      <c r="S862" s="200"/>
    </row>
    <row r="863" spans="19:19" ht="14.25" customHeight="1" x14ac:dyDescent="0.25">
      <c r="S863" s="200"/>
    </row>
    <row r="864" spans="19:19" ht="14.25" customHeight="1" x14ac:dyDescent="0.25">
      <c r="S864" s="200"/>
    </row>
    <row r="865" spans="19:19" ht="14.25" customHeight="1" x14ac:dyDescent="0.25">
      <c r="S865" s="200"/>
    </row>
    <row r="866" spans="19:19" ht="14.25" customHeight="1" x14ac:dyDescent="0.25">
      <c r="S866" s="200"/>
    </row>
    <row r="867" spans="19:19" ht="14.25" customHeight="1" x14ac:dyDescent="0.25">
      <c r="S867" s="200"/>
    </row>
    <row r="868" spans="19:19" ht="14.25" customHeight="1" x14ac:dyDescent="0.25">
      <c r="S868" s="200"/>
    </row>
    <row r="869" spans="19:19" ht="14.25" customHeight="1" x14ac:dyDescent="0.25">
      <c r="S869" s="200"/>
    </row>
    <row r="870" spans="19:19" ht="14.25" customHeight="1" x14ac:dyDescent="0.25">
      <c r="S870" s="200"/>
    </row>
    <row r="871" spans="19:19" ht="14.25" customHeight="1" x14ac:dyDescent="0.25">
      <c r="S871" s="200"/>
    </row>
    <row r="872" spans="19:19" ht="14.25" customHeight="1" x14ac:dyDescent="0.25">
      <c r="S872" s="200"/>
    </row>
    <row r="873" spans="19:19" ht="14.25" customHeight="1" x14ac:dyDescent="0.25">
      <c r="S873" s="200"/>
    </row>
    <row r="874" spans="19:19" ht="14.25" customHeight="1" x14ac:dyDescent="0.25">
      <c r="S874" s="200"/>
    </row>
    <row r="875" spans="19:19" ht="14.25" customHeight="1" x14ac:dyDescent="0.25">
      <c r="S875" s="200"/>
    </row>
    <row r="876" spans="19:19" ht="14.25" customHeight="1" x14ac:dyDescent="0.25">
      <c r="S876" s="200"/>
    </row>
    <row r="877" spans="19:19" ht="14.25" customHeight="1" x14ac:dyDescent="0.25">
      <c r="S877" s="200"/>
    </row>
    <row r="878" spans="19:19" ht="14.25" customHeight="1" x14ac:dyDescent="0.25">
      <c r="S878" s="200"/>
    </row>
    <row r="879" spans="19:19" ht="14.25" customHeight="1" x14ac:dyDescent="0.25">
      <c r="S879" s="200"/>
    </row>
    <row r="880" spans="19:19" ht="14.25" customHeight="1" x14ac:dyDescent="0.25">
      <c r="S880" s="200"/>
    </row>
    <row r="881" spans="19:19" ht="14.25" customHeight="1" x14ac:dyDescent="0.25">
      <c r="S881" s="200"/>
    </row>
    <row r="882" spans="19:19" ht="14.25" customHeight="1" x14ac:dyDescent="0.25">
      <c r="S882" s="200"/>
    </row>
    <row r="883" spans="19:19" ht="14.25" customHeight="1" x14ac:dyDescent="0.25">
      <c r="S883" s="200"/>
    </row>
    <row r="884" spans="19:19" ht="14.25" customHeight="1" x14ac:dyDescent="0.25">
      <c r="S884" s="200"/>
    </row>
    <row r="885" spans="19:19" ht="14.25" customHeight="1" x14ac:dyDescent="0.25">
      <c r="S885" s="200"/>
    </row>
    <row r="886" spans="19:19" ht="14.25" customHeight="1" x14ac:dyDescent="0.25">
      <c r="S886" s="200"/>
    </row>
    <row r="887" spans="19:19" ht="14.25" customHeight="1" x14ac:dyDescent="0.25">
      <c r="S887" s="200"/>
    </row>
    <row r="888" spans="19:19" ht="14.25" customHeight="1" x14ac:dyDescent="0.25">
      <c r="S888" s="200"/>
    </row>
    <row r="889" spans="19:19" ht="14.25" customHeight="1" x14ac:dyDescent="0.25">
      <c r="S889" s="200"/>
    </row>
    <row r="890" spans="19:19" ht="14.25" customHeight="1" x14ac:dyDescent="0.25">
      <c r="S890" s="200"/>
    </row>
    <row r="891" spans="19:19" ht="14.25" customHeight="1" x14ac:dyDescent="0.25">
      <c r="S891" s="200"/>
    </row>
    <row r="892" spans="19:19" ht="14.25" customHeight="1" x14ac:dyDescent="0.25">
      <c r="S892" s="200"/>
    </row>
    <row r="893" spans="19:19" ht="14.25" customHeight="1" x14ac:dyDescent="0.25">
      <c r="S893" s="200"/>
    </row>
    <row r="894" spans="19:19" ht="14.25" customHeight="1" x14ac:dyDescent="0.25">
      <c r="S894" s="200"/>
    </row>
    <row r="895" spans="19:19" ht="14.25" customHeight="1" x14ac:dyDescent="0.25">
      <c r="S895" s="200"/>
    </row>
    <row r="896" spans="19:19" ht="14.25" customHeight="1" x14ac:dyDescent="0.25">
      <c r="S896" s="200"/>
    </row>
    <row r="897" spans="19:19" ht="14.25" customHeight="1" x14ac:dyDescent="0.25">
      <c r="S897" s="200"/>
    </row>
    <row r="898" spans="19:19" ht="14.25" customHeight="1" x14ac:dyDescent="0.25">
      <c r="S898" s="200"/>
    </row>
    <row r="899" spans="19:19" ht="14.25" customHeight="1" x14ac:dyDescent="0.25">
      <c r="S899" s="200"/>
    </row>
    <row r="900" spans="19:19" ht="14.25" customHeight="1" x14ac:dyDescent="0.25">
      <c r="S900" s="200"/>
    </row>
    <row r="901" spans="19:19" ht="14.25" customHeight="1" x14ac:dyDescent="0.25">
      <c r="S901" s="200"/>
    </row>
    <row r="902" spans="19:19" ht="14.25" customHeight="1" x14ac:dyDescent="0.25">
      <c r="S902" s="200"/>
    </row>
    <row r="903" spans="19:19" ht="14.25" customHeight="1" x14ac:dyDescent="0.25">
      <c r="S903" s="200"/>
    </row>
    <row r="904" spans="19:19" ht="14.25" customHeight="1" x14ac:dyDescent="0.25">
      <c r="S904" s="200"/>
    </row>
    <row r="905" spans="19:19" ht="14.25" customHeight="1" x14ac:dyDescent="0.25">
      <c r="S905" s="200"/>
    </row>
    <row r="906" spans="19:19" ht="14.25" customHeight="1" x14ac:dyDescent="0.25">
      <c r="S906" s="200"/>
    </row>
    <row r="907" spans="19:19" ht="14.25" customHeight="1" x14ac:dyDescent="0.25">
      <c r="S907" s="200"/>
    </row>
    <row r="908" spans="19:19" ht="14.25" customHeight="1" x14ac:dyDescent="0.25">
      <c r="S908" s="200"/>
    </row>
    <row r="909" spans="19:19" ht="14.25" customHeight="1" x14ac:dyDescent="0.25">
      <c r="S909" s="200"/>
    </row>
    <row r="910" spans="19:19" ht="14.25" customHeight="1" x14ac:dyDescent="0.25">
      <c r="S910" s="200"/>
    </row>
    <row r="911" spans="19:19" ht="14.25" customHeight="1" x14ac:dyDescent="0.25">
      <c r="S911" s="200"/>
    </row>
    <row r="912" spans="19:19" ht="14.25" customHeight="1" x14ac:dyDescent="0.25">
      <c r="S912" s="200"/>
    </row>
    <row r="913" spans="19:19" ht="14.25" customHeight="1" x14ac:dyDescent="0.25">
      <c r="S913" s="200"/>
    </row>
    <row r="914" spans="19:19" ht="14.25" customHeight="1" x14ac:dyDescent="0.25">
      <c r="S914" s="200"/>
    </row>
    <row r="915" spans="19:19" ht="14.25" customHeight="1" x14ac:dyDescent="0.25">
      <c r="S915" s="200"/>
    </row>
    <row r="916" spans="19:19" ht="14.25" customHeight="1" x14ac:dyDescent="0.25">
      <c r="S916" s="200"/>
    </row>
    <row r="917" spans="19:19" ht="14.25" customHeight="1" x14ac:dyDescent="0.25">
      <c r="S917" s="200"/>
    </row>
    <row r="918" spans="19:19" ht="14.25" customHeight="1" x14ac:dyDescent="0.25">
      <c r="S918" s="200"/>
    </row>
    <row r="919" spans="19:19" ht="14.25" customHeight="1" x14ac:dyDescent="0.25">
      <c r="S919" s="200"/>
    </row>
    <row r="920" spans="19:19" ht="14.25" customHeight="1" x14ac:dyDescent="0.25">
      <c r="S920" s="200"/>
    </row>
    <row r="921" spans="19:19" ht="14.25" customHeight="1" x14ac:dyDescent="0.25">
      <c r="S921" s="200"/>
    </row>
    <row r="922" spans="19:19" ht="14.25" customHeight="1" x14ac:dyDescent="0.25">
      <c r="S922" s="200"/>
    </row>
    <row r="923" spans="19:19" ht="14.25" customHeight="1" x14ac:dyDescent="0.25">
      <c r="S923" s="200"/>
    </row>
    <row r="924" spans="19:19" ht="14.25" customHeight="1" x14ac:dyDescent="0.25">
      <c r="S924" s="200"/>
    </row>
    <row r="925" spans="19:19" ht="14.25" customHeight="1" x14ac:dyDescent="0.25">
      <c r="S925" s="200"/>
    </row>
    <row r="926" spans="19:19" ht="14.25" customHeight="1" x14ac:dyDescent="0.25">
      <c r="S926" s="200"/>
    </row>
    <row r="927" spans="19:19" ht="14.25" customHeight="1" x14ac:dyDescent="0.25">
      <c r="S927" s="200"/>
    </row>
    <row r="928" spans="19:19" ht="14.25" customHeight="1" x14ac:dyDescent="0.25">
      <c r="S928" s="200"/>
    </row>
    <row r="929" spans="19:19" ht="14.25" customHeight="1" x14ac:dyDescent="0.25">
      <c r="S929" s="200"/>
    </row>
    <row r="930" spans="19:19" ht="14.25" customHeight="1" x14ac:dyDescent="0.25">
      <c r="S930" s="200"/>
    </row>
    <row r="931" spans="19:19" ht="14.25" customHeight="1" x14ac:dyDescent="0.25">
      <c r="S931" s="200"/>
    </row>
    <row r="932" spans="19:19" ht="14.25" customHeight="1" x14ac:dyDescent="0.25">
      <c r="S932" s="200"/>
    </row>
    <row r="933" spans="19:19" ht="14.25" customHeight="1" x14ac:dyDescent="0.25">
      <c r="S933" s="200"/>
    </row>
    <row r="934" spans="19:19" ht="14.25" customHeight="1" x14ac:dyDescent="0.25">
      <c r="S934" s="200"/>
    </row>
    <row r="935" spans="19:19" ht="14.25" customHeight="1" x14ac:dyDescent="0.25">
      <c r="S935" s="200"/>
    </row>
    <row r="936" spans="19:19" ht="14.25" customHeight="1" x14ac:dyDescent="0.25">
      <c r="S936" s="200"/>
    </row>
    <row r="937" spans="19:19" ht="14.25" customHeight="1" x14ac:dyDescent="0.25">
      <c r="S937" s="200"/>
    </row>
    <row r="938" spans="19:19" ht="14.25" customHeight="1" x14ac:dyDescent="0.25">
      <c r="S938" s="200"/>
    </row>
    <row r="939" spans="19:19" ht="14.25" customHeight="1" x14ac:dyDescent="0.25">
      <c r="S939" s="200"/>
    </row>
    <row r="940" spans="19:19" ht="14.25" customHeight="1" x14ac:dyDescent="0.25">
      <c r="S940" s="200"/>
    </row>
    <row r="941" spans="19:19" ht="14.25" customHeight="1" x14ac:dyDescent="0.25">
      <c r="S941" s="200"/>
    </row>
    <row r="942" spans="19:19" ht="14.25" customHeight="1" x14ac:dyDescent="0.25">
      <c r="S942" s="200"/>
    </row>
    <row r="943" spans="19:19" ht="14.25" customHeight="1" x14ac:dyDescent="0.25">
      <c r="S943" s="200"/>
    </row>
    <row r="944" spans="19:19" ht="14.25" customHeight="1" x14ac:dyDescent="0.25">
      <c r="S944" s="200"/>
    </row>
    <row r="945" spans="19:19" ht="14.25" customHeight="1" x14ac:dyDescent="0.25">
      <c r="S945" s="200"/>
    </row>
    <row r="946" spans="19:19" ht="14.25" customHeight="1" x14ac:dyDescent="0.25">
      <c r="S946" s="200"/>
    </row>
    <row r="947" spans="19:19" ht="14.25" customHeight="1" x14ac:dyDescent="0.25">
      <c r="S947" s="200"/>
    </row>
    <row r="948" spans="19:19" ht="14.25" customHeight="1" x14ac:dyDescent="0.25">
      <c r="S948" s="200"/>
    </row>
    <row r="949" spans="19:19" ht="14.25" customHeight="1" x14ac:dyDescent="0.25">
      <c r="S949" s="200"/>
    </row>
    <row r="950" spans="19:19" ht="14.25" customHeight="1" x14ac:dyDescent="0.25">
      <c r="S950" s="200"/>
    </row>
    <row r="951" spans="19:19" ht="14.25" customHeight="1" x14ac:dyDescent="0.25">
      <c r="S951" s="200"/>
    </row>
    <row r="952" spans="19:19" ht="14.25" customHeight="1" x14ac:dyDescent="0.25">
      <c r="S952" s="200"/>
    </row>
    <row r="953" spans="19:19" ht="14.25" customHeight="1" x14ac:dyDescent="0.25">
      <c r="S953" s="200"/>
    </row>
    <row r="954" spans="19:19" ht="14.25" customHeight="1" x14ac:dyDescent="0.25">
      <c r="S954" s="200"/>
    </row>
    <row r="955" spans="19:19" ht="14.25" customHeight="1" x14ac:dyDescent="0.25">
      <c r="S955" s="200"/>
    </row>
    <row r="956" spans="19:19" ht="14.25" customHeight="1" x14ac:dyDescent="0.25">
      <c r="S956" s="200"/>
    </row>
    <row r="957" spans="19:19" ht="14.25" customHeight="1" x14ac:dyDescent="0.25">
      <c r="S957" s="200"/>
    </row>
    <row r="958" spans="19:19" ht="14.25" customHeight="1" x14ac:dyDescent="0.25">
      <c r="S958" s="200"/>
    </row>
    <row r="959" spans="19:19" ht="14.25" customHeight="1" x14ac:dyDescent="0.25">
      <c r="S959" s="200"/>
    </row>
    <row r="960" spans="19:19" ht="14.25" customHeight="1" x14ac:dyDescent="0.25">
      <c r="S960" s="200"/>
    </row>
    <row r="961" spans="19:19" ht="14.25" customHeight="1" x14ac:dyDescent="0.25">
      <c r="S961" s="200"/>
    </row>
    <row r="962" spans="19:19" ht="14.25" customHeight="1" x14ac:dyDescent="0.25">
      <c r="S962" s="200"/>
    </row>
    <row r="963" spans="19:19" ht="14.25" customHeight="1" x14ac:dyDescent="0.25">
      <c r="S963" s="200"/>
    </row>
    <row r="964" spans="19:19" ht="14.25" customHeight="1" x14ac:dyDescent="0.25">
      <c r="S964" s="200"/>
    </row>
    <row r="965" spans="19:19" ht="14.25" customHeight="1" x14ac:dyDescent="0.25">
      <c r="S965" s="200"/>
    </row>
    <row r="966" spans="19:19" ht="14.25" customHeight="1" x14ac:dyDescent="0.25">
      <c r="S966" s="200"/>
    </row>
    <row r="967" spans="19:19" ht="14.25" customHeight="1" x14ac:dyDescent="0.25">
      <c r="S967" s="200"/>
    </row>
    <row r="968" spans="19:19" ht="14.25" customHeight="1" x14ac:dyDescent="0.25">
      <c r="S968" s="200"/>
    </row>
    <row r="969" spans="19:19" ht="14.25" customHeight="1" x14ac:dyDescent="0.25">
      <c r="S969" s="200"/>
    </row>
    <row r="970" spans="19:19" ht="14.25" customHeight="1" x14ac:dyDescent="0.25">
      <c r="S970" s="200"/>
    </row>
    <row r="971" spans="19:19" ht="14.25" customHeight="1" x14ac:dyDescent="0.25">
      <c r="S971" s="200"/>
    </row>
    <row r="972" spans="19:19" ht="14.25" customHeight="1" x14ac:dyDescent="0.25">
      <c r="S972" s="200"/>
    </row>
    <row r="973" spans="19:19" ht="14.25" customHeight="1" x14ac:dyDescent="0.25">
      <c r="S973" s="200"/>
    </row>
    <row r="974" spans="19:19" ht="14.25" customHeight="1" x14ac:dyDescent="0.25">
      <c r="S974" s="200"/>
    </row>
    <row r="975" spans="19:19" ht="14.25" customHeight="1" x14ac:dyDescent="0.25">
      <c r="S975" s="200"/>
    </row>
    <row r="976" spans="19:19" ht="14.25" customHeight="1" x14ac:dyDescent="0.25">
      <c r="S976" s="200"/>
    </row>
    <row r="977" spans="19:19" ht="14.25" customHeight="1" x14ac:dyDescent="0.25">
      <c r="S977" s="200"/>
    </row>
    <row r="978" spans="19:19" ht="14.25" customHeight="1" x14ac:dyDescent="0.25">
      <c r="S978" s="200"/>
    </row>
    <row r="979" spans="19:19" ht="14.25" customHeight="1" x14ac:dyDescent="0.25">
      <c r="S979" s="200"/>
    </row>
    <row r="980" spans="19:19" ht="14.25" customHeight="1" x14ac:dyDescent="0.25">
      <c r="S980" s="200"/>
    </row>
    <row r="981" spans="19:19" ht="14.25" customHeight="1" x14ac:dyDescent="0.25">
      <c r="S981" s="200"/>
    </row>
    <row r="982" spans="19:19" ht="14.25" customHeight="1" x14ac:dyDescent="0.25">
      <c r="S982" s="200"/>
    </row>
    <row r="983" spans="19:19" ht="14.25" customHeight="1" x14ac:dyDescent="0.25">
      <c r="S983" s="200"/>
    </row>
    <row r="984" spans="19:19" ht="14.25" customHeight="1" x14ac:dyDescent="0.25">
      <c r="S984" s="200"/>
    </row>
    <row r="985" spans="19:19" ht="14.25" customHeight="1" x14ac:dyDescent="0.25">
      <c r="S985" s="200"/>
    </row>
    <row r="986" spans="19:19" ht="14.25" customHeight="1" x14ac:dyDescent="0.25">
      <c r="S986" s="200"/>
    </row>
    <row r="987" spans="19:19" ht="14.25" customHeight="1" x14ac:dyDescent="0.25">
      <c r="S987" s="200"/>
    </row>
    <row r="988" spans="19:19" ht="14.25" customHeight="1" x14ac:dyDescent="0.25">
      <c r="S988" s="200"/>
    </row>
    <row r="989" spans="19:19" ht="14.25" customHeight="1" x14ac:dyDescent="0.25">
      <c r="S989" s="200"/>
    </row>
    <row r="990" spans="19:19" ht="14.25" customHeight="1" x14ac:dyDescent="0.25">
      <c r="S990" s="200"/>
    </row>
    <row r="991" spans="19:19" ht="14.25" customHeight="1" x14ac:dyDescent="0.25">
      <c r="S991" s="200"/>
    </row>
    <row r="992" spans="19:19" ht="14.25" customHeight="1" x14ac:dyDescent="0.25">
      <c r="S992" s="200"/>
    </row>
    <row r="993" spans="19:19" ht="14.25" customHeight="1" x14ac:dyDescent="0.25">
      <c r="S993" s="200"/>
    </row>
    <row r="994" spans="19:19" ht="14.25" customHeight="1" x14ac:dyDescent="0.25">
      <c r="S994" s="200"/>
    </row>
    <row r="995" spans="19:19" ht="14.25" customHeight="1" x14ac:dyDescent="0.25">
      <c r="S995" s="200"/>
    </row>
    <row r="996" spans="19:19" ht="14.25" customHeight="1" x14ac:dyDescent="0.25">
      <c r="S996" s="200"/>
    </row>
    <row r="997" spans="19:19" ht="14.25" customHeight="1" x14ac:dyDescent="0.25">
      <c r="S997" s="200"/>
    </row>
    <row r="998" spans="19:19" ht="14.25" customHeight="1" x14ac:dyDescent="0.25">
      <c r="S998" s="200"/>
    </row>
    <row r="999" spans="19:19" ht="14.25" customHeight="1" x14ac:dyDescent="0.25">
      <c r="S999" s="200"/>
    </row>
    <row r="1000" spans="19:19" ht="14.25" customHeight="1" x14ac:dyDescent="0.25">
      <c r="S1000" s="200"/>
    </row>
    <row r="1001" spans="19:19" ht="14.25" customHeight="1" x14ac:dyDescent="0.25">
      <c r="S1001" s="200"/>
    </row>
    <row r="1002" spans="19:19" ht="14.25" customHeight="1" x14ac:dyDescent="0.25">
      <c r="S1002" s="200"/>
    </row>
  </sheetData>
  <dataValidations count="2">
    <dataValidation type="custom" allowBlank="1" showDropDown="1" sqref="F2:G111" xr:uid="{00000000-0002-0000-1000-000000000000}">
      <formula1>OR(NOT(ISERROR(DATEVALUE(F2))), AND(ISNUMBER(F2), LEFT(CELL("format", F2))="D"))</formula1>
    </dataValidation>
    <dataValidation type="custom" allowBlank="1" showDropDown="1" sqref="S2:S111" xr:uid="{00000000-0002-0000-1000-000001000000}">
      <formula1>AND(ISNUMBER(S2),(NOT(OR(NOT(ISERROR(DATEVALUE(S2))), AND(ISNUMBER(S2), LEFT(CELL("format", S2))="D")))))</formula1>
    </dataValidation>
  </dataValidations>
  <pageMargins left="0.7" right="0.7" top="0.75" bottom="0.75" header="0" footer="0"/>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2"/>
  <sheetViews>
    <sheetView workbookViewId="0">
      <pane ySplit="1" topLeftCell="A2" activePane="bottomLeft" state="frozen"/>
      <selection pane="bottomLeft" activeCell="B32" sqref="B32"/>
    </sheetView>
  </sheetViews>
  <sheetFormatPr defaultColWidth="14.42578125" defaultRowHeight="15" customHeight="1" x14ac:dyDescent="0.25"/>
  <cols>
    <col min="1" max="1" width="19.7109375" customWidth="1"/>
    <col min="2" max="2" width="17.7109375" customWidth="1"/>
    <col min="3" max="3" width="14.140625" customWidth="1"/>
    <col min="4" max="4" width="19.5703125" customWidth="1"/>
    <col min="5" max="5" width="20.85546875" customWidth="1"/>
    <col min="6" max="6" width="17.85546875" customWidth="1"/>
    <col min="7" max="7" width="13.42578125" customWidth="1"/>
    <col min="8" max="8" width="17" customWidth="1"/>
    <col min="9" max="26" width="8.7109375" customWidth="1"/>
  </cols>
  <sheetData>
    <row r="1" spans="1:8" ht="14.25" customHeight="1" x14ac:dyDescent="0.25">
      <c r="A1" s="1" t="s">
        <v>1017</v>
      </c>
    </row>
    <row r="2" spans="1:8" ht="14.25" customHeight="1" x14ac:dyDescent="0.25">
      <c r="A2" s="1"/>
      <c r="B2" s="1"/>
      <c r="C2" s="1"/>
      <c r="D2" s="1"/>
      <c r="E2" s="1"/>
      <c r="F2" s="1"/>
      <c r="G2" s="1"/>
      <c r="H2" s="1"/>
    </row>
    <row r="3" spans="1:8" ht="14.25" customHeight="1" x14ac:dyDescent="0.25">
      <c r="A3" s="190" t="s">
        <v>819</v>
      </c>
      <c r="B3" s="190" t="s">
        <v>494</v>
      </c>
      <c r="C3" s="190" t="s">
        <v>1018</v>
      </c>
      <c r="D3" s="190" t="s">
        <v>1019</v>
      </c>
      <c r="E3" s="190" t="s">
        <v>1020</v>
      </c>
      <c r="F3" s="190" t="s">
        <v>1021</v>
      </c>
      <c r="G3" s="190" t="s">
        <v>1022</v>
      </c>
      <c r="H3" s="190" t="s">
        <v>1023</v>
      </c>
    </row>
    <row r="4" spans="1:8" ht="14.25" customHeight="1" x14ac:dyDescent="0.25">
      <c r="A4" s="201">
        <v>45292</v>
      </c>
      <c r="B4" s="202">
        <f>0</f>
        <v>0</v>
      </c>
      <c r="C4" s="202">
        <f>SUMIFS(Engine[mrr_delta], Engine[movement], "New", Engine[month], Waterfall!A4)</f>
        <v>5800</v>
      </c>
      <c r="D4" s="202">
        <f>SUMIFS(Engine[mrr_delta], Engine[movement], "Expansion", Engine[month], Waterfall!A4)</f>
        <v>0</v>
      </c>
      <c r="E4" s="202">
        <f>SUMIFS(Engine[mrr_delta], Engine[movement], "Contraction", Engine[month], Waterfall!A4)</f>
        <v>0</v>
      </c>
      <c r="F4" s="202">
        <f>SUMIFS(Engine[mrr_delta], Engine[movement], "Churned", Engine[month], Waterfall!A4)</f>
        <v>0</v>
      </c>
      <c r="G4" s="202">
        <f t="shared" ref="G4:G31" si="0">C4+D4+E4+F4</f>
        <v>5800</v>
      </c>
      <c r="H4" s="202">
        <f t="shared" ref="H4:H31" si="1">B4+G4</f>
        <v>5800</v>
      </c>
    </row>
    <row r="5" spans="1:8" ht="14.25" customHeight="1" x14ac:dyDescent="0.25">
      <c r="A5" s="201">
        <v>45323</v>
      </c>
      <c r="B5" s="202">
        <f t="shared" ref="B5:B27" si="2">H4</f>
        <v>5800</v>
      </c>
      <c r="C5" s="202">
        <f>SUMIFS(Engine[mrr_delta], Engine[movement], "New", Engine[month], Waterfall!A5)</f>
        <v>8615</v>
      </c>
      <c r="D5" s="202">
        <f>SUMIFS(Engine[mrr_delta], Engine[movement], "Expansion", Engine[month], Waterfall!A5)</f>
        <v>0</v>
      </c>
      <c r="E5" s="202">
        <f>SUMIFS(Engine[mrr_delta], Engine[movement], "Contraction", Engine[month], Waterfall!A5)</f>
        <v>0</v>
      </c>
      <c r="F5" s="202">
        <f>SUMIFS(Engine[mrr_delta], Engine[movement], "Churned", Engine[month], Waterfall!A5)</f>
        <v>0</v>
      </c>
      <c r="G5" s="202">
        <f t="shared" si="0"/>
        <v>8615</v>
      </c>
      <c r="H5" s="202">
        <f t="shared" si="1"/>
        <v>14415</v>
      </c>
    </row>
    <row r="6" spans="1:8" ht="14.25" customHeight="1" x14ac:dyDescent="0.25">
      <c r="A6" s="201">
        <v>45352</v>
      </c>
      <c r="B6" s="202">
        <f t="shared" si="2"/>
        <v>14415</v>
      </c>
      <c r="C6" s="202">
        <f>SUMIFS(Engine[mrr_delta], Engine[movement], "New", Engine[month], Waterfall!A6)</f>
        <v>6075</v>
      </c>
      <c r="D6" s="202">
        <f>SUMIFS(Engine[mrr_delta], Engine[movement], "Expansion", Engine[month], Waterfall!A6)</f>
        <v>0</v>
      </c>
      <c r="E6" s="202">
        <f>SUMIFS(Engine[mrr_delta], Engine[movement], "Contraction", Engine[month], Waterfall!A6)</f>
        <v>0</v>
      </c>
      <c r="F6" s="202">
        <f>SUMIFS(Engine[mrr_delta], Engine[movement], "Churned", Engine[month], Waterfall!A6)</f>
        <v>0</v>
      </c>
      <c r="G6" s="202">
        <f t="shared" si="0"/>
        <v>6075</v>
      </c>
      <c r="H6" s="202">
        <f t="shared" si="1"/>
        <v>20490</v>
      </c>
    </row>
    <row r="7" spans="1:8" ht="14.25" customHeight="1" x14ac:dyDescent="0.25">
      <c r="A7" s="201">
        <v>45383</v>
      </c>
      <c r="B7" s="202">
        <f t="shared" si="2"/>
        <v>20490</v>
      </c>
      <c r="C7" s="202">
        <f>SUMIFS(Engine[mrr_delta], Engine[movement], "New", Engine[month], Waterfall!A7)</f>
        <v>9444</v>
      </c>
      <c r="D7" s="202">
        <f>SUMIFS(Engine[mrr_delta], Engine[movement], "Expansion", Engine[month], Waterfall!A7)</f>
        <v>0</v>
      </c>
      <c r="E7" s="202">
        <f>SUMIFS(Engine[mrr_delta], Engine[movement], "Contraction", Engine[month], Waterfall!A7)</f>
        <v>0</v>
      </c>
      <c r="F7" s="202">
        <f>SUMIFS(Engine[mrr_delta], Engine[movement], "Churned", Engine[month], Waterfall!A7)</f>
        <v>0</v>
      </c>
      <c r="G7" s="202">
        <f t="shared" si="0"/>
        <v>9444</v>
      </c>
      <c r="H7" s="202">
        <f t="shared" si="1"/>
        <v>29934</v>
      </c>
    </row>
    <row r="8" spans="1:8" ht="14.25" customHeight="1" x14ac:dyDescent="0.25">
      <c r="A8" s="201">
        <v>45413</v>
      </c>
      <c r="B8" s="202">
        <f t="shared" si="2"/>
        <v>29934</v>
      </c>
      <c r="C8" s="202">
        <f>SUMIFS(Engine[mrr_delta], Engine[movement], "New", Engine[month], Waterfall!A8)</f>
        <v>2565</v>
      </c>
      <c r="D8" s="202">
        <f>SUMIFS(Engine[mrr_delta], Engine[movement], "Expansion", Engine[month], Waterfall!A8)</f>
        <v>0</v>
      </c>
      <c r="E8" s="202">
        <f>SUMIFS(Engine[mrr_delta], Engine[movement], "Contraction", Engine[month], Waterfall!A8)</f>
        <v>0</v>
      </c>
      <c r="F8" s="202">
        <f>SUMIFS(Engine[mrr_delta], Engine[movement], "Churned", Engine[month], Waterfall!A8)</f>
        <v>0</v>
      </c>
      <c r="G8" s="202">
        <f t="shared" si="0"/>
        <v>2565</v>
      </c>
      <c r="H8" s="202">
        <f t="shared" si="1"/>
        <v>32499</v>
      </c>
    </row>
    <row r="9" spans="1:8" ht="14.25" customHeight="1" x14ac:dyDescent="0.25">
      <c r="A9" s="201">
        <v>45444</v>
      </c>
      <c r="B9" s="202">
        <f t="shared" si="2"/>
        <v>32499</v>
      </c>
      <c r="C9" s="202">
        <f>SUMIFS(Engine[mrr_delta], Engine[movement], "New", Engine[month], Waterfall!A9)</f>
        <v>3490</v>
      </c>
      <c r="D9" s="202">
        <f>SUMIFS(Engine[mrr_delta], Engine[movement], "Expansion", Engine[month], Waterfall!A9)</f>
        <v>0</v>
      </c>
      <c r="E9" s="202">
        <f>SUMIFS(Engine[mrr_delta], Engine[movement], "Contraction", Engine[month], Waterfall!A9)</f>
        <v>0</v>
      </c>
      <c r="F9" s="202">
        <f>SUMIFS(Engine[mrr_delta], Engine[movement], "Churned", Engine[month], Waterfall!A9)</f>
        <v>0</v>
      </c>
      <c r="G9" s="202">
        <f t="shared" si="0"/>
        <v>3490</v>
      </c>
      <c r="H9" s="202">
        <f t="shared" si="1"/>
        <v>35989</v>
      </c>
    </row>
    <row r="10" spans="1:8" ht="14.25" customHeight="1" x14ac:dyDescent="0.25">
      <c r="A10" s="201">
        <v>45474</v>
      </c>
      <c r="B10" s="202">
        <f t="shared" si="2"/>
        <v>35989</v>
      </c>
      <c r="C10" s="202">
        <f>SUMIFS(Engine[mrr_delta], Engine[movement], "New", Engine[month], Waterfall!A10)</f>
        <v>9364.5</v>
      </c>
      <c r="D10" s="202">
        <f>SUMIFS(Engine[mrr_delta], Engine[movement], "Expansion", Engine[month], Waterfall!A10)</f>
        <v>0</v>
      </c>
      <c r="E10" s="202">
        <f>SUMIFS(Engine[mrr_delta], Engine[movement], "Contraction", Engine[month], Waterfall!A10)</f>
        <v>0</v>
      </c>
      <c r="F10" s="202">
        <f>SUMIFS(Engine[mrr_delta], Engine[movement], "Churned", Engine[month], Waterfall!A10)</f>
        <v>0</v>
      </c>
      <c r="G10" s="202">
        <f t="shared" si="0"/>
        <v>9364.5</v>
      </c>
      <c r="H10" s="202">
        <f t="shared" si="1"/>
        <v>45353.5</v>
      </c>
    </row>
    <row r="11" spans="1:8" ht="14.25" customHeight="1" x14ac:dyDescent="0.25">
      <c r="A11" s="201">
        <v>45505</v>
      </c>
      <c r="B11" s="202">
        <f t="shared" si="2"/>
        <v>45353.5</v>
      </c>
      <c r="C11" s="202">
        <f>SUMIFS(Engine[mrr_delta], Engine[movement], "New", Engine[month], Waterfall!A11)</f>
        <v>6840</v>
      </c>
      <c r="D11" s="202">
        <f>SUMIFS(Engine[mrr_delta], Engine[movement], "Expansion", Engine[month], Waterfall!A11)</f>
        <v>0</v>
      </c>
      <c r="E11" s="202">
        <f>SUMIFS(Engine[mrr_delta], Engine[movement], "Contraction", Engine[month], Waterfall!A11)</f>
        <v>0</v>
      </c>
      <c r="F11" s="202">
        <f>SUMIFS(Engine[mrr_delta], Engine[movement], "Churned", Engine[month], Waterfall!A11)</f>
        <v>-1900</v>
      </c>
      <c r="G11" s="202">
        <f t="shared" si="0"/>
        <v>4940</v>
      </c>
      <c r="H11" s="202">
        <f t="shared" si="1"/>
        <v>50293.5</v>
      </c>
    </row>
    <row r="12" spans="1:8" ht="14.25" customHeight="1" x14ac:dyDescent="0.25">
      <c r="A12" s="201">
        <v>45536</v>
      </c>
      <c r="B12" s="202">
        <f t="shared" si="2"/>
        <v>50293.5</v>
      </c>
      <c r="C12" s="202">
        <f>SUMIFS(Engine[mrr_delta], Engine[movement], "New", Engine[month], Waterfall!A12)</f>
        <v>13415</v>
      </c>
      <c r="D12" s="202">
        <f>SUMIFS(Engine[mrr_delta], Engine[movement], "Expansion", Engine[month], Waterfall!A12)</f>
        <v>0</v>
      </c>
      <c r="E12" s="202">
        <f>SUMIFS(Engine[mrr_delta], Engine[movement], "Contraction", Engine[month], Waterfall!A12)</f>
        <v>0</v>
      </c>
      <c r="F12" s="202">
        <f>SUMIFS(Engine[mrr_delta], Engine[movement], "Churned", Engine[month], Waterfall!A12)</f>
        <v>0</v>
      </c>
      <c r="G12" s="202">
        <f t="shared" si="0"/>
        <v>13415</v>
      </c>
      <c r="H12" s="202">
        <f t="shared" si="1"/>
        <v>63708.5</v>
      </c>
    </row>
    <row r="13" spans="1:8" ht="14.25" customHeight="1" x14ac:dyDescent="0.25">
      <c r="A13" s="201">
        <v>45566</v>
      </c>
      <c r="B13" s="202">
        <f t="shared" si="2"/>
        <v>63708.5</v>
      </c>
      <c r="C13" s="202">
        <f>SUMIFS(Engine[mrr_delta], Engine[movement], "New", Engine[month], Waterfall!A13)</f>
        <v>10130</v>
      </c>
      <c r="D13" s="202">
        <f>SUMIFS(Engine[mrr_delta], Engine[movement], "Expansion", Engine[month], Waterfall!A13)</f>
        <v>0</v>
      </c>
      <c r="E13" s="202">
        <f>SUMIFS(Engine[mrr_delta], Engine[movement], "Contraction", Engine[month], Waterfall!A13)</f>
        <v>0</v>
      </c>
      <c r="F13" s="202">
        <f>SUMIFS(Engine[mrr_delta], Engine[movement], "Churned", Engine[month], Waterfall!A13)</f>
        <v>0</v>
      </c>
      <c r="G13" s="202">
        <f t="shared" si="0"/>
        <v>10130</v>
      </c>
      <c r="H13" s="202">
        <f t="shared" si="1"/>
        <v>73838.5</v>
      </c>
    </row>
    <row r="14" spans="1:8" ht="14.25" customHeight="1" x14ac:dyDescent="0.25">
      <c r="A14" s="201">
        <v>45597</v>
      </c>
      <c r="B14" s="202">
        <f t="shared" si="2"/>
        <v>73838.5</v>
      </c>
      <c r="C14" s="202">
        <f>SUMIFS(Engine[mrr_delta], Engine[movement], "New", Engine[month], Waterfall!A14)</f>
        <v>4955</v>
      </c>
      <c r="D14" s="202">
        <f>SUMIFS(Engine[mrr_delta], Engine[movement], "Expansion", Engine[month], Waterfall!A14)</f>
        <v>0</v>
      </c>
      <c r="E14" s="202">
        <f>SUMIFS(Engine[mrr_delta], Engine[movement], "Contraction", Engine[month], Waterfall!A14)</f>
        <v>0</v>
      </c>
      <c r="F14" s="202">
        <f>SUMIFS(Engine[mrr_delta], Engine[movement], "Churned", Engine[month], Waterfall!A14)</f>
        <v>-495</v>
      </c>
      <c r="G14" s="202">
        <f t="shared" si="0"/>
        <v>4460</v>
      </c>
      <c r="H14" s="202">
        <f t="shared" si="1"/>
        <v>78298.5</v>
      </c>
    </row>
    <row r="15" spans="1:8" ht="14.25" customHeight="1" x14ac:dyDescent="0.25">
      <c r="A15" s="201">
        <v>45627</v>
      </c>
      <c r="B15" s="202">
        <f t="shared" si="2"/>
        <v>78298.5</v>
      </c>
      <c r="C15" s="202">
        <f>SUMIFS(Engine[mrr_delta], Engine[movement], "New", Engine[month], Waterfall!A15)</f>
        <v>14915</v>
      </c>
      <c r="D15" s="202">
        <f>SUMIFS(Engine[mrr_delta], Engine[movement], "Expansion", Engine[month], Waterfall!A15)</f>
        <v>0</v>
      </c>
      <c r="E15" s="202">
        <f>SUMIFS(Engine[mrr_delta], Engine[movement], "Contraction", Engine[month], Waterfall!A15)</f>
        <v>0</v>
      </c>
      <c r="F15" s="202">
        <f>SUMIFS(Engine[mrr_delta], Engine[movement], "Churned", Engine[month], Waterfall!A15)</f>
        <v>-2090</v>
      </c>
      <c r="G15" s="202">
        <f t="shared" si="0"/>
        <v>12825</v>
      </c>
      <c r="H15" s="202">
        <f t="shared" si="1"/>
        <v>91123.5</v>
      </c>
    </row>
    <row r="16" spans="1:8" ht="14.25" customHeight="1" x14ac:dyDescent="0.25">
      <c r="A16" s="201">
        <v>45658</v>
      </c>
      <c r="B16" s="202">
        <f t="shared" si="2"/>
        <v>91123.5</v>
      </c>
      <c r="C16" s="202">
        <f>SUMIFS(Engine[mrr_delta], Engine[movement], "New", Engine[month], Waterfall!A16)</f>
        <v>9940.5</v>
      </c>
      <c r="D16" s="202">
        <f>SUMIFS(Engine[mrr_delta], Engine[movement], "Expansion", Engine[month], Waterfall!A16)</f>
        <v>140</v>
      </c>
      <c r="E16" s="202">
        <f>SUMIFS(Engine[mrr_delta], Engine[movement], "Contraction", Engine[month], Waterfall!A16)</f>
        <v>0</v>
      </c>
      <c r="F16" s="202">
        <f>SUMIFS(Engine[mrr_delta], Engine[movement], "Churned", Engine[month], Waterfall!A16)</f>
        <v>-450</v>
      </c>
      <c r="G16" s="202">
        <f t="shared" si="0"/>
        <v>9630.5</v>
      </c>
      <c r="H16" s="202">
        <f t="shared" si="1"/>
        <v>100754</v>
      </c>
    </row>
    <row r="17" spans="1:8" ht="14.25" customHeight="1" x14ac:dyDescent="0.25">
      <c r="A17" s="201">
        <v>45689</v>
      </c>
      <c r="B17" s="202">
        <f t="shared" si="2"/>
        <v>100754</v>
      </c>
      <c r="C17" s="202">
        <f>SUMIFS(Engine[mrr_delta], Engine[movement], "New", Engine[month], Waterfall!A17)</f>
        <v>7405</v>
      </c>
      <c r="D17" s="202">
        <f>SUMIFS(Engine[mrr_delta], Engine[movement], "Expansion", Engine[month], Waterfall!A17)</f>
        <v>0</v>
      </c>
      <c r="E17" s="202">
        <f>SUMIFS(Engine[mrr_delta], Engine[movement], "Contraction", Engine[month], Waterfall!A17)</f>
        <v>0</v>
      </c>
      <c r="F17" s="202">
        <f>SUMIFS(Engine[mrr_delta], Engine[movement], "Churned", Engine[month], Waterfall!A17)</f>
        <v>0</v>
      </c>
      <c r="G17" s="202">
        <f t="shared" si="0"/>
        <v>7405</v>
      </c>
      <c r="H17" s="202">
        <f t="shared" si="1"/>
        <v>108159</v>
      </c>
    </row>
    <row r="18" spans="1:8" ht="14.25" customHeight="1" x14ac:dyDescent="0.25">
      <c r="A18" s="201">
        <v>45717</v>
      </c>
      <c r="B18" s="202">
        <f t="shared" si="2"/>
        <v>108159</v>
      </c>
      <c r="C18" s="202">
        <f>SUMIFS(Engine[mrr_delta], Engine[movement], "New", Engine[month], Waterfall!A18)</f>
        <v>19390</v>
      </c>
      <c r="D18" s="202">
        <f>SUMIFS(Engine[mrr_delta], Engine[movement], "Expansion", Engine[month], Waterfall!A18)</f>
        <v>0</v>
      </c>
      <c r="E18" s="202">
        <f>SUMIFS(Engine[mrr_delta], Engine[movement], "Contraction", Engine[month], Waterfall!A18)</f>
        <v>-1009.5</v>
      </c>
      <c r="F18" s="202">
        <f>SUMIFS(Engine[mrr_delta], Engine[movement], "Churned", Engine[month], Waterfall!A18)</f>
        <v>0</v>
      </c>
      <c r="G18" s="202">
        <f t="shared" si="0"/>
        <v>18380.5</v>
      </c>
      <c r="H18" s="202">
        <f t="shared" si="1"/>
        <v>126539.5</v>
      </c>
    </row>
    <row r="19" spans="1:8" ht="14.25" customHeight="1" x14ac:dyDescent="0.25">
      <c r="A19" s="201">
        <v>45748</v>
      </c>
      <c r="B19" s="202">
        <f t="shared" si="2"/>
        <v>126539.5</v>
      </c>
      <c r="C19" s="202">
        <f>SUMIFS(Engine[mrr_delta], Engine[movement], "New", Engine[month], Waterfall!A19)</f>
        <v>5780</v>
      </c>
      <c r="D19" s="202">
        <f>SUMIFS(Engine[mrr_delta], Engine[movement], "Expansion", Engine[month], Waterfall!A19)</f>
        <v>755</v>
      </c>
      <c r="E19" s="202">
        <f>SUMIFS(Engine[mrr_delta], Engine[movement], "Contraction", Engine[month], Waterfall!A19)</f>
        <v>0</v>
      </c>
      <c r="F19" s="202">
        <f>SUMIFS(Engine[mrr_delta], Engine[movement], "Churned", Engine[month], Waterfall!A19)</f>
        <v>0</v>
      </c>
      <c r="G19" s="202">
        <f t="shared" si="0"/>
        <v>6535</v>
      </c>
      <c r="H19" s="202">
        <f t="shared" si="1"/>
        <v>133074.5</v>
      </c>
    </row>
    <row r="20" spans="1:8" ht="14.25" customHeight="1" x14ac:dyDescent="0.25">
      <c r="A20" s="201">
        <v>45778</v>
      </c>
      <c r="B20" s="202">
        <f t="shared" si="2"/>
        <v>133074.5</v>
      </c>
      <c r="C20" s="202">
        <f>SUMIFS(Engine[mrr_delta], Engine[movement], "New", Engine[month], Waterfall!A20)</f>
        <v>12060</v>
      </c>
      <c r="D20" s="202">
        <f>SUMIFS(Engine[mrr_delta], Engine[movement], "Expansion", Engine[month], Waterfall!A20)</f>
        <v>330</v>
      </c>
      <c r="E20" s="202">
        <f>SUMIFS(Engine[mrr_delta], Engine[movement], "Contraction", Engine[month], Waterfall!A20)</f>
        <v>0</v>
      </c>
      <c r="F20" s="202">
        <f>SUMIFS(Engine[mrr_delta], Engine[movement], "Churned", Engine[month], Waterfall!A20)</f>
        <v>-2375</v>
      </c>
      <c r="G20" s="202">
        <f t="shared" si="0"/>
        <v>10015</v>
      </c>
      <c r="H20" s="202">
        <f t="shared" si="1"/>
        <v>143089.5</v>
      </c>
    </row>
    <row r="21" spans="1:8" ht="14.25" customHeight="1" x14ac:dyDescent="0.25">
      <c r="A21" s="201">
        <v>45809</v>
      </c>
      <c r="B21" s="202">
        <f t="shared" si="2"/>
        <v>143089.5</v>
      </c>
      <c r="C21" s="202">
        <f>SUMIFS(Engine[mrr_delta], Engine[movement], "New", Engine[month], Waterfall!A21)</f>
        <v>8630</v>
      </c>
      <c r="D21" s="202">
        <f>SUMIFS(Engine[mrr_delta], Engine[movement], "Expansion", Engine[month], Waterfall!A21)</f>
        <v>1700</v>
      </c>
      <c r="E21" s="202">
        <f>SUMIFS(Engine[mrr_delta], Engine[movement], "Contraction", Engine[month], Waterfall!A21)</f>
        <v>0</v>
      </c>
      <c r="F21" s="202">
        <f>SUMIFS(Engine[mrr_delta], Engine[movement], "Churned", Engine[month], Waterfall!A21)</f>
        <v>-1305</v>
      </c>
      <c r="G21" s="202">
        <f t="shared" si="0"/>
        <v>9025</v>
      </c>
      <c r="H21" s="202">
        <f t="shared" si="1"/>
        <v>152114.5</v>
      </c>
    </row>
    <row r="22" spans="1:8" ht="14.25" customHeight="1" x14ac:dyDescent="0.25">
      <c r="A22" s="201">
        <v>45839</v>
      </c>
      <c r="B22" s="202">
        <f t="shared" si="2"/>
        <v>152114.5</v>
      </c>
      <c r="C22" s="202">
        <f>SUMIFS(Engine[mrr_delta], Engine[movement], "New", Engine[month], Waterfall!A22)</f>
        <v>0</v>
      </c>
      <c r="D22" s="202">
        <f>SUMIFS(Engine[mrr_delta], Engine[movement], "Expansion", Engine[month], Waterfall!A22)</f>
        <v>660</v>
      </c>
      <c r="E22" s="202">
        <f>SUMIFS(Engine[mrr_delta], Engine[movement], "Contraction", Engine[month], Waterfall!A22)</f>
        <v>0</v>
      </c>
      <c r="F22" s="202">
        <f>SUMIFS(Engine[mrr_delta], Engine[movement], "Churned", Engine[month], Waterfall!A22)</f>
        <v>-1760</v>
      </c>
      <c r="G22" s="202">
        <f t="shared" si="0"/>
        <v>-1100</v>
      </c>
      <c r="H22" s="202">
        <f t="shared" si="1"/>
        <v>151014.5</v>
      </c>
    </row>
    <row r="23" spans="1:8" ht="14.25" customHeight="1" x14ac:dyDescent="0.25">
      <c r="A23" s="201">
        <v>45870</v>
      </c>
      <c r="B23" s="202">
        <f t="shared" si="2"/>
        <v>151014.5</v>
      </c>
      <c r="C23" s="202">
        <f>SUMIFS(Engine[mrr_delta], Engine[movement], "New", Engine[month], Waterfall!A23)</f>
        <v>0</v>
      </c>
      <c r="D23" s="202">
        <f>SUMIFS(Engine[mrr_delta], Engine[movement], "Expansion", Engine[month], Waterfall!A23)</f>
        <v>2960</v>
      </c>
      <c r="E23" s="202">
        <f>SUMIFS(Engine[mrr_delta], Engine[movement], "Contraction", Engine[month], Waterfall!A23)</f>
        <v>-710</v>
      </c>
      <c r="F23" s="202">
        <f>SUMIFS(Engine[mrr_delta], Engine[movement], "Churned", Engine[month], Waterfall!A23)</f>
        <v>-4680</v>
      </c>
      <c r="G23" s="202">
        <f t="shared" si="0"/>
        <v>-2430</v>
      </c>
      <c r="H23" s="202">
        <f t="shared" si="1"/>
        <v>148584.5</v>
      </c>
    </row>
    <row r="24" spans="1:8" ht="14.25" customHeight="1" x14ac:dyDescent="0.25">
      <c r="A24" s="201">
        <v>45901</v>
      </c>
      <c r="B24" s="202">
        <f t="shared" si="2"/>
        <v>148584.5</v>
      </c>
      <c r="C24" s="202">
        <f>SUMIFS(Engine[mrr_delta], Engine[movement], "New", Engine[month], Waterfall!A24)</f>
        <v>0</v>
      </c>
      <c r="D24" s="202">
        <f>SUMIFS(Engine[mrr_delta], Engine[movement], "Expansion", Engine[month], Waterfall!A24)</f>
        <v>1900</v>
      </c>
      <c r="E24" s="202">
        <f>SUMIFS(Engine[mrr_delta], Engine[movement], "Contraction", Engine[month], Waterfall!A24)</f>
        <v>-125</v>
      </c>
      <c r="F24" s="202">
        <f>SUMIFS(Engine[mrr_delta], Engine[movement], "Churned", Engine[month], Waterfall!A24)</f>
        <v>0</v>
      </c>
      <c r="G24" s="202">
        <f t="shared" si="0"/>
        <v>1775</v>
      </c>
      <c r="H24" s="202">
        <f t="shared" si="1"/>
        <v>150359.5</v>
      </c>
    </row>
    <row r="25" spans="1:8" ht="14.25" customHeight="1" x14ac:dyDescent="0.25">
      <c r="A25" s="201">
        <v>45931</v>
      </c>
      <c r="B25" s="202">
        <f t="shared" si="2"/>
        <v>150359.5</v>
      </c>
      <c r="C25" s="202">
        <f>SUMIFS(Engine[mrr_delta], Engine[movement], "New", Engine[month], Waterfall!A25)</f>
        <v>935</v>
      </c>
      <c r="D25" s="202">
        <f>SUMIFS(Engine[mrr_delta], Engine[movement], "Expansion", Engine[month], Waterfall!A25)</f>
        <v>1325</v>
      </c>
      <c r="E25" s="202">
        <f>SUMIFS(Engine[mrr_delta], Engine[movement], "Contraction", Engine[month], Waterfall!A25)</f>
        <v>0</v>
      </c>
      <c r="F25" s="202">
        <f>SUMIFS(Engine[mrr_delta], Engine[movement], "Churned", Engine[month], Waterfall!A25)</f>
        <v>0</v>
      </c>
      <c r="G25" s="202">
        <f t="shared" si="0"/>
        <v>2260</v>
      </c>
      <c r="H25" s="202">
        <f t="shared" si="1"/>
        <v>152619.5</v>
      </c>
    </row>
    <row r="26" spans="1:8" ht="14.25" customHeight="1" x14ac:dyDescent="0.25">
      <c r="A26" s="201">
        <v>45962</v>
      </c>
      <c r="B26" s="202">
        <f t="shared" si="2"/>
        <v>152619.5</v>
      </c>
      <c r="C26" s="202">
        <f>SUMIFS(Engine[mrr_delta], Engine[movement], "New", Engine[month], Waterfall!A26)</f>
        <v>0</v>
      </c>
      <c r="D26" s="202">
        <f>SUMIFS(Engine[mrr_delta], Engine[movement], "Expansion", Engine[month], Waterfall!A26)</f>
        <v>0</v>
      </c>
      <c r="E26" s="202">
        <f>SUMIFS(Engine[mrr_delta], Engine[movement], "Contraction", Engine[month], Waterfall!A26)</f>
        <v>-435.5</v>
      </c>
      <c r="F26" s="202">
        <f>SUMIFS(Engine[mrr_delta], Engine[movement], "Churned", Engine[month], Waterfall!A26)</f>
        <v>0</v>
      </c>
      <c r="G26" s="203">
        <f t="shared" si="0"/>
        <v>-435.5</v>
      </c>
      <c r="H26" s="202">
        <f t="shared" si="1"/>
        <v>152184</v>
      </c>
    </row>
    <row r="27" spans="1:8" ht="14.25" customHeight="1" x14ac:dyDescent="0.25">
      <c r="A27" s="201">
        <v>45992</v>
      </c>
      <c r="B27" s="202">
        <f t="shared" si="2"/>
        <v>152184</v>
      </c>
      <c r="C27" s="202">
        <f>SUMIFS(Engine[mrr_delta], Engine[movement], "New", Engine[month], Waterfall!A27)</f>
        <v>0</v>
      </c>
      <c r="D27" s="202">
        <f>SUMIFS(Engine[mrr_delta], Engine[movement], "Expansion", Engine[month], Waterfall!A27)</f>
        <v>440</v>
      </c>
      <c r="E27" s="202">
        <f>SUMIFS(Engine[mrr_delta], Engine[movement], "Contraction", Engine[month], Waterfall!A27)</f>
        <v>-81</v>
      </c>
      <c r="F27" s="202">
        <f>SUMIFS(Engine[mrr_delta], Engine[movement], "Churned", Engine[month], Waterfall!A27)</f>
        <v>-1624.5</v>
      </c>
      <c r="G27" s="202">
        <f t="shared" si="0"/>
        <v>-1265.5</v>
      </c>
      <c r="H27" s="202">
        <f t="shared" si="1"/>
        <v>150918.5</v>
      </c>
    </row>
    <row r="28" spans="1:8" ht="14.25" customHeight="1" x14ac:dyDescent="0.25">
      <c r="A28" s="201">
        <v>46023</v>
      </c>
      <c r="B28" s="202">
        <f>'Jan 2026 A vs F '!B3</f>
        <v>143069.5</v>
      </c>
      <c r="C28" s="202">
        <f>SUMIFS(Engine[mrr_delta], Engine[movement], "New", Engine[month], Waterfall!A28)</f>
        <v>1710</v>
      </c>
      <c r="D28" s="202">
        <f>SUMIFS(Engine[mrr_delta], Engine[movement], "Expansion", Engine[month], Waterfall!A28)</f>
        <v>0</v>
      </c>
      <c r="E28" s="202">
        <f>SUMIFS(Engine[mrr_delta], Engine[movement], "Contraction", Engine[month], Waterfall!A28)</f>
        <v>0</v>
      </c>
      <c r="F28" s="202">
        <f>SUMIFS(Engine[mrr_delta], Engine[movement], "Churned", Engine[month], Waterfall!A28)</f>
        <v>0</v>
      </c>
      <c r="G28" s="202">
        <f t="shared" si="0"/>
        <v>1710</v>
      </c>
      <c r="H28" s="202">
        <f t="shared" si="1"/>
        <v>144779.5</v>
      </c>
    </row>
    <row r="29" spans="1:8" ht="14.25" customHeight="1" x14ac:dyDescent="0.25">
      <c r="A29" s="201">
        <v>46054</v>
      </c>
      <c r="B29" s="202">
        <f>H28</f>
        <v>144779.5</v>
      </c>
      <c r="C29" s="202">
        <f>SUMIFS(Engine[mrr_delta], Engine[movement], "New", Engine[month], Waterfall!A29)</f>
        <v>6120</v>
      </c>
      <c r="D29" s="202">
        <f>SUMIFS(Engine[mrr_delta], Engine[movement], "Expansion", Engine[month], Waterfall!A29)</f>
        <v>0</v>
      </c>
      <c r="E29" s="202">
        <f>SUMIFS(Engine[mrr_delta], Engine[movement], "Contraction", Engine[month], Waterfall!A29)</f>
        <v>0</v>
      </c>
      <c r="F29" s="202">
        <f>SUMIFS(Engine[mrr_delta], Engine[movement], "Churned", Engine[month], Waterfall!A29)</f>
        <v>-594</v>
      </c>
      <c r="G29" s="202">
        <f t="shared" si="0"/>
        <v>5526</v>
      </c>
      <c r="H29" s="202">
        <f t="shared" si="1"/>
        <v>150305.5</v>
      </c>
    </row>
    <row r="30" spans="1:8" ht="14.25" customHeight="1" x14ac:dyDescent="0.25">
      <c r="A30" s="201">
        <v>46082</v>
      </c>
      <c r="B30" s="202">
        <f>H29</f>
        <v>150305.5</v>
      </c>
      <c r="C30" s="202">
        <f>SUMIFS(Engine[mrr_delta], Engine[movement], "New", Engine[month], Waterfall!A30)</f>
        <v>3000</v>
      </c>
      <c r="D30" s="202">
        <f>SUMIFS(Engine[mrr_delta], Engine[movement], "Expansion", Engine[month], Waterfall!A30)</f>
        <v>380</v>
      </c>
      <c r="E30" s="202">
        <f>SUMIFS(Engine[mrr_delta], Engine[movement], "Contraction", Engine[month], Waterfall!A30)</f>
        <v>0</v>
      </c>
      <c r="F30" s="202">
        <f>SUMIFS(Engine[mrr_delta], Engine[movement], "Churned", Engine[month], Waterfall!A30)</f>
        <v>0</v>
      </c>
      <c r="G30" s="202">
        <f t="shared" si="0"/>
        <v>3380</v>
      </c>
      <c r="H30" s="202">
        <f t="shared" si="1"/>
        <v>153685.5</v>
      </c>
    </row>
    <row r="31" spans="1:8" ht="14.25" customHeight="1" x14ac:dyDescent="0.25">
      <c r="A31" s="201">
        <f>EDATE(A30,1)</f>
        <v>46113</v>
      </c>
      <c r="B31" s="202">
        <f>H30</f>
        <v>153685.5</v>
      </c>
      <c r="C31" s="202">
        <f>SUMIFS(Engine[mrr_delta], Engine[movement], "New", Engine[month], Waterfall!A31)</f>
        <v>3810</v>
      </c>
      <c r="D31" s="202">
        <f>SUMIFS(Engine[mrr_delta], Engine[movement], "Expansion", Engine[month], Waterfall!A31)</f>
        <v>440</v>
      </c>
      <c r="E31" s="202">
        <f>SUMIFS(Engine[mrr_delta], Engine[movement], "Contraction", Engine[month], Waterfall!A31)</f>
        <v>0</v>
      </c>
      <c r="F31" s="202">
        <f>SUMIFS(Engine[mrr_delta], Engine[movement], "Churned", Engine[month], Waterfall!A31)</f>
        <v>-1105</v>
      </c>
      <c r="G31" s="202">
        <f t="shared" si="0"/>
        <v>3145</v>
      </c>
      <c r="H31" s="202">
        <f t="shared" si="1"/>
        <v>156830.5</v>
      </c>
    </row>
    <row r="32" spans="1:8" ht="14.25" customHeight="1" x14ac:dyDescent="0.25">
      <c r="A32" s="201">
        <f>EDATE(A31,1)</f>
        <v>46143</v>
      </c>
      <c r="B32" s="202">
        <f>H31</f>
        <v>156830.5</v>
      </c>
      <c r="C32" s="202">
        <f>SUMIFS(Engine[mrr_delta], Engine[movement], "New", Engine[month], Waterfall!A32)</f>
        <v>4780</v>
      </c>
      <c r="D32" s="202">
        <f>SUMIFS(Engine[mrr_delta], Engine[movement], "Expansion", Engine[month], Waterfall!A32)</f>
        <v>425</v>
      </c>
      <c r="E32" s="202">
        <f>SUMIFS(Engine[mrr_delta], Engine[movement], "Contraction", Engine[month], Waterfall!A32)</f>
        <v>-440</v>
      </c>
      <c r="F32" s="202">
        <f>SUMIFS(Engine[mrr_delta], Engine[movement], "Churned", Engine[month], Waterfall!A32)</f>
        <v>-1520</v>
      </c>
      <c r="G32" s="202">
        <f t="shared" ref="G32" si="3">C32+D32+E32+F32</f>
        <v>3245</v>
      </c>
      <c r="H32" s="202">
        <f>B32+G32</f>
        <v>160075.5</v>
      </c>
    </row>
    <row r="33" spans="1:8" ht="14.25" customHeight="1" x14ac:dyDescent="0.25">
      <c r="A33" s="201"/>
      <c r="B33" s="202"/>
      <c r="C33" s="202"/>
      <c r="D33" s="202"/>
      <c r="E33" s="202"/>
      <c r="F33" s="202"/>
      <c r="G33" s="202"/>
      <c r="H33" s="202"/>
    </row>
    <row r="34" spans="1:8" ht="14.25" customHeight="1" x14ac:dyDescent="0.25"/>
    <row r="35" spans="1:8" ht="14.25" customHeight="1" x14ac:dyDescent="0.25">
      <c r="A35" s="1" t="s">
        <v>1024</v>
      </c>
      <c r="B35" s="13">
        <f>H31</f>
        <v>156830.5</v>
      </c>
    </row>
    <row r="36" spans="1:8" ht="14.25" customHeight="1" x14ac:dyDescent="0.25">
      <c r="A36" s="1" t="s">
        <v>1025</v>
      </c>
      <c r="B36" s="13">
        <f>SUM(Engine!$S$2:$S$1002)</f>
        <v>167924.5</v>
      </c>
    </row>
    <row r="37" spans="1:8" ht="14.25" customHeight="1" x14ac:dyDescent="0.25">
      <c r="A37" s="1" t="s">
        <v>1026</v>
      </c>
      <c r="B37" s="13">
        <f>B35-B36</f>
        <v>-11094</v>
      </c>
    </row>
    <row r="38" spans="1:8" ht="14.25" customHeight="1" x14ac:dyDescent="0.25"/>
    <row r="39" spans="1:8" ht="14.25" customHeight="1" x14ac:dyDescent="0.25"/>
    <row r="40" spans="1:8" ht="14.25" customHeight="1" x14ac:dyDescent="0.25"/>
    <row r="41" spans="1:8" ht="14.25" customHeight="1" x14ac:dyDescent="0.25"/>
    <row r="42" spans="1:8" ht="14.25" customHeight="1" x14ac:dyDescent="0.25"/>
    <row r="43" spans="1:8" ht="14.25" customHeight="1" x14ac:dyDescent="0.25"/>
    <row r="44" spans="1:8" ht="14.25" customHeight="1" x14ac:dyDescent="0.25"/>
    <row r="45" spans="1:8" ht="14.25" customHeight="1" x14ac:dyDescent="0.25"/>
    <row r="46" spans="1:8" ht="14.25" customHeight="1" x14ac:dyDescent="0.25"/>
    <row r="47" spans="1:8" ht="14.25" customHeight="1" x14ac:dyDescent="0.25"/>
    <row r="48" spans="1: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sheetData>
  <dataValidations count="2">
    <dataValidation type="custom" allowBlank="1" showDropDown="1" sqref="A4:A33" xr:uid="{00000000-0002-0000-1100-000000000000}">
      <formula1>OR(NOT(ISERROR(DATEVALUE(A4))), AND(ISNUMBER(A4), LEFT(CELL("format", A4))="D"))</formula1>
    </dataValidation>
    <dataValidation type="custom" allowBlank="1" showDropDown="1" sqref="B4:H33" xr:uid="{00000000-0002-0000-1100-000001000000}">
      <formula1>AND(ISNUMBER(B4),(NOT(OR(NOT(ISERROR(DATEVALUE(B4))), AND(ISNUMBER(B4), LEFT(CELL("format", B4))="D")))))</formula1>
    </dataValidation>
  </dataValidations>
  <pageMargins left="0.7" right="0.7" top="0.75" bottom="0.75" header="0" footer="0"/>
  <pageSetup orientation="landscape"/>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1000"/>
  <sheetViews>
    <sheetView workbookViewId="0">
      <selection activeCell="G42" sqref="G42"/>
    </sheetView>
  </sheetViews>
  <sheetFormatPr defaultColWidth="14.42578125" defaultRowHeight="15" customHeight="1" x14ac:dyDescent="0.25"/>
  <cols>
    <col min="1" max="1" width="40" customWidth="1"/>
    <col min="2" max="2" width="8.7109375" customWidth="1"/>
    <col min="3" max="3" width="10.85546875" customWidth="1"/>
    <col min="4" max="14" width="12" customWidth="1"/>
    <col min="15" max="39" width="13" customWidth="1"/>
  </cols>
  <sheetData>
    <row r="1" spans="1:39" ht="14.25" customHeight="1" x14ac:dyDescent="0.25">
      <c r="A1" s="204" t="s">
        <v>1027</v>
      </c>
    </row>
    <row r="2" spans="1:39" ht="14.25" customHeight="1" x14ac:dyDescent="0.25"/>
    <row r="3" spans="1:39" ht="14.25" customHeight="1" x14ac:dyDescent="0.25">
      <c r="A3" s="22" t="s">
        <v>1028</v>
      </c>
    </row>
    <row r="4" spans="1:39" ht="14.25" customHeight="1" x14ac:dyDescent="0.25">
      <c r="A4" s="22" t="s">
        <v>819</v>
      </c>
      <c r="B4" s="205">
        <f>Waterfall!A4</f>
        <v>45292</v>
      </c>
      <c r="C4" s="205">
        <f>Waterfall!A5</f>
        <v>45323</v>
      </c>
      <c r="D4" s="205">
        <f>Waterfall!A6</f>
        <v>45352</v>
      </c>
      <c r="E4" s="205">
        <f>Waterfall!A7</f>
        <v>45383</v>
      </c>
      <c r="F4" s="205">
        <f>Waterfall!A8</f>
        <v>45413</v>
      </c>
      <c r="G4" s="205">
        <f>Waterfall!A9</f>
        <v>45444</v>
      </c>
      <c r="H4" s="205">
        <f>Waterfall!A10</f>
        <v>45474</v>
      </c>
      <c r="I4" s="205">
        <f>Waterfall!A11</f>
        <v>45505</v>
      </c>
      <c r="J4" s="205">
        <f>Waterfall!A12</f>
        <v>45536</v>
      </c>
      <c r="K4" s="205">
        <f>Waterfall!A13</f>
        <v>45566</v>
      </c>
      <c r="L4" s="205">
        <f>Waterfall!A14</f>
        <v>45597</v>
      </c>
      <c r="M4" s="205">
        <f>Waterfall!A15</f>
        <v>45627</v>
      </c>
      <c r="N4" s="205">
        <f>Waterfall!A16</f>
        <v>45658</v>
      </c>
      <c r="O4" s="205">
        <f>Waterfall!A17</f>
        <v>45689</v>
      </c>
      <c r="P4" s="205">
        <f>Waterfall!A18</f>
        <v>45717</v>
      </c>
      <c r="Q4" s="205">
        <f>Waterfall!A19</f>
        <v>45748</v>
      </c>
      <c r="R4" s="205">
        <f>Waterfall!A20</f>
        <v>45778</v>
      </c>
      <c r="S4" s="205">
        <f>Waterfall!A21</f>
        <v>45809</v>
      </c>
      <c r="T4" s="205">
        <f>Waterfall!A22</f>
        <v>45839</v>
      </c>
      <c r="U4" s="205">
        <f>Waterfall!A23</f>
        <v>45870</v>
      </c>
      <c r="V4" s="205">
        <f>Waterfall!A24</f>
        <v>45901</v>
      </c>
      <c r="W4" s="205">
        <f>Waterfall!A25</f>
        <v>45931</v>
      </c>
      <c r="X4" s="205">
        <f>Waterfall!A26</f>
        <v>45962</v>
      </c>
      <c r="Y4" s="205">
        <f>Waterfall!A27</f>
        <v>45992</v>
      </c>
      <c r="Z4" s="205">
        <f>Waterfall!A28</f>
        <v>46023</v>
      </c>
      <c r="AA4" s="205">
        <f>Waterfall!A29</f>
        <v>46054</v>
      </c>
      <c r="AB4" s="205">
        <f>Waterfall!A30</f>
        <v>46082</v>
      </c>
      <c r="AC4" s="205">
        <v>46113</v>
      </c>
      <c r="AD4" s="205">
        <v>46143</v>
      </c>
      <c r="AE4" s="205"/>
      <c r="AF4" s="205"/>
      <c r="AG4" s="205"/>
      <c r="AH4" s="205"/>
      <c r="AI4" s="205"/>
      <c r="AJ4" s="205"/>
      <c r="AK4" s="205"/>
      <c r="AL4" s="205"/>
      <c r="AM4" s="205"/>
    </row>
    <row r="5" spans="1:39" ht="14.25" customHeight="1" x14ac:dyDescent="0.25">
      <c r="A5" s="22" t="s">
        <v>494</v>
      </c>
      <c r="B5" s="13">
        <f t="array" ref="B5">INDEX(Waterfall[Opening MRR], MATCH(B4, Waterfall[Month], 0))</f>
        <v>0</v>
      </c>
      <c r="C5" s="13">
        <f t="array" ref="C5">INDEX(Waterfall[Opening MRR], MATCH(C4, Waterfall[Month], 0))</f>
        <v>5800</v>
      </c>
      <c r="D5" s="13">
        <f t="array" ref="D5">INDEX(Waterfall[Opening MRR], MATCH(D4, Waterfall[Month], 0))</f>
        <v>14415</v>
      </c>
      <c r="E5" s="13">
        <f t="array" ref="E5">INDEX(Waterfall[Opening MRR], MATCH(E4, Waterfall[Month], 0))</f>
        <v>20490</v>
      </c>
      <c r="F5" s="13">
        <f t="array" ref="F5">INDEX(Waterfall[Opening MRR], MATCH(F4, Waterfall[Month], 0))</f>
        <v>29934</v>
      </c>
      <c r="G5" s="13">
        <f t="array" ref="G5">INDEX(Waterfall[Opening MRR], MATCH(G4, Waterfall[Month], 0))</f>
        <v>32499</v>
      </c>
      <c r="H5" s="13">
        <f t="array" ref="H5">INDEX(Waterfall[Opening MRR], MATCH(H4, Waterfall[Month], 0))</f>
        <v>35989</v>
      </c>
      <c r="I5" s="13">
        <f t="array" ref="I5">INDEX(Waterfall[Opening MRR], MATCH(I4, Waterfall[Month], 0))</f>
        <v>45353.5</v>
      </c>
      <c r="J5" s="13">
        <f t="array" ref="J5">INDEX(Waterfall[Opening MRR], MATCH(J4, Waterfall[Month], 0))</f>
        <v>50293.5</v>
      </c>
      <c r="K5" s="13">
        <f t="array" ref="K5">INDEX(Waterfall[Opening MRR], MATCH(K4, Waterfall[Month], 0))</f>
        <v>63708.5</v>
      </c>
      <c r="L5" s="13">
        <f t="array" ref="L5">INDEX(Waterfall[Opening MRR], MATCH(L4, Waterfall[Month], 0))</f>
        <v>73838.5</v>
      </c>
      <c r="M5" s="13">
        <f t="array" ref="M5">INDEX(Waterfall[Opening MRR], MATCH(M4, Waterfall[Month], 0))</f>
        <v>78298.5</v>
      </c>
      <c r="N5" s="13">
        <f t="array" ref="N5">INDEX(Waterfall[Opening MRR], MATCH(N4, Waterfall[Month], 0))</f>
        <v>91123.5</v>
      </c>
      <c r="O5" s="13">
        <f t="array" ref="O5">INDEX(Waterfall[Opening MRR], MATCH(O4, Waterfall[Month], 0))</f>
        <v>100754</v>
      </c>
      <c r="P5" s="13">
        <f t="array" ref="P5">INDEX(Waterfall[Opening MRR], MATCH(P4, Waterfall[Month], 0))</f>
        <v>108159</v>
      </c>
      <c r="Q5" s="13">
        <f t="array" ref="Q5">INDEX(Waterfall[Opening MRR], MATCH(Q4, Waterfall[Month], 0))</f>
        <v>126539.5</v>
      </c>
      <c r="R5" s="13">
        <f t="array" ref="R5">INDEX(Waterfall[Opening MRR], MATCH(R4, Waterfall[Month], 0))</f>
        <v>133074.5</v>
      </c>
      <c r="S5" s="13">
        <f t="array" ref="S5">INDEX(Waterfall[Opening MRR], MATCH(S4, Waterfall[Month], 0))</f>
        <v>143089.5</v>
      </c>
      <c r="T5" s="13">
        <f t="array" ref="T5">INDEX(Waterfall[Opening MRR], MATCH(T4, Waterfall[Month], 0))</f>
        <v>152114.5</v>
      </c>
      <c r="U5" s="13">
        <f t="array" ref="U5">INDEX(Waterfall[Opening MRR], MATCH(U4, Waterfall[Month], 0))</f>
        <v>151014.5</v>
      </c>
      <c r="V5" s="13">
        <f t="array" ref="V5">INDEX(Waterfall[Opening MRR], MATCH(V4, Waterfall[Month], 0))</f>
        <v>148584.5</v>
      </c>
      <c r="W5" s="13">
        <f t="array" ref="W5">INDEX(Waterfall[Opening MRR], MATCH(W4, Waterfall[Month], 0))</f>
        <v>150359.5</v>
      </c>
      <c r="X5" s="13">
        <f t="array" ref="X5">INDEX(Waterfall[Opening MRR], MATCH(X4, Waterfall[Month], 0))</f>
        <v>152619.5</v>
      </c>
      <c r="Y5" s="13">
        <f t="array" ref="Y5">INDEX(Waterfall[Opening MRR], MATCH(Y4, Waterfall[Month], 0))</f>
        <v>152184</v>
      </c>
      <c r="Z5" s="13">
        <f t="array" ref="Z5">INDEX(Waterfall[Opening MRR], MATCH(Z4, Waterfall[Month], 0))</f>
        <v>143069.5</v>
      </c>
      <c r="AA5" s="13">
        <f t="array" ref="AA5">INDEX(Waterfall[Opening MRR], MATCH(AA4, Waterfall[Month], 0))</f>
        <v>144779.5</v>
      </c>
      <c r="AB5" s="13">
        <f t="array" ref="AB5">INDEX(Waterfall[Opening MRR], MATCH(AB4, Waterfall[Month], 0))</f>
        <v>150305.5</v>
      </c>
      <c r="AC5" s="13">
        <f t="array" ref="AC5">INDEX(Waterfall[Opening MRR], MATCH(AC4, Waterfall[Month], 0))</f>
        <v>153685.5</v>
      </c>
      <c r="AD5" s="13">
        <f>INDEX(Waterfall[Opening MRR], MATCH(AD4, Waterfall[Month], 0))</f>
        <v>156830.5</v>
      </c>
      <c r="AE5" s="13"/>
      <c r="AF5" s="13"/>
      <c r="AG5" s="13"/>
      <c r="AH5" s="13"/>
      <c r="AI5" s="13"/>
      <c r="AJ5" s="13"/>
      <c r="AK5" s="13"/>
      <c r="AL5" s="13"/>
      <c r="AM5" s="13"/>
    </row>
    <row r="6" spans="1:39" ht="14.25" customHeight="1" x14ac:dyDescent="0.25">
      <c r="A6" s="22" t="s">
        <v>1029</v>
      </c>
      <c r="B6" s="73" t="str">
        <f>IF(Waterfall!B4=0,"-",1+(Waterfall!F4+Waterfall!G4)/Waterfall!C4)</f>
        <v>-</v>
      </c>
      <c r="C6" s="73">
        <f>IF(Waterfall!B5=0,"-",1+(Waterfall!E5+Waterfall!F5)/Waterfall!B5)</f>
        <v>1</v>
      </c>
      <c r="D6" s="73">
        <f>IF(Waterfall!B6=0,"-",1+(Waterfall!E6+Waterfall!F6)/Waterfall!B6)</f>
        <v>1</v>
      </c>
      <c r="E6" s="73">
        <f>IF(Waterfall!B7=0,"-",1+(Waterfall!E7+Waterfall!F7)/Waterfall!B7)</f>
        <v>1</v>
      </c>
      <c r="F6" s="73">
        <f>IF(Waterfall!B8=0,"-",1+(Waterfall!E8+Waterfall!F8)/Waterfall!B8)</f>
        <v>1</v>
      </c>
      <c r="G6" s="73">
        <f>IF(Waterfall!B9=0,"-",1+(Waterfall!E9+Waterfall!F9)/Waterfall!B9)</f>
        <v>1</v>
      </c>
      <c r="H6" s="73">
        <f>IF(Waterfall!B10=0,"-",1+(Waterfall!E10+Waterfall!F10)/Waterfall!B10)</f>
        <v>1</v>
      </c>
      <c r="I6" s="73">
        <f>IF(Waterfall!B11=0,"-",1+(Waterfall!E11+Waterfall!F11)/Waterfall!B11)</f>
        <v>0.95810687157551233</v>
      </c>
      <c r="J6" s="73">
        <f>IF(Waterfall!B12=0,"-",1+(Waterfall!E12+Waterfall!F12)/Waterfall!B12)</f>
        <v>1</v>
      </c>
      <c r="K6" s="73">
        <f>IF(Waterfall!B13=0,"-",1+(Waterfall!E13+Waterfall!F13)/Waterfall!B13)</f>
        <v>1</v>
      </c>
      <c r="L6" s="73">
        <f>IF(Waterfall!B14=0,"-",1+(Waterfall!E14+Waterfall!F14)/Waterfall!B14)</f>
        <v>0.99329618017700794</v>
      </c>
      <c r="M6" s="73">
        <f>IF(Waterfall!B15=0,"-",1+(Waterfall!E15+Waterfall!F15)/Waterfall!B15)</f>
        <v>0.9733072791943651</v>
      </c>
      <c r="N6" s="73">
        <f>IF(Waterfall!B16=0,"-",1+(Waterfall!E16+Waterfall!F16)/Waterfall!B16)</f>
        <v>0.99506164710530209</v>
      </c>
      <c r="O6" s="73">
        <f>IF(Waterfall!B17=0,"-",1+(Waterfall!E17+Waterfall!F17)/Waterfall!B17)</f>
        <v>1</v>
      </c>
      <c r="P6" s="73">
        <f>IF(Waterfall!B18=0,"-",1+(Waterfall!E18+Waterfall!F18)/Waterfall!B18)</f>
        <v>0.99066651873630485</v>
      </c>
      <c r="Q6" s="73">
        <f>IF(Waterfall!B19=0,"-",1+(Waterfall!E19+Waterfall!F19)/Waterfall!B19)</f>
        <v>1</v>
      </c>
      <c r="R6" s="73">
        <f>IF(Waterfall!B20=0,"-",1+(Waterfall!E20+Waterfall!F20)/Waterfall!B20)</f>
        <v>0.98215285422827059</v>
      </c>
      <c r="S6" s="73">
        <f>IF(Waterfall!B21=0,"-",1+(Waterfall!E21+Waterfall!F21)/Waterfall!B21)</f>
        <v>0.99087983395008017</v>
      </c>
      <c r="T6" s="73">
        <f>IF(Waterfall!B22=0,"-",1+(Waterfall!E22+Waterfall!F22)/Waterfall!B22)</f>
        <v>0.98842976836527752</v>
      </c>
      <c r="U6" s="73">
        <f>IF(Waterfall!B23=0,"-",1+(Waterfall!E23+Waterfall!F23)/Waterfall!B23)</f>
        <v>0.96430806313301043</v>
      </c>
      <c r="V6" s="73">
        <f>IF(Waterfall!B24=0,"-",1+(Waterfall!E24+Waterfall!F24)/Waterfall!B24)</f>
        <v>0.99915872786192372</v>
      </c>
      <c r="W6" s="73">
        <f>IF(Waterfall!B25=0,"-",1+(Waterfall!E25+Waterfall!F25)/Waterfall!B25)</f>
        <v>1</v>
      </c>
      <c r="X6" s="73">
        <f>IF(Waterfall!B26=0,"-",1+(Waterfall!E26+Waterfall!F26)/Waterfall!B26)</f>
        <v>0.99714649831771174</v>
      </c>
      <c r="Y6" s="73">
        <f>IF(Waterfall!B27=0,"-",1+(Waterfall!E27+Waterfall!F27)/Waterfall!B27)</f>
        <v>0.98879317142406564</v>
      </c>
      <c r="Z6" s="73">
        <f>IF(Waterfall!B28=0,"-",1+(Waterfall!E28+Waterfall!F28)/Waterfall!B28)</f>
        <v>1</v>
      </c>
      <c r="AA6" s="73">
        <f>IF(Waterfall!B29=0,"-",1+(Waterfall!E29+Waterfall!F29)/Waterfall!B29)</f>
        <v>0.99589720920434177</v>
      </c>
      <c r="AB6" s="73">
        <f>IF(Waterfall!B30=0,"-",1+(Waterfall!E30+Waterfall!F30)/Waterfall!B30)</f>
        <v>1</v>
      </c>
      <c r="AC6" s="73">
        <f>IF(Waterfall!B31=0,"-",1+(Waterfall!E31+Waterfall!F31)/Waterfall!B31)</f>
        <v>0.99280999183397267</v>
      </c>
      <c r="AD6" s="73">
        <f>IF(Waterfall!B32=0,"-",1+(Waterfall!E32+Waterfall!F32)/Waterfall!B32)</f>
        <v>0.98750243096846591</v>
      </c>
      <c r="AE6" s="16"/>
      <c r="AF6" s="73"/>
      <c r="AG6" s="73"/>
      <c r="AH6" s="73"/>
      <c r="AI6" s="73"/>
      <c r="AJ6" s="73"/>
      <c r="AK6" s="73"/>
      <c r="AL6" s="73"/>
      <c r="AM6" s="73"/>
    </row>
    <row r="7" spans="1:39" ht="14.25" customHeight="1" x14ac:dyDescent="0.25">
      <c r="A7" s="22" t="s">
        <v>1030</v>
      </c>
      <c r="B7" s="73" t="str">
        <f>IF(Waterfall!B4=0,"-",1+(Waterfall!D4+Waterfall!E4+Waterfall!F4)/Waterfall!B4)</f>
        <v>-</v>
      </c>
      <c r="C7" s="73">
        <f>IF(Waterfall!B5=0,"-",1+(Waterfall!D5+Waterfall!E5+Waterfall!F5)/Waterfall!B5)</f>
        <v>1</v>
      </c>
      <c r="D7" s="73">
        <f>IF(Waterfall!B6=0,"-",1+(Waterfall!D6+Waterfall!E6+Waterfall!F6)/Waterfall!B6)</f>
        <v>1</v>
      </c>
      <c r="E7" s="73">
        <f>IF(Waterfall!B7=0,"-",1+(Waterfall!D7+Waterfall!E7+Waterfall!F7)/Waterfall!B7)</f>
        <v>1</v>
      </c>
      <c r="F7" s="73">
        <f>IF(Waterfall!B8=0,"-",1+(Waterfall!D8+Waterfall!E8+Waterfall!F8)/Waterfall!B8)</f>
        <v>1</v>
      </c>
      <c r="G7" s="73">
        <f>IF(Waterfall!B9=0,"-",1+(Waterfall!D9+Waterfall!E9+Waterfall!F9)/Waterfall!B9)</f>
        <v>1</v>
      </c>
      <c r="H7" s="73">
        <f>IF(Waterfall!B10=0,"-",1+(Waterfall!D10+Waterfall!E10+Waterfall!F10)/Waterfall!B10)</f>
        <v>1</v>
      </c>
      <c r="I7" s="73">
        <f>IF(Waterfall!B11=0,"-",1+(Waterfall!D11+Waterfall!E11+Waterfall!F11)/Waterfall!B11)</f>
        <v>0.95810687157551233</v>
      </c>
      <c r="J7" s="73">
        <f>IF(Waterfall!B12=0,"-",1+(Waterfall!D12+Waterfall!E12+Waterfall!F12)/Waterfall!B12)</f>
        <v>1</v>
      </c>
      <c r="K7" s="73">
        <f>IF(Waterfall!B13=0,"-",1+(Waterfall!D13+Waterfall!E13+Waterfall!F13)/Waterfall!B13)</f>
        <v>1</v>
      </c>
      <c r="L7" s="73">
        <f>IF(Waterfall!B14=0,"-",1+(Waterfall!D14+Waterfall!E14+Waterfall!F14)/Waterfall!B14)</f>
        <v>0.99329618017700794</v>
      </c>
      <c r="M7" s="73">
        <f>IF(Waterfall!B15=0,"-",1+(Waterfall!D15+Waterfall!E15+Waterfall!F15)/Waterfall!B15)</f>
        <v>0.9733072791943651</v>
      </c>
      <c r="N7" s="73">
        <f>IF(Waterfall!B16=0,"-",1+(Waterfall!D16+Waterfall!E16+Waterfall!F16)/Waterfall!B16)</f>
        <v>0.99659802356143035</v>
      </c>
      <c r="O7" s="73">
        <f>IF(Waterfall!B17=0,"-",1+(Waterfall!D17+Waterfall!E17+Waterfall!F17)/Waterfall!B17)</f>
        <v>1</v>
      </c>
      <c r="P7" s="73">
        <f>IF(Waterfall!B18=0,"-",1+(Waterfall!D18+Waterfall!E18+Waterfall!F18)/Waterfall!B18)</f>
        <v>0.99066651873630485</v>
      </c>
      <c r="Q7" s="73">
        <f>IF(Waterfall!B19=0,"-",1+(Waterfall!D19+Waterfall!E19+Waterfall!F19)/Waterfall!B19)</f>
        <v>1.005966516384212</v>
      </c>
      <c r="R7" s="73">
        <f>IF(Waterfall!B20=0,"-",1+(Waterfall!D20+Waterfall!E20+Waterfall!F20)/Waterfall!B20)</f>
        <v>0.98463266816707939</v>
      </c>
      <c r="S7" s="73">
        <f>IF(Waterfall!B21=0,"-",1+(Waterfall!D21+Waterfall!E21+Waterfall!F21)/Waterfall!B21)</f>
        <v>1.0027605100304355</v>
      </c>
      <c r="T7" s="73">
        <f>IF(Waterfall!B22=0,"-",1+(Waterfall!D22+Waterfall!E22+Waterfall!F22)/Waterfall!B22)</f>
        <v>0.99276860522829846</v>
      </c>
      <c r="U7" s="73">
        <f>IF(Waterfall!B23=0,"-",1+(Waterfall!D23+Waterfall!E23+Waterfall!F23)/Waterfall!B23)</f>
        <v>0.98390882994679318</v>
      </c>
      <c r="V7" s="73">
        <f>IF(Waterfall!B24=0,"-",1+(Waterfall!D24+Waterfall!E24+Waterfall!F24)/Waterfall!B24)</f>
        <v>1.0119460643606837</v>
      </c>
      <c r="W7" s="73">
        <f>IF(Waterfall!B25=0,"-",1+(Waterfall!D25+Waterfall!E25+Waterfall!F25)/Waterfall!B25)</f>
        <v>1.0088122133952295</v>
      </c>
      <c r="X7" s="73">
        <f>IF(Waterfall!B26=0,"-",1+(Waterfall!D26+Waterfall!E26+Waterfall!F26)/Waterfall!B26)</f>
        <v>0.99714649831771174</v>
      </c>
      <c r="Y7" s="73">
        <f>IF(Waterfall!B27=0,"-",1+(Waterfall!D27+Waterfall!E27+Waterfall!F27)/Waterfall!B27)</f>
        <v>0.99168440834778948</v>
      </c>
      <c r="Z7" s="73">
        <f>IF(Waterfall!B28=0,"-",1+(Waterfall!D28+Waterfall!E28+Waterfall!F28)/Waterfall!B28)</f>
        <v>1</v>
      </c>
      <c r="AA7" s="73">
        <f>IF(Waterfall!B29=0,"-",1+(Waterfall!D29+Waterfall!E29+Waterfall!F32)/Waterfall!B29)</f>
        <v>0.98950127607845029</v>
      </c>
      <c r="AB7" s="73">
        <f>IF(Waterfall!B30=0,"-",1+(Waterfall!D30+Waterfall!E30+Waterfall!F30)/Waterfall!B30)</f>
        <v>1.0025281842647142</v>
      </c>
      <c r="AC7" s="73">
        <f>IF(Waterfall!B31=0,"-",1+(Waterfall!D31+Waterfall!E31+Waterfall!F31)/Waterfall!B31)</f>
        <v>0.99567298151094286</v>
      </c>
      <c r="AD7" s="73">
        <f>IF(Waterfall!B32=0,"-",1+(Waterfall!D32+Waterfall!E32+Waterfall!F32)/Waterfall!B32)</f>
        <v>0.99021236302887516</v>
      </c>
      <c r="AE7" s="73"/>
      <c r="AF7" s="73"/>
      <c r="AG7" s="73"/>
      <c r="AH7" s="73"/>
      <c r="AI7" s="73"/>
      <c r="AJ7" s="73"/>
      <c r="AK7" s="73"/>
      <c r="AL7" s="73"/>
      <c r="AM7" s="73"/>
    </row>
    <row r="8" spans="1:39" ht="14.25" customHeight="1" x14ac:dyDescent="0.25"/>
    <row r="9" spans="1:39" ht="14.25" customHeight="1" x14ac:dyDescent="0.25">
      <c r="A9" s="22" t="s">
        <v>1031</v>
      </c>
    </row>
    <row r="10" spans="1:39" ht="14.25" customHeight="1" x14ac:dyDescent="0.25">
      <c r="A10" s="22" t="s">
        <v>819</v>
      </c>
      <c r="B10" s="205">
        <f t="shared" ref="B10:AC10" si="0">B4</f>
        <v>45292</v>
      </c>
      <c r="C10" s="205">
        <f t="shared" si="0"/>
        <v>45323</v>
      </c>
      <c r="D10" s="205">
        <f t="shared" si="0"/>
        <v>45352</v>
      </c>
      <c r="E10" s="205">
        <f t="shared" si="0"/>
        <v>45383</v>
      </c>
      <c r="F10" s="205">
        <f t="shared" si="0"/>
        <v>45413</v>
      </c>
      <c r="G10" s="205">
        <f t="shared" si="0"/>
        <v>45444</v>
      </c>
      <c r="H10" s="205">
        <f t="shared" si="0"/>
        <v>45474</v>
      </c>
      <c r="I10" s="205">
        <f t="shared" si="0"/>
        <v>45505</v>
      </c>
      <c r="J10" s="205">
        <f t="shared" si="0"/>
        <v>45536</v>
      </c>
      <c r="K10" s="205">
        <f t="shared" si="0"/>
        <v>45566</v>
      </c>
      <c r="L10" s="205">
        <f t="shared" si="0"/>
        <v>45597</v>
      </c>
      <c r="M10" s="205">
        <f t="shared" si="0"/>
        <v>45627</v>
      </c>
      <c r="N10" s="205">
        <f t="shared" si="0"/>
        <v>45658</v>
      </c>
      <c r="O10" s="205">
        <f t="shared" si="0"/>
        <v>45689</v>
      </c>
      <c r="P10" s="205">
        <f t="shared" si="0"/>
        <v>45717</v>
      </c>
      <c r="Q10" s="205">
        <f t="shared" si="0"/>
        <v>45748</v>
      </c>
      <c r="R10" s="205">
        <f t="shared" si="0"/>
        <v>45778</v>
      </c>
      <c r="S10" s="205">
        <f t="shared" si="0"/>
        <v>45809</v>
      </c>
      <c r="T10" s="205">
        <f t="shared" si="0"/>
        <v>45839</v>
      </c>
      <c r="U10" s="205">
        <f t="shared" si="0"/>
        <v>45870</v>
      </c>
      <c r="V10" s="205">
        <f t="shared" si="0"/>
        <v>45901</v>
      </c>
      <c r="W10" s="205">
        <f t="shared" si="0"/>
        <v>45931</v>
      </c>
      <c r="X10" s="205">
        <f t="shared" si="0"/>
        <v>45962</v>
      </c>
      <c r="Y10" s="205">
        <f t="shared" si="0"/>
        <v>45992</v>
      </c>
      <c r="Z10" s="205">
        <f t="shared" si="0"/>
        <v>46023</v>
      </c>
      <c r="AA10" s="205">
        <f t="shared" si="0"/>
        <v>46054</v>
      </c>
      <c r="AB10" s="205">
        <f t="shared" si="0"/>
        <v>46082</v>
      </c>
      <c r="AC10" s="205">
        <f t="shared" si="0"/>
        <v>46113</v>
      </c>
      <c r="AD10" s="205">
        <v>46143</v>
      </c>
      <c r="AE10" s="205"/>
      <c r="AF10" s="205"/>
      <c r="AG10" s="205"/>
      <c r="AH10" s="205"/>
      <c r="AI10" s="205"/>
      <c r="AJ10" s="205"/>
      <c r="AK10" s="205"/>
      <c r="AL10" s="205"/>
      <c r="AM10" s="205"/>
    </row>
    <row r="11" spans="1:39" ht="14.25" customHeight="1" x14ac:dyDescent="0.25">
      <c r="A11" s="22" t="s">
        <v>1032</v>
      </c>
      <c r="B11" s="73" t="str">
        <f>IF(Waterfall!B4=0,"-",-Waterfall!F4/Waterfall!B4)</f>
        <v>-</v>
      </c>
      <c r="C11" s="73">
        <f>IF(Waterfall!B5=0,"-",-Waterfall!F5/Waterfall!B5)</f>
        <v>0</v>
      </c>
      <c r="D11" s="73">
        <f>IF(Waterfall!B6=0,"-",-Waterfall!F6/Waterfall!B6)</f>
        <v>0</v>
      </c>
      <c r="E11" s="73">
        <f>IF(Waterfall!B7=0,"-",-Waterfall!F7/Waterfall!B7)</f>
        <v>0</v>
      </c>
      <c r="F11" s="73">
        <f>IF(Waterfall!B8=0,"-",-Waterfall!F8/Waterfall!B8)</f>
        <v>0</v>
      </c>
      <c r="G11" s="73">
        <f>IF(Waterfall!B9=0,"-",-Waterfall!F9/Waterfall!B9)</f>
        <v>0</v>
      </c>
      <c r="H11" s="73">
        <f>IF(Waterfall!B10=0,"-",-Waterfall!F10/Waterfall!B10)</f>
        <v>0</v>
      </c>
      <c r="I11" s="73">
        <f>IF(Waterfall!B11=0,"-",-Waterfall!F11/Waterfall!B11)</f>
        <v>4.1893128424487634E-2</v>
      </c>
      <c r="J11" s="73">
        <f>IF(Waterfall!B12=0,"-",-Waterfall!F12/Waterfall!B12)</f>
        <v>0</v>
      </c>
      <c r="K11" s="73">
        <f>IF(Waterfall!B13=0,"-",-Waterfall!F13/Waterfall!B13)</f>
        <v>0</v>
      </c>
      <c r="L11" s="73">
        <f>IF(Waterfall!B14=0,"-",-Waterfall!F14/Waterfall!B14)</f>
        <v>6.7038198229920709E-3</v>
      </c>
      <c r="M11" s="73">
        <f>IF(Waterfall!B15=0,"-",-Waterfall!F15/Waterfall!B15)</f>
        <v>2.6692720805634847E-2</v>
      </c>
      <c r="N11" s="73">
        <f>IF(Waterfall!B16=0,"-",-Waterfall!F16/Waterfall!B16)</f>
        <v>4.9383528946978549E-3</v>
      </c>
      <c r="O11" s="73">
        <f>IF(Waterfall!B17=0,"-",-Waterfall!F17/Waterfall!B17)</f>
        <v>0</v>
      </c>
      <c r="P11" s="73">
        <f>IF(Waterfall!B18=0,"-",-Waterfall!F18/Waterfall!B18)</f>
        <v>0</v>
      </c>
      <c r="Q11" s="73">
        <f>IF(Waterfall!B19=0,"-",-Waterfall!F19/Waterfall!B19)</f>
        <v>0</v>
      </c>
      <c r="R11" s="73">
        <f>IF(Waterfall!B20=0,"-",-Waterfall!F20/Waterfall!B20)</f>
        <v>1.784714577172937E-2</v>
      </c>
      <c r="S11" s="73">
        <f>IF(Waterfall!B21=0,"-",-Waterfall!F21/Waterfall!B21)</f>
        <v>9.1201660499198051E-3</v>
      </c>
      <c r="T11" s="73">
        <f>IF(Waterfall!B22=0,"-",-Waterfall!F22/Waterfall!B22)</f>
        <v>1.1570231634722528E-2</v>
      </c>
      <c r="U11" s="73">
        <f>IF(Waterfall!B23=0,"-",-Waterfall!F23/Waterfall!B23)</f>
        <v>3.0990401583953858E-2</v>
      </c>
      <c r="V11" s="73">
        <f>IF(Waterfall!B24=0,"-",-Waterfall!F24/Waterfall!B24)</f>
        <v>0</v>
      </c>
      <c r="W11" s="73">
        <f>IF(Waterfall!B25=0,"-",-Waterfall!F25/Waterfall!B25)</f>
        <v>0</v>
      </c>
      <c r="X11" s="73">
        <f>IF(Waterfall!B26=0,"-",-Waterfall!F26/Waterfall!B26)</f>
        <v>0</v>
      </c>
      <c r="Y11" s="73">
        <f>IF(Waterfall!B27=0,"-",-Waterfall!F27/Waterfall!B27)</f>
        <v>1.0674578142248857E-2</v>
      </c>
      <c r="Z11" s="73">
        <f>IF(Waterfall!B28=0,"-",-Waterfall!F28/Waterfall!B28)</f>
        <v>0</v>
      </c>
      <c r="AA11" s="73">
        <f>IF(Waterfall!B29=0,"-",-Waterfall!F29/Waterfall!B29)</f>
        <v>4.1027907956582253E-3</v>
      </c>
      <c r="AB11" s="73">
        <f>IF(Waterfall!B30=0,"-",-Waterfall!F30/Waterfall!B30)</f>
        <v>0</v>
      </c>
      <c r="AC11" s="73">
        <f>IF(Waterfall!B31=0,"-",-Waterfall!F31/Waterfall!B31)</f>
        <v>7.1900081660273745E-3</v>
      </c>
      <c r="AD11" s="73">
        <f>IF(Waterfall!B32=0,"-",-Waterfall!F32/Waterfall!B32)</f>
        <v>9.6919923101692583E-3</v>
      </c>
      <c r="AE11" s="73"/>
      <c r="AF11" s="73"/>
      <c r="AG11" s="73"/>
      <c r="AH11" s="73"/>
      <c r="AI11" s="73"/>
      <c r="AJ11" s="73"/>
      <c r="AK11" s="73"/>
      <c r="AL11" s="73"/>
      <c r="AM11" s="73"/>
    </row>
    <row r="12" spans="1:39" ht="14.25" customHeight="1" x14ac:dyDescent="0.25">
      <c r="A12" s="22" t="s">
        <v>1033</v>
      </c>
      <c r="B12" s="73" t="str">
        <f>IF(Waterfall!B4=0,"-",-(Waterfall!E4+Waterfall!F4)/Waterfall!B4)</f>
        <v>-</v>
      </c>
      <c r="C12" s="73">
        <f>IF(Waterfall!B5=0,"-",-(Waterfall!E5+Waterfall!F5)/Waterfall!B5)</f>
        <v>0</v>
      </c>
      <c r="D12" s="73">
        <f>IF(Waterfall!B6=0,"-",-(Waterfall!E6+Waterfall!F6)/Waterfall!B6)</f>
        <v>0</v>
      </c>
      <c r="E12" s="73">
        <f>IF(Waterfall!B7=0,"-",-(Waterfall!E7+Waterfall!F7)/Waterfall!B7)</f>
        <v>0</v>
      </c>
      <c r="F12" s="73">
        <f>IF(Waterfall!B8=0,"-",-(Waterfall!E8+Waterfall!F8)/Waterfall!B8)</f>
        <v>0</v>
      </c>
      <c r="G12" s="73">
        <f>IF(Waterfall!B9=0,"-",-(Waterfall!E9+Waterfall!F9)/Waterfall!B9)</f>
        <v>0</v>
      </c>
      <c r="H12" s="73">
        <f>IF(Waterfall!B10=0,"-",-(Waterfall!E10+Waterfall!F10)/Waterfall!B10)</f>
        <v>0</v>
      </c>
      <c r="I12" s="73">
        <f>IF(Waterfall!B11=0,"-",-(Waterfall!E11+Waterfall!F11)/Waterfall!B11)</f>
        <v>4.1893128424487634E-2</v>
      </c>
      <c r="J12" s="73">
        <f>IF(Waterfall!B12=0,"-",-(Waterfall!E12+Waterfall!F12)/Waterfall!B12)</f>
        <v>0</v>
      </c>
      <c r="K12" s="73">
        <f>IF(Waterfall!B13=0,"-",-(Waterfall!E13+Waterfall!F13)/Waterfall!B13)</f>
        <v>0</v>
      </c>
      <c r="L12" s="73">
        <f>IF(Waterfall!B14=0,"-",-(Waterfall!E14+Waterfall!F14)/Waterfall!B14)</f>
        <v>6.7038198229920709E-3</v>
      </c>
      <c r="M12" s="73">
        <f>IF(Waterfall!B15=0,"-",-(Waterfall!E15+Waterfall!F15)/Waterfall!B15)</f>
        <v>2.6692720805634847E-2</v>
      </c>
      <c r="N12" s="73">
        <f>IF(Waterfall!B16=0,"-",-(Waterfall!E16+Waterfall!F16)/Waterfall!B16)</f>
        <v>4.9383528946978549E-3</v>
      </c>
      <c r="O12" s="73">
        <f>IF(Waterfall!B17=0,"-",-(Waterfall!E17+Waterfall!F17)/Waterfall!B17)</f>
        <v>0</v>
      </c>
      <c r="P12" s="73">
        <f>IF(Waterfall!B18=0,"-",-(Waterfall!E18+Waterfall!F18)/Waterfall!B18)</f>
        <v>9.3334812636951155E-3</v>
      </c>
      <c r="Q12" s="73">
        <f>IF(Waterfall!B19=0,"-",-(Waterfall!E19+Waterfall!F19)/Waterfall!B19)</f>
        <v>0</v>
      </c>
      <c r="R12" s="73">
        <f>IF(Waterfall!B20=0,"-",-(Waterfall!E20+Waterfall!F20)/Waterfall!B20)</f>
        <v>1.784714577172937E-2</v>
      </c>
      <c r="S12" s="73">
        <f>IF(Waterfall!B21=0,"-",-(Waterfall!E21+Waterfall!F21)/Waterfall!B21)</f>
        <v>9.1201660499198051E-3</v>
      </c>
      <c r="T12" s="73">
        <f>IF(Waterfall!B22=0,"-",-(Waterfall!E22+Waterfall!F22)/Waterfall!B22)</f>
        <v>1.1570231634722528E-2</v>
      </c>
      <c r="U12" s="73">
        <f>IF(Waterfall!B23=0,"-",-(Waterfall!E23+Waterfall!F23)/Waterfall!B23)</f>
        <v>3.5691936866989592E-2</v>
      </c>
      <c r="V12" s="73">
        <f>IF(Waterfall!B24=0,"-",-(Waterfall!E24+Waterfall!F24)/Waterfall!B24)</f>
        <v>8.4127213807631352E-4</v>
      </c>
      <c r="W12" s="73">
        <f>IF(Waterfall!B25=0,"-",-(Waterfall!E25+Waterfall!F25)/Waterfall!B25)</f>
        <v>0</v>
      </c>
      <c r="X12" s="73">
        <f>IF(Waterfall!B26=0,"-",-(Waterfall!E26+Waterfall!F26)/Waterfall!B26)</f>
        <v>2.8535016822883053E-3</v>
      </c>
      <c r="Y12" s="73">
        <f>IF(Waterfall!B27=0,"-",-(Waterfall!E27+Waterfall!F27)/Waterfall!B27)</f>
        <v>1.1206828575934396E-2</v>
      </c>
      <c r="Z12" s="73">
        <f>IF(Waterfall!B28=0,"-",-(Waterfall!E28+Waterfall!F28)/Waterfall!B28)</f>
        <v>0</v>
      </c>
      <c r="AA12" s="73">
        <f>IF(Waterfall!B29=0,"-",-(Waterfall!E29+Waterfall!F29)/Waterfall!B29)</f>
        <v>4.1027907956582253E-3</v>
      </c>
      <c r="AB12" s="73">
        <f>IF(Waterfall!B30=0,"-",-(Waterfall!E30+Waterfall!F30)/Waterfall!B30)</f>
        <v>0</v>
      </c>
      <c r="AC12" s="73">
        <f>IF(Waterfall!B31=0,"-",-(Waterfall!E31+Waterfall!F31)/Waterfall!B31)</f>
        <v>7.1900081660273745E-3</v>
      </c>
      <c r="AD12" s="73">
        <f>IF(Waterfall!B32=0,"-",-(Waterfall!E32+Waterfall!F32)/Waterfall!B32)</f>
        <v>1.2497569031534045E-2</v>
      </c>
      <c r="AE12" s="73"/>
      <c r="AF12" s="73"/>
      <c r="AG12" s="73"/>
      <c r="AH12" s="73"/>
      <c r="AI12" s="73"/>
      <c r="AJ12" s="73"/>
      <c r="AK12" s="73"/>
      <c r="AL12" s="73"/>
      <c r="AM12" s="73"/>
    </row>
    <row r="13" spans="1:39" ht="14.25" customHeight="1" x14ac:dyDescent="0.25"/>
    <row r="14" spans="1:39" ht="14.25" customHeight="1" x14ac:dyDescent="0.25">
      <c r="A14" s="22" t="s">
        <v>1034</v>
      </c>
    </row>
    <row r="15" spans="1:39" ht="14.25" customHeight="1" x14ac:dyDescent="0.25">
      <c r="A15" s="22" t="s">
        <v>819</v>
      </c>
      <c r="B15" s="205">
        <f t="shared" ref="B15:AC15" si="1">B4</f>
        <v>45292</v>
      </c>
      <c r="C15" s="205">
        <f t="shared" si="1"/>
        <v>45323</v>
      </c>
      <c r="D15" s="205">
        <f t="shared" si="1"/>
        <v>45352</v>
      </c>
      <c r="E15" s="205">
        <f t="shared" si="1"/>
        <v>45383</v>
      </c>
      <c r="F15" s="205">
        <f t="shared" si="1"/>
        <v>45413</v>
      </c>
      <c r="G15" s="205">
        <f t="shared" si="1"/>
        <v>45444</v>
      </c>
      <c r="H15" s="205">
        <f t="shared" si="1"/>
        <v>45474</v>
      </c>
      <c r="I15" s="205">
        <f t="shared" si="1"/>
        <v>45505</v>
      </c>
      <c r="J15" s="205">
        <f t="shared" si="1"/>
        <v>45536</v>
      </c>
      <c r="K15" s="205">
        <f t="shared" si="1"/>
        <v>45566</v>
      </c>
      <c r="L15" s="205">
        <f t="shared" si="1"/>
        <v>45597</v>
      </c>
      <c r="M15" s="205">
        <f t="shared" si="1"/>
        <v>45627</v>
      </c>
      <c r="N15" s="205">
        <f t="shared" si="1"/>
        <v>45658</v>
      </c>
      <c r="O15" s="205">
        <f t="shared" si="1"/>
        <v>45689</v>
      </c>
      <c r="P15" s="205">
        <f t="shared" si="1"/>
        <v>45717</v>
      </c>
      <c r="Q15" s="205">
        <f t="shared" si="1"/>
        <v>45748</v>
      </c>
      <c r="R15" s="205">
        <f t="shared" si="1"/>
        <v>45778</v>
      </c>
      <c r="S15" s="205">
        <f t="shared" si="1"/>
        <v>45809</v>
      </c>
      <c r="T15" s="205">
        <f t="shared" si="1"/>
        <v>45839</v>
      </c>
      <c r="U15" s="205">
        <f t="shared" si="1"/>
        <v>45870</v>
      </c>
      <c r="V15" s="205">
        <f t="shared" si="1"/>
        <v>45901</v>
      </c>
      <c r="W15" s="205">
        <f t="shared" si="1"/>
        <v>45931</v>
      </c>
      <c r="X15" s="205">
        <f t="shared" si="1"/>
        <v>45962</v>
      </c>
      <c r="Y15" s="205">
        <f t="shared" si="1"/>
        <v>45992</v>
      </c>
      <c r="Z15" s="205">
        <f t="shared" si="1"/>
        <v>46023</v>
      </c>
      <c r="AA15" s="205">
        <f t="shared" si="1"/>
        <v>46054</v>
      </c>
      <c r="AB15" s="205">
        <f t="shared" si="1"/>
        <v>46082</v>
      </c>
      <c r="AC15" s="205">
        <f t="shared" si="1"/>
        <v>46113</v>
      </c>
      <c r="AD15" s="205">
        <v>46143</v>
      </c>
      <c r="AE15" s="205"/>
      <c r="AF15" s="205"/>
      <c r="AG15" s="205"/>
      <c r="AH15" s="205"/>
      <c r="AI15" s="205"/>
      <c r="AJ15" s="205"/>
      <c r="AK15" s="205"/>
      <c r="AL15" s="205"/>
      <c r="AM15" s="205"/>
    </row>
    <row r="16" spans="1:39" ht="14.25" customHeight="1" x14ac:dyDescent="0.25">
      <c r="A16" s="22" t="s">
        <v>1035</v>
      </c>
      <c r="B16" s="44">
        <v>0</v>
      </c>
      <c r="C16" s="44">
        <f>B16+COUNTIFS(Engine[event_type],"created",Engine[month],B15)-COUNTIFS(Engine[event_type],"cancelled",Engine[month],B15)</f>
        <v>2</v>
      </c>
      <c r="D16" s="44">
        <f>C16+COUNTIFS(Engine[event_type],"created",Engine[month],C15)-COUNTIFS(Engine[event_type],"cancelled",Engine[month],C15)</f>
        <v>5</v>
      </c>
      <c r="E16" s="44">
        <f>D16+COUNTIFS(Engine[event_type],"created",Engine[month],D15)-COUNTIFS(Engine[event_type],"cancelled",Engine[month],D15)</f>
        <v>7</v>
      </c>
      <c r="F16" s="44">
        <f>E16+COUNTIFS(Engine[event_type],"created",Engine[month],E15)-COUNTIFS(Engine[event_type],"cancelled",Engine[month],E15)</f>
        <v>11</v>
      </c>
      <c r="G16" s="44">
        <f>F16+COUNTIFS(Engine[event_type],"created",Engine[month],F15)-COUNTIFS(Engine[event_type],"cancelled",Engine[month],F15)</f>
        <v>13</v>
      </c>
      <c r="H16" s="44">
        <f>G16+COUNTIFS(Engine[event_type],"created",Engine[month],G15)-COUNTIFS(Engine[event_type],"cancelled",Engine[month],G15)</f>
        <v>16</v>
      </c>
      <c r="I16" s="44">
        <f>H16+COUNTIFS(Engine[event_type],"created",Engine[month],H15)-COUNTIFS(Engine[event_type],"cancelled",Engine[month],H15)</f>
        <v>20</v>
      </c>
      <c r="J16" s="44">
        <f>I16+COUNTIFS(Engine[event_type],"created",Engine[month],I15)-COUNTIFS(Engine[event_type],"cancelled",Engine[month],I15)</f>
        <v>21</v>
      </c>
      <c r="K16" s="44">
        <f>J16+COUNTIFS(Engine[event_type],"created",Engine[month],J15)-COUNTIFS(Engine[event_type],"cancelled",Engine[month],J15)</f>
        <v>26</v>
      </c>
      <c r="L16" s="44">
        <f>K16+COUNTIFS(Engine[event_type],"created",Engine[month],K15)-COUNTIFS(Engine[event_type],"cancelled",Engine[month],K15)</f>
        <v>29</v>
      </c>
      <c r="M16" s="44">
        <f>L16+COUNTIFS(Engine[event_type],"created",Engine[month],L15)-COUNTIFS(Engine[event_type],"cancelled",Engine[month],L15)</f>
        <v>31</v>
      </c>
      <c r="N16" s="44">
        <f>M16+COUNTIFS(Engine[event_type],"created",Engine[month],M15)-COUNTIFS(Engine[event_type],"cancelled",Engine[month],M15)</f>
        <v>34</v>
      </c>
      <c r="O16" s="44">
        <f>N16+COUNTIFS(Engine[event_type],"created",Engine[month],N15)-COUNTIFS(Engine[event_type],"cancelled",Engine[month],N15)</f>
        <v>37</v>
      </c>
      <c r="P16" s="44">
        <f>O16+COUNTIFS(Engine[event_type],"created",Engine[month],O15)-COUNTIFS(Engine[event_type],"cancelled",Engine[month],O15)</f>
        <v>41</v>
      </c>
      <c r="Q16" s="44">
        <f>P16+COUNTIFS(Engine[event_type],"created",Engine[month],P15)-COUNTIFS(Engine[event_type],"cancelled",Engine[month],P15)</f>
        <v>46</v>
      </c>
      <c r="R16" s="44">
        <f>Q16+COUNTIFS(Engine[event_type],"created",Engine[month],Q15)-COUNTIFS(Engine[event_type],"cancelled",Engine[month],Q15)</f>
        <v>49</v>
      </c>
      <c r="S16" s="44">
        <f>R16+COUNTIFS(Engine[event_type],"created",Engine[month],R15)-COUNTIFS(Engine[event_type],"cancelled",Engine[month],R15)</f>
        <v>52</v>
      </c>
      <c r="T16" s="44">
        <f>S16+COUNTIFS(Engine[event_type],"created",Engine[month],S15)-COUNTIFS(Engine[event_type],"cancelled",Engine[month],S15)</f>
        <v>53</v>
      </c>
      <c r="U16" s="44">
        <f>T16+COUNTIFS(Engine[event_type],"created",Engine[month],T15)-COUNTIFS(Engine[event_type],"cancelled",Engine[month],T15)</f>
        <v>52</v>
      </c>
      <c r="V16" s="44">
        <f>U16+COUNTIFS(Engine[event_type],"created",Engine[month],U15)-COUNTIFS(Engine[event_type],"cancelled",Engine[month],U15)</f>
        <v>51</v>
      </c>
      <c r="W16" s="44">
        <f>V16+COUNTIFS(Engine[event_type],"created",Engine[month],V15)-COUNTIFS(Engine[event_type],"cancelled",Engine[month],V15)</f>
        <v>51</v>
      </c>
      <c r="X16" s="44">
        <f>W16+COUNTIFS(Engine[event_type],"created",Engine[month],W15)-COUNTIFS(Engine[event_type],"cancelled",Engine[month],W15)</f>
        <v>52</v>
      </c>
      <c r="Y16" s="44">
        <f>X16+COUNTIFS(Engine[event_type],"created",Engine[month],X15)-COUNTIFS(Engine[event_type],"cancelled",Engine[month],X15)</f>
        <v>52</v>
      </c>
      <c r="Z16" s="44">
        <f>Y16+COUNTIFS(Engine[event_type],"created",Engine[month],Y15)-COUNTIFS(Engine[event_type],"cancelled",Engine[month],Y15)</f>
        <v>51</v>
      </c>
      <c r="AA16" s="44">
        <f>Z16+COUNTIFS(Engine[event_type],"created",Engine[month],Z15)-COUNTIFS(Engine[event_type],"cancelled",Engine[month],Z15)</f>
        <v>52</v>
      </c>
      <c r="AB16" s="44">
        <f>AA16+COUNTIFS(Engine[event_type],"created",Engine[month],AA15)-COUNTIFS(Engine[event_type],"cancelled",Engine[month],AA15)</f>
        <v>53</v>
      </c>
      <c r="AC16" s="44">
        <f>AB16+COUNTIFS(Engine[event_type],"created",Engine[month],AB15)-COUNTIFS(Engine[event_type],"cancelled",Engine[month],AB15)</f>
        <v>54</v>
      </c>
      <c r="AD16" s="44">
        <f>AC16+COUNTIFS(Engine[event_type],"created",Engine[month],AC15)-COUNTIFS(Engine[event_type],"cancelled",Engine[month],AC15)</f>
        <v>55</v>
      </c>
      <c r="AE16" s="44"/>
      <c r="AF16" s="44"/>
      <c r="AG16" s="44"/>
      <c r="AH16" s="44"/>
      <c r="AI16" s="44"/>
      <c r="AJ16" s="44"/>
      <c r="AK16" s="44"/>
      <c r="AL16" s="44"/>
      <c r="AM16" s="44"/>
    </row>
    <row r="17" spans="1:39" ht="14.25" customHeight="1" x14ac:dyDescent="0.25">
      <c r="A17" s="22" t="s">
        <v>1036</v>
      </c>
      <c r="B17" s="44">
        <f>COUNTIFS(Engine[event_type],"cancelled",Engine[month],B15)</f>
        <v>0</v>
      </c>
      <c r="C17" s="44">
        <f>COUNTIFS(Engine[event_type],"cancelled",Engine[month],C15)</f>
        <v>0</v>
      </c>
      <c r="D17" s="44">
        <f>COUNTIFS(Engine[event_type],"cancelled",Engine[month],D15)</f>
        <v>0</v>
      </c>
      <c r="E17" s="44">
        <f>COUNTIFS(Engine[event_type],"cancelled",Engine[month],E15)</f>
        <v>0</v>
      </c>
      <c r="F17" s="44">
        <f>COUNTIFS(Engine[event_type],"cancelled",Engine[month],F15)</f>
        <v>0</v>
      </c>
      <c r="G17" s="44">
        <f>COUNTIFS(Engine[event_type],"cancelled",Engine[month],G15)</f>
        <v>0</v>
      </c>
      <c r="H17" s="44">
        <f>COUNTIFS(Engine[event_type],"cancelled",Engine[month],H15)</f>
        <v>0</v>
      </c>
      <c r="I17" s="44">
        <f>COUNTIFS(Engine[event_type],"cancelled",Engine[month],I15)</f>
        <v>1</v>
      </c>
      <c r="J17" s="44">
        <f>COUNTIFS(Engine[event_type],"cancelled",Engine[month],J15)</f>
        <v>0</v>
      </c>
      <c r="K17" s="44">
        <f>COUNTIFS(Engine[event_type],"cancelled",Engine[month],K15)</f>
        <v>0</v>
      </c>
      <c r="L17" s="44">
        <f>COUNTIFS(Engine[event_type],"cancelled",Engine[month],L15)</f>
        <v>1</v>
      </c>
      <c r="M17" s="44">
        <f>COUNTIFS(Engine[event_type],"cancelled",Engine[month],M15)</f>
        <v>1</v>
      </c>
      <c r="N17" s="44">
        <f>COUNTIFS(Engine[event_type],"cancelled",Engine[month],N15)</f>
        <v>1</v>
      </c>
      <c r="O17" s="44">
        <f>COUNTIFS(Engine[event_type],"cancelled",Engine[month],O15)</f>
        <v>0</v>
      </c>
      <c r="P17" s="44">
        <f>COUNTIFS(Engine[event_type],"cancelled",Engine[month],P15)</f>
        <v>0</v>
      </c>
      <c r="Q17" s="44">
        <f>COUNTIFS(Engine[event_type],"cancelled",Engine[month],Q15)</f>
        <v>0</v>
      </c>
      <c r="R17" s="44">
        <f>COUNTIFS(Engine[event_type],"cancelled",Engine[month],R15)</f>
        <v>1</v>
      </c>
      <c r="S17" s="44">
        <f>COUNTIFS(Engine[event_type],"cancelled",Engine[month],S15)</f>
        <v>2</v>
      </c>
      <c r="T17" s="44">
        <f>COUNTIFS(Engine[event_type],"cancelled",Engine[month],T15)</f>
        <v>1</v>
      </c>
      <c r="U17" s="44">
        <f>COUNTIFS(Engine[event_type],"cancelled",Engine[month],U15)</f>
        <v>1</v>
      </c>
      <c r="V17" s="44">
        <f>COUNTIFS(Engine[event_type],"cancelled",Engine[month],V15)</f>
        <v>0</v>
      </c>
      <c r="W17" s="44">
        <f>COUNTIFS(Engine[event_type],"cancelled",Engine[month],W15)</f>
        <v>0</v>
      </c>
      <c r="X17" s="44">
        <f>COUNTIFS(Engine[event_type],"cancelled",Engine[month],X15)</f>
        <v>0</v>
      </c>
      <c r="Y17" s="44">
        <f>COUNTIFS(Engine[event_type],"cancelled",Engine[month],Y15)</f>
        <v>1</v>
      </c>
      <c r="Z17" s="44">
        <f>COUNTIFS(Engine[event_type],"cancelled",Engine[month],Z15)</f>
        <v>0</v>
      </c>
      <c r="AA17" s="44">
        <f>COUNTIFS(Engine[event_type],"cancelled",Engine[month],AA15)</f>
        <v>1</v>
      </c>
      <c r="AB17" s="44">
        <f>COUNTIFS(Engine[event_type],"cancelled",Engine[month],AB15)</f>
        <v>0</v>
      </c>
      <c r="AC17" s="44">
        <f>COUNTIFS(Engine[event_type],"cancelled",Engine[month],AC15)</f>
        <v>1</v>
      </c>
      <c r="AD17" s="44">
        <f>COUNTIFS(Engine[event_type],"cancelled",Engine[month],AD15)</f>
        <v>1</v>
      </c>
      <c r="AE17" s="44"/>
      <c r="AF17" s="44"/>
      <c r="AG17" s="44"/>
      <c r="AH17" s="44"/>
      <c r="AI17" s="44"/>
      <c r="AJ17" s="44"/>
      <c r="AK17" s="44"/>
      <c r="AL17" s="44"/>
      <c r="AM17" s="44"/>
    </row>
    <row r="18" spans="1:39" ht="14.25" customHeight="1" x14ac:dyDescent="0.25">
      <c r="A18" s="22" t="s">
        <v>1037</v>
      </c>
      <c r="B18" s="73" t="str">
        <f t="shared" ref="B18:AC18" si="2">IF(B16=0,"-",B17/B16)</f>
        <v>-</v>
      </c>
      <c r="C18" s="73">
        <f t="shared" si="2"/>
        <v>0</v>
      </c>
      <c r="D18" s="73">
        <f t="shared" si="2"/>
        <v>0</v>
      </c>
      <c r="E18" s="73">
        <f t="shared" si="2"/>
        <v>0</v>
      </c>
      <c r="F18" s="73">
        <f t="shared" si="2"/>
        <v>0</v>
      </c>
      <c r="G18" s="73">
        <f t="shared" si="2"/>
        <v>0</v>
      </c>
      <c r="H18" s="73">
        <f t="shared" si="2"/>
        <v>0</v>
      </c>
      <c r="I18" s="73">
        <f t="shared" si="2"/>
        <v>0.05</v>
      </c>
      <c r="J18" s="73">
        <f t="shared" si="2"/>
        <v>0</v>
      </c>
      <c r="K18" s="73">
        <f t="shared" si="2"/>
        <v>0</v>
      </c>
      <c r="L18" s="73">
        <f t="shared" si="2"/>
        <v>3.4482758620689655E-2</v>
      </c>
      <c r="M18" s="73">
        <f t="shared" si="2"/>
        <v>3.2258064516129031E-2</v>
      </c>
      <c r="N18" s="73">
        <f t="shared" si="2"/>
        <v>2.9411764705882353E-2</v>
      </c>
      <c r="O18" s="73">
        <f t="shared" si="2"/>
        <v>0</v>
      </c>
      <c r="P18" s="73">
        <f t="shared" si="2"/>
        <v>0</v>
      </c>
      <c r="Q18" s="73">
        <f t="shared" si="2"/>
        <v>0</v>
      </c>
      <c r="R18" s="73">
        <f t="shared" si="2"/>
        <v>2.0408163265306121E-2</v>
      </c>
      <c r="S18" s="73">
        <f t="shared" si="2"/>
        <v>3.8461538461538464E-2</v>
      </c>
      <c r="T18" s="73">
        <f t="shared" si="2"/>
        <v>1.8867924528301886E-2</v>
      </c>
      <c r="U18" s="73">
        <f t="shared" si="2"/>
        <v>1.9230769230769232E-2</v>
      </c>
      <c r="V18" s="73">
        <f t="shared" si="2"/>
        <v>0</v>
      </c>
      <c r="W18" s="73">
        <f t="shared" si="2"/>
        <v>0</v>
      </c>
      <c r="X18" s="73">
        <f t="shared" si="2"/>
        <v>0</v>
      </c>
      <c r="Y18" s="73">
        <f t="shared" si="2"/>
        <v>1.9230769230769232E-2</v>
      </c>
      <c r="Z18" s="73">
        <f t="shared" si="2"/>
        <v>0</v>
      </c>
      <c r="AA18" s="73">
        <f t="shared" si="2"/>
        <v>1.9230769230769232E-2</v>
      </c>
      <c r="AB18" s="73">
        <f t="shared" si="2"/>
        <v>0</v>
      </c>
      <c r="AC18" s="73">
        <f t="shared" si="2"/>
        <v>1.8518518518518517E-2</v>
      </c>
      <c r="AD18" s="73">
        <f>IF(AD16=0,"-",AD17/AD16)</f>
        <v>1.8181818181818181E-2</v>
      </c>
      <c r="AE18" s="73"/>
      <c r="AF18" s="73"/>
      <c r="AG18" s="73"/>
      <c r="AH18" s="73"/>
      <c r="AI18" s="73"/>
      <c r="AJ18" s="73"/>
      <c r="AK18" s="73"/>
      <c r="AL18" s="73"/>
      <c r="AM18" s="73"/>
    </row>
    <row r="19" spans="1:39" ht="14.25" customHeight="1" x14ac:dyDescent="0.25">
      <c r="A19" s="206" t="s">
        <v>1038</v>
      </c>
      <c r="B19" s="207">
        <f>0</f>
        <v>0</v>
      </c>
      <c r="C19" s="208">
        <f>COUNTIFS(Engine[is_new_logo],1,Engine[month],"&lt;="&amp;B15)+COUNTIFS(Engine[is_logo_reactivation],1,Engine[month],"&lt;="&amp;B15)-COUNTIFS(Engine[is_logo_churn],1,Engine[month],"&lt;="&amp;B15)</f>
        <v>2</v>
      </c>
      <c r="D19" s="208">
        <f>COUNTIFS(Engine[is_new_logo],1,Engine[month],"&lt;="&amp;C15)+COUNTIFS(Engine[is_logo_reactivation],1,Engine[month],"&lt;="&amp;C15)-COUNTIFS(Engine[is_logo_churn],1,Engine[month],"&lt;="&amp;C15)</f>
        <v>4</v>
      </c>
      <c r="E19" s="208">
        <f>COUNTIFS(Engine[is_new_logo],1,Engine[month],"&lt;="&amp;D15)+COUNTIFS(Engine[is_logo_reactivation],1,Engine[month],"&lt;="&amp;D15)-COUNTIFS(Engine[is_logo_churn],1,Engine[month],"&lt;="&amp;D15)</f>
        <v>6</v>
      </c>
      <c r="F19" s="208">
        <f>COUNTIFS(Engine[is_new_logo],1,Engine[month],"&lt;="&amp;E15)+COUNTIFS(Engine[is_logo_reactivation],1,Engine[month],"&lt;="&amp;E15)-COUNTIFS(Engine[is_logo_churn],1,Engine[month],"&lt;="&amp;E15)</f>
        <v>9</v>
      </c>
      <c r="G19" s="208">
        <f>COUNTIFS(Engine[is_new_logo],1,Engine[month],"&lt;="&amp;F15)+COUNTIFS(Engine[is_logo_reactivation],1,Engine[month],"&lt;="&amp;F15)-COUNTIFS(Engine[is_logo_churn],1,Engine[month],"&lt;="&amp;F15)</f>
        <v>11</v>
      </c>
      <c r="H19" s="208">
        <f>COUNTIFS(Engine[is_new_logo],1,Engine[month],"&lt;="&amp;G15)+COUNTIFS(Engine[is_logo_reactivation],1,Engine[month],"&lt;="&amp;G15)-COUNTIFS(Engine[is_logo_churn],1,Engine[month],"&lt;="&amp;G15)</f>
        <v>13</v>
      </c>
      <c r="I19" s="208">
        <f>COUNTIFS(Engine[is_new_logo],1,Engine[month],"&lt;="&amp;H15)+COUNTIFS(Engine[is_logo_reactivation],1,Engine[month],"&lt;="&amp;H15)-COUNTIFS(Engine[is_logo_churn],1,Engine[month],"&lt;="&amp;H15)</f>
        <v>15</v>
      </c>
      <c r="J19" s="208">
        <f>COUNTIFS(Engine[is_new_logo],1,Engine[month],"&lt;="&amp;I15)+COUNTIFS(Engine[is_logo_reactivation],1,Engine[month],"&lt;="&amp;I15)-COUNTIFS(Engine[is_logo_churn],1,Engine[month],"&lt;="&amp;I15)</f>
        <v>17</v>
      </c>
      <c r="K19" s="208">
        <f>COUNTIFS(Engine[is_new_logo],1,Engine[month],"&lt;="&amp;J15)+COUNTIFS(Engine[is_logo_reactivation],1,Engine[month],"&lt;="&amp;J15)-COUNTIFS(Engine[is_logo_churn],1,Engine[month],"&lt;="&amp;J15)</f>
        <v>20</v>
      </c>
      <c r="L19" s="208">
        <f>COUNTIFS(Engine[is_new_logo],1,Engine[month],"&lt;="&amp;K15)+COUNTIFS(Engine[is_logo_reactivation],1,Engine[month],"&lt;="&amp;K15)-COUNTIFS(Engine[is_logo_churn],1,Engine[month],"&lt;="&amp;K15)</f>
        <v>22</v>
      </c>
      <c r="M19" s="208">
        <f>COUNTIFS(Engine[is_new_logo],1,Engine[month],"&lt;="&amp;L15)+COUNTIFS(Engine[is_logo_reactivation],1,Engine[month],"&lt;="&amp;L15)-COUNTIFS(Engine[is_logo_churn],1,Engine[month],"&lt;="&amp;L15)</f>
        <v>23</v>
      </c>
      <c r="N19" s="208">
        <f>COUNTIFS(Engine[is_new_logo],1,Engine[month],"&lt;="&amp;M15)+COUNTIFS(Engine[is_logo_reactivation],1,Engine[month],"&lt;="&amp;M15)-COUNTIFS(Engine[is_logo_churn],1,Engine[month],"&lt;="&amp;M15)</f>
        <v>25</v>
      </c>
      <c r="O19" s="208">
        <f>COUNTIFS(Engine[is_new_logo],1,Engine[month],"&lt;="&amp;N15)+COUNTIFS(Engine[is_logo_reactivation],1,Engine[month],"&lt;="&amp;N15)-COUNTIFS(Engine[is_logo_churn],1,Engine[month],"&lt;="&amp;N15)</f>
        <v>26</v>
      </c>
      <c r="P19" s="208">
        <f>COUNTIFS(Engine[is_new_logo],1,Engine[month],"&lt;="&amp;O15)+COUNTIFS(Engine[is_logo_reactivation],1,Engine[month],"&lt;="&amp;O15)-COUNTIFS(Engine[is_logo_churn],1,Engine[month],"&lt;="&amp;O15)</f>
        <v>28</v>
      </c>
      <c r="Q19" s="208">
        <f>COUNTIFS(Engine[is_new_logo],1,Engine[month],"&lt;="&amp;P15)+COUNTIFS(Engine[is_logo_reactivation],1,Engine[month],"&lt;="&amp;P15)-COUNTIFS(Engine[is_logo_churn],1,Engine[month],"&lt;="&amp;P15)</f>
        <v>31</v>
      </c>
      <c r="R19" s="208">
        <f>COUNTIFS(Engine[is_new_logo],1,Engine[month],"&lt;="&amp;Q15)+COUNTIFS(Engine[is_logo_reactivation],1,Engine[month],"&lt;="&amp;Q15)-COUNTIFS(Engine[is_logo_churn],1,Engine[month],"&lt;="&amp;Q15)</f>
        <v>33</v>
      </c>
      <c r="S19" s="208">
        <f>COUNTIFS(Engine[is_new_logo],1,Engine[month],"&lt;="&amp;R15)+COUNTIFS(Engine[is_logo_reactivation],1,Engine[month],"&lt;="&amp;R15)-COUNTIFS(Engine[is_logo_churn],1,Engine[month],"&lt;="&amp;R15)</f>
        <v>36</v>
      </c>
      <c r="T19" s="208">
        <f>COUNTIFS(Engine[is_new_logo],1,Engine[month],"&lt;="&amp;S15)+COUNTIFS(Engine[is_logo_reactivation],1,Engine[month],"&lt;="&amp;S15)-COUNTIFS(Engine[is_logo_churn],1,Engine[month],"&lt;="&amp;S15)</f>
        <v>37</v>
      </c>
      <c r="U19" s="208">
        <f>COUNTIFS(Engine[is_new_logo],1,Engine[month],"&lt;="&amp;T15)+COUNTIFS(Engine[is_logo_reactivation],1,Engine[month],"&lt;="&amp;T15)-COUNTIFS(Engine[is_logo_churn],1,Engine[month],"&lt;="&amp;T15)</f>
        <v>37</v>
      </c>
      <c r="V19" s="208">
        <f>COUNTIFS(Engine[is_new_logo],1,Engine[month],"&lt;="&amp;U15)+COUNTIFS(Engine[is_logo_reactivation],1,Engine[month],"&lt;="&amp;U15)-COUNTIFS(Engine[is_logo_churn],1,Engine[month],"&lt;="&amp;U15)</f>
        <v>37</v>
      </c>
      <c r="W19" s="208">
        <f>COUNTIFS(Engine[is_new_logo],1,Engine[month],"&lt;="&amp;V15)+COUNTIFS(Engine[is_logo_reactivation],1,Engine[month],"&lt;="&amp;V15)-COUNTIFS(Engine[is_logo_churn],1,Engine[month],"&lt;="&amp;V15)</f>
        <v>37</v>
      </c>
      <c r="X19" s="208">
        <f>COUNTIFS(Engine[is_new_logo],1,Engine[month],"&lt;="&amp;W15)+COUNTIFS(Engine[is_logo_reactivation],1,Engine[month],"&lt;="&amp;W15)-COUNTIFS(Engine[is_logo_churn],1,Engine[month],"&lt;="&amp;W15)</f>
        <v>38</v>
      </c>
      <c r="Y19" s="208">
        <f>COUNTIFS(Engine[is_new_logo],1,Engine[month],"&lt;="&amp;X15)+COUNTIFS(Engine[is_logo_reactivation],1,Engine[month],"&lt;="&amp;X15)-COUNTIFS(Engine[is_logo_churn],1,Engine[month],"&lt;="&amp;X15)</f>
        <v>38</v>
      </c>
      <c r="Z19" s="208">
        <f>COUNTIFS(Engine[is_new_logo],1,Engine[month],"&lt;="&amp;Y15)+COUNTIFS(Engine[is_logo_reactivation],1,Engine[month],"&lt;="&amp;Y15)-COUNTIFS(Engine[is_logo_churn],1,Engine[month],"&lt;="&amp;Y15)</f>
        <v>38</v>
      </c>
      <c r="AA19" s="208">
        <f>COUNTIFS(Engine[is_new_logo],1,Engine[month],"&lt;="&amp;Z15)+COUNTIFS(Engine[is_logo_reactivation],1,Engine[month],"&lt;="&amp;Z15)-COUNTIFS(Engine[is_logo_churn],1,Engine[month],"&lt;="&amp;Z15)</f>
        <v>39</v>
      </c>
      <c r="AB19" s="208">
        <f>COUNTIFS(Engine[is_new_logo],1,Engine[month],"&lt;="&amp;AA15)+COUNTIFS(Engine[is_logo_reactivation],1,Engine[month],"&lt;="&amp;AA15)-COUNTIFS(Engine[is_logo_churn],1,Engine[month],"&lt;="&amp;AA15)</f>
        <v>41</v>
      </c>
      <c r="AC19" s="208">
        <f>COUNTIFS(Engine[is_new_logo],1,Engine[month],"&lt;="&amp;AB15)+COUNTIFS(Engine[is_logo_reactivation],1,Engine[month],"&lt;="&amp;AB15)-COUNTIFS(Engine[is_logo_churn],1,Engine[month],"&lt;="&amp;AB15)</f>
        <v>42</v>
      </c>
      <c r="AD19" s="208">
        <f>COUNTIFS(Engine[is_new_logo],1,Engine[month],"&lt;="&amp;AC15)+COUNTIFS(Engine[is_logo_reactivation],1,Engine[month],"&lt;="&amp;AC15)-COUNTIFS(Engine[is_logo_churn],1,Engine[month],"&lt;="&amp;AC15)</f>
        <v>44</v>
      </c>
      <c r="AE19" s="208"/>
      <c r="AF19" s="208"/>
      <c r="AG19" s="208"/>
      <c r="AH19" s="208"/>
      <c r="AI19" s="208"/>
      <c r="AJ19" s="208"/>
      <c r="AK19" s="208"/>
      <c r="AL19" s="208"/>
      <c r="AM19" s="208"/>
    </row>
    <row r="20" spans="1:39" ht="14.25" customHeight="1" x14ac:dyDescent="0.25">
      <c r="A20" s="206" t="s">
        <v>1039</v>
      </c>
      <c r="B20" s="209">
        <f>COUNTIFS(Engine!$U$2:$U$1002,1,Engine!$F$2:$F$1002,B15)</f>
        <v>0</v>
      </c>
      <c r="C20" s="208">
        <f>COUNTIFS(Engine[is_logo_churn],1,Engine[month],C15)</f>
        <v>0</v>
      </c>
      <c r="D20" s="208">
        <f>COUNTIFS(Engine[is_logo_churn],1,Engine[month],D15)</f>
        <v>0</v>
      </c>
      <c r="E20" s="208">
        <f>COUNTIFS(Engine[is_logo_churn],1,Engine[month],E15)</f>
        <v>0</v>
      </c>
      <c r="F20" s="208">
        <f>COUNTIFS(Engine[is_logo_churn],1,Engine[month],F15)</f>
        <v>0</v>
      </c>
      <c r="G20" s="208">
        <f>COUNTIFS(Engine[is_logo_churn],1,Engine[month],G15)</f>
        <v>0</v>
      </c>
      <c r="H20" s="208">
        <f>COUNTIFS(Engine[is_logo_churn],1,Engine[month],H15)</f>
        <v>0</v>
      </c>
      <c r="I20" s="208">
        <f>COUNTIFS(Engine[is_logo_churn],1,Engine[month],I15)</f>
        <v>0</v>
      </c>
      <c r="J20" s="208">
        <f>COUNTIFS(Engine[is_logo_churn],1,Engine[month],J15)</f>
        <v>0</v>
      </c>
      <c r="K20" s="208">
        <f>COUNTIFS(Engine[is_logo_churn],1,Engine[month],K15)</f>
        <v>0</v>
      </c>
      <c r="L20" s="208">
        <f>COUNTIFS(Engine[is_logo_churn],1,Engine[month],L15)</f>
        <v>1</v>
      </c>
      <c r="M20" s="208">
        <f>COUNTIFS(Engine[is_logo_churn],1,Engine[month],M15)</f>
        <v>0</v>
      </c>
      <c r="N20" s="208">
        <f>COUNTIFS(Engine[is_logo_churn],1,Engine[month],N15)</f>
        <v>1</v>
      </c>
      <c r="O20" s="208">
        <f>COUNTIFS(Engine[is_logo_churn],1,Engine[month],O15)</f>
        <v>0</v>
      </c>
      <c r="P20" s="208">
        <f>COUNTIFS(Engine[is_logo_churn],1,Engine[month],P15)</f>
        <v>0</v>
      </c>
      <c r="Q20" s="208">
        <f>COUNTIFS(Engine[is_logo_churn],1,Engine[month],Q15)</f>
        <v>0</v>
      </c>
      <c r="R20" s="208">
        <f>COUNTIFS(Engine[is_logo_churn],1,Engine[month],R15)</f>
        <v>0</v>
      </c>
      <c r="S20" s="208">
        <f>COUNTIFS(Engine[is_logo_churn],1,Engine[month],S15)</f>
        <v>1</v>
      </c>
      <c r="T20" s="208">
        <f>COUNTIFS(Engine[is_logo_churn],1,Engine[month],T15)</f>
        <v>0</v>
      </c>
      <c r="U20" s="208">
        <f>COUNTIFS(Engine[is_logo_churn],1,Engine[month],U15)</f>
        <v>0</v>
      </c>
      <c r="V20" s="208">
        <f>COUNTIFS(Engine[is_logo_churn],1,Engine[month],V15)</f>
        <v>0</v>
      </c>
      <c r="W20" s="208">
        <f>COUNTIFS(Engine[is_logo_churn],1,Engine[month],W15)</f>
        <v>0</v>
      </c>
      <c r="X20" s="208">
        <f>COUNTIFS(Engine[is_logo_churn],1,Engine[month],X15)</f>
        <v>0</v>
      </c>
      <c r="Y20" s="208">
        <f>COUNTIFS(Engine[is_logo_churn],1,Engine[month],Y15)</f>
        <v>0</v>
      </c>
      <c r="Z20" s="208">
        <f>COUNTIFS(Engine[is_logo_churn],1,Engine[month],Z15)</f>
        <v>0</v>
      </c>
      <c r="AA20" s="208">
        <f>COUNTIFS(Engine[is_logo_churn],1,Engine[month],AA15)</f>
        <v>0</v>
      </c>
      <c r="AB20" s="208">
        <f>COUNTIFS(Engine[is_logo_churn],1,Engine[month],AB15)</f>
        <v>0</v>
      </c>
      <c r="AC20" s="208">
        <f>COUNTIFS(Engine[is_logo_churn],1,Engine[month],AC15)</f>
        <v>0</v>
      </c>
      <c r="AD20" s="208">
        <f>COUNTIFS(Engine[is_logo_churn],1,Engine[month],AD15)</f>
        <v>1</v>
      </c>
      <c r="AE20" s="208"/>
      <c r="AF20" s="208"/>
      <c r="AG20" s="208"/>
      <c r="AH20" s="208"/>
      <c r="AI20" s="208"/>
      <c r="AJ20" s="208"/>
      <c r="AK20" s="208"/>
      <c r="AL20" s="208"/>
      <c r="AM20" s="208"/>
    </row>
    <row r="21" spans="1:39" ht="14.25" customHeight="1" x14ac:dyDescent="0.25">
      <c r="A21" s="206" t="s">
        <v>1040</v>
      </c>
      <c r="B21" s="210" t="str">
        <f t="shared" ref="B21:AC21" si="3">IF(B19=0,"-",B20/B19)</f>
        <v>-</v>
      </c>
      <c r="C21" s="210">
        <f t="shared" si="3"/>
        <v>0</v>
      </c>
      <c r="D21" s="210">
        <f t="shared" si="3"/>
        <v>0</v>
      </c>
      <c r="E21" s="210">
        <f t="shared" si="3"/>
        <v>0</v>
      </c>
      <c r="F21" s="210">
        <f t="shared" si="3"/>
        <v>0</v>
      </c>
      <c r="G21" s="210">
        <f t="shared" si="3"/>
        <v>0</v>
      </c>
      <c r="H21" s="210">
        <f t="shared" si="3"/>
        <v>0</v>
      </c>
      <c r="I21" s="210">
        <f t="shared" si="3"/>
        <v>0</v>
      </c>
      <c r="J21" s="210">
        <f t="shared" si="3"/>
        <v>0</v>
      </c>
      <c r="K21" s="210">
        <f t="shared" si="3"/>
        <v>0</v>
      </c>
      <c r="L21" s="210">
        <f t="shared" si="3"/>
        <v>4.5454545454545456E-2</v>
      </c>
      <c r="M21" s="210">
        <f t="shared" si="3"/>
        <v>0</v>
      </c>
      <c r="N21" s="210">
        <f t="shared" si="3"/>
        <v>0.04</v>
      </c>
      <c r="O21" s="210">
        <f t="shared" si="3"/>
        <v>0</v>
      </c>
      <c r="P21" s="210">
        <f t="shared" si="3"/>
        <v>0</v>
      </c>
      <c r="Q21" s="210">
        <f t="shared" si="3"/>
        <v>0</v>
      </c>
      <c r="R21" s="210">
        <f t="shared" si="3"/>
        <v>0</v>
      </c>
      <c r="S21" s="210">
        <f t="shared" si="3"/>
        <v>2.7777777777777776E-2</v>
      </c>
      <c r="T21" s="210">
        <f t="shared" si="3"/>
        <v>0</v>
      </c>
      <c r="U21" s="210">
        <f t="shared" si="3"/>
        <v>0</v>
      </c>
      <c r="V21" s="210">
        <f t="shared" si="3"/>
        <v>0</v>
      </c>
      <c r="W21" s="210">
        <f t="shared" si="3"/>
        <v>0</v>
      </c>
      <c r="X21" s="210">
        <f t="shared" si="3"/>
        <v>0</v>
      </c>
      <c r="Y21" s="210">
        <f t="shared" si="3"/>
        <v>0</v>
      </c>
      <c r="Z21" s="210">
        <f t="shared" si="3"/>
        <v>0</v>
      </c>
      <c r="AA21" s="210">
        <f t="shared" si="3"/>
        <v>0</v>
      </c>
      <c r="AB21" s="210">
        <f t="shared" si="3"/>
        <v>0</v>
      </c>
      <c r="AC21" s="211">
        <f t="shared" si="3"/>
        <v>0</v>
      </c>
      <c r="AD21" s="211">
        <f>IF(AD19=0,"-",AD20/AD19)</f>
        <v>2.2727272727272728E-2</v>
      </c>
      <c r="AE21" s="211"/>
      <c r="AF21" s="211"/>
      <c r="AG21" s="211"/>
      <c r="AH21" s="211"/>
      <c r="AI21" s="211"/>
      <c r="AJ21" s="211"/>
      <c r="AK21" s="211"/>
      <c r="AL21" s="211"/>
      <c r="AM21" s="211"/>
    </row>
    <row r="22" spans="1:39" ht="14.25" customHeight="1" x14ac:dyDescent="0.25"/>
    <row r="23" spans="1:39" ht="14.25" customHeight="1" x14ac:dyDescent="0.25">
      <c r="A23" s="22" t="s">
        <v>1041</v>
      </c>
    </row>
    <row r="24" spans="1:39" ht="14.25" customHeight="1" x14ac:dyDescent="0.25">
      <c r="A24" s="22" t="s">
        <v>819</v>
      </c>
      <c r="B24" s="205">
        <f t="shared" ref="B24:AC24" si="4">B4</f>
        <v>45292</v>
      </c>
      <c r="C24" s="205">
        <f t="shared" si="4"/>
        <v>45323</v>
      </c>
      <c r="D24" s="205">
        <f t="shared" si="4"/>
        <v>45352</v>
      </c>
      <c r="E24" s="205">
        <f t="shared" si="4"/>
        <v>45383</v>
      </c>
      <c r="F24" s="205">
        <f t="shared" si="4"/>
        <v>45413</v>
      </c>
      <c r="G24" s="205">
        <f t="shared" si="4"/>
        <v>45444</v>
      </c>
      <c r="H24" s="205">
        <f t="shared" si="4"/>
        <v>45474</v>
      </c>
      <c r="I24" s="205">
        <f t="shared" si="4"/>
        <v>45505</v>
      </c>
      <c r="J24" s="205">
        <f t="shared" si="4"/>
        <v>45536</v>
      </c>
      <c r="K24" s="205">
        <f t="shared" si="4"/>
        <v>45566</v>
      </c>
      <c r="L24" s="205">
        <f t="shared" si="4"/>
        <v>45597</v>
      </c>
      <c r="M24" s="205">
        <f t="shared" si="4"/>
        <v>45627</v>
      </c>
      <c r="N24" s="205">
        <f t="shared" si="4"/>
        <v>45658</v>
      </c>
      <c r="O24" s="205">
        <f t="shared" si="4"/>
        <v>45689</v>
      </c>
      <c r="P24" s="205">
        <f t="shared" si="4"/>
        <v>45717</v>
      </c>
      <c r="Q24" s="205">
        <f t="shared" si="4"/>
        <v>45748</v>
      </c>
      <c r="R24" s="205">
        <f t="shared" si="4"/>
        <v>45778</v>
      </c>
      <c r="S24" s="205">
        <f t="shared" si="4"/>
        <v>45809</v>
      </c>
      <c r="T24" s="205">
        <f t="shared" si="4"/>
        <v>45839</v>
      </c>
      <c r="U24" s="205">
        <f t="shared" si="4"/>
        <v>45870</v>
      </c>
      <c r="V24" s="205">
        <f t="shared" si="4"/>
        <v>45901</v>
      </c>
      <c r="W24" s="205">
        <f t="shared" si="4"/>
        <v>45931</v>
      </c>
      <c r="X24" s="205">
        <f t="shared" si="4"/>
        <v>45962</v>
      </c>
      <c r="Y24" s="205">
        <f t="shared" si="4"/>
        <v>45992</v>
      </c>
      <c r="Z24" s="205">
        <f t="shared" si="4"/>
        <v>46023</v>
      </c>
      <c r="AA24" s="205">
        <f t="shared" si="4"/>
        <v>46054</v>
      </c>
      <c r="AB24" s="205">
        <f t="shared" si="4"/>
        <v>46082</v>
      </c>
      <c r="AC24" s="205">
        <f t="shared" si="4"/>
        <v>46113</v>
      </c>
      <c r="AD24" s="205">
        <v>46143</v>
      </c>
      <c r="AE24" s="205"/>
      <c r="AF24" s="205"/>
      <c r="AG24" s="205"/>
      <c r="AH24" s="205"/>
      <c r="AI24" s="205"/>
      <c r="AJ24" s="205"/>
      <c r="AK24" s="205"/>
      <c r="AL24" s="205"/>
      <c r="AM24" s="205"/>
    </row>
    <row r="25" spans="1:39" ht="14.25" customHeight="1" x14ac:dyDescent="0.25">
      <c r="A25" s="22" t="s">
        <v>1042</v>
      </c>
      <c r="B25" s="73" t="str">
        <f>IFERROR(AVERAGEIF(B6,"&gt;0"),"-")</f>
        <v>-</v>
      </c>
      <c r="C25" s="73">
        <f>IFERROR(AVERAGEIF(B6:C6,"&gt;0"),"-")</f>
        <v>1</v>
      </c>
      <c r="D25" s="73">
        <f>IFERROR(AVERAGEIF(B6:D6,"&gt;0"),"-")</f>
        <v>1</v>
      </c>
      <c r="E25" s="73">
        <f t="shared" ref="E25:N26" si="5">AVERAGEIF(C6:E6,"&gt;0")</f>
        <v>1</v>
      </c>
      <c r="F25" s="73">
        <f t="shared" si="5"/>
        <v>1</v>
      </c>
      <c r="G25" s="73">
        <f t="shared" si="5"/>
        <v>1</v>
      </c>
      <c r="H25" s="73">
        <f t="shared" si="5"/>
        <v>1</v>
      </c>
      <c r="I25" s="73">
        <f t="shared" si="5"/>
        <v>0.98603562385850407</v>
      </c>
      <c r="J25" s="73">
        <f t="shared" si="5"/>
        <v>0.98603562385850407</v>
      </c>
      <c r="K25" s="73">
        <f t="shared" si="5"/>
        <v>0.98603562385850407</v>
      </c>
      <c r="L25" s="73">
        <f t="shared" si="5"/>
        <v>0.99776539339233594</v>
      </c>
      <c r="M25" s="73">
        <f t="shared" si="5"/>
        <v>0.98886781979045768</v>
      </c>
      <c r="N25" s="73">
        <f t="shared" si="5"/>
        <v>0.98722170215889171</v>
      </c>
      <c r="O25" s="73">
        <f t="shared" ref="O25:X26" si="6">AVERAGEIF(M6:O6,"&gt;0")</f>
        <v>0.98945630876655566</v>
      </c>
      <c r="P25" s="73">
        <f t="shared" si="6"/>
        <v>0.99524272194720231</v>
      </c>
      <c r="Q25" s="73">
        <f t="shared" si="6"/>
        <v>0.99688883957876817</v>
      </c>
      <c r="R25" s="73">
        <f t="shared" si="6"/>
        <v>0.99093979098819185</v>
      </c>
      <c r="S25" s="73">
        <f t="shared" si="6"/>
        <v>0.99101089605945025</v>
      </c>
      <c r="T25" s="73">
        <f t="shared" si="6"/>
        <v>0.98715415218120939</v>
      </c>
      <c r="U25" s="73">
        <f t="shared" si="6"/>
        <v>0.98120588848278933</v>
      </c>
      <c r="V25" s="73">
        <f t="shared" si="6"/>
        <v>0.98396551978673719</v>
      </c>
      <c r="W25" s="73">
        <f t="shared" si="6"/>
        <v>0.98782226366497794</v>
      </c>
      <c r="X25" s="73">
        <f t="shared" si="6"/>
        <v>0.99876840872654515</v>
      </c>
      <c r="Y25" s="73">
        <f t="shared" ref="Y25:AC26" si="7">AVERAGEIF(W6:Y6,"&gt;0")</f>
        <v>0.99531322324725924</v>
      </c>
      <c r="Z25" s="73">
        <f t="shared" si="7"/>
        <v>0.99531322324725913</v>
      </c>
      <c r="AA25" s="73">
        <f t="shared" si="7"/>
        <v>0.99489679354280247</v>
      </c>
      <c r="AB25" s="73">
        <f t="shared" si="7"/>
        <v>0.99863240306811385</v>
      </c>
      <c r="AC25" s="73">
        <f>AVERAGEIF(AA6:AC6,"&gt;0")</f>
        <v>0.99623573367943807</v>
      </c>
      <c r="AD25" s="73">
        <f>AVERAGEIF(AB6:AD6,"&gt;0")</f>
        <v>0.99343747426747953</v>
      </c>
      <c r="AE25" s="73"/>
      <c r="AF25" s="73"/>
      <c r="AG25" s="73"/>
      <c r="AH25" s="73"/>
      <c r="AI25" s="73"/>
      <c r="AJ25" s="73"/>
      <c r="AK25" s="73"/>
      <c r="AL25" s="73"/>
      <c r="AM25" s="73"/>
    </row>
    <row r="26" spans="1:39" ht="14.25" customHeight="1" x14ac:dyDescent="0.25">
      <c r="A26" s="22" t="s">
        <v>1043</v>
      </c>
      <c r="B26" s="73" t="str">
        <f>IFERROR(AVERAGEIF(B7,"&gt;0"),"-")</f>
        <v>-</v>
      </c>
      <c r="C26" s="73">
        <f>IFERROR(AVERAGEIF(B7:C7,"&gt;0"),"-")</f>
        <v>1</v>
      </c>
      <c r="D26" s="73">
        <f>IFERROR(AVERAGEIF(B7:D7,"&gt;0"),"-")</f>
        <v>1</v>
      </c>
      <c r="E26" s="73">
        <f t="shared" si="5"/>
        <v>1</v>
      </c>
      <c r="F26" s="73">
        <f t="shared" si="5"/>
        <v>1</v>
      </c>
      <c r="G26" s="73">
        <f t="shared" si="5"/>
        <v>1</v>
      </c>
      <c r="H26" s="73">
        <f t="shared" si="5"/>
        <v>1</v>
      </c>
      <c r="I26" s="73">
        <f t="shared" si="5"/>
        <v>0.98603562385850407</v>
      </c>
      <c r="J26" s="73">
        <f t="shared" si="5"/>
        <v>0.98603562385850407</v>
      </c>
      <c r="K26" s="73">
        <f t="shared" si="5"/>
        <v>0.98603562385850407</v>
      </c>
      <c r="L26" s="73">
        <f t="shared" si="5"/>
        <v>0.99776539339233594</v>
      </c>
      <c r="M26" s="73">
        <f t="shared" si="5"/>
        <v>0.98886781979045768</v>
      </c>
      <c r="N26" s="73">
        <f t="shared" si="5"/>
        <v>0.98773382764426776</v>
      </c>
      <c r="O26" s="73">
        <f t="shared" si="6"/>
        <v>0.98996843425193182</v>
      </c>
      <c r="P26" s="73">
        <f t="shared" si="6"/>
        <v>0.99575484743257847</v>
      </c>
      <c r="Q26" s="73">
        <f t="shared" si="6"/>
        <v>0.99887767837350561</v>
      </c>
      <c r="R26" s="73">
        <f t="shared" si="6"/>
        <v>0.99375523442919877</v>
      </c>
      <c r="S26" s="73">
        <f t="shared" si="6"/>
        <v>0.99778656486057571</v>
      </c>
      <c r="T26" s="73">
        <f t="shared" si="6"/>
        <v>0.99338726114193776</v>
      </c>
      <c r="U26" s="73">
        <f t="shared" si="6"/>
        <v>0.99314598173517565</v>
      </c>
      <c r="V26" s="73">
        <f t="shared" si="6"/>
        <v>0.99620783317859163</v>
      </c>
      <c r="W26" s="73">
        <f t="shared" si="6"/>
        <v>1.001555702567569</v>
      </c>
      <c r="X26" s="73">
        <f t="shared" si="6"/>
        <v>1.0059682586912084</v>
      </c>
      <c r="Y26" s="73">
        <f t="shared" si="7"/>
        <v>0.99921437335357688</v>
      </c>
      <c r="Z26" s="73">
        <f t="shared" si="7"/>
        <v>0.99627696888850037</v>
      </c>
      <c r="AA26" s="73">
        <f t="shared" si="7"/>
        <v>0.99372856147541333</v>
      </c>
      <c r="AB26" s="73">
        <f t="shared" si="7"/>
        <v>0.99734315344772151</v>
      </c>
      <c r="AC26" s="73">
        <f t="shared" si="7"/>
        <v>0.9959008139513692</v>
      </c>
      <c r="AD26" s="73">
        <f>AVERAGEIF(AB7:AD7,"&gt;0")</f>
        <v>0.99613784293484409</v>
      </c>
      <c r="AE26" s="73"/>
      <c r="AF26" s="73"/>
      <c r="AG26" s="73"/>
      <c r="AH26" s="73"/>
      <c r="AI26" s="73"/>
      <c r="AJ26" s="73"/>
      <c r="AK26" s="73"/>
      <c r="AL26" s="73"/>
      <c r="AM26" s="73"/>
    </row>
    <row r="27" spans="1:39" ht="14.25" customHeight="1" x14ac:dyDescent="0.25">
      <c r="A27" s="22" t="s">
        <v>1044</v>
      </c>
      <c r="B27" s="73" t="str">
        <f>IFERROR(AVERAGE(B21),"-")</f>
        <v>-</v>
      </c>
      <c r="C27" s="73">
        <f>IFERROR(AVERAGE(B21:C21),"-")</f>
        <v>0</v>
      </c>
      <c r="D27" s="73">
        <f>IFERROR(AVERAGE(B21:D21),"-")</f>
        <v>0</v>
      </c>
      <c r="E27" s="73">
        <f t="shared" ref="E27:AC27" si="8">AVERAGE(C21:E21)</f>
        <v>0</v>
      </c>
      <c r="F27" s="73">
        <f t="shared" si="8"/>
        <v>0</v>
      </c>
      <c r="G27" s="73">
        <f t="shared" si="8"/>
        <v>0</v>
      </c>
      <c r="H27" s="73">
        <f t="shared" si="8"/>
        <v>0</v>
      </c>
      <c r="I27" s="73">
        <f t="shared" si="8"/>
        <v>0</v>
      </c>
      <c r="J27" s="73">
        <f t="shared" si="8"/>
        <v>0</v>
      </c>
      <c r="K27" s="73">
        <f t="shared" si="8"/>
        <v>0</v>
      </c>
      <c r="L27" s="73">
        <f t="shared" si="8"/>
        <v>1.5151515151515152E-2</v>
      </c>
      <c r="M27" s="73">
        <f t="shared" si="8"/>
        <v>1.5151515151515152E-2</v>
      </c>
      <c r="N27" s="73">
        <f t="shared" si="8"/>
        <v>2.8484848484848484E-2</v>
      </c>
      <c r="O27" s="73">
        <f t="shared" si="8"/>
        <v>1.3333333333333334E-2</v>
      </c>
      <c r="P27" s="73">
        <f t="shared" si="8"/>
        <v>1.3333333333333334E-2</v>
      </c>
      <c r="Q27" s="73">
        <f t="shared" si="8"/>
        <v>0</v>
      </c>
      <c r="R27" s="73">
        <f t="shared" si="8"/>
        <v>0</v>
      </c>
      <c r="S27" s="73">
        <f t="shared" si="8"/>
        <v>9.2592592592592587E-3</v>
      </c>
      <c r="T27" s="73">
        <f t="shared" si="8"/>
        <v>9.2592592592592587E-3</v>
      </c>
      <c r="U27" s="73">
        <f t="shared" si="8"/>
        <v>9.2592592592592587E-3</v>
      </c>
      <c r="V27" s="73">
        <f t="shared" si="8"/>
        <v>0</v>
      </c>
      <c r="W27" s="73">
        <f t="shared" si="8"/>
        <v>0</v>
      </c>
      <c r="X27" s="73">
        <f t="shared" si="8"/>
        <v>0</v>
      </c>
      <c r="Y27" s="73">
        <f t="shared" si="8"/>
        <v>0</v>
      </c>
      <c r="Z27" s="73">
        <f t="shared" si="8"/>
        <v>0</v>
      </c>
      <c r="AA27" s="73">
        <f t="shared" si="8"/>
        <v>0</v>
      </c>
      <c r="AB27" s="73">
        <f t="shared" si="8"/>
        <v>0</v>
      </c>
      <c r="AC27" s="73">
        <f t="shared" si="8"/>
        <v>0</v>
      </c>
      <c r="AD27" s="73">
        <f>AVERAGE(AB21:AD21)</f>
        <v>7.575757575757576E-3</v>
      </c>
      <c r="AE27" s="73"/>
      <c r="AF27" s="73"/>
      <c r="AG27" s="73"/>
      <c r="AH27" s="73"/>
      <c r="AI27" s="73"/>
      <c r="AJ27" s="73"/>
      <c r="AK27" s="73"/>
      <c r="AL27" s="73"/>
      <c r="AM27" s="73"/>
    </row>
    <row r="28" spans="1:39" ht="14.25" customHeight="1" x14ac:dyDescent="0.25">
      <c r="A28" s="22"/>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row>
    <row r="29" spans="1:39" ht="14.25" customHeight="1" x14ac:dyDescent="0.25">
      <c r="A29" s="22" t="s">
        <v>1045</v>
      </c>
      <c r="B29" s="73" t="str">
        <f>IFERROR(AVERAGEIF(B6,"&gt;0"),"-")</f>
        <v>-</v>
      </c>
      <c r="C29" s="73">
        <f>IFERROR(AVERAGEIF(B6:C6,"&gt;0"),"-")</f>
        <v>1</v>
      </c>
      <c r="D29" s="73">
        <f>IFERROR(AVERAGEIF(B6:D6,"&gt;0"),"-")</f>
        <v>1</v>
      </c>
      <c r="E29" s="73">
        <f>AVERAGEIF(B6:E6,"&gt;0")</f>
        <v>1</v>
      </c>
      <c r="F29" s="73">
        <f>AVERAGEIF(B6:F6,"&gt;0")</f>
        <v>1</v>
      </c>
      <c r="G29" s="73">
        <f>AVERAGEIF(B6:G6,"&gt;0")</f>
        <v>1</v>
      </c>
      <c r="H29" s="73">
        <f>AVERAGEIF(B6:H6,"&gt;0")</f>
        <v>1</v>
      </c>
      <c r="I29" s="73">
        <f>AVERAGEIF(B6:I6,"&gt;0")</f>
        <v>0.99401526736793033</v>
      </c>
      <c r="J29" s="73">
        <f>AVERAGEIF(B6:J6,"&gt;0")</f>
        <v>0.99476335894693901</v>
      </c>
      <c r="K29" s="73">
        <f>AVERAGEIF(B6:K6,"&gt;0")</f>
        <v>0.99534520795283477</v>
      </c>
      <c r="L29" s="73">
        <f>AVERAGEIF(B6:L6,"&gt;0")</f>
        <v>0.99514030517525209</v>
      </c>
      <c r="M29" s="73">
        <f t="shared" ref="M29:V30" si="9">AVERAGEIF(B6:M6,"&gt;0")</f>
        <v>0.99315548463153513</v>
      </c>
      <c r="N29" s="73">
        <f t="shared" si="9"/>
        <v>0.99331433150434911</v>
      </c>
      <c r="O29" s="73">
        <f t="shared" si="9"/>
        <v>0.993314331504349</v>
      </c>
      <c r="P29" s="73">
        <f t="shared" si="9"/>
        <v>0.99253654139904102</v>
      </c>
      <c r="Q29" s="73">
        <f t="shared" si="9"/>
        <v>0.99253654139904102</v>
      </c>
      <c r="R29" s="73">
        <f t="shared" si="9"/>
        <v>0.99104927925139696</v>
      </c>
      <c r="S29" s="73">
        <f t="shared" si="9"/>
        <v>0.99028926541390361</v>
      </c>
      <c r="T29" s="73">
        <f t="shared" si="9"/>
        <v>0.98932507944434345</v>
      </c>
      <c r="U29" s="73">
        <f t="shared" si="9"/>
        <v>0.98984184540746822</v>
      </c>
      <c r="V29" s="73">
        <f t="shared" si="9"/>
        <v>0.98977173939596186</v>
      </c>
      <c r="W29" s="73">
        <f t="shared" ref="W29:AC30" si="10">AVERAGEIF(L6:W6,"&gt;0")</f>
        <v>0.98977173939596186</v>
      </c>
      <c r="X29" s="73">
        <f t="shared" si="10"/>
        <v>0.99009259924102044</v>
      </c>
      <c r="Y29" s="73">
        <f t="shared" si="10"/>
        <v>0.99138309026016225</v>
      </c>
      <c r="Z29" s="73">
        <f t="shared" si="10"/>
        <v>0.99179461966805371</v>
      </c>
      <c r="AA29" s="73">
        <f t="shared" si="10"/>
        <v>0.99145272043508237</v>
      </c>
      <c r="AB29" s="73">
        <f t="shared" si="10"/>
        <v>0.99223051054039013</v>
      </c>
      <c r="AC29" s="73">
        <f t="shared" si="10"/>
        <v>0.99163134319322122</v>
      </c>
      <c r="AD29" s="73">
        <f>AVERAGEIF(S6:AD6,"&gt;0")</f>
        <v>0.99207714125490398</v>
      </c>
      <c r="AE29" s="73"/>
      <c r="AF29" s="73"/>
      <c r="AG29" s="73"/>
      <c r="AH29" s="73"/>
      <c r="AI29" s="73"/>
      <c r="AJ29" s="73"/>
      <c r="AK29" s="73"/>
      <c r="AL29" s="73"/>
      <c r="AM29" s="73"/>
    </row>
    <row r="30" spans="1:39" ht="14.25" customHeight="1" x14ac:dyDescent="0.25">
      <c r="A30" s="22" t="s">
        <v>1046</v>
      </c>
      <c r="B30" s="73" t="str">
        <f>IFERROR(AVERAGEIF(B7,"&gt;0"),"-")</f>
        <v>-</v>
      </c>
      <c r="C30" s="73">
        <f>IFERROR(AVERAGEIF(B7:C7,"&gt;0"),"-")</f>
        <v>1</v>
      </c>
      <c r="D30" s="73">
        <f>IFERROR(AVERAGEIF(B7:D7,"&gt;0"),"-")</f>
        <v>1</v>
      </c>
      <c r="E30" s="73">
        <f>AVERAGEIF(B7:E7,"&gt;0")</f>
        <v>1</v>
      </c>
      <c r="F30" s="73">
        <f>AVERAGEIF(B7:F7,"&gt;0")</f>
        <v>1</v>
      </c>
      <c r="G30" s="73">
        <f>AVERAGEIF(B7:G7,"&gt;0")</f>
        <v>1</v>
      </c>
      <c r="H30" s="73">
        <f>AVERAGEIF(B7:H7,"&gt;0")</f>
        <v>1</v>
      </c>
      <c r="I30" s="73">
        <f>AVERAGEIF(B7:I7,"&gt;0")</f>
        <v>0.99401526736793033</v>
      </c>
      <c r="J30" s="73">
        <f>AVERAGEIF(B7:J7,"&gt;0")</f>
        <v>0.99476335894693901</v>
      </c>
      <c r="K30" s="73">
        <f>AVERAGEIF(B7:K7,"&gt;0")</f>
        <v>0.99534520795283477</v>
      </c>
      <c r="L30" s="73">
        <f>AVERAGEIF(B7:L7,"&gt;0")</f>
        <v>0.99514030517525209</v>
      </c>
      <c r="M30" s="73">
        <f t="shared" si="9"/>
        <v>0.99315548463153513</v>
      </c>
      <c r="N30" s="73">
        <f t="shared" si="9"/>
        <v>0.9934423628756931</v>
      </c>
      <c r="O30" s="73">
        <f t="shared" si="9"/>
        <v>0.99344236287569299</v>
      </c>
      <c r="P30" s="73">
        <f t="shared" si="9"/>
        <v>0.992664572770385</v>
      </c>
      <c r="Q30" s="73">
        <f t="shared" si="9"/>
        <v>0.99316178246906939</v>
      </c>
      <c r="R30" s="73">
        <f t="shared" si="9"/>
        <v>0.99188117148299282</v>
      </c>
      <c r="S30" s="73">
        <f t="shared" si="9"/>
        <v>0.99211121398552915</v>
      </c>
      <c r="T30" s="73">
        <f t="shared" si="9"/>
        <v>0.99150859775455391</v>
      </c>
      <c r="U30" s="73">
        <f t="shared" si="9"/>
        <v>0.99365876095216066</v>
      </c>
      <c r="V30" s="73">
        <f t="shared" si="9"/>
        <v>0.99465426631555098</v>
      </c>
      <c r="W30" s="73">
        <f t="shared" si="10"/>
        <v>0.99538861743182006</v>
      </c>
      <c r="X30" s="73">
        <f t="shared" si="10"/>
        <v>0.99570947727687853</v>
      </c>
      <c r="Y30" s="73">
        <f t="shared" si="10"/>
        <v>0.99724090470633053</v>
      </c>
      <c r="Z30" s="73">
        <f t="shared" si="10"/>
        <v>0.99752440274287812</v>
      </c>
      <c r="AA30" s="73">
        <f t="shared" si="10"/>
        <v>0.99664950908274896</v>
      </c>
      <c r="AB30" s="73">
        <f t="shared" si="10"/>
        <v>0.99763798121011638</v>
      </c>
      <c r="AC30" s="73">
        <f t="shared" si="10"/>
        <v>0.99678018663734391</v>
      </c>
      <c r="AD30" s="73">
        <f>AVERAGEIF(S7:AD7,"&gt;0")</f>
        <v>0.99724516120916029</v>
      </c>
      <c r="AE30" s="73"/>
      <c r="AF30" s="73"/>
      <c r="AG30" s="73"/>
      <c r="AH30" s="73"/>
      <c r="AI30" s="73"/>
      <c r="AJ30" s="73"/>
      <c r="AK30" s="73"/>
      <c r="AL30" s="73"/>
      <c r="AM30" s="73"/>
    </row>
    <row r="31" spans="1:39" ht="14.25" customHeight="1" x14ac:dyDescent="0.25">
      <c r="A31" s="22" t="s">
        <v>1047</v>
      </c>
      <c r="B31" s="73" t="str">
        <f>IFERROR(AVERAGE(B21),"-")</f>
        <v>-</v>
      </c>
      <c r="C31" s="73">
        <f>IFERROR(AVERAGE(B21:C21),"-")</f>
        <v>0</v>
      </c>
      <c r="D31" s="73">
        <f>IFERROR(AVERAGE(B21:D21),"-")</f>
        <v>0</v>
      </c>
      <c r="E31" s="73">
        <f>AVERAGE(B21:E21)</f>
        <v>0</v>
      </c>
      <c r="F31" s="73">
        <f>AVERAGE(B21:F21)</f>
        <v>0</v>
      </c>
      <c r="G31" s="73">
        <f>AVERAGE(B21:G21)</f>
        <v>0</v>
      </c>
      <c r="H31" s="73">
        <f>AVERAGE(B21:H21)</f>
        <v>0</v>
      </c>
      <c r="I31" s="73">
        <f>AVERAGE(B21:I21)</f>
        <v>0</v>
      </c>
      <c r="J31" s="73">
        <f>AVERAGE(B21:J21)</f>
        <v>0</v>
      </c>
      <c r="K31" s="73">
        <f>AVERAGE(B21:K21)</f>
        <v>0</v>
      </c>
      <c r="L31" s="73">
        <f>AVERAGE(B21:L21)</f>
        <v>4.5454545454545452E-3</v>
      </c>
      <c r="M31" s="73">
        <f t="shared" ref="M31:AC31" si="11">AVERAGE(B21:M21)</f>
        <v>4.1322314049586778E-3</v>
      </c>
      <c r="N31" s="73">
        <f t="shared" si="11"/>
        <v>7.1212121212121211E-3</v>
      </c>
      <c r="O31" s="73">
        <f t="shared" si="11"/>
        <v>7.1212121212121211E-3</v>
      </c>
      <c r="P31" s="73">
        <f t="shared" si="11"/>
        <v>7.1212121212121211E-3</v>
      </c>
      <c r="Q31" s="73">
        <f t="shared" si="11"/>
        <v>7.1212121212121211E-3</v>
      </c>
      <c r="R31" s="73">
        <f t="shared" si="11"/>
        <v>7.1212121212121211E-3</v>
      </c>
      <c r="S31" s="73">
        <f t="shared" si="11"/>
        <v>9.4360269360269349E-3</v>
      </c>
      <c r="T31" s="73">
        <f t="shared" si="11"/>
        <v>9.4360269360269349E-3</v>
      </c>
      <c r="U31" s="73">
        <f t="shared" si="11"/>
        <v>9.4360269360269349E-3</v>
      </c>
      <c r="V31" s="73">
        <f t="shared" si="11"/>
        <v>9.4360269360269349E-3</v>
      </c>
      <c r="W31" s="73">
        <f t="shared" si="11"/>
        <v>9.4360269360269349E-3</v>
      </c>
      <c r="X31" s="73">
        <f t="shared" si="11"/>
        <v>5.6481481481481478E-3</v>
      </c>
      <c r="Y31" s="73">
        <f t="shared" si="11"/>
        <v>5.6481481481481478E-3</v>
      </c>
      <c r="Z31" s="73">
        <f t="shared" si="11"/>
        <v>2.3148148148148147E-3</v>
      </c>
      <c r="AA31" s="73">
        <f t="shared" si="11"/>
        <v>2.3148148148148147E-3</v>
      </c>
      <c r="AB31" s="73">
        <f t="shared" si="11"/>
        <v>2.3148148148148147E-3</v>
      </c>
      <c r="AC31" s="73">
        <f t="shared" si="11"/>
        <v>2.3148148148148147E-3</v>
      </c>
      <c r="AD31" s="73">
        <f>AVERAGE(S21:AD21)</f>
        <v>4.2087542087542087E-3</v>
      </c>
      <c r="AE31" s="73"/>
      <c r="AF31" s="73"/>
      <c r="AG31" s="73"/>
      <c r="AH31" s="73"/>
      <c r="AI31" s="73"/>
      <c r="AJ31" s="73"/>
      <c r="AK31" s="73"/>
      <c r="AL31" s="73"/>
      <c r="AM31" s="73"/>
    </row>
    <row r="32" spans="1:39" ht="19.5" customHeight="1" x14ac:dyDescent="0.25"/>
    <row r="33" spans="1:27" ht="14.25" customHeight="1" x14ac:dyDescent="0.25">
      <c r="A33" s="22" t="s">
        <v>1048</v>
      </c>
    </row>
    <row r="34" spans="1:27" ht="79.5" customHeight="1" x14ac:dyDescent="0.25">
      <c r="A34" s="255" t="s">
        <v>1049</v>
      </c>
      <c r="B34" s="253"/>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c r="AA34" s="253"/>
    </row>
    <row r="36" spans="1:27" ht="14.25" customHeight="1" x14ac:dyDescent="0.25">
      <c r="A36" s="22" t="s">
        <v>1050</v>
      </c>
    </row>
    <row r="37" spans="1:27" ht="94.5" customHeight="1" x14ac:dyDescent="0.25">
      <c r="A37" s="255" t="s">
        <v>1051</v>
      </c>
      <c r="B37" s="253"/>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row>
    <row r="38" spans="1:27" ht="14.25" customHeight="1" x14ac:dyDescent="0.25"/>
    <row r="39" spans="1:27" ht="14.25" customHeight="1" x14ac:dyDescent="0.25"/>
    <row r="40" spans="1:27" ht="14.25" customHeight="1" x14ac:dyDescent="0.25">
      <c r="D40" s="73" t="str">
        <f>IF(Waterfall!B4=0,"-",1+(Waterfall!F4+Waterfall!G4)/Waterfall!C4)</f>
        <v>-</v>
      </c>
    </row>
    <row r="41" spans="1:27" ht="14.25" customHeight="1" x14ac:dyDescent="0.25">
      <c r="D41" s="73">
        <f>IF(Waterfall!B5=0,"-",1+(Waterfall!E5+Waterfall!F5)/Waterfall!B5)</f>
        <v>1</v>
      </c>
    </row>
    <row r="42" spans="1:27" ht="14.25" customHeight="1" x14ac:dyDescent="0.25">
      <c r="D42" s="73">
        <f>IF(Waterfall!B6=0,"-",1+(Waterfall!E6+Waterfall!F6)/Waterfall!B6)</f>
        <v>1</v>
      </c>
    </row>
    <row r="43" spans="1:27" ht="14.25" customHeight="1" x14ac:dyDescent="0.25">
      <c r="D43" s="73">
        <f>IF(Waterfall!B7=0,"-",1+(Waterfall!E7+Waterfall!F7)/Waterfall!B7)</f>
        <v>1</v>
      </c>
    </row>
    <row r="44" spans="1:27" ht="14.25" customHeight="1" x14ac:dyDescent="0.25">
      <c r="D44" s="73">
        <f>IF(Waterfall!B8=0,"-",1+(Waterfall!E8+Waterfall!F8)/Waterfall!B8)</f>
        <v>1</v>
      </c>
    </row>
    <row r="45" spans="1:27" ht="14.25" customHeight="1" x14ac:dyDescent="0.25">
      <c r="D45" s="73">
        <f>IF(Waterfall!B9=0,"-",1+(Waterfall!E9+Waterfall!F9)/Waterfall!B9)</f>
        <v>1</v>
      </c>
    </row>
    <row r="46" spans="1:27" ht="14.25" customHeight="1" x14ac:dyDescent="0.25">
      <c r="D46" s="73">
        <f>IF(Waterfall!B10=0,"-",1+(Waterfall!E10+Waterfall!F10)/Waterfall!B10)</f>
        <v>1</v>
      </c>
    </row>
    <row r="47" spans="1:27" ht="14.25" customHeight="1" x14ac:dyDescent="0.25">
      <c r="D47" s="73">
        <f>IF(Waterfall!B11=0,"-",1+(Waterfall!E11+Waterfall!F11)/Waterfall!B11)</f>
        <v>0.95810687157551233</v>
      </c>
    </row>
    <row r="48" spans="1:27" ht="14.25" customHeight="1" x14ac:dyDescent="0.25">
      <c r="D48" s="73">
        <f>IF(Waterfall!B12=0,"-",1+(Waterfall!E12+Waterfall!F12)/Waterfall!B12)</f>
        <v>1</v>
      </c>
    </row>
    <row r="49" spans="4:4" ht="14.25" customHeight="1" x14ac:dyDescent="0.25">
      <c r="D49" s="73">
        <f>IF(Waterfall!B13=0,"-",1+(Waterfall!E13+Waterfall!F13)/Waterfall!B13)</f>
        <v>1</v>
      </c>
    </row>
    <row r="50" spans="4:4" ht="14.25" customHeight="1" x14ac:dyDescent="0.25">
      <c r="D50" s="73">
        <f>IF(Waterfall!B14=0,"-",1+(Waterfall!E14+Waterfall!F14)/Waterfall!B14)</f>
        <v>0.99329618017700794</v>
      </c>
    </row>
    <row r="51" spans="4:4" ht="14.25" customHeight="1" x14ac:dyDescent="0.25">
      <c r="D51" s="73">
        <f>IF(Waterfall!B15=0,"-",1+(Waterfall!E15+Waterfall!F15)/Waterfall!B15)</f>
        <v>0.9733072791943651</v>
      </c>
    </row>
    <row r="52" spans="4:4" ht="14.25" customHeight="1" x14ac:dyDescent="0.25">
      <c r="D52" s="73">
        <f>IF(Waterfall!B16=0,"-",1+(Waterfall!E16+Waterfall!F16)/Waterfall!B16)</f>
        <v>0.99506164710530209</v>
      </c>
    </row>
    <row r="53" spans="4:4" ht="14.25" customHeight="1" x14ac:dyDescent="0.25">
      <c r="D53" s="73">
        <f>IF(Waterfall!B17=0,"-",1+(Waterfall!E17+Waterfall!F17)/Waterfall!B17)</f>
        <v>1</v>
      </c>
    </row>
    <row r="54" spans="4:4" ht="14.25" customHeight="1" x14ac:dyDescent="0.25">
      <c r="D54" s="73">
        <f>IF(Waterfall!B18=0,"-",1+(Waterfall!E18+Waterfall!F18)/Waterfall!B18)</f>
        <v>0.99066651873630485</v>
      </c>
    </row>
    <row r="55" spans="4:4" ht="14.25" customHeight="1" x14ac:dyDescent="0.25">
      <c r="D55" s="73">
        <f>IF(Waterfall!B19=0,"-",1+(Waterfall!E19+Waterfall!F19)/Waterfall!B19)</f>
        <v>1</v>
      </c>
    </row>
    <row r="56" spans="4:4" ht="14.25" customHeight="1" x14ac:dyDescent="0.25">
      <c r="D56" s="73">
        <f>IF(Waterfall!B20=0,"-",1+(Waterfall!E20+Waterfall!F20)/Waterfall!B20)</f>
        <v>0.98215285422827059</v>
      </c>
    </row>
    <row r="57" spans="4:4" ht="14.25" customHeight="1" x14ac:dyDescent="0.25">
      <c r="D57" s="73">
        <f>IF(Waterfall!B21=0,"-",1+(Waterfall!E21+Waterfall!F21)/Waterfall!B21)</f>
        <v>0.99087983395008017</v>
      </c>
    </row>
    <row r="58" spans="4:4" ht="14.25" customHeight="1" x14ac:dyDescent="0.25">
      <c r="D58" s="73">
        <f>IF(Waterfall!B22=0,"-",1+(Waterfall!E22+Waterfall!F22)/Waterfall!B22)</f>
        <v>0.98842976836527752</v>
      </c>
    </row>
    <row r="59" spans="4:4" ht="14.25" customHeight="1" x14ac:dyDescent="0.25">
      <c r="D59" s="73">
        <f>IF(Waterfall!B23=0,"-",1+(Waterfall!E23+Waterfall!F23)/Waterfall!B23)</f>
        <v>0.96430806313301043</v>
      </c>
    </row>
    <row r="60" spans="4:4" ht="14.25" customHeight="1" x14ac:dyDescent="0.25">
      <c r="D60" s="73">
        <f>IF(Waterfall!B24=0,"-",1+(Waterfall!E24+Waterfall!F24)/Waterfall!B24)</f>
        <v>0.99915872786192372</v>
      </c>
    </row>
    <row r="61" spans="4:4" ht="14.25" customHeight="1" x14ac:dyDescent="0.25">
      <c r="D61" s="73">
        <f>IF(Waterfall!B25=0,"-",1+(Waterfall!E25+Waterfall!F25)/Waterfall!B25)</f>
        <v>1</v>
      </c>
    </row>
    <row r="62" spans="4:4" ht="14.25" customHeight="1" x14ac:dyDescent="0.25">
      <c r="D62" s="73">
        <f>IF(Waterfall!B26=0,"-",1+(Waterfall!E26+Waterfall!F26)/Waterfall!B26)</f>
        <v>0.99714649831771174</v>
      </c>
    </row>
    <row r="63" spans="4:4" ht="14.25" customHeight="1" x14ac:dyDescent="0.25">
      <c r="D63" s="73">
        <f>IF(Waterfall!B27=0,"-",1+(Waterfall!E27+Waterfall!F27)/Waterfall!B27)</f>
        <v>0.98879317142406564</v>
      </c>
    </row>
    <row r="64" spans="4:4" ht="14.25" customHeight="1" x14ac:dyDescent="0.25">
      <c r="D64" s="73">
        <f>IF(Waterfall!B28=0,"-",1+(Waterfall!E28+Waterfall!F28)/Waterfall!B28)</f>
        <v>1</v>
      </c>
    </row>
    <row r="65" spans="4:4" ht="14.25" customHeight="1" x14ac:dyDescent="0.25">
      <c r="D65" s="73">
        <f>IF(Waterfall!B29=0,"-",1+(Waterfall!E29+Waterfall!F29)/Waterfall!B29)</f>
        <v>0.99589720920434177</v>
      </c>
    </row>
    <row r="66" spans="4:4" ht="14.25" customHeight="1" x14ac:dyDescent="0.25">
      <c r="D66" s="73">
        <f>IF(Waterfall!B30=0,"-",1+(Waterfall!E30+Waterfall!F30)/Waterfall!B30)</f>
        <v>1</v>
      </c>
    </row>
    <row r="67" spans="4:4" ht="14.25" customHeight="1" x14ac:dyDescent="0.25">
      <c r="D67" s="73">
        <f>IF(Waterfall!B31=0,"-",1+(Waterfall!E31+Waterfall!F31)/Waterfall!B31)</f>
        <v>0.99280999183397267</v>
      </c>
    </row>
    <row r="68" spans="4:4" ht="14.25" customHeight="1" x14ac:dyDescent="0.25">
      <c r="D68" s="73">
        <f>IF(Waterfall!B32=0,"-",1+(Waterfall!E32+Waterfall!F32)/Waterfall!B32)</f>
        <v>0.98750243096846591</v>
      </c>
    </row>
    <row r="69" spans="4:4" ht="14.25" customHeight="1" x14ac:dyDescent="0.25">
      <c r="D69" s="73">
        <f>IF(Waterfall!B35=0,"-",1+(Waterfall!E35+Waterfall!F35)/Waterfall!B35)</f>
        <v>1</v>
      </c>
    </row>
    <row r="70" spans="4:4" ht="14.25" customHeight="1" x14ac:dyDescent="0.25">
      <c r="D70" s="73">
        <f>IF(Waterfall!B36=0,"-",1+(Waterfall!E36+Waterfall!F36)/Waterfall!B36)</f>
        <v>1</v>
      </c>
    </row>
    <row r="71" spans="4:4" ht="14.25" customHeight="1" x14ac:dyDescent="0.25">
      <c r="D71" s="73">
        <f>IF(Waterfall!B37=0,"-",1+(Waterfall!E37+Waterfall!F37)/Waterfall!B37)</f>
        <v>1</v>
      </c>
    </row>
    <row r="72" spans="4:4" ht="14.25" customHeight="1" x14ac:dyDescent="0.25">
      <c r="D72" s="73" t="str">
        <f>IF(Waterfall!B38=0,"-",1+(Waterfall!E38+Waterfall!F38)/Waterfall!B38)</f>
        <v>-</v>
      </c>
    </row>
    <row r="73" spans="4:4" ht="14.25" customHeight="1" x14ac:dyDescent="0.25">
      <c r="D73" s="73" t="str">
        <f>IF(Waterfall!B39=0,"-",1+(Waterfall!E39+Waterfall!F39)/Waterfall!B39)</f>
        <v>-</v>
      </c>
    </row>
    <row r="74" spans="4:4" ht="14.25" customHeight="1" x14ac:dyDescent="0.25">
      <c r="D74" s="73" t="str">
        <f>IF(Waterfall!B40=0,"-",1+(Waterfall!E40+Waterfall!F40)/Waterfall!B40)</f>
        <v>-</v>
      </c>
    </row>
    <row r="75" spans="4:4" ht="14.25" customHeight="1" x14ac:dyDescent="0.25">
      <c r="D75" s="73" t="str">
        <f>IF(Waterfall!B41=0,"-",1+(Waterfall!E41+Waterfall!F41)/Waterfall!B41)</f>
        <v>-</v>
      </c>
    </row>
    <row r="76" spans="4:4" ht="14.25" customHeight="1" x14ac:dyDescent="0.25">
      <c r="D76" s="73" t="str">
        <f>IF(Waterfall!B42=0,"-",1+(Waterfall!E42+Waterfall!F42)/Waterfall!B42)</f>
        <v>-</v>
      </c>
    </row>
    <row r="77" spans="4:4" ht="14.25" customHeight="1" x14ac:dyDescent="0.25">
      <c r="D77" s="73" t="str">
        <f>IF(Waterfall!B43=0,"-",1+(Waterfall!E43+Waterfall!F43)/Waterfall!B43)</f>
        <v>-</v>
      </c>
    </row>
    <row r="78" spans="4:4" ht="14.25" customHeight="1" x14ac:dyDescent="0.25"/>
    <row r="79" spans="4:4" ht="14.25" customHeight="1" x14ac:dyDescent="0.25"/>
    <row r="80" spans="4:4"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A34:AA34"/>
    <mergeCell ref="A37:AA37"/>
  </mergeCells>
  <pageMargins left="0.7" right="0.7" top="0.75" bottom="0.75" header="0" footer="0"/>
  <pageSetup orientation="landscape"/>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000"/>
  <sheetViews>
    <sheetView workbookViewId="0">
      <pane xSplit="1" topLeftCell="B1" activePane="topRight" state="frozen"/>
      <selection pane="topRight" activeCell="C2" sqref="C2"/>
    </sheetView>
  </sheetViews>
  <sheetFormatPr defaultColWidth="14.42578125" defaultRowHeight="15" customHeight="1" x14ac:dyDescent="0.25"/>
  <cols>
    <col min="1" max="1" width="50.85546875" customWidth="1"/>
    <col min="2" max="2" width="24.42578125" customWidth="1"/>
    <col min="3" max="3" width="21.85546875" customWidth="1"/>
    <col min="4" max="4" width="25.42578125" customWidth="1"/>
    <col min="5" max="5" width="21.85546875" customWidth="1"/>
    <col min="6" max="6" width="25.42578125" customWidth="1"/>
    <col min="7" max="7" width="16.42578125" customWidth="1"/>
    <col min="8" max="8" width="8.7109375" customWidth="1"/>
    <col min="9" max="10" width="18.140625" customWidth="1"/>
    <col min="11" max="26" width="8.7109375" customWidth="1"/>
  </cols>
  <sheetData>
    <row r="1" spans="1:4" ht="14.25" customHeight="1" x14ac:dyDescent="0.3">
      <c r="A1" s="212" t="s">
        <v>1052</v>
      </c>
    </row>
    <row r="2" spans="1:4" ht="14.25" customHeight="1" x14ac:dyDescent="0.25"/>
    <row r="3" spans="1:4" ht="14.25" customHeight="1" x14ac:dyDescent="0.25">
      <c r="A3" s="213" t="s">
        <v>1053</v>
      </c>
      <c r="B3" s="214"/>
    </row>
    <row r="4" spans="1:4" ht="14.25" customHeight="1" x14ac:dyDescent="0.25">
      <c r="A4" s="215" t="s">
        <v>507</v>
      </c>
      <c r="B4" s="216">
        <f t="array" aca="1" ref="B4" ca="1">COUNTA(_xludf.UNIQUE(Engine!$C$2:$C$1002))</f>
        <v>1</v>
      </c>
      <c r="C4" s="216"/>
    </row>
    <row r="5" spans="1:4" ht="14.25" customHeight="1" x14ac:dyDescent="0.25">
      <c r="A5" s="215" t="s">
        <v>508</v>
      </c>
      <c r="B5" s="216">
        <f>COUNTA(Engine!$B$2:$B$1002)</f>
        <v>110</v>
      </c>
      <c r="C5" s="216"/>
    </row>
    <row r="6" spans="1:4" ht="14.25" customHeight="1" x14ac:dyDescent="0.25">
      <c r="A6" s="215" t="s">
        <v>1054</v>
      </c>
      <c r="B6" s="217">
        <f>SUM(C12:C17)</f>
        <v>144185.5</v>
      </c>
      <c r="C6" s="217"/>
    </row>
    <row r="7" spans="1:4" ht="14.25" customHeight="1" x14ac:dyDescent="0.25">
      <c r="A7" s="215" t="s">
        <v>1055</v>
      </c>
      <c r="B7" s="217">
        <f ca="1">B6/B4</f>
        <v>144185.5</v>
      </c>
      <c r="C7" s="217"/>
    </row>
    <row r="8" spans="1:4" ht="14.25" customHeight="1" x14ac:dyDescent="0.25">
      <c r="A8" s="215" t="s">
        <v>1056</v>
      </c>
      <c r="B8" s="217">
        <f>B6/B5</f>
        <v>1310.7772727272727</v>
      </c>
      <c r="C8" s="217"/>
    </row>
    <row r="9" spans="1:4" ht="14.25" customHeight="1" x14ac:dyDescent="0.25"/>
    <row r="10" spans="1:4" ht="14.25" customHeight="1" x14ac:dyDescent="0.25">
      <c r="A10" s="215" t="s">
        <v>1057</v>
      </c>
    </row>
    <row r="11" spans="1:4" ht="14.25" customHeight="1" x14ac:dyDescent="0.25">
      <c r="A11" s="215" t="s">
        <v>1058</v>
      </c>
      <c r="B11" s="215" t="s">
        <v>1059</v>
      </c>
      <c r="C11" s="215" t="s">
        <v>1054</v>
      </c>
      <c r="D11" s="215" t="s">
        <v>1060</v>
      </c>
    </row>
    <row r="12" spans="1:4" ht="14.25" customHeight="1" x14ac:dyDescent="0.25">
      <c r="A12" s="218" t="s">
        <v>58</v>
      </c>
      <c r="B12" s="219">
        <v>5</v>
      </c>
      <c r="C12" s="13">
        <v>3105</v>
      </c>
      <c r="D12" s="13">
        <f t="shared" ref="D12:D18" si="0">C12/B12</f>
        <v>621</v>
      </c>
    </row>
    <row r="13" spans="1:4" ht="14.25" customHeight="1" x14ac:dyDescent="0.25">
      <c r="A13" s="218" t="s">
        <v>119</v>
      </c>
      <c r="B13" s="219">
        <v>8</v>
      </c>
      <c r="C13" s="13">
        <v>15475.5</v>
      </c>
      <c r="D13" s="13">
        <f t="shared" si="0"/>
        <v>1934.4375</v>
      </c>
    </row>
    <row r="14" spans="1:4" ht="14.25" customHeight="1" x14ac:dyDescent="0.25">
      <c r="A14" s="218" t="s">
        <v>64</v>
      </c>
      <c r="B14" s="219">
        <v>6</v>
      </c>
      <c r="C14" s="13">
        <v>32580</v>
      </c>
      <c r="D14" s="13">
        <f t="shared" si="0"/>
        <v>5430</v>
      </c>
    </row>
    <row r="15" spans="1:4" ht="14.25" customHeight="1" x14ac:dyDescent="0.25">
      <c r="A15" s="218" t="s">
        <v>52</v>
      </c>
      <c r="B15" s="219">
        <v>14</v>
      </c>
      <c r="C15" s="13">
        <v>29325</v>
      </c>
      <c r="D15" s="13">
        <f t="shared" si="0"/>
        <v>2094.6428571428573</v>
      </c>
    </row>
    <row r="16" spans="1:4" ht="14.25" customHeight="1" x14ac:dyDescent="0.25">
      <c r="A16" s="218" t="s">
        <v>93</v>
      </c>
      <c r="B16" s="219">
        <v>11</v>
      </c>
      <c r="C16" s="13">
        <v>26950</v>
      </c>
      <c r="D16" s="13">
        <f t="shared" si="0"/>
        <v>2450</v>
      </c>
    </row>
    <row r="17" spans="1:6" ht="14.25" customHeight="1" x14ac:dyDescent="0.25">
      <c r="A17" s="218" t="s">
        <v>209</v>
      </c>
      <c r="B17" s="219">
        <v>7</v>
      </c>
      <c r="C17" s="13">
        <v>36750</v>
      </c>
      <c r="D17" s="13">
        <f t="shared" si="0"/>
        <v>5250</v>
      </c>
    </row>
    <row r="18" spans="1:6" ht="14.25" customHeight="1" x14ac:dyDescent="0.25">
      <c r="A18" s="215" t="s">
        <v>528</v>
      </c>
      <c r="B18" s="220">
        <v>51</v>
      </c>
      <c r="C18" s="32">
        <v>144185.5</v>
      </c>
      <c r="D18" s="13">
        <f t="shared" si="0"/>
        <v>2827.1666666666665</v>
      </c>
    </row>
    <row r="19" spans="1:6" ht="14.25" customHeight="1" x14ac:dyDescent="0.25"/>
    <row r="20" spans="1:6" ht="14.25" customHeight="1" x14ac:dyDescent="0.25">
      <c r="A20" s="213" t="s">
        <v>1061</v>
      </c>
      <c r="B20" s="214"/>
      <c r="C20" s="214"/>
      <c r="D20" s="214"/>
    </row>
    <row r="21" spans="1:6" ht="14.25" customHeight="1" x14ac:dyDescent="0.25">
      <c r="A21" s="215" t="s">
        <v>1062</v>
      </c>
      <c r="B21" s="217">
        <f t="array" ref="B21">SUMPRODUCT(E28:E33,C28:C33/B28:B33)</f>
        <v>43255.65</v>
      </c>
    </row>
    <row r="22" spans="1:6" ht="14.25" customHeight="1" x14ac:dyDescent="0.25">
      <c r="A22" s="215" t="s">
        <v>1063</v>
      </c>
      <c r="B22" s="217">
        <f>B6-B21</f>
        <v>100929.85</v>
      </c>
    </row>
    <row r="23" spans="1:6" ht="14.25" customHeight="1" x14ac:dyDescent="0.25">
      <c r="A23" s="215" t="s">
        <v>1064</v>
      </c>
      <c r="B23" s="221">
        <f>B22/B6</f>
        <v>0.70000000000000007</v>
      </c>
    </row>
    <row r="24" spans="1:6" ht="14.25" customHeight="1" x14ac:dyDescent="0.25">
      <c r="A24" s="215" t="s">
        <v>1065</v>
      </c>
      <c r="B24" s="217">
        <f ca="1">B22/B4</f>
        <v>100929.85</v>
      </c>
    </row>
    <row r="25" spans="1:6" ht="14.25" customHeight="1" x14ac:dyDescent="0.25"/>
    <row r="26" spans="1:6" ht="14.25" customHeight="1" x14ac:dyDescent="0.25">
      <c r="A26" s="215" t="s">
        <v>1066</v>
      </c>
    </row>
    <row r="27" spans="1:6" ht="14.25" customHeight="1" x14ac:dyDescent="0.25">
      <c r="A27" s="215" t="s">
        <v>1058</v>
      </c>
      <c r="B27" s="215" t="s">
        <v>1067</v>
      </c>
      <c r="C27" s="215" t="s">
        <v>1068</v>
      </c>
      <c r="D27" s="215" t="s">
        <v>587</v>
      </c>
      <c r="E27" s="215" t="s">
        <v>1054</v>
      </c>
      <c r="F27" s="215" t="s">
        <v>1062</v>
      </c>
    </row>
    <row r="28" spans="1:6" ht="14.25" customHeight="1" x14ac:dyDescent="0.25">
      <c r="A28" s="218" t="s">
        <v>58</v>
      </c>
      <c r="B28" s="222">
        <f>Ref!B2</f>
        <v>45</v>
      </c>
      <c r="C28" s="222">
        <f>Ref!C2</f>
        <v>13.5</v>
      </c>
      <c r="D28" s="223">
        <f>Ref!D2</f>
        <v>0.7</v>
      </c>
      <c r="E28" s="222">
        <f t="shared" ref="E28:E33" si="1">C12</f>
        <v>3105</v>
      </c>
      <c r="F28" s="222">
        <f t="shared" ref="F28:F33" si="2">E28*C28/B28</f>
        <v>931.5</v>
      </c>
    </row>
    <row r="29" spans="1:6" ht="14.25" customHeight="1" x14ac:dyDescent="0.25">
      <c r="A29" s="218" t="s">
        <v>119</v>
      </c>
      <c r="B29" s="222">
        <f>Ref!B3</f>
        <v>95</v>
      </c>
      <c r="C29" s="222">
        <f>Ref!C3</f>
        <v>28.5</v>
      </c>
      <c r="D29" s="223">
        <f>Ref!D3</f>
        <v>0.7</v>
      </c>
      <c r="E29" s="222">
        <f t="shared" si="1"/>
        <v>15475.5</v>
      </c>
      <c r="F29" s="222">
        <f t="shared" si="2"/>
        <v>4642.6499999999996</v>
      </c>
    </row>
    <row r="30" spans="1:6" ht="14.25" customHeight="1" x14ac:dyDescent="0.25">
      <c r="A30" s="218" t="s">
        <v>64</v>
      </c>
      <c r="B30" s="222">
        <f>Ref!B4</f>
        <v>180</v>
      </c>
      <c r="C30" s="222">
        <f>Ref!C4</f>
        <v>54</v>
      </c>
      <c r="D30" s="223">
        <f>Ref!D4</f>
        <v>0.7</v>
      </c>
      <c r="E30" s="222">
        <f t="shared" si="1"/>
        <v>32580</v>
      </c>
      <c r="F30" s="222">
        <f t="shared" si="2"/>
        <v>9774</v>
      </c>
    </row>
    <row r="31" spans="1:6" ht="14.25" customHeight="1" x14ac:dyDescent="0.25">
      <c r="A31" s="218" t="s">
        <v>52</v>
      </c>
      <c r="B31" s="222">
        <f>Ref!B5</f>
        <v>85</v>
      </c>
      <c r="C31" s="222">
        <f>Ref!C5</f>
        <v>25.5</v>
      </c>
      <c r="D31" s="223">
        <f>Ref!D5</f>
        <v>0.7</v>
      </c>
      <c r="E31" s="222">
        <f t="shared" si="1"/>
        <v>29325</v>
      </c>
      <c r="F31" s="222">
        <f t="shared" si="2"/>
        <v>8797.5</v>
      </c>
    </row>
    <row r="32" spans="1:6" ht="14.25" customHeight="1" x14ac:dyDescent="0.25">
      <c r="A32" s="218" t="s">
        <v>93</v>
      </c>
      <c r="B32" s="222">
        <f>Ref!B6</f>
        <v>110</v>
      </c>
      <c r="C32" s="222">
        <f>Ref!C6</f>
        <v>33</v>
      </c>
      <c r="D32" s="223">
        <f>Ref!D6</f>
        <v>0.7</v>
      </c>
      <c r="E32" s="222">
        <f t="shared" si="1"/>
        <v>26950</v>
      </c>
      <c r="F32" s="222">
        <f t="shared" si="2"/>
        <v>8085</v>
      </c>
    </row>
    <row r="33" spans="1:6" ht="14.25" customHeight="1" x14ac:dyDescent="0.25">
      <c r="A33" s="218" t="s">
        <v>209</v>
      </c>
      <c r="B33" s="222">
        <f>Ref!B7</f>
        <v>150</v>
      </c>
      <c r="C33" s="222">
        <f>Ref!C7</f>
        <v>45</v>
      </c>
      <c r="D33" s="223">
        <f>Ref!D7</f>
        <v>0.7</v>
      </c>
      <c r="E33" s="222">
        <f t="shared" si="1"/>
        <v>36750</v>
      </c>
      <c r="F33" s="222">
        <f t="shared" si="2"/>
        <v>11025</v>
      </c>
    </row>
    <row r="34" spans="1:6" ht="14.25" customHeight="1" x14ac:dyDescent="0.25"/>
    <row r="35" spans="1:6" ht="14.25" customHeight="1" x14ac:dyDescent="0.25">
      <c r="A35" s="213" t="s">
        <v>1069</v>
      </c>
      <c r="B35" s="213"/>
    </row>
    <row r="36" spans="1:6" ht="14.25" customHeight="1" x14ac:dyDescent="0.25">
      <c r="A36" s="215" t="s">
        <v>1070</v>
      </c>
    </row>
    <row r="37" spans="1:6" ht="14.25" customHeight="1" x14ac:dyDescent="0.25">
      <c r="A37" s="215" t="s">
        <v>1071</v>
      </c>
      <c r="B37" s="221">
        <f>1-Retention!AA29</f>
        <v>8.5472795649176314E-3</v>
      </c>
    </row>
    <row r="38" spans="1:6" ht="14.25" customHeight="1" x14ac:dyDescent="0.25">
      <c r="A38" s="215" t="s">
        <v>1072</v>
      </c>
      <c r="B38" s="224">
        <f>1/B37</f>
        <v>116.99629015347843</v>
      </c>
    </row>
    <row r="39" spans="1:6" ht="14.25" customHeight="1" x14ac:dyDescent="0.25"/>
    <row r="40" spans="1:6" ht="14.25" customHeight="1" x14ac:dyDescent="0.25">
      <c r="A40" s="215" t="s">
        <v>1073</v>
      </c>
    </row>
    <row r="41" spans="1:6" ht="14.25" customHeight="1" x14ac:dyDescent="0.25">
      <c r="A41" s="22" t="s">
        <v>1074</v>
      </c>
      <c r="B41" s="22" t="s">
        <v>1075</v>
      </c>
      <c r="C41" s="22" t="s">
        <v>1076</v>
      </c>
      <c r="D41" s="22" t="s">
        <v>1077</v>
      </c>
    </row>
    <row r="42" spans="1:6" ht="14.25" customHeight="1" x14ac:dyDescent="0.25">
      <c r="A42" s="218" t="s">
        <v>842</v>
      </c>
      <c r="B42" s="218" t="s">
        <v>147</v>
      </c>
      <c r="C42" s="224">
        <f t="array" ref="C42">(INDEX(Engine!$G$2:$G$1002,MATCH(1,(Engine!$B$2:$B$1002="SUB001")*(Engine!$H$2:$H$1002="cancelled"),0))-INDEX(Engine!$G$2:$G$1002,MATCH(1,(Engine!$B$2:$B$1002="SUB001")*(Engine!$H$2:$H$1002="created"),0)))/30.44</f>
        <v>7.6215505913272006</v>
      </c>
      <c r="D42" s="217">
        <f t="array" ref="D42">-INDEX(Engine!$S$2:$S$1002,MATCH(1,(Engine!$B$2:$B$1002="SUB001")*(Engine!$H$2:$H$1002="cancelled"),0))</f>
        <v>1900</v>
      </c>
    </row>
    <row r="43" spans="1:6" ht="14.25" customHeight="1" x14ac:dyDescent="0.25">
      <c r="A43" s="218" t="s">
        <v>852</v>
      </c>
      <c r="B43" s="218" t="s">
        <v>854</v>
      </c>
      <c r="C43" s="224">
        <f t="array" ref="C43">(INDEX(Engine!$G$2:$G$1002,MATCH(1,(Engine!$B$2:$B$1002="SUB005")*(Engine!$H$2:$H$1002="cancelled"),0))-INDEX(Engine!$G$2:$G$1002,MATCH(1,(Engine!$B$2:$B$1002="SUB005")*(Engine!$H$2:$H$1002="created"),0)))/30.44</f>
        <v>8.5742444152431005</v>
      </c>
      <c r="D43" s="217">
        <f t="array" ref="D43">-INDEX(Engine!$S$2:$S$1002,MATCH(1,(Engine!$B$2:$B$1002="SUB005")*(Engine!$H$2:$H$1002="cancelled"),0))</f>
        <v>495</v>
      </c>
    </row>
    <row r="44" spans="1:6" ht="14.25" customHeight="1" x14ac:dyDescent="0.25">
      <c r="A44" s="218" t="s">
        <v>860</v>
      </c>
      <c r="B44" s="218" t="s">
        <v>88</v>
      </c>
      <c r="C44" s="224">
        <f t="array" ref="C44">(INDEX(Engine!$G$2:$G$1002,MATCH(1,(Engine!$B$2:$B$1002="SUB008")*(Engine!$H$2:$H$1002="cancelled"),0))-INDEX(Engine!$G$2:$G$1002,MATCH(1,(Engine!$B$2:$B$1002="SUB008")*(Engine!$H$2:$H$1002="created"),0)))/30.44</f>
        <v>8.2457293035479626</v>
      </c>
      <c r="D44" s="217">
        <f t="array" ref="D44">-INDEX(Engine!$S$2:$S$1002,MATCH(1,(Engine!$B$2:$B$1002="SUB008")*(Engine!$H$2:$H$1002="cancelled"),0))</f>
        <v>2090</v>
      </c>
    </row>
    <row r="45" spans="1:6" ht="14.25" customHeight="1" x14ac:dyDescent="0.25">
      <c r="A45" s="218" t="s">
        <v>870</v>
      </c>
      <c r="B45" s="218" t="s">
        <v>202</v>
      </c>
      <c r="C45" s="224">
        <f t="array" ref="C45">(INDEX(Engine!$G$2:$G$1002,MATCH(1,(Engine!$B$2:$B$1002="SUB013")*(Engine!$H$2:$H$1002="cancelled"),0))-INDEX(Engine!$G$2:$G$1002,MATCH(1,(Engine!$B$2:$B$1002="SUB013")*(Engine!$H$2:$H$1002="created"),0)))/30.44</f>
        <v>6.7345597897503282</v>
      </c>
      <c r="D45" s="217">
        <f t="array" ref="D45">-INDEX(Engine!$S$2:$S$1002,MATCH(1,(Engine!$B$2:$B$1002="SUB013")*(Engine!$H$2:$H$1002="cancelled"),0))</f>
        <v>450</v>
      </c>
    </row>
    <row r="46" spans="1:6" ht="14.25" customHeight="1" x14ac:dyDescent="0.25">
      <c r="A46" s="218" t="s">
        <v>892</v>
      </c>
      <c r="B46" s="218" t="s">
        <v>263</v>
      </c>
      <c r="C46" s="224">
        <f t="array" ref="C46">(INDEX(Engine!$G$2:$G$1002,MATCH(1,(Engine!$B$2:$B$1002="SUB021")*(Engine!$H$2:$H$1002="cancelled"),0))-INDEX(Engine!$G$2:$G$1002,MATCH(1,(Engine!$B$2:$B$1002="SUB021")*(Engine!$H$2:$H$1002="created"),0)))/30.44</f>
        <v>7.3587385019710903</v>
      </c>
      <c r="D46" s="217">
        <f t="array" ref="D46">-INDEX(Engine!$S$2:$S$1002,MATCH(1,(Engine!$B$2:$B$1002="SUB021")*(Engine!$H$2:$H$1002="cancelled"),0))</f>
        <v>2375</v>
      </c>
    </row>
    <row r="47" spans="1:6" ht="14.25" customHeight="1" x14ac:dyDescent="0.25">
      <c r="A47" s="218" t="s">
        <v>868</v>
      </c>
      <c r="B47" s="218" t="s">
        <v>117</v>
      </c>
      <c r="C47" s="224">
        <f t="array" ref="C47">(INDEX(Engine!$G$2:$G$1002,MATCH(1,(Engine!$B$2:$B$1002="SUB049")*(Engine!$H$2:$H$1002="cancelled"),0))-INDEX(Engine!$G$2:$G$1002,MATCH(1,(Engine!$B$2:$B$1002="SUB049")*(Engine!$H$2:$H$1002="created"),0)))/30.44</f>
        <v>11.990801576872535</v>
      </c>
      <c r="D47" s="217">
        <f t="array" ref="D47">-INDEX(Engine!$S$2:$S$1002,MATCH(1,(Engine!$B$2:$B$1002="SUB049")*(Engine!$H$2:$H$1002="cancelled"),0))</f>
        <v>855</v>
      </c>
    </row>
    <row r="48" spans="1:6" ht="14.25" customHeight="1" x14ac:dyDescent="0.25">
      <c r="A48" s="218" t="s">
        <v>896</v>
      </c>
      <c r="B48" s="218" t="s">
        <v>155</v>
      </c>
      <c r="C48" s="224">
        <f t="array" ref="C48">(INDEX(Engine!$G$2:$G$1002,MATCH(1,(Engine!$B$2:$B$1002="SUB023")*(Engine!$H$2:$H$1002="cancelled"),0))-INDEX(Engine!$G$2:$G$1002,MATCH(1,(Engine!$B$2:$B$1002="SUB023")*(Engine!$H$2:$H$1002="created"),0)))/30.44</f>
        <v>7.4244415243101178</v>
      </c>
      <c r="D48" s="217">
        <f t="array" ref="D48">-INDEX(Engine!$S$2:$S$1002,MATCH(1,(Engine!$B$2:$B$1002="SUB023")*(Engine!$H$2:$H$1002="cancelled"),0))</f>
        <v>450</v>
      </c>
    </row>
    <row r="49" spans="1:10" ht="14.25" customHeight="1" x14ac:dyDescent="0.25">
      <c r="A49" s="218" t="s">
        <v>888</v>
      </c>
      <c r="B49" s="218" t="s">
        <v>160</v>
      </c>
      <c r="C49" s="224">
        <f t="array" ref="C49">(INDEX(Engine!$G$2:$G$1002,MATCH(1,(Engine!$B$2:$B$1002="SUB060")*(Engine!$H$2:$H$1002="cancelled"),0))-INDEX(Engine!$G$2:$G$1002,MATCH(1,(Engine!$B$2:$B$1002="SUB060")*(Engine!$H$2:$H$1002="created"),0)))/30.44</f>
        <v>10.085413929040735</v>
      </c>
      <c r="D49" s="217">
        <f t="array" ref="D49">-INDEX(Engine!$S$2:$S$1002,MATCH(1,(Engine!$B$2:$B$1002="SUB060")*(Engine!$H$2:$H$1002="cancelled"),0))</f>
        <v>1760</v>
      </c>
    </row>
    <row r="50" spans="1:10" ht="14.25" customHeight="1" x14ac:dyDescent="0.25">
      <c r="A50" s="218" t="s">
        <v>850</v>
      </c>
      <c r="B50" s="218" t="s">
        <v>180</v>
      </c>
      <c r="C50" s="224">
        <f t="array" ref="C50">(INDEX(Engine!$G$2:$G$1002,MATCH(1,(Engine!$B$2:$B$1002="SUB055")*(Engine!$H$2:$H$1002="cancelled"),0))-INDEX(Engine!$G$2:$G$1002,MATCH(1,(Engine!$B$2:$B$1002="SUB055")*(Engine!$H$2:$H$1002="created"),0)))/30.44</f>
        <v>18.331143232588698</v>
      </c>
      <c r="D50" s="217">
        <f t="array" ref="D50">-INDEX(Engine!$S$2:$S$1002,MATCH(1,(Engine!$B$2:$B$1002="SUB055")*(Engine!$H$2:$H$1002="cancelled"),0))</f>
        <v>4680</v>
      </c>
    </row>
    <row r="51" spans="1:10" ht="14.25" customHeight="1" x14ac:dyDescent="0.25">
      <c r="A51" s="218" t="s">
        <v>874</v>
      </c>
      <c r="B51" s="218" t="s">
        <v>214</v>
      </c>
      <c r="C51" s="224">
        <f t="array" ref="C51">(INDEX(Engine!$G$2:$G$1002,MATCH(1,(Engine!$B$2:$B$1002="SUB015")*(Engine!$H$2:$H$1002="cancelled"),0))-INDEX(Engine!$G$2:$G$1002,MATCH(1,(Engine!$B$2:$B$1002="SUB015")*(Engine!$H$2:$H$1002="created"),0)))/30.44</f>
        <v>17.279894875164256</v>
      </c>
      <c r="D51" s="217">
        <f t="array" ref="D51">-INDEX(Engine!$S$2:$S$1002,MATCH(1,(Engine!$B$2:$B$1002="SUB015")*(Engine!$H$2:$H$1002="cancelled"),0))</f>
        <v>1624.5</v>
      </c>
    </row>
    <row r="52" spans="1:10" ht="14.25" customHeight="1" x14ac:dyDescent="0.25">
      <c r="A52" s="218" t="s">
        <v>57</v>
      </c>
      <c r="B52" s="218" t="s">
        <v>50</v>
      </c>
      <c r="C52" s="224">
        <f t="array" ref="C52">(INDEX(Engine!$G$2:$G$1002,MATCH(1,(Engine!$B$2:$B$1002="SUB050")*(Engine!$H$2:$H$1002="cancelled"),0))-INDEX(Engine!$G$2:$G$1002,MATCH(1,(Engine!$B$2:$B$1002="SUB050")*(Engine!$H$2:$H$1002="created"),0)))/30.44</f>
        <v>22.667542706964518</v>
      </c>
      <c r="D52" s="217">
        <f t="array" ref="D52">-INDEX(Engine!$S$2:$S$1002,MATCH(1,(Engine!$B$2:$B$1002="SUB050")*(Engine!$H$2:$H$1002="cancelled"),0))</f>
        <v>594</v>
      </c>
    </row>
    <row r="53" spans="1:10" ht="14.25" customHeight="1" x14ac:dyDescent="0.25">
      <c r="A53" s="215" t="s">
        <v>1078</v>
      </c>
      <c r="C53" s="224">
        <f>AVERAGE(C42:C52)</f>
        <v>11.483096404252779</v>
      </c>
      <c r="D53" s="217">
        <f>AVERAGE(D42:D52)</f>
        <v>1570.3181818181818</v>
      </c>
    </row>
    <row r="54" spans="1:10" ht="14.25" customHeight="1" x14ac:dyDescent="0.25">
      <c r="A54" s="215" t="s">
        <v>1079</v>
      </c>
      <c r="C54" s="224">
        <f>MEDIAN(C42:C52)</f>
        <v>8.5742444152431005</v>
      </c>
      <c r="D54" s="217">
        <f>MEDIAN(D42:D52)</f>
        <v>1624.5</v>
      </c>
    </row>
    <row r="55" spans="1:10" ht="14.25" customHeight="1" x14ac:dyDescent="0.25"/>
    <row r="56" spans="1:10" ht="14.25" customHeight="1" x14ac:dyDescent="0.25">
      <c r="A56" s="215" t="s">
        <v>1080</v>
      </c>
    </row>
    <row r="57" spans="1:10" ht="14.25" customHeight="1" x14ac:dyDescent="0.25">
      <c r="A57" s="215" t="s">
        <v>1081</v>
      </c>
      <c r="B57" s="217">
        <f ca="1">B7/B37</f>
        <v>16869168.593924362</v>
      </c>
    </row>
    <row r="58" spans="1:10" ht="14.25" customHeight="1" x14ac:dyDescent="0.25">
      <c r="A58" s="225" t="s">
        <v>1082</v>
      </c>
      <c r="B58" s="226">
        <f ca="1">B7*B23/B37</f>
        <v>11808418.015747055</v>
      </c>
    </row>
    <row r="59" spans="1:10" ht="14.25" customHeight="1" x14ac:dyDescent="0.25">
      <c r="A59" s="215" t="s">
        <v>1083</v>
      </c>
      <c r="B59" s="217">
        <f ca="1">B7*C53*B23</f>
        <v>1158987.1976167725</v>
      </c>
    </row>
    <row r="60" spans="1:10" ht="14.25" customHeight="1" x14ac:dyDescent="0.25"/>
    <row r="61" spans="1:10" ht="14.25" customHeight="1" x14ac:dyDescent="0.25">
      <c r="A61" s="215" t="s">
        <v>1084</v>
      </c>
    </row>
    <row r="62" spans="1:10" ht="14.25" customHeight="1" x14ac:dyDescent="0.25">
      <c r="A62" s="227" t="s">
        <v>1085</v>
      </c>
    </row>
    <row r="63" spans="1:10" ht="14.25" customHeight="1" x14ac:dyDescent="0.25"/>
    <row r="64" spans="1:10" ht="14.25" customHeight="1" x14ac:dyDescent="0.25">
      <c r="A64" s="256" t="s">
        <v>1086</v>
      </c>
      <c r="B64" s="253"/>
      <c r="C64" s="253"/>
      <c r="D64" s="253"/>
      <c r="E64" s="253"/>
      <c r="F64" s="253"/>
      <c r="G64" s="253"/>
      <c r="H64" s="253"/>
      <c r="I64" s="253"/>
      <c r="J64" s="253"/>
    </row>
    <row r="65" spans="1:10" ht="14.25" customHeight="1" x14ac:dyDescent="0.25">
      <c r="A65" s="215" t="s">
        <v>1087</v>
      </c>
    </row>
    <row r="66" spans="1:10" ht="14.25" customHeight="1" x14ac:dyDescent="0.25">
      <c r="A66" s="228" t="s">
        <v>819</v>
      </c>
      <c r="B66" s="228" t="s">
        <v>1088</v>
      </c>
      <c r="C66" s="228" t="s">
        <v>1089</v>
      </c>
      <c r="D66" s="228" t="s">
        <v>1090</v>
      </c>
      <c r="E66" s="228" t="s">
        <v>1091</v>
      </c>
      <c r="F66" s="228" t="s">
        <v>1092</v>
      </c>
      <c r="G66" s="228" t="s">
        <v>1093</v>
      </c>
      <c r="H66" s="228" t="s">
        <v>1094</v>
      </c>
      <c r="I66" s="228" t="s">
        <v>1095</v>
      </c>
      <c r="J66" s="228" t="s">
        <v>506</v>
      </c>
    </row>
    <row r="67" spans="1:10" ht="14.25" customHeight="1" x14ac:dyDescent="0.25">
      <c r="A67" s="229" t="s">
        <v>1096</v>
      </c>
      <c r="B67" s="230">
        <v>11500</v>
      </c>
      <c r="C67" s="230">
        <v>7200</v>
      </c>
      <c r="D67" s="230">
        <v>4200</v>
      </c>
      <c r="E67" s="230">
        <v>2100</v>
      </c>
      <c r="F67" s="230">
        <v>1800</v>
      </c>
      <c r="G67" s="230">
        <v>1050</v>
      </c>
      <c r="H67" s="230">
        <v>0</v>
      </c>
      <c r="I67" s="230">
        <v>27850</v>
      </c>
      <c r="J67" s="231">
        <v>2</v>
      </c>
    </row>
    <row r="68" spans="1:10" ht="14.25" customHeight="1" x14ac:dyDescent="0.25">
      <c r="A68" s="229" t="s">
        <v>1097</v>
      </c>
      <c r="B68" s="230">
        <v>11500</v>
      </c>
      <c r="C68" s="230">
        <v>7200</v>
      </c>
      <c r="D68" s="230">
        <v>4500</v>
      </c>
      <c r="E68" s="230">
        <v>2100</v>
      </c>
      <c r="F68" s="230">
        <v>1600</v>
      </c>
      <c r="G68" s="230">
        <v>1050</v>
      </c>
      <c r="H68" s="230">
        <v>0</v>
      </c>
      <c r="I68" s="230">
        <v>27950</v>
      </c>
      <c r="J68" s="231">
        <v>2</v>
      </c>
    </row>
    <row r="69" spans="1:10" ht="14.25" customHeight="1" x14ac:dyDescent="0.25">
      <c r="A69" s="229" t="s">
        <v>1098</v>
      </c>
      <c r="B69" s="230">
        <v>11500</v>
      </c>
      <c r="C69" s="230">
        <v>7200</v>
      </c>
      <c r="D69" s="230">
        <v>5100</v>
      </c>
      <c r="E69" s="230">
        <v>2400</v>
      </c>
      <c r="F69" s="230">
        <v>2400</v>
      </c>
      <c r="G69" s="230">
        <v>1050</v>
      </c>
      <c r="H69" s="230">
        <v>2800</v>
      </c>
      <c r="I69" s="230">
        <v>32450</v>
      </c>
      <c r="J69" s="231">
        <v>3</v>
      </c>
    </row>
    <row r="70" spans="1:10" ht="14.25" customHeight="1" x14ac:dyDescent="0.25">
      <c r="A70" s="229" t="s">
        <v>1099</v>
      </c>
      <c r="B70" s="230">
        <v>11500</v>
      </c>
      <c r="C70" s="230">
        <v>7200</v>
      </c>
      <c r="D70" s="230">
        <v>4800</v>
      </c>
      <c r="E70" s="230">
        <v>2100</v>
      </c>
      <c r="F70" s="230">
        <v>1500</v>
      </c>
      <c r="G70" s="230">
        <v>1050</v>
      </c>
      <c r="H70" s="230">
        <v>0</v>
      </c>
      <c r="I70" s="230">
        <v>28150</v>
      </c>
      <c r="J70" s="231">
        <v>2</v>
      </c>
    </row>
    <row r="71" spans="1:10" ht="14.25" customHeight="1" x14ac:dyDescent="0.25">
      <c r="A71" s="229" t="s">
        <v>1100</v>
      </c>
      <c r="B71" s="230">
        <v>11500</v>
      </c>
      <c r="C71" s="230">
        <v>7200</v>
      </c>
      <c r="D71" s="230">
        <v>4600</v>
      </c>
      <c r="E71" s="230">
        <v>2100</v>
      </c>
      <c r="F71" s="230">
        <v>1200</v>
      </c>
      <c r="G71" s="230">
        <v>1050</v>
      </c>
      <c r="H71" s="230">
        <v>0</v>
      </c>
      <c r="I71" s="230">
        <v>27650</v>
      </c>
      <c r="J71" s="231">
        <v>2</v>
      </c>
    </row>
    <row r="72" spans="1:10" ht="14.25" customHeight="1" x14ac:dyDescent="0.25">
      <c r="A72" s="229" t="s">
        <v>1101</v>
      </c>
      <c r="B72" s="230">
        <v>11500</v>
      </c>
      <c r="C72" s="230">
        <v>7200</v>
      </c>
      <c r="D72" s="230">
        <v>5000</v>
      </c>
      <c r="E72" s="230">
        <v>2400</v>
      </c>
      <c r="F72" s="230">
        <v>1400</v>
      </c>
      <c r="G72" s="230">
        <v>1050</v>
      </c>
      <c r="H72" s="230">
        <v>3200</v>
      </c>
      <c r="I72" s="230">
        <v>31750</v>
      </c>
      <c r="J72" s="231">
        <v>2</v>
      </c>
    </row>
    <row r="73" spans="1:10" ht="14.25" customHeight="1" x14ac:dyDescent="0.25">
      <c r="A73" s="229" t="s">
        <v>1102</v>
      </c>
      <c r="B73" s="230">
        <v>11500</v>
      </c>
      <c r="C73" s="230">
        <v>7200</v>
      </c>
      <c r="D73" s="230">
        <v>6500</v>
      </c>
      <c r="E73" s="230">
        <v>2400</v>
      </c>
      <c r="F73" s="230">
        <v>0</v>
      </c>
      <c r="G73" s="230">
        <v>1050</v>
      </c>
      <c r="H73" s="230">
        <v>0</v>
      </c>
      <c r="I73" s="230">
        <v>28650</v>
      </c>
      <c r="J73" s="231">
        <v>0</v>
      </c>
    </row>
    <row r="74" spans="1:10" ht="14.25" customHeight="1" x14ac:dyDescent="0.25">
      <c r="A74" s="229" t="s">
        <v>1103</v>
      </c>
      <c r="B74" s="230">
        <v>11500</v>
      </c>
      <c r="C74" s="230">
        <v>7200</v>
      </c>
      <c r="D74" s="230">
        <v>7200</v>
      </c>
      <c r="E74" s="230">
        <v>2400</v>
      </c>
      <c r="F74" s="230">
        <v>0</v>
      </c>
      <c r="G74" s="230">
        <v>1050</v>
      </c>
      <c r="H74" s="230">
        <v>0</v>
      </c>
      <c r="I74" s="230">
        <v>29350</v>
      </c>
      <c r="J74" s="231">
        <v>0</v>
      </c>
    </row>
    <row r="75" spans="1:10" ht="14.25" customHeight="1" x14ac:dyDescent="0.25">
      <c r="A75" s="229" t="s">
        <v>1104</v>
      </c>
      <c r="B75" s="230">
        <v>11500</v>
      </c>
      <c r="C75" s="230">
        <v>7200</v>
      </c>
      <c r="D75" s="230">
        <v>6800</v>
      </c>
      <c r="E75" s="230">
        <v>2400</v>
      </c>
      <c r="F75" s="230">
        <v>0</v>
      </c>
      <c r="G75" s="230">
        <v>1050</v>
      </c>
      <c r="H75" s="230">
        <v>4500</v>
      </c>
      <c r="I75" s="230">
        <v>33450</v>
      </c>
      <c r="J75" s="231">
        <v>0</v>
      </c>
    </row>
    <row r="76" spans="1:10" ht="14.25" customHeight="1" x14ac:dyDescent="0.25">
      <c r="A76" s="229" t="s">
        <v>1105</v>
      </c>
      <c r="B76" s="230">
        <v>11500</v>
      </c>
      <c r="C76" s="230">
        <v>7200</v>
      </c>
      <c r="D76" s="230">
        <v>3500</v>
      </c>
      <c r="E76" s="230">
        <v>1800</v>
      </c>
      <c r="F76" s="230">
        <v>0</v>
      </c>
      <c r="G76" s="230">
        <v>1050</v>
      </c>
      <c r="H76" s="230">
        <v>0</v>
      </c>
      <c r="I76" s="230">
        <v>25050</v>
      </c>
      <c r="J76" s="231">
        <v>0</v>
      </c>
    </row>
    <row r="77" spans="1:10" ht="14.25" customHeight="1" x14ac:dyDescent="0.25">
      <c r="A77" s="229" t="s">
        <v>1106</v>
      </c>
      <c r="B77" s="230">
        <v>11500</v>
      </c>
      <c r="C77" s="230">
        <v>7200</v>
      </c>
      <c r="D77" s="230">
        <v>3200</v>
      </c>
      <c r="E77" s="230">
        <v>1800</v>
      </c>
      <c r="F77" s="230">
        <v>0</v>
      </c>
      <c r="G77" s="230">
        <v>1050</v>
      </c>
      <c r="H77" s="230">
        <v>0</v>
      </c>
      <c r="I77" s="230">
        <v>24750</v>
      </c>
      <c r="J77" s="231">
        <v>0</v>
      </c>
    </row>
    <row r="78" spans="1:10" ht="14.25" customHeight="1" x14ac:dyDescent="0.25">
      <c r="A78" s="229" t="s">
        <v>1107</v>
      </c>
      <c r="B78" s="230">
        <v>11500</v>
      </c>
      <c r="C78" s="230">
        <v>7200</v>
      </c>
      <c r="D78" s="230">
        <v>2800</v>
      </c>
      <c r="E78" s="230">
        <v>1800</v>
      </c>
      <c r="F78" s="230">
        <v>0</v>
      </c>
      <c r="G78" s="230">
        <v>1050</v>
      </c>
      <c r="H78" s="230">
        <v>0</v>
      </c>
      <c r="I78" s="230">
        <v>24350</v>
      </c>
      <c r="J78" s="231">
        <v>0</v>
      </c>
    </row>
    <row r="79" spans="1:10" ht="14.25" customHeight="1" x14ac:dyDescent="0.25">
      <c r="A79" s="229" t="s">
        <v>1108</v>
      </c>
      <c r="B79" s="230">
        <v>11500</v>
      </c>
      <c r="C79" s="230">
        <v>7200</v>
      </c>
      <c r="D79" s="230">
        <v>3500</v>
      </c>
      <c r="E79" s="230">
        <v>2100</v>
      </c>
      <c r="F79" s="230">
        <v>800</v>
      </c>
      <c r="G79" s="230">
        <v>1050</v>
      </c>
      <c r="H79" s="230">
        <v>0</v>
      </c>
      <c r="I79" s="230">
        <v>26150</v>
      </c>
      <c r="J79" s="231">
        <v>1</v>
      </c>
    </row>
    <row r="80" spans="1:10" ht="14.25" customHeight="1" x14ac:dyDescent="0.25">
      <c r="A80" s="229" t="s">
        <v>1109</v>
      </c>
      <c r="B80" s="230">
        <v>11500</v>
      </c>
      <c r="C80" s="230">
        <v>7200</v>
      </c>
      <c r="D80" s="230">
        <v>3800</v>
      </c>
      <c r="E80" s="230">
        <v>2100</v>
      </c>
      <c r="F80" s="230">
        <v>0</v>
      </c>
      <c r="G80" s="230">
        <v>1050</v>
      </c>
      <c r="H80" s="230">
        <v>0</v>
      </c>
      <c r="I80" s="230">
        <v>25650</v>
      </c>
      <c r="J80" s="231">
        <v>0</v>
      </c>
    </row>
    <row r="81" spans="1:10" ht="14.25" customHeight="1" x14ac:dyDescent="0.25">
      <c r="A81" s="232" t="s">
        <v>528</v>
      </c>
      <c r="B81" s="233">
        <f>SUM('Unit Economics'!$B$67:$B$80)</f>
        <v>161000</v>
      </c>
      <c r="C81" s="233">
        <f>SUM('Unit Economics'!$C$67:$C$80)</f>
        <v>100800</v>
      </c>
      <c r="D81" s="233">
        <f>SUM('Unit Economics'!$D$67:$D$80)</f>
        <v>65500</v>
      </c>
      <c r="E81" s="233">
        <f>SUM('Unit Economics'!$E$67:$E$80)</f>
        <v>30000</v>
      </c>
      <c r="F81" s="233">
        <f>SUM('Unit Economics'!$F$67:$F$80)</f>
        <v>10700</v>
      </c>
      <c r="G81" s="233">
        <f>SUM('Unit Economics'!$G$67:$G$80)</f>
        <v>14700</v>
      </c>
      <c r="H81" s="233">
        <f>SUM('Unit Economics'!$H$67:$H$80)</f>
        <v>10500</v>
      </c>
      <c r="I81" s="233">
        <f>SUM('Unit Economics'!$I$67:$I$80)</f>
        <v>393200</v>
      </c>
      <c r="J81" s="234">
        <f>SUM('Unit Economics'!$J$67:$J$80)</f>
        <v>14</v>
      </c>
    </row>
    <row r="82" spans="1:10" ht="14.25" customHeight="1" x14ac:dyDescent="0.25"/>
    <row r="83" spans="1:10" ht="14.25" customHeight="1" x14ac:dyDescent="0.25">
      <c r="A83" s="232" t="s">
        <v>1110</v>
      </c>
    </row>
    <row r="84" spans="1:10" ht="14.25" customHeight="1" x14ac:dyDescent="0.25">
      <c r="A84" s="22" t="s">
        <v>1111</v>
      </c>
      <c r="B84" s="22" t="s">
        <v>668</v>
      </c>
      <c r="C84" s="22" t="s">
        <v>1112</v>
      </c>
    </row>
    <row r="85" spans="1:10" ht="14.25" customHeight="1" x14ac:dyDescent="0.25">
      <c r="A85" s="215" t="s">
        <v>1113</v>
      </c>
      <c r="B85" s="217">
        <f t="array" ref="B85">SUMPRODUCT(('Unit Economics'!$A$67:$A$80&gt;="2025-01")*('Unit Economics'!$A$67:$A$80&lt;="2025-06")*'Unit Economics'!$I$67:$I$80)/SUMPRODUCT(('Unit Economics'!$A$67:$A$80&gt;="2025-01")*('Unit Economics'!$A$67:$A$80&lt;="2025-06")*'Unit Economics'!$J$67:$J$80)</f>
        <v>13523.076923076924</v>
      </c>
      <c r="C85" s="218" t="s">
        <v>1114</v>
      </c>
    </row>
    <row r="86" spans="1:10" ht="14.25" customHeight="1" x14ac:dyDescent="0.25">
      <c r="A86" s="235" t="s">
        <v>1115</v>
      </c>
      <c r="B86" s="236" t="str">
        <f t="array" ref="B86">IF(SUMPRODUCT(('Unit Economics'!$A$67:$A$80&gt;="2025-07")*('Unit Economics'!$A$67:$A$80&lt;="2025-12")*'Unit Economics'!$J$67:$J$80)=0,"N/A",SUMPRODUCT(('Unit Economics'!$A$67:$A$80&gt;="2025-07")*('Unit Economics'!$A$67:$A$80&lt;="2025-12")*'Unit Economics'!$I$67:$I$80)/SUMPRODUCT(('Unit Economics'!$A$67:$A$80&gt;="2025-07")*('Unit Economics'!$A$67:$A$80&lt;="2025-12")*'Unit Economics'!$J$67:$J$80))</f>
        <v>N/A</v>
      </c>
      <c r="C86" s="237" t="str">
        <f t="array" ref="C86">"S&amp;M: "&amp;TEXT(SUMPRODUCT(('Unit Economics'!$A$67:$A$80&gt;="2025-07")*('Unit Economics'!$A$67:$A$80&lt;="2025-12")*'Unit Economics'!$I$67:$I$80),"$#,##0")&amp;" | Customers: "&amp;SUMPRODUCT(('Unit Economics'!$A$67:$A$80&gt;="2025-07")*('Unit Economics'!$A$67:$A$80&lt;="2025-12")*'Unit Economics'!$J$67:$J$80)</f>
        <v>S&amp;M: $165,600 | Customers: 0</v>
      </c>
    </row>
    <row r="87" spans="1:10" ht="14.25" customHeight="1" x14ac:dyDescent="0.25">
      <c r="A87" s="215" t="s">
        <v>1116</v>
      </c>
      <c r="B87" s="217">
        <f t="array" ref="B87">SUMPRODUCT(('Unit Economics'!$A$67:$A$80&gt;="2025-01")*('Unit Economics'!$A$67:$A$80&lt;="2025-12")*'Unit Economics'!$I$67:$I$80)/SUMPRODUCT(('Unit Economics'!$A$67:$A$80&gt;="2025-01")*('Unit Economics'!$A$67:$A$80&lt;="2025-12")*'Unit Economics'!$J$67:$J$80)</f>
        <v>26261.538461538461</v>
      </c>
      <c r="C87" s="218" t="s">
        <v>1114</v>
      </c>
    </row>
    <row r="88" spans="1:10" ht="14.25" customHeight="1" x14ac:dyDescent="0.25">
      <c r="A88" s="215" t="s">
        <v>1117</v>
      </c>
      <c r="B88" s="217">
        <f t="array" ref="B88">IF(SUMPRODUCT(('Unit Economics'!$A$67:$A$80&gt;="2026-01")*('Unit Economics'!$A$67:$A$80&lt;="2026-02")*'Unit Economics'!$J$67:$J$80)=0,"N/A",SUMPRODUCT(('Unit Economics'!$A$67:$A$80&gt;="2026-01")*('Unit Economics'!$A$67:$A$80&lt;="2026-02")*'Unit Economics'!$I$67:$I$80)/SUMPRODUCT(('Unit Economics'!$A$67:$A$80&gt;="2026-01")*('Unit Economics'!$A$67:$A$80&lt;="2026-02")*'Unit Economics'!$J$67:$J$80))</f>
        <v>51800</v>
      </c>
      <c r="C88" s="218" t="s">
        <v>1114</v>
      </c>
    </row>
    <row r="89" spans="1:10" ht="14.25" customHeight="1" x14ac:dyDescent="0.25">
      <c r="A89" s="215" t="s">
        <v>1118</v>
      </c>
      <c r="B89" s="217">
        <f t="array" ref="B89">SUMPRODUCT(('Unit Economics'!$A$67:$A$80&gt;="2025-03")*('Unit Economics'!$A$67:$A$80&lt;="2026-02")*'Unit Economics'!$I$67:$I$80)/SUMPRODUCT(('Unit Economics'!$A$67:$A$80&gt;="2025-03")*('Unit Economics'!$A$67:$A$80&lt;="2026-02")*'Unit Economics'!$J$67:$J$80)</f>
        <v>33740</v>
      </c>
      <c r="C89" s="218" t="s">
        <v>1114</v>
      </c>
    </row>
    <row r="90" spans="1:10" ht="14.25" customHeight="1" x14ac:dyDescent="0.25"/>
    <row r="91" spans="1:10" ht="14.25" customHeight="1" x14ac:dyDescent="0.25">
      <c r="A91" s="215" t="s">
        <v>1119</v>
      </c>
    </row>
    <row r="92" spans="1:10" ht="14.25" customHeight="1" x14ac:dyDescent="0.25">
      <c r="A92" s="22" t="s">
        <v>493</v>
      </c>
      <c r="B92" s="22" t="s">
        <v>668</v>
      </c>
      <c r="C92" s="22" t="s">
        <v>1112</v>
      </c>
    </row>
    <row r="93" spans="1:10" ht="14.25" customHeight="1" x14ac:dyDescent="0.25">
      <c r="A93" s="225" t="s">
        <v>1120</v>
      </c>
      <c r="B93" s="238">
        <f ca="1">B58/B85</f>
        <v>873.20497272304726</v>
      </c>
      <c r="C93" s="239" t="s">
        <v>1121</v>
      </c>
    </row>
    <row r="94" spans="1:10" ht="14.25" customHeight="1" x14ac:dyDescent="0.25">
      <c r="A94" s="215" t="s">
        <v>1122</v>
      </c>
      <c r="B94" s="240">
        <f ca="1">B58/B89</f>
        <v>349.98275091129386</v>
      </c>
      <c r="C94" s="218" t="s">
        <v>1121</v>
      </c>
    </row>
    <row r="95" spans="1:10" ht="14.25" customHeight="1" x14ac:dyDescent="0.25">
      <c r="A95" s="225" t="s">
        <v>1123</v>
      </c>
      <c r="B95" s="241">
        <f ca="1">B85/B24</f>
        <v>0.133984910540112</v>
      </c>
      <c r="C95" s="239" t="s">
        <v>1124</v>
      </c>
    </row>
    <row r="96" spans="1:10" ht="14.25" customHeight="1" x14ac:dyDescent="0.25">
      <c r="A96" s="215" t="s">
        <v>1125</v>
      </c>
      <c r="B96" s="242">
        <f ca="1">B89/B24</f>
        <v>0.33429158965360595</v>
      </c>
      <c r="C96" s="218" t="s">
        <v>1124</v>
      </c>
    </row>
    <row r="97" spans="1:1" ht="14.25" customHeight="1" x14ac:dyDescent="0.25"/>
    <row r="98" spans="1:1" ht="14.25" customHeight="1" x14ac:dyDescent="0.25">
      <c r="A98" s="215" t="s">
        <v>1126</v>
      </c>
    </row>
    <row r="99" spans="1:1" ht="14.25" customHeight="1" x14ac:dyDescent="0.25">
      <c r="A99" s="227" t="s">
        <v>1127</v>
      </c>
    </row>
    <row r="100" spans="1:1" ht="14.25" customHeight="1" x14ac:dyDescent="0.25"/>
    <row r="101" spans="1:1" ht="14.25" customHeight="1" x14ac:dyDescent="0.25">
      <c r="A101" s="215" t="s">
        <v>1128</v>
      </c>
    </row>
    <row r="102" spans="1:1" ht="14.25" customHeight="1" x14ac:dyDescent="0.25">
      <c r="A102" s="243" t="s">
        <v>1129</v>
      </c>
    </row>
    <row r="103" spans="1:1" ht="14.25" customHeight="1" x14ac:dyDescent="0.25"/>
    <row r="104" spans="1:1" ht="14.25" customHeight="1" x14ac:dyDescent="0.25">
      <c r="A104" s="215" t="s">
        <v>1130</v>
      </c>
    </row>
    <row r="105" spans="1:1" ht="14.25" customHeight="1" x14ac:dyDescent="0.25">
      <c r="A105" s="243" t="s">
        <v>1131</v>
      </c>
    </row>
    <row r="106" spans="1:1" ht="14.25" customHeight="1" x14ac:dyDescent="0.25"/>
    <row r="107" spans="1:1" ht="14.25" customHeight="1" x14ac:dyDescent="0.25"/>
    <row r="108" spans="1:1" ht="14.25" customHeight="1" x14ac:dyDescent="0.25"/>
    <row r="109" spans="1:1" ht="14.25" customHeight="1" x14ac:dyDescent="0.25"/>
    <row r="110" spans="1:1" ht="14.25" customHeight="1" x14ac:dyDescent="0.25"/>
    <row r="111" spans="1:1" ht="14.25" customHeight="1" x14ac:dyDescent="0.25"/>
    <row r="112" spans="1: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64:J64"/>
  </mergeCells>
  <pageMargins left="0.7" right="0.7" top="0.75" bottom="0.75" header="0" footer="0"/>
  <pageSetup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00"/>
  <sheetViews>
    <sheetView workbookViewId="0"/>
  </sheetViews>
  <sheetFormatPr defaultColWidth="14.42578125" defaultRowHeight="15" customHeight="1" x14ac:dyDescent="0.25"/>
  <cols>
    <col min="1" max="1" width="17" customWidth="1"/>
    <col min="2" max="2" width="14.85546875" customWidth="1"/>
    <col min="3" max="4" width="18.140625" customWidth="1"/>
    <col min="5" max="26" width="8.7109375" customWidth="1"/>
  </cols>
  <sheetData>
    <row r="1" spans="1:4" ht="14.25" customHeight="1" x14ac:dyDescent="0.25">
      <c r="A1" s="11" t="s">
        <v>34</v>
      </c>
      <c r="B1" s="11" t="s">
        <v>1132</v>
      </c>
      <c r="C1" s="11" t="s">
        <v>1133</v>
      </c>
      <c r="D1" s="11" t="s">
        <v>1134</v>
      </c>
    </row>
    <row r="2" spans="1:4" ht="14.25" customHeight="1" x14ac:dyDescent="0.25">
      <c r="A2" s="1" t="s">
        <v>58</v>
      </c>
      <c r="B2" s="1">
        <v>45</v>
      </c>
      <c r="C2" s="244">
        <v>13.5</v>
      </c>
      <c r="D2" s="245">
        <v>0.7</v>
      </c>
    </row>
    <row r="3" spans="1:4" ht="14.25" customHeight="1" x14ac:dyDescent="0.25">
      <c r="A3" s="1" t="s">
        <v>119</v>
      </c>
      <c r="B3" s="1">
        <v>95</v>
      </c>
      <c r="C3" s="244">
        <v>28.5</v>
      </c>
      <c r="D3" s="245">
        <v>0.7</v>
      </c>
    </row>
    <row r="4" spans="1:4" ht="14.25" customHeight="1" x14ac:dyDescent="0.25">
      <c r="A4" s="1" t="s">
        <v>64</v>
      </c>
      <c r="B4" s="1">
        <v>180</v>
      </c>
      <c r="C4" s="244">
        <v>54</v>
      </c>
      <c r="D4" s="245">
        <v>0.7</v>
      </c>
    </row>
    <row r="5" spans="1:4" ht="14.25" customHeight="1" x14ac:dyDescent="0.25">
      <c r="A5" s="1" t="s">
        <v>52</v>
      </c>
      <c r="B5" s="1">
        <v>85</v>
      </c>
      <c r="C5" s="244">
        <v>25.5</v>
      </c>
      <c r="D5" s="245">
        <v>0.7</v>
      </c>
    </row>
    <row r="6" spans="1:4" ht="14.25" customHeight="1" x14ac:dyDescent="0.25">
      <c r="A6" s="1" t="s">
        <v>93</v>
      </c>
      <c r="B6" s="1">
        <v>110</v>
      </c>
      <c r="C6" s="244">
        <v>33</v>
      </c>
      <c r="D6" s="245">
        <v>0.7</v>
      </c>
    </row>
    <row r="7" spans="1:4" ht="14.25" customHeight="1" x14ac:dyDescent="0.25">
      <c r="A7" s="1" t="s">
        <v>209</v>
      </c>
      <c r="B7" s="1">
        <v>150</v>
      </c>
      <c r="C7" s="244">
        <v>45</v>
      </c>
      <c r="D7" s="245">
        <v>0.7</v>
      </c>
    </row>
    <row r="8" spans="1:4" ht="14.25" customHeight="1" x14ac:dyDescent="0.25"/>
    <row r="9" spans="1:4" ht="14.25" customHeight="1" x14ac:dyDescent="0.25"/>
    <row r="10" spans="1:4" ht="14.25" customHeight="1" x14ac:dyDescent="0.25"/>
    <row r="11" spans="1:4" ht="14.25" customHeight="1" x14ac:dyDescent="0.25"/>
    <row r="12" spans="1:4" ht="14.25" customHeight="1" x14ac:dyDescent="0.25"/>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8"/>
  <sheetViews>
    <sheetView workbookViewId="0"/>
  </sheetViews>
  <sheetFormatPr defaultRowHeight="15" x14ac:dyDescent="0.25"/>
  <sheetData>
    <row r="1" spans="1:15" x14ac:dyDescent="0.25">
      <c r="A1" t="s">
        <v>1135</v>
      </c>
    </row>
    <row r="2" spans="1:15" x14ac:dyDescent="0.25">
      <c r="A2" t="s">
        <v>1136</v>
      </c>
    </row>
    <row r="4" spans="1:15" x14ac:dyDescent="0.25">
      <c r="A4" t="s">
        <v>616</v>
      </c>
    </row>
    <row r="5" spans="1:15" x14ac:dyDescent="0.25">
      <c r="A5" t="s">
        <v>617</v>
      </c>
      <c r="B5">
        <v>143069.5</v>
      </c>
      <c r="C5" t="s">
        <v>1137</v>
      </c>
    </row>
    <row r="7" spans="1:15" x14ac:dyDescent="0.25">
      <c r="A7" t="s">
        <v>1138</v>
      </c>
    </row>
    <row r="8" spans="1:15" x14ac:dyDescent="0.25">
      <c r="A8" t="s">
        <v>1139</v>
      </c>
      <c r="B8">
        <v>5.0000000000000001E-3</v>
      </c>
      <c r="C8" t="s">
        <v>1140</v>
      </c>
    </row>
    <row r="9" spans="1:15" x14ac:dyDescent="0.25">
      <c r="A9" t="s">
        <v>1141</v>
      </c>
      <c r="B9">
        <v>6.7000000000000002E-3</v>
      </c>
      <c r="C9" t="s">
        <v>1142</v>
      </c>
    </row>
    <row r="10" spans="1:15" x14ac:dyDescent="0.25">
      <c r="A10" t="s">
        <v>632</v>
      </c>
      <c r="B10">
        <v>0.7</v>
      </c>
      <c r="C10" t="s">
        <v>1143</v>
      </c>
    </row>
    <row r="12" spans="1:15" x14ac:dyDescent="0.25">
      <c r="A12" t="s">
        <v>1144</v>
      </c>
    </row>
    <row r="13" spans="1:15" x14ac:dyDescent="0.25">
      <c r="A13" t="s">
        <v>819</v>
      </c>
      <c r="B13" t="s">
        <v>513</v>
      </c>
      <c r="C13" t="s">
        <v>514</v>
      </c>
      <c r="D13" t="s">
        <v>1145</v>
      </c>
      <c r="E13" t="s">
        <v>1146</v>
      </c>
      <c r="F13" t="s">
        <v>1147</v>
      </c>
      <c r="G13" t="s">
        <v>1148</v>
      </c>
      <c r="H13" t="s">
        <v>1149</v>
      </c>
      <c r="I13" t="s">
        <v>1150</v>
      </c>
      <c r="J13" t="s">
        <v>1151</v>
      </c>
      <c r="K13" t="s">
        <v>1152</v>
      </c>
      <c r="L13" t="s">
        <v>1153</v>
      </c>
      <c r="M13" t="s">
        <v>1154</v>
      </c>
    </row>
    <row r="14" spans="1:15" x14ac:dyDescent="0.25">
      <c r="A14" t="s">
        <v>573</v>
      </c>
      <c r="B14">
        <v>1</v>
      </c>
      <c r="C14">
        <v>1</v>
      </c>
      <c r="D14">
        <v>2</v>
      </c>
      <c r="E14">
        <v>2</v>
      </c>
      <c r="F14">
        <v>2</v>
      </c>
      <c r="G14">
        <v>2</v>
      </c>
      <c r="H14">
        <v>3</v>
      </c>
      <c r="I14">
        <v>3</v>
      </c>
      <c r="J14">
        <v>3</v>
      </c>
      <c r="K14">
        <v>3</v>
      </c>
      <c r="L14">
        <v>3</v>
      </c>
      <c r="M14">
        <v>3</v>
      </c>
      <c r="O14" t="s">
        <v>1155</v>
      </c>
    </row>
    <row r="15" spans="1:15" x14ac:dyDescent="0.25">
      <c r="A15" t="s">
        <v>1156</v>
      </c>
      <c r="B15">
        <v>3000</v>
      </c>
      <c r="C15">
        <v>3000</v>
      </c>
      <c r="D15">
        <v>3000</v>
      </c>
      <c r="E15">
        <v>3200</v>
      </c>
      <c r="F15">
        <v>3200</v>
      </c>
      <c r="G15">
        <v>3200</v>
      </c>
      <c r="H15">
        <v>3200</v>
      </c>
      <c r="I15">
        <v>3200</v>
      </c>
      <c r="J15">
        <v>3200</v>
      </c>
      <c r="K15">
        <v>3400</v>
      </c>
      <c r="L15">
        <v>3400</v>
      </c>
      <c r="M15">
        <v>3400</v>
      </c>
      <c r="O15" t="s">
        <v>1157</v>
      </c>
    </row>
    <row r="16" spans="1:15" x14ac:dyDescent="0.25">
      <c r="A16" t="s">
        <v>635</v>
      </c>
      <c r="B16">
        <v>30000</v>
      </c>
      <c r="C16">
        <v>30000</v>
      </c>
      <c r="D16">
        <v>30000</v>
      </c>
      <c r="E16">
        <v>30000</v>
      </c>
      <c r="F16">
        <v>30000</v>
      </c>
      <c r="G16">
        <v>30000</v>
      </c>
      <c r="H16">
        <v>36000</v>
      </c>
      <c r="I16">
        <v>36000</v>
      </c>
      <c r="J16">
        <v>36000</v>
      </c>
      <c r="K16">
        <v>36000</v>
      </c>
      <c r="L16">
        <v>36000</v>
      </c>
      <c r="M16">
        <v>36000</v>
      </c>
      <c r="O16" t="s">
        <v>1158</v>
      </c>
    </row>
    <row r="17" spans="1:15" x14ac:dyDescent="0.25">
      <c r="A17" t="s">
        <v>636</v>
      </c>
      <c r="B17">
        <v>25000</v>
      </c>
      <c r="C17">
        <v>25000</v>
      </c>
      <c r="D17">
        <v>25000</v>
      </c>
      <c r="E17">
        <v>25000</v>
      </c>
      <c r="F17">
        <v>25000</v>
      </c>
      <c r="G17">
        <v>25000</v>
      </c>
      <c r="H17">
        <v>25000</v>
      </c>
      <c r="I17">
        <v>25000</v>
      </c>
      <c r="J17">
        <v>25000</v>
      </c>
      <c r="K17">
        <v>25000</v>
      </c>
      <c r="L17">
        <v>25000</v>
      </c>
      <c r="M17">
        <v>25000</v>
      </c>
      <c r="O17" t="s">
        <v>1159</v>
      </c>
    </row>
    <row r="18" spans="1:15" x14ac:dyDescent="0.25">
      <c r="A18" t="s">
        <v>637</v>
      </c>
      <c r="B18">
        <v>19000</v>
      </c>
      <c r="C18">
        <v>19000</v>
      </c>
      <c r="D18">
        <v>19000</v>
      </c>
      <c r="E18">
        <v>19000</v>
      </c>
      <c r="F18">
        <v>19000</v>
      </c>
      <c r="G18">
        <v>19000</v>
      </c>
      <c r="H18">
        <v>19000</v>
      </c>
      <c r="I18">
        <v>19000</v>
      </c>
      <c r="J18">
        <v>19000</v>
      </c>
      <c r="K18">
        <v>19000</v>
      </c>
      <c r="L18">
        <v>19000</v>
      </c>
      <c r="M18">
        <v>19000</v>
      </c>
      <c r="O18" t="s">
        <v>1160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25"/>
  <sheetViews>
    <sheetView workbookViewId="0"/>
  </sheetViews>
  <sheetFormatPr defaultRowHeight="15" x14ac:dyDescent="0.25"/>
  <sheetData>
    <row r="1" spans="1:18" x14ac:dyDescent="0.25">
      <c r="A1" t="s">
        <v>1161</v>
      </c>
    </row>
    <row r="3" spans="1:18" x14ac:dyDescent="0.25">
      <c r="A3" t="s">
        <v>772</v>
      </c>
    </row>
    <row r="4" spans="1:18" x14ac:dyDescent="0.25">
      <c r="A4" t="s">
        <v>1162</v>
      </c>
      <c r="B4">
        <f>DATE(2026,1,1)</f>
        <v>46023</v>
      </c>
      <c r="C4">
        <f>DATE(2026,2,1)</f>
        <v>46054</v>
      </c>
      <c r="D4">
        <f>DATE(2026,3,1)</f>
        <v>46082</v>
      </c>
      <c r="E4">
        <f>DATE(2026,4,1)</f>
        <v>46113</v>
      </c>
      <c r="F4">
        <f>DATE(2026,5,1)</f>
        <v>46143</v>
      </c>
      <c r="G4">
        <f>DATE(2026,6,1)</f>
        <v>46174</v>
      </c>
      <c r="H4">
        <f>DATE(2026,7,1)</f>
        <v>46204</v>
      </c>
      <c r="I4">
        <f>DATE(2026,8,1)</f>
        <v>46235</v>
      </c>
      <c r="J4">
        <f>DATE(2026,9,1)</f>
        <v>46266</v>
      </c>
      <c r="K4">
        <f>DATE(2026,10,1)</f>
        <v>46296</v>
      </c>
      <c r="L4">
        <f>DATE(2026,11,1)</f>
        <v>46327</v>
      </c>
      <c r="M4">
        <f>DATE(2026,12,1)</f>
        <v>46357</v>
      </c>
      <c r="N4" t="s">
        <v>622</v>
      </c>
      <c r="O4" t="s">
        <v>623</v>
      </c>
      <c r="P4" t="s">
        <v>624</v>
      </c>
      <c r="Q4" t="s">
        <v>625</v>
      </c>
      <c r="R4" t="s">
        <v>773</v>
      </c>
    </row>
    <row r="5" spans="1:18" x14ac:dyDescent="0.25">
      <c r="A5" t="s">
        <v>494</v>
      </c>
      <c r="B5">
        <f>Assumptions!$B$5</f>
        <v>143069.5</v>
      </c>
      <c r="C5">
        <f t="shared" ref="C5:M5" si="0">B11</f>
        <v>145826.28185</v>
      </c>
      <c r="D5">
        <f t="shared" si="0"/>
        <v>148578.377170855</v>
      </c>
      <c r="E5">
        <f t="shared" si="0"/>
        <v>154325.79392966456</v>
      </c>
      <c r="F5">
        <f t="shared" si="0"/>
        <v>160463.44007998414</v>
      </c>
      <c r="G5">
        <f t="shared" si="0"/>
        <v>166590.65223184816</v>
      </c>
      <c r="H5">
        <f t="shared" si="0"/>
        <v>172707.44812305403</v>
      </c>
      <c r="I5">
        <f t="shared" si="0"/>
        <v>182013.84546124484</v>
      </c>
      <c r="J5">
        <f t="shared" si="0"/>
        <v>191304.42192396073</v>
      </c>
      <c r="K5">
        <f t="shared" si="0"/>
        <v>200579.20440669</v>
      </c>
      <c r="L5">
        <f t="shared" si="0"/>
        <v>210438.21975919863</v>
      </c>
      <c r="M5">
        <f t="shared" si="0"/>
        <v>220280.47478560801</v>
      </c>
      <c r="N5">
        <f>B5</f>
        <v>143069.5</v>
      </c>
      <c r="O5">
        <f>E5</f>
        <v>154325.79392966456</v>
      </c>
      <c r="P5">
        <f>H5</f>
        <v>172707.44812305403</v>
      </c>
      <c r="Q5">
        <f>K5</f>
        <v>200579.20440669</v>
      </c>
      <c r="R5">
        <f>B5</f>
        <v>143069.5</v>
      </c>
    </row>
    <row r="6" spans="1:18" x14ac:dyDescent="0.25">
      <c r="A6" t="s">
        <v>561</v>
      </c>
      <c r="B6">
        <f>Assumptions!B14*Assumptions!B15</f>
        <v>3000</v>
      </c>
      <c r="C6">
        <f>Assumptions!C14*Assumptions!C15</f>
        <v>3000</v>
      </c>
      <c r="D6">
        <f>Assumptions!D14*Assumptions!D15</f>
        <v>6000</v>
      </c>
      <c r="E6">
        <f>Assumptions!E14*Assumptions!E15</f>
        <v>6400</v>
      </c>
      <c r="F6">
        <f>Assumptions!F14*Assumptions!F15</f>
        <v>6400</v>
      </c>
      <c r="G6">
        <f>Assumptions!G14*Assumptions!G15</f>
        <v>6400</v>
      </c>
      <c r="H6">
        <f>Assumptions!H14*Assumptions!H15</f>
        <v>9600</v>
      </c>
      <c r="I6">
        <f>Assumptions!I14*Assumptions!I15</f>
        <v>9600</v>
      </c>
      <c r="J6">
        <f>Assumptions!J14*Assumptions!J15</f>
        <v>9600</v>
      </c>
      <c r="K6">
        <f>Assumptions!K14*Assumptions!K15</f>
        <v>10200</v>
      </c>
      <c r="L6">
        <f>Assumptions!L14*Assumptions!L15</f>
        <v>10200</v>
      </c>
      <c r="M6">
        <f>Assumptions!M14*Assumptions!M15</f>
        <v>10200</v>
      </c>
      <c r="N6">
        <f>SUM(B6:D6)</f>
        <v>12000</v>
      </c>
      <c r="O6">
        <f>SUM(E6:G6)</f>
        <v>19200</v>
      </c>
      <c r="P6">
        <f>SUM(H6:J6)</f>
        <v>28800</v>
      </c>
      <c r="Q6">
        <f>SUM(K6:M6)</f>
        <v>30600</v>
      </c>
      <c r="R6">
        <f>SUM(B6:M6)</f>
        <v>90600</v>
      </c>
    </row>
    <row r="7" spans="1:18" x14ac:dyDescent="0.25">
      <c r="A7" t="s">
        <v>563</v>
      </c>
      <c r="B7">
        <f>B5*Assumptions!$B$8</f>
        <v>715.34749999999997</v>
      </c>
      <c r="C7">
        <f>C5*Assumptions!$B$8</f>
        <v>729.13140925000005</v>
      </c>
      <c r="D7">
        <f>D5*Assumptions!$B$8</f>
        <v>742.89188585427507</v>
      </c>
      <c r="E7">
        <f>E5*Assumptions!$B$8</f>
        <v>771.62896964832282</v>
      </c>
      <c r="F7">
        <f>F5*Assumptions!$B$8</f>
        <v>802.31720039992069</v>
      </c>
      <c r="G7">
        <f>G5*Assumptions!$B$8</f>
        <v>832.95326115924081</v>
      </c>
      <c r="H7">
        <f>H5*Assumptions!$B$8</f>
        <v>863.53724061527009</v>
      </c>
      <c r="I7">
        <f>I5*Assumptions!$B$8</f>
        <v>910.06922730622421</v>
      </c>
      <c r="J7">
        <f>J5*Assumptions!$B$8</f>
        <v>956.5221096198037</v>
      </c>
      <c r="K7">
        <f>K5*Assumptions!$B$8</f>
        <v>1002.89602203345</v>
      </c>
      <c r="L7">
        <f>L5*Assumptions!$B$8</f>
        <v>1052.1910987959932</v>
      </c>
      <c r="M7">
        <f>M5*Assumptions!$B$8</f>
        <v>1101.4023739280401</v>
      </c>
      <c r="N7">
        <f>SUM(B7:D7)</f>
        <v>2187.3707951042752</v>
      </c>
      <c r="O7">
        <f>SUM(E7:G7)</f>
        <v>2406.8994312074842</v>
      </c>
      <c r="P7">
        <f>SUM(H7:J7)</f>
        <v>2730.128577541298</v>
      </c>
      <c r="Q7">
        <f>SUM(K7:M7)</f>
        <v>3156.489494757483</v>
      </c>
      <c r="R7">
        <f>SUM(B7:M7)</f>
        <v>10480.88829861054</v>
      </c>
    </row>
    <row r="8" spans="1:18" x14ac:dyDescent="0.25">
      <c r="A8" t="s">
        <v>565</v>
      </c>
      <c r="B8">
        <v>0</v>
      </c>
      <c r="C8">
        <v>0</v>
      </c>
      <c r="D8">
        <v>0</v>
      </c>
      <c r="E8">
        <v>0</v>
      </c>
      <c r="F8">
        <v>0</v>
      </c>
      <c r="G8">
        <v>0</v>
      </c>
      <c r="H8">
        <v>0</v>
      </c>
      <c r="I8">
        <v>0</v>
      </c>
      <c r="J8">
        <v>0</v>
      </c>
      <c r="K8">
        <v>0</v>
      </c>
      <c r="L8">
        <v>0</v>
      </c>
      <c r="M8">
        <v>0</v>
      </c>
      <c r="N8">
        <f>SUM(B8:D8)</f>
        <v>0</v>
      </c>
      <c r="O8">
        <f>SUM(E8:G8)</f>
        <v>0</v>
      </c>
      <c r="P8">
        <f>SUM(H8:J8)</f>
        <v>0</v>
      </c>
      <c r="Q8">
        <f>SUM(K8:M8)</f>
        <v>0</v>
      </c>
      <c r="R8">
        <f>SUM(B8:M8)</f>
        <v>0</v>
      </c>
    </row>
    <row r="9" spans="1:18" x14ac:dyDescent="0.25">
      <c r="A9" t="s">
        <v>567</v>
      </c>
      <c r="B9">
        <f>B5*Assumptions!$B$9</f>
        <v>958.56565000000001</v>
      </c>
      <c r="C9">
        <f>C5*Assumptions!$B$9</f>
        <v>977.03608839499998</v>
      </c>
      <c r="D9">
        <f>D5*Assumptions!$B$9</f>
        <v>995.47512704472854</v>
      </c>
      <c r="E9">
        <f>E5*Assumptions!$B$9</f>
        <v>1033.9828193287526</v>
      </c>
      <c r="F9">
        <f>F5*Assumptions!$B$9</f>
        <v>1075.1050485358937</v>
      </c>
      <c r="G9">
        <f>G5*Assumptions!$B$9</f>
        <v>1116.1573699533826</v>
      </c>
      <c r="H9">
        <f>H5*Assumptions!$B$9</f>
        <v>1157.139902424462</v>
      </c>
      <c r="I9">
        <f>I5*Assumptions!$B$9</f>
        <v>1219.4927645903406</v>
      </c>
      <c r="J9">
        <f>J5*Assumptions!$B$9</f>
        <v>1281.739626890537</v>
      </c>
      <c r="K9">
        <f>K5*Assumptions!$B$9</f>
        <v>1343.8806695248231</v>
      </c>
      <c r="L9">
        <f>L5*Assumptions!$B$9</f>
        <v>1409.9360723866309</v>
      </c>
      <c r="M9">
        <f>M5*Assumptions!$B$9</f>
        <v>1475.8791810635737</v>
      </c>
      <c r="N9">
        <f>SUM(B9:D9)</f>
        <v>2931.0768654397284</v>
      </c>
      <c r="O9">
        <f>SUM(E9:G9)</f>
        <v>3225.2452378180287</v>
      </c>
      <c r="P9">
        <f>SUM(H9:J9)</f>
        <v>3658.3722939053396</v>
      </c>
      <c r="Q9">
        <f>SUM(K9:M9)</f>
        <v>4229.6959229750282</v>
      </c>
      <c r="R9">
        <f>SUM(B9:M9)</f>
        <v>14044.390320138125</v>
      </c>
    </row>
    <row r="10" spans="1:18" x14ac:dyDescent="0.25">
      <c r="A10" t="s">
        <v>569</v>
      </c>
      <c r="B10">
        <f t="shared" ref="B10:M10" si="1">B6+B7-B8-B9</f>
        <v>2756.7818499999998</v>
      </c>
      <c r="C10">
        <f t="shared" si="1"/>
        <v>2752.095320855</v>
      </c>
      <c r="D10">
        <f t="shared" si="1"/>
        <v>5747.4167588095461</v>
      </c>
      <c r="E10">
        <f t="shared" si="1"/>
        <v>6137.6461503195696</v>
      </c>
      <c r="F10">
        <f t="shared" si="1"/>
        <v>6127.212151864027</v>
      </c>
      <c r="G10">
        <f t="shared" si="1"/>
        <v>6116.7958912058575</v>
      </c>
      <c r="H10">
        <f t="shared" si="1"/>
        <v>9306.397338190809</v>
      </c>
      <c r="I10">
        <f t="shared" si="1"/>
        <v>9290.5764627158842</v>
      </c>
      <c r="J10">
        <f t="shared" si="1"/>
        <v>9274.7824827292661</v>
      </c>
      <c r="K10">
        <f t="shared" si="1"/>
        <v>9859.015352508628</v>
      </c>
      <c r="L10">
        <f t="shared" si="1"/>
        <v>9842.2550264093625</v>
      </c>
      <c r="M10">
        <f t="shared" si="1"/>
        <v>9825.5231928644662</v>
      </c>
      <c r="N10">
        <f>SUM(B10:D10)</f>
        <v>11256.293929664545</v>
      </c>
      <c r="O10">
        <f>SUM(E10:G10)</f>
        <v>18381.654193389455</v>
      </c>
      <c r="P10">
        <f>SUM(H10:J10)</f>
        <v>27871.756283635958</v>
      </c>
      <c r="Q10">
        <f>SUM(K10:M10)</f>
        <v>29526.793571782458</v>
      </c>
      <c r="R10">
        <f>SUM(B10:M10)</f>
        <v>87036.497978472413</v>
      </c>
    </row>
    <row r="11" spans="1:18" x14ac:dyDescent="0.25">
      <c r="A11" t="s">
        <v>498</v>
      </c>
      <c r="B11">
        <f t="shared" ref="B11:M11" si="2">B5+B10</f>
        <v>145826.28185</v>
      </c>
      <c r="C11">
        <f t="shared" si="2"/>
        <v>148578.377170855</v>
      </c>
      <c r="D11">
        <f t="shared" si="2"/>
        <v>154325.79392966456</v>
      </c>
      <c r="E11">
        <f t="shared" si="2"/>
        <v>160463.44007998414</v>
      </c>
      <c r="F11">
        <f t="shared" si="2"/>
        <v>166590.65223184816</v>
      </c>
      <c r="G11">
        <f t="shared" si="2"/>
        <v>172707.44812305403</v>
      </c>
      <c r="H11">
        <f t="shared" si="2"/>
        <v>182013.84546124484</v>
      </c>
      <c r="I11">
        <f t="shared" si="2"/>
        <v>191304.42192396073</v>
      </c>
      <c r="J11">
        <f t="shared" si="2"/>
        <v>200579.20440669</v>
      </c>
      <c r="K11">
        <f t="shared" si="2"/>
        <v>210438.21975919863</v>
      </c>
      <c r="L11">
        <f t="shared" si="2"/>
        <v>220280.47478560801</v>
      </c>
      <c r="M11">
        <f t="shared" si="2"/>
        <v>230105.99797847247</v>
      </c>
      <c r="N11">
        <f>D11</f>
        <v>154325.79392966456</v>
      </c>
      <c r="O11">
        <f>G11</f>
        <v>172707.44812305403</v>
      </c>
      <c r="P11">
        <f>J11</f>
        <v>200579.20440669</v>
      </c>
      <c r="Q11">
        <f>M11</f>
        <v>230105.99797847247</v>
      </c>
      <c r="R11">
        <f>M11</f>
        <v>230105.99797847247</v>
      </c>
    </row>
    <row r="12" spans="1:18" x14ac:dyDescent="0.25">
      <c r="A12" t="s">
        <v>649</v>
      </c>
      <c r="B12">
        <f t="shared" ref="B12:R12" si="3">B11*12</f>
        <v>1749915.3821999999</v>
      </c>
      <c r="C12">
        <f t="shared" si="3"/>
        <v>1782940.5260502601</v>
      </c>
      <c r="D12">
        <f t="shared" si="3"/>
        <v>1851909.5271559749</v>
      </c>
      <c r="E12">
        <f t="shared" si="3"/>
        <v>1925561.2809598097</v>
      </c>
      <c r="F12">
        <f t="shared" si="3"/>
        <v>1999087.8267821779</v>
      </c>
      <c r="G12">
        <f t="shared" si="3"/>
        <v>2072489.3774766484</v>
      </c>
      <c r="H12">
        <f t="shared" si="3"/>
        <v>2184166.1455349382</v>
      </c>
      <c r="I12">
        <f t="shared" si="3"/>
        <v>2295653.0630875286</v>
      </c>
      <c r="J12">
        <f t="shared" si="3"/>
        <v>2406950.4528802801</v>
      </c>
      <c r="K12">
        <f t="shared" si="3"/>
        <v>2525258.6371103837</v>
      </c>
      <c r="L12">
        <f t="shared" si="3"/>
        <v>2643365.6974272961</v>
      </c>
      <c r="M12">
        <f t="shared" si="3"/>
        <v>2761271.9757416695</v>
      </c>
      <c r="N12">
        <f t="shared" si="3"/>
        <v>1851909.5271559749</v>
      </c>
      <c r="O12">
        <f t="shared" si="3"/>
        <v>2072489.3774766484</v>
      </c>
      <c r="P12">
        <f t="shared" si="3"/>
        <v>2406950.4528802801</v>
      </c>
      <c r="Q12">
        <f t="shared" si="3"/>
        <v>2761271.9757416695</v>
      </c>
      <c r="R12">
        <f t="shared" si="3"/>
        <v>2761271.9757416695</v>
      </c>
    </row>
    <row r="14" spans="1:18" x14ac:dyDescent="0.25">
      <c r="A14" t="s">
        <v>785</v>
      </c>
    </row>
    <row r="15" spans="1:18" x14ac:dyDescent="0.25">
      <c r="A15" t="s">
        <v>493</v>
      </c>
      <c r="B15" t="s">
        <v>513</v>
      </c>
      <c r="C15" t="s">
        <v>514</v>
      </c>
      <c r="D15" t="s">
        <v>1145</v>
      </c>
      <c r="E15" t="s">
        <v>1146</v>
      </c>
      <c r="F15" t="s">
        <v>1147</v>
      </c>
      <c r="G15" t="s">
        <v>1148</v>
      </c>
      <c r="H15" t="s">
        <v>1149</v>
      </c>
      <c r="I15" t="s">
        <v>1150</v>
      </c>
      <c r="J15" t="s">
        <v>1151</v>
      </c>
      <c r="K15" t="s">
        <v>1152</v>
      </c>
      <c r="L15" t="s">
        <v>1153</v>
      </c>
      <c r="M15" t="s">
        <v>1154</v>
      </c>
      <c r="N15" t="s">
        <v>622</v>
      </c>
      <c r="O15" t="s">
        <v>623</v>
      </c>
      <c r="P15" t="s">
        <v>624</v>
      </c>
      <c r="Q15" t="s">
        <v>625</v>
      </c>
      <c r="R15" t="s">
        <v>773</v>
      </c>
    </row>
    <row r="16" spans="1:18" x14ac:dyDescent="0.25">
      <c r="A16" t="s">
        <v>582</v>
      </c>
      <c r="B16">
        <f t="shared" ref="B16:M16" si="4">B11</f>
        <v>145826.28185</v>
      </c>
      <c r="C16">
        <f t="shared" si="4"/>
        <v>148578.377170855</v>
      </c>
      <c r="D16">
        <f t="shared" si="4"/>
        <v>154325.79392966456</v>
      </c>
      <c r="E16">
        <f t="shared" si="4"/>
        <v>160463.44007998414</v>
      </c>
      <c r="F16">
        <f t="shared" si="4"/>
        <v>166590.65223184816</v>
      </c>
      <c r="G16">
        <f t="shared" si="4"/>
        <v>172707.44812305403</v>
      </c>
      <c r="H16">
        <f t="shared" si="4"/>
        <v>182013.84546124484</v>
      </c>
      <c r="I16">
        <f t="shared" si="4"/>
        <v>191304.42192396073</v>
      </c>
      <c r="J16">
        <f t="shared" si="4"/>
        <v>200579.20440669</v>
      </c>
      <c r="K16">
        <f t="shared" si="4"/>
        <v>210438.21975919863</v>
      </c>
      <c r="L16">
        <f t="shared" si="4"/>
        <v>220280.47478560801</v>
      </c>
      <c r="M16">
        <f t="shared" si="4"/>
        <v>230105.99797847247</v>
      </c>
      <c r="N16">
        <f>SUM(B16:D16)</f>
        <v>448730.45295051951</v>
      </c>
      <c r="O16">
        <f>SUM(E16:G16)</f>
        <v>499761.54043488635</v>
      </c>
      <c r="P16">
        <f>SUM(H16:J16)</f>
        <v>573897.47179189557</v>
      </c>
      <c r="Q16">
        <f>SUM(K16:M16)</f>
        <v>660824.69252327911</v>
      </c>
      <c r="R16">
        <f>SUM(B16:M16)</f>
        <v>2183214.1577005805</v>
      </c>
    </row>
    <row r="17" spans="1:18" x14ac:dyDescent="0.25">
      <c r="A17" t="s">
        <v>503</v>
      </c>
      <c r="B17">
        <f>B16*(1-Assumptions!$B$10)</f>
        <v>43747.884555000004</v>
      </c>
      <c r="C17">
        <f>C16*(1-Assumptions!$B$10)</f>
        <v>44573.513151256506</v>
      </c>
      <c r="D17">
        <f>D16*(1-Assumptions!$B$10)</f>
        <v>46297.738178899373</v>
      </c>
      <c r="E17">
        <f>E16*(1-Assumptions!$B$10)</f>
        <v>48139.032023995249</v>
      </c>
      <c r="F17">
        <f>F16*(1-Assumptions!$B$10)</f>
        <v>49977.195669554458</v>
      </c>
      <c r="G17">
        <f>G16*(1-Assumptions!$B$10)</f>
        <v>51812.234436916217</v>
      </c>
      <c r="H17">
        <f>H16*(1-Assumptions!$B$10)</f>
        <v>54604.153638373464</v>
      </c>
      <c r="I17">
        <f>I16*(1-Assumptions!$B$10)</f>
        <v>57391.326577188229</v>
      </c>
      <c r="J17">
        <f>J16*(1-Assumptions!$B$10)</f>
        <v>60173.761322007005</v>
      </c>
      <c r="K17">
        <f>K16*(1-Assumptions!$B$10)</f>
        <v>63131.4659277596</v>
      </c>
      <c r="L17">
        <f>L16*(1-Assumptions!$B$10)</f>
        <v>66084.142435682414</v>
      </c>
      <c r="M17">
        <f>M16*(1-Assumptions!$B$10)</f>
        <v>69031.799393541747</v>
      </c>
      <c r="N17">
        <f>SUM(B17:D17)</f>
        <v>134619.13588515588</v>
      </c>
      <c r="O17">
        <f>SUM(E17:G17)</f>
        <v>149928.46213046592</v>
      </c>
      <c r="P17">
        <f>SUM(H17:J17)</f>
        <v>172169.24153756868</v>
      </c>
      <c r="Q17">
        <f>SUM(K17:M17)</f>
        <v>198247.40775698377</v>
      </c>
      <c r="R17">
        <f>SUM(B17:M17)</f>
        <v>654964.24731017428</v>
      </c>
    </row>
    <row r="18" spans="1:18" x14ac:dyDescent="0.25">
      <c r="A18" t="s">
        <v>504</v>
      </c>
      <c r="B18">
        <f t="shared" ref="B18:M18" si="5">B16-B17</f>
        <v>102078.397295</v>
      </c>
      <c r="C18">
        <f t="shared" si="5"/>
        <v>104004.86401959849</v>
      </c>
      <c r="D18">
        <f t="shared" si="5"/>
        <v>108028.0557507652</v>
      </c>
      <c r="E18">
        <f t="shared" si="5"/>
        <v>112324.4080559889</v>
      </c>
      <c r="F18">
        <f t="shared" si="5"/>
        <v>116613.45656229369</v>
      </c>
      <c r="G18">
        <f t="shared" si="5"/>
        <v>120895.21368613781</v>
      </c>
      <c r="H18">
        <f t="shared" si="5"/>
        <v>127409.69182287138</v>
      </c>
      <c r="I18">
        <f t="shared" si="5"/>
        <v>133913.09534677252</v>
      </c>
      <c r="J18">
        <f t="shared" si="5"/>
        <v>140405.44308468298</v>
      </c>
      <c r="K18">
        <f t="shared" si="5"/>
        <v>147306.75383143904</v>
      </c>
      <c r="L18">
        <f t="shared" si="5"/>
        <v>154196.33234992559</v>
      </c>
      <c r="M18">
        <f t="shared" si="5"/>
        <v>161074.19858493074</v>
      </c>
      <c r="N18">
        <f>SUM(B18:D18)</f>
        <v>314111.31706536369</v>
      </c>
      <c r="O18">
        <f>SUM(E18:G18)</f>
        <v>349833.0783044204</v>
      </c>
      <c r="P18">
        <f>SUM(H18:J18)</f>
        <v>401728.23025432689</v>
      </c>
      <c r="Q18">
        <f>SUM(K18:M18)</f>
        <v>462577.28476629534</v>
      </c>
      <c r="R18">
        <f>SUM(B18:M18)</f>
        <v>1528249.9103904061</v>
      </c>
    </row>
    <row r="19" spans="1:18" x14ac:dyDescent="0.25">
      <c r="A19" t="s">
        <v>587</v>
      </c>
      <c r="B19">
        <f t="shared" ref="B19:R19" si="6">B18/B16</f>
        <v>0.70000000000000007</v>
      </c>
      <c r="C19">
        <f t="shared" si="6"/>
        <v>0.7</v>
      </c>
      <c r="D19">
        <f t="shared" si="6"/>
        <v>0.70000000000000007</v>
      </c>
      <c r="E19">
        <f t="shared" si="6"/>
        <v>0.7</v>
      </c>
      <c r="F19">
        <f t="shared" si="6"/>
        <v>0.69999999999999984</v>
      </c>
      <c r="G19">
        <f t="shared" si="6"/>
        <v>0.7</v>
      </c>
      <c r="H19">
        <f t="shared" si="6"/>
        <v>0.7</v>
      </c>
      <c r="I19">
        <f t="shared" si="6"/>
        <v>0.70000000000000007</v>
      </c>
      <c r="J19">
        <f t="shared" si="6"/>
        <v>0.69999999999999984</v>
      </c>
      <c r="K19">
        <f t="shared" si="6"/>
        <v>0.7</v>
      </c>
      <c r="L19">
        <f t="shared" si="6"/>
        <v>0.7</v>
      </c>
      <c r="M19">
        <f t="shared" si="6"/>
        <v>0.70000000000000007</v>
      </c>
      <c r="N19">
        <f t="shared" si="6"/>
        <v>0.70000000000000007</v>
      </c>
      <c r="O19">
        <f t="shared" si="6"/>
        <v>0.7</v>
      </c>
      <c r="P19">
        <f t="shared" si="6"/>
        <v>0.7</v>
      </c>
      <c r="Q19">
        <f t="shared" si="6"/>
        <v>0.7</v>
      </c>
      <c r="R19">
        <f t="shared" si="6"/>
        <v>0.69999999999999984</v>
      </c>
    </row>
    <row r="20" spans="1:18" x14ac:dyDescent="0.25">
      <c r="A20" t="s">
        <v>635</v>
      </c>
      <c r="B20">
        <f>Assumptions!B16</f>
        <v>30000</v>
      </c>
      <c r="C20">
        <f>Assumptions!C16</f>
        <v>30000</v>
      </c>
      <c r="D20">
        <f>Assumptions!D16</f>
        <v>30000</v>
      </c>
      <c r="E20">
        <f>Assumptions!E16</f>
        <v>30000</v>
      </c>
      <c r="F20">
        <f>Assumptions!F16</f>
        <v>30000</v>
      </c>
      <c r="G20">
        <f>Assumptions!G16</f>
        <v>30000</v>
      </c>
      <c r="H20">
        <f>Assumptions!H16</f>
        <v>36000</v>
      </c>
      <c r="I20">
        <f>Assumptions!I16</f>
        <v>36000</v>
      </c>
      <c r="J20">
        <f>Assumptions!J16</f>
        <v>36000</v>
      </c>
      <c r="K20">
        <f>Assumptions!K16</f>
        <v>36000</v>
      </c>
      <c r="L20">
        <f>Assumptions!L16</f>
        <v>36000</v>
      </c>
      <c r="M20">
        <f>Assumptions!M16</f>
        <v>36000</v>
      </c>
      <c r="N20">
        <f>SUM(B20:D20)</f>
        <v>90000</v>
      </c>
      <c r="O20">
        <f>SUM(E20:G20)</f>
        <v>90000</v>
      </c>
      <c r="P20">
        <f>SUM(H20:J20)</f>
        <v>108000</v>
      </c>
      <c r="Q20">
        <f>SUM(K20:M20)</f>
        <v>108000</v>
      </c>
      <c r="R20">
        <f>SUM(B20:M20)</f>
        <v>396000</v>
      </c>
    </row>
    <row r="21" spans="1:18" x14ac:dyDescent="0.25">
      <c r="A21" t="s">
        <v>636</v>
      </c>
      <c r="B21">
        <f>Assumptions!B17</f>
        <v>25000</v>
      </c>
      <c r="C21">
        <f>Assumptions!C17</f>
        <v>25000</v>
      </c>
      <c r="D21">
        <f>Assumptions!D17</f>
        <v>25000</v>
      </c>
      <c r="E21">
        <f>Assumptions!E17</f>
        <v>25000</v>
      </c>
      <c r="F21">
        <f>Assumptions!F17</f>
        <v>25000</v>
      </c>
      <c r="G21">
        <f>Assumptions!G17</f>
        <v>25000</v>
      </c>
      <c r="H21">
        <f>Assumptions!H17</f>
        <v>25000</v>
      </c>
      <c r="I21">
        <f>Assumptions!I17</f>
        <v>25000</v>
      </c>
      <c r="J21">
        <f>Assumptions!J17</f>
        <v>25000</v>
      </c>
      <c r="K21">
        <f>Assumptions!K17</f>
        <v>25000</v>
      </c>
      <c r="L21">
        <f>Assumptions!L17</f>
        <v>25000</v>
      </c>
      <c r="M21">
        <f>Assumptions!M17</f>
        <v>25000</v>
      </c>
      <c r="N21">
        <f>SUM(B21:D21)</f>
        <v>75000</v>
      </c>
      <c r="O21">
        <f>SUM(E21:G21)</f>
        <v>75000</v>
      </c>
      <c r="P21">
        <f>SUM(H21:J21)</f>
        <v>75000</v>
      </c>
      <c r="Q21">
        <f>SUM(K21:M21)</f>
        <v>75000</v>
      </c>
      <c r="R21">
        <f>SUM(B21:M21)</f>
        <v>300000</v>
      </c>
    </row>
    <row r="22" spans="1:18" x14ac:dyDescent="0.25">
      <c r="A22" t="s">
        <v>637</v>
      </c>
      <c r="B22">
        <f>Assumptions!B18</f>
        <v>19000</v>
      </c>
      <c r="C22">
        <f>Assumptions!C18</f>
        <v>19000</v>
      </c>
      <c r="D22">
        <f>Assumptions!D18</f>
        <v>19000</v>
      </c>
      <c r="E22">
        <f>Assumptions!E18</f>
        <v>19000</v>
      </c>
      <c r="F22">
        <f>Assumptions!F18</f>
        <v>19000</v>
      </c>
      <c r="G22">
        <f>Assumptions!G18</f>
        <v>19000</v>
      </c>
      <c r="H22">
        <f>Assumptions!H18</f>
        <v>19000</v>
      </c>
      <c r="I22">
        <f>Assumptions!I18</f>
        <v>19000</v>
      </c>
      <c r="J22">
        <f>Assumptions!J18</f>
        <v>19000</v>
      </c>
      <c r="K22">
        <f>Assumptions!K18</f>
        <v>19000</v>
      </c>
      <c r="L22">
        <f>Assumptions!L18</f>
        <v>19000</v>
      </c>
      <c r="M22">
        <f>Assumptions!M18</f>
        <v>19000</v>
      </c>
      <c r="N22">
        <f>SUM(B22:D22)</f>
        <v>57000</v>
      </c>
      <c r="O22">
        <f>SUM(E22:G22)</f>
        <v>57000</v>
      </c>
      <c r="P22">
        <f>SUM(H22:J22)</f>
        <v>57000</v>
      </c>
      <c r="Q22">
        <f>SUM(K22:M22)</f>
        <v>57000</v>
      </c>
      <c r="R22">
        <f>SUM(B22:M22)</f>
        <v>228000</v>
      </c>
    </row>
    <row r="23" spans="1:18" x14ac:dyDescent="0.25">
      <c r="A23" t="s">
        <v>502</v>
      </c>
      <c r="B23">
        <f t="shared" ref="B23:M23" si="7">SUM(B20:B22)</f>
        <v>74000</v>
      </c>
      <c r="C23">
        <f t="shared" si="7"/>
        <v>74000</v>
      </c>
      <c r="D23">
        <f t="shared" si="7"/>
        <v>74000</v>
      </c>
      <c r="E23">
        <f t="shared" si="7"/>
        <v>74000</v>
      </c>
      <c r="F23">
        <f t="shared" si="7"/>
        <v>74000</v>
      </c>
      <c r="G23">
        <f t="shared" si="7"/>
        <v>74000</v>
      </c>
      <c r="H23">
        <f t="shared" si="7"/>
        <v>80000</v>
      </c>
      <c r="I23">
        <f t="shared" si="7"/>
        <v>80000</v>
      </c>
      <c r="J23">
        <f t="shared" si="7"/>
        <v>80000</v>
      </c>
      <c r="K23">
        <f t="shared" si="7"/>
        <v>80000</v>
      </c>
      <c r="L23">
        <f t="shared" si="7"/>
        <v>80000</v>
      </c>
      <c r="M23">
        <f t="shared" si="7"/>
        <v>80000</v>
      </c>
      <c r="N23">
        <f>SUM(B23:D23)</f>
        <v>222000</v>
      </c>
      <c r="O23">
        <f>SUM(E23:G23)</f>
        <v>222000</v>
      </c>
      <c r="P23">
        <f>SUM(H23:J23)</f>
        <v>240000</v>
      </c>
      <c r="Q23">
        <f>SUM(K23:M23)</f>
        <v>240000</v>
      </c>
      <c r="R23">
        <f>SUM(B23:M23)</f>
        <v>924000</v>
      </c>
    </row>
    <row r="24" spans="1:18" x14ac:dyDescent="0.25">
      <c r="A24" t="s">
        <v>505</v>
      </c>
      <c r="B24">
        <f t="shared" ref="B24:M24" si="8">B18-B23</f>
        <v>28078.397295000002</v>
      </c>
      <c r="C24">
        <f t="shared" si="8"/>
        <v>30004.864019598492</v>
      </c>
      <c r="D24">
        <f t="shared" si="8"/>
        <v>34028.055750765197</v>
      </c>
      <c r="E24">
        <f t="shared" si="8"/>
        <v>38324.408055988897</v>
      </c>
      <c r="F24">
        <f t="shared" si="8"/>
        <v>42613.456562293693</v>
      </c>
      <c r="G24">
        <f t="shared" si="8"/>
        <v>46895.213686137809</v>
      </c>
      <c r="H24">
        <f t="shared" si="8"/>
        <v>47409.691822871377</v>
      </c>
      <c r="I24">
        <f t="shared" si="8"/>
        <v>53913.095346772519</v>
      </c>
      <c r="J24">
        <f t="shared" si="8"/>
        <v>60405.443084682978</v>
      </c>
      <c r="K24">
        <f t="shared" si="8"/>
        <v>67306.75383143904</v>
      </c>
      <c r="L24">
        <f t="shared" si="8"/>
        <v>74196.332349925593</v>
      </c>
      <c r="M24">
        <f t="shared" si="8"/>
        <v>81074.198584930738</v>
      </c>
      <c r="N24">
        <f>SUM(B24:D24)</f>
        <v>92111.317065363692</v>
      </c>
      <c r="O24">
        <f>SUM(E24:G24)</f>
        <v>127833.0783044204</v>
      </c>
      <c r="P24">
        <f>SUM(H24:J24)</f>
        <v>161728.23025432689</v>
      </c>
      <c r="Q24">
        <f>SUM(K24:M24)</f>
        <v>222577.28476629537</v>
      </c>
      <c r="R24">
        <f>SUM(B24:M24)</f>
        <v>604249.91039040638</v>
      </c>
    </row>
    <row r="25" spans="1:18" x14ac:dyDescent="0.25">
      <c r="A25" t="s">
        <v>593</v>
      </c>
      <c r="B25">
        <f t="shared" ref="B25:R25" si="9">B24/B16</f>
        <v>0.19254689167678318</v>
      </c>
      <c r="C25">
        <f t="shared" si="9"/>
        <v>0.20194637060206239</v>
      </c>
      <c r="D25">
        <f t="shared" si="9"/>
        <v>0.22049493402427467</v>
      </c>
      <c r="E25">
        <f t="shared" si="9"/>
        <v>0.23883576244461557</v>
      </c>
      <c r="F25">
        <f t="shared" si="9"/>
        <v>0.25579740514484289</v>
      </c>
      <c r="G25">
        <f t="shared" si="9"/>
        <v>0.27152977011579127</v>
      </c>
      <c r="H25">
        <f t="shared" si="9"/>
        <v>0.26047299700047294</v>
      </c>
      <c r="I25">
        <f t="shared" si="9"/>
        <v>0.2818183437923969</v>
      </c>
      <c r="J25">
        <f t="shared" si="9"/>
        <v>0.30115506372338691</v>
      </c>
      <c r="K25">
        <f t="shared" si="9"/>
        <v>0.3198409200973909</v>
      </c>
      <c r="L25">
        <f t="shared" si="9"/>
        <v>0.33682664077303504</v>
      </c>
      <c r="M25">
        <f t="shared" si="9"/>
        <v>0.35233413860213947</v>
      </c>
      <c r="N25">
        <f t="shared" si="9"/>
        <v>0.20527092926211674</v>
      </c>
      <c r="O25">
        <f t="shared" si="9"/>
        <v>0.25578814686936818</v>
      </c>
      <c r="P25">
        <f t="shared" si="9"/>
        <v>0.28180683519890493</v>
      </c>
      <c r="Q25">
        <f t="shared" si="9"/>
        <v>0.33681744535969282</v>
      </c>
      <c r="R25">
        <f t="shared" si="9"/>
        <v>0.27677079147691974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Price-Volume Bridge</vt:lpstr>
      <vt:lpstr>billing_jan_2026</vt:lpstr>
      <vt:lpstr>billing_feb_2026</vt:lpstr>
      <vt:lpstr>bank_statement_jan_2026</vt:lpstr>
      <vt:lpstr>bank_statement_feb_2026</vt:lpstr>
      <vt:lpstr>Actuals</vt:lpstr>
      <vt:lpstr>Billing Reconciliation</vt:lpstr>
      <vt:lpstr>Historical Baseline</vt:lpstr>
      <vt:lpstr>Forecast Assumptions</vt:lpstr>
      <vt:lpstr>Jan 2026 A vs F </vt:lpstr>
      <vt:lpstr>Feb 2026 A vs F</vt:lpstr>
      <vt:lpstr>Mar 2026 A vs F</vt:lpstr>
      <vt:lpstr>Apr 2026 A vs F </vt:lpstr>
      <vt:lpstr>May 2026 A vs F </vt:lpstr>
      <vt:lpstr>2026 Forecast</vt:lpstr>
      <vt:lpstr>KPI Tracker</vt:lpstr>
      <vt:lpstr>Waterfall Data</vt:lpstr>
      <vt:lpstr>Engine</vt:lpstr>
      <vt:lpstr>Waterfall</vt:lpstr>
      <vt:lpstr>Retention</vt:lpstr>
      <vt:lpstr>Unit Economics</vt:lpstr>
      <vt:lpstr>Ref</vt:lpstr>
      <vt:lpstr>Assumptions</vt:lpstr>
      <vt:lpstr>Monthly 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Bezrukov</cp:lastModifiedBy>
  <dcterms:created xsi:type="dcterms:W3CDTF">2026-03-29T03:20:14Z</dcterms:created>
  <dcterms:modified xsi:type="dcterms:W3CDTF">2026-09-23T16:55:51Z</dcterms:modified>
</cp:coreProperties>
</file>