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<sst xmlns="http://schemas.openxmlformats.org/spreadsheetml/2006/main" count="42" uniqueCount="33">
  <si>
    <t xml:space="preserve">1. LTV:CAC is the ratio between Lifetime Value and Customer Acquisition Cost. It indicates the amount of value a customer generates during their entire time with the company compared to the amount it cost to acquire them. </t>
  </si>
  <si>
    <t>If a company's LTV:CAC was 6-7x (ha), I'd be concerned since ideally a company should have an LTV:CAC ratio of 3-5x. If it is above that, the remainder should be invested into growth otherwise there would be money left on the table.</t>
  </si>
  <si>
    <t>2. LTV and CAC payback should be calculated on gross profit because gross profit has already subtracted all the expenses necessary. If revenue is used, it will increase the ratio.</t>
  </si>
  <si>
    <t>3. CAC payback tells the founder how long it is expected to take (based on current MRR) for the company to start generating profit from a customer and recoup their CAC investment. An investor watching the bank balance would care because total CAC repayment signals the beginning of a new poisitive cash inflow.</t>
  </si>
  <si>
    <t>Part 2</t>
  </si>
  <si>
    <t>Plan</t>
  </si>
  <si>
    <t>Customers</t>
  </si>
  <si>
    <t>MRR per customer</t>
  </si>
  <si>
    <t>Total MRR</t>
  </si>
  <si>
    <t>Gross Margin</t>
  </si>
  <si>
    <t>Starter</t>
  </si>
  <si>
    <t>Growth</t>
  </si>
  <si>
    <t>Scale</t>
  </si>
  <si>
    <t>Assumptions:</t>
  </si>
  <si>
    <t>Input</t>
  </si>
  <si>
    <t>Value</t>
  </si>
  <si>
    <t>Monthly logo (customer) churn</t>
  </si>
  <si>
    <t>S&amp;M spend — last month</t>
  </si>
  <si>
    <t>New customers acquired — last month</t>
  </si>
  <si>
    <t>ARPA</t>
  </si>
  <si>
    <t>Gross Margin %</t>
  </si>
  <si>
    <t>Average Customer Lifetime</t>
  </si>
  <si>
    <t>LTV</t>
  </si>
  <si>
    <t>CAC</t>
  </si>
  <si>
    <t>LTV:CAC</t>
  </si>
  <si>
    <t>CAC payback</t>
  </si>
  <si>
    <t>Part 3</t>
  </si>
  <si>
    <t>Currently NorthPeak has 40 customers, meaning an increase of 8 a month is a 20% growth of the customer base but the churn rate is only 2% meaning a loss of around 1 customer each month. This means that acquisition is efficient.</t>
  </si>
  <si>
    <t xml:space="preserve">Payback is healthy because it fits within the healthy benchmark of less than 12 months. </t>
  </si>
  <si>
    <t>The LTV:CAC is at the end of the acceptable benchmark for SAAS companies meaning that if it increases in the future, I would recommend management to invest more into the growth of the company. Currently, it is okay.</t>
  </si>
  <si>
    <t>Part 4</t>
  </si>
  <si>
    <t>CAC Payback</t>
  </si>
  <si>
    <t xml:space="preserve">In this scenario, CAC Payback has now left the healthy benchmark of 12 for SAAS companies and the LTV:CAC is near the low end of the benchmark as well. Before I sign off on this, I would like to see a reduction in the CAC Payback.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</si>
</sst>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15.38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</row>
    <row r="8">
      <c r="A8" s="2" t="s">
        <v>4</v>
      </c>
      <c r="B8" s="1"/>
      <c r="C8" s="1"/>
    </row>
    <row r="9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10</v>
      </c>
      <c r="B10" s="1">
        <v>25.0</v>
      </c>
      <c r="C10" s="3">
        <v>200.0</v>
      </c>
      <c r="D10" s="4">
        <f t="shared" ref="D10:D12" si="1">B10*C10</f>
        <v>5000</v>
      </c>
      <c r="E10" s="4">
        <f t="shared" ref="E10:E12" si="2">C10*$B$16</f>
        <v>150</v>
      </c>
    </row>
    <row r="11">
      <c r="A11" s="1" t="s">
        <v>11</v>
      </c>
      <c r="B11" s="1">
        <v>10.0</v>
      </c>
      <c r="C11" s="3">
        <v>500.0</v>
      </c>
      <c r="D11" s="4">
        <f t="shared" si="1"/>
        <v>5000</v>
      </c>
      <c r="E11" s="4">
        <f t="shared" si="2"/>
        <v>375</v>
      </c>
    </row>
    <row r="12">
      <c r="A12" s="1" t="s">
        <v>12</v>
      </c>
      <c r="B12" s="1">
        <v>5.0</v>
      </c>
      <c r="C12" s="3">
        <v>1200.0</v>
      </c>
      <c r="D12" s="4">
        <f t="shared" si="1"/>
        <v>6000</v>
      </c>
      <c r="E12" s="4">
        <f t="shared" si="2"/>
        <v>900</v>
      </c>
    </row>
    <row r="14">
      <c r="A14" s="1" t="s">
        <v>13</v>
      </c>
    </row>
    <row r="15">
      <c r="A15" s="1" t="s">
        <v>14</v>
      </c>
      <c r="B15" s="1" t="s">
        <v>15</v>
      </c>
    </row>
    <row r="16">
      <c r="A16" s="1" t="s">
        <v>9</v>
      </c>
      <c r="B16" s="5">
        <v>0.75</v>
      </c>
    </row>
    <row r="17">
      <c r="A17" s="1" t="s">
        <v>16</v>
      </c>
      <c r="B17" s="6">
        <v>0.02</v>
      </c>
    </row>
    <row r="18">
      <c r="A18" s="1" t="s">
        <v>17</v>
      </c>
      <c r="B18" s="3">
        <v>24000.0</v>
      </c>
    </row>
    <row r="19">
      <c r="A19" s="1" t="s">
        <v>18</v>
      </c>
      <c r="B19" s="1">
        <v>8.0</v>
      </c>
    </row>
    <row r="21">
      <c r="A21" s="1" t="s">
        <v>19</v>
      </c>
      <c r="B21" s="4">
        <f>(D10+D11+D12)/(B10+B11+B12)</f>
        <v>400</v>
      </c>
    </row>
    <row r="22">
      <c r="A22" s="1" t="s">
        <v>20</v>
      </c>
      <c r="B22" s="7">
        <f>B16</f>
        <v>0.75</v>
      </c>
    </row>
    <row r="23">
      <c r="A23" s="1" t="s">
        <v>21</v>
      </c>
      <c r="B23" s="8">
        <f>1/B17</f>
        <v>50</v>
      </c>
    </row>
    <row r="24">
      <c r="A24" s="1" t="s">
        <v>22</v>
      </c>
      <c r="B24" s="4">
        <f>B21*B22/B17</f>
        <v>15000</v>
      </c>
    </row>
    <row r="25">
      <c r="A25" s="1" t="s">
        <v>23</v>
      </c>
      <c r="B25" s="4">
        <f>B18/B19</f>
        <v>3000</v>
      </c>
    </row>
    <row r="26">
      <c r="A26" s="1" t="s">
        <v>24</v>
      </c>
      <c r="B26" s="8">
        <f>B24/B25</f>
        <v>5</v>
      </c>
    </row>
    <row r="27">
      <c r="A27" s="1" t="s">
        <v>25</v>
      </c>
      <c r="B27" s="8">
        <f>B25/(B21*B22)</f>
        <v>10</v>
      </c>
    </row>
    <row r="29">
      <c r="A29" s="2" t="s">
        <v>26</v>
      </c>
    </row>
    <row r="30">
      <c r="A30" s="1" t="s">
        <v>27</v>
      </c>
    </row>
    <row r="31">
      <c r="A31" s="1" t="s">
        <v>28</v>
      </c>
    </row>
    <row r="32">
      <c r="A32" s="9" t="s">
        <v>29</v>
      </c>
    </row>
    <row r="33">
      <c r="A33" s="2"/>
    </row>
    <row r="34">
      <c r="A34" s="2" t="s">
        <v>30</v>
      </c>
    </row>
    <row r="35">
      <c r="A35" s="1" t="s">
        <v>14</v>
      </c>
      <c r="B35" s="1" t="s">
        <v>15</v>
      </c>
    </row>
    <row r="36">
      <c r="A36" s="1" t="s">
        <v>9</v>
      </c>
      <c r="B36" s="5">
        <v>0.75</v>
      </c>
    </row>
    <row r="37">
      <c r="A37" s="1" t="s">
        <v>16</v>
      </c>
      <c r="B37" s="6">
        <v>0.02</v>
      </c>
    </row>
    <row r="38">
      <c r="A38" s="1" t="s">
        <v>17</v>
      </c>
      <c r="B38" s="3">
        <v>48000.0</v>
      </c>
    </row>
    <row r="39">
      <c r="A39" s="1" t="s">
        <v>18</v>
      </c>
      <c r="B39" s="1">
        <v>12.0</v>
      </c>
    </row>
    <row r="41">
      <c r="A41" s="1" t="s">
        <v>23</v>
      </c>
      <c r="B41" s="4">
        <f>B38/B39</f>
        <v>4000</v>
      </c>
    </row>
    <row r="42">
      <c r="A42" s="1" t="s">
        <v>31</v>
      </c>
      <c r="B42" s="10">
        <f>B41/(B21*B22)</f>
        <v>13.33333333</v>
      </c>
    </row>
    <row r="43">
      <c r="A43" s="1" t="s">
        <v>24</v>
      </c>
      <c r="B43" s="8">
        <f>B24/B41</f>
        <v>3.75</v>
      </c>
    </row>
    <row r="45">
      <c r="A45" s="1" t="s">
        <v>32</v>
      </c>
    </row>
  </sheetData>
  <drawing r:id="rId1"/>
</worksheet>
</file>