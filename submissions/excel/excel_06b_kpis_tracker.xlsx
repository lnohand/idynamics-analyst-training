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enti\Downloads\idynamics-training\idynamics-analyst-training\submissions\excel\"/>
    </mc:Choice>
  </mc:AlternateContent>
  <xr:revisionPtr revIDLastSave="0" documentId="13_ncr:1_{A5B71485-FDB5-43BB-9286-EE88DB23DF77}" xr6:coauthVersionLast="47" xr6:coauthVersionMax="47" xr10:uidLastSave="{00000000-0000-0000-0000-000000000000}"/>
  <bookViews>
    <workbookView xWindow="-110" yWindow="-110" windowWidth="38620" windowHeight="21100" firstSheet="1" activeTab="4" xr2:uid="{00000000-000D-0000-FFFF-FFFF00000000}"/>
  </bookViews>
  <sheets>
    <sheet name="Historical Baseline" sheetId="1" r:id="rId1"/>
    <sheet name="Forecast Assumptions" sheetId="2" r:id="rId2"/>
    <sheet name="2026 Forecast" sheetId="3" r:id="rId3"/>
    <sheet name="Jan 2026 A vs F " sheetId="9" r:id="rId4"/>
    <sheet name="KPI Tracker" sheetId="10" r:id="rId5"/>
    <sheet name="Waterfall Data" sheetId="11" r:id="rId6"/>
    <sheet name="Engine" sheetId="8" r:id="rId7"/>
    <sheet name="Waterfall" sheetId="4" r:id="rId8"/>
    <sheet name="Retention" sheetId="5" r:id="rId9"/>
    <sheet name="Unit Economics" sheetId="6" r:id="rId10"/>
    <sheet name="Ref" sheetId="7"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1" l="1"/>
  <c r="C6" i="11"/>
  <c r="D5" i="11"/>
  <c r="C5" i="11"/>
  <c r="E5" i="11" s="1"/>
  <c r="E4" i="9"/>
  <c r="E5" i="9"/>
  <c r="E6" i="9"/>
  <c r="E7" i="9"/>
  <c r="E3" i="9"/>
  <c r="F6" i="9" a="1"/>
  <c r="F6" i="9" s="1"/>
  <c r="D6" i="9"/>
  <c r="C4" i="11"/>
  <c r="D3" i="11"/>
  <c r="C3" i="11"/>
  <c r="C2" i="11"/>
  <c r="B10" i="10"/>
  <c r="B5" i="10"/>
  <c r="B65" i="9"/>
  <c r="B44" i="9"/>
  <c r="B43" i="9"/>
  <c r="B42" i="9"/>
  <c r="B7" i="10" s="1"/>
  <c r="F17" i="9" a="1"/>
  <c r="F17" i="9" s="1"/>
  <c r="B19" i="9"/>
  <c r="B20" i="9"/>
  <c r="B18" i="9"/>
  <c r="B46" i="9" s="1"/>
  <c r="B26" i="1"/>
  <c r="B27" i="1"/>
  <c r="C18" i="9"/>
  <c r="C19" i="9"/>
  <c r="C20" i="9"/>
  <c r="C21" i="9"/>
  <c r="B20" i="3"/>
  <c r="B8" i="9"/>
  <c r="C7" i="11" s="1"/>
  <c r="B9" i="9"/>
  <c r="B41" i="9" s="1"/>
  <c r="C7" i="9"/>
  <c r="C5" i="9"/>
  <c r="D4" i="11" s="1"/>
  <c r="C3" i="9"/>
  <c r="D2" i="11" s="1"/>
  <c r="B21" i="6" a="1"/>
  <c r="B21" i="6"/>
  <c r="E33" i="6"/>
  <c r="E32" i="6"/>
  <c r="E31" i="6"/>
  <c r="E30" i="6"/>
  <c r="E29" i="6"/>
  <c r="E28" i="6"/>
  <c r="B6" i="6"/>
  <c r="D52" i="6" a="1"/>
  <c r="D52" i="6" s="1"/>
  <c r="C52" i="6" a="1"/>
  <c r="C52" i="6" s="1"/>
  <c r="D51" i="6" a="1"/>
  <c r="D51" i="6" s="1"/>
  <c r="C51" i="6" a="1"/>
  <c r="C51" i="6" s="1"/>
  <c r="D50" i="6" a="1"/>
  <c r="D50" i="6" s="1"/>
  <c r="C50" i="6" a="1"/>
  <c r="C50" i="6" s="1"/>
  <c r="D49" i="6" a="1"/>
  <c r="D49" i="6" s="1"/>
  <c r="C49" i="6" a="1"/>
  <c r="C49" i="6" s="1"/>
  <c r="D48" i="6" a="1"/>
  <c r="D48" i="6" s="1"/>
  <c r="C48" i="6" a="1"/>
  <c r="C48" i="6" s="1"/>
  <c r="D47" i="6" a="1"/>
  <c r="D47" i="6" s="1"/>
  <c r="C47" i="6" a="1"/>
  <c r="C47" i="6" s="1"/>
  <c r="D46" i="6" a="1"/>
  <c r="D46" i="6" s="1"/>
  <c r="C46" i="6" a="1"/>
  <c r="C46" i="6" s="1"/>
  <c r="D45" i="6" a="1"/>
  <c r="D45" i="6" s="1"/>
  <c r="C45" i="6" a="1"/>
  <c r="C45" i="6" s="1"/>
  <c r="D44" i="6" a="1"/>
  <c r="D44" i="6" s="1"/>
  <c r="C44" i="6" a="1"/>
  <c r="C44" i="6" s="1"/>
  <c r="D43" i="6" a="1"/>
  <c r="D43" i="6" s="1"/>
  <c r="C43" i="6" a="1"/>
  <c r="C43" i="6" s="1"/>
  <c r="D42" i="6" a="1"/>
  <c r="D42" i="6" s="1"/>
  <c r="C42" i="6" a="1"/>
  <c r="C42" i="6" s="1"/>
  <c r="B37" i="6"/>
  <c r="B38" i="6" s="1"/>
  <c r="D33" i="6"/>
  <c r="C33" i="6"/>
  <c r="B33" i="6"/>
  <c r="D32" i="6"/>
  <c r="C32" i="6"/>
  <c r="B32" i="6"/>
  <c r="D31" i="6"/>
  <c r="C31" i="6"/>
  <c r="B31" i="6"/>
  <c r="D30" i="6"/>
  <c r="C30" i="6"/>
  <c r="B30" i="6"/>
  <c r="D29" i="6"/>
  <c r="C29" i="6"/>
  <c r="B29" i="6"/>
  <c r="D28" i="6"/>
  <c r="C28" i="6"/>
  <c r="B28" i="6"/>
  <c r="B5" i="6"/>
  <c r="B4" i="6"/>
  <c r="B31" i="4"/>
  <c r="AA20" i="5"/>
  <c r="Z20" i="5"/>
  <c r="Y20" i="5"/>
  <c r="X20" i="5"/>
  <c r="W20" i="5"/>
  <c r="V20" i="5"/>
  <c r="U20" i="5"/>
  <c r="T20" i="5"/>
  <c r="S20" i="5"/>
  <c r="R20" i="5"/>
  <c r="Q20" i="5"/>
  <c r="P20" i="5"/>
  <c r="O20" i="5"/>
  <c r="N20" i="5"/>
  <c r="M20" i="5"/>
  <c r="L20" i="5"/>
  <c r="K20" i="5"/>
  <c r="J20" i="5"/>
  <c r="I20" i="5"/>
  <c r="H20" i="5"/>
  <c r="G20" i="5"/>
  <c r="F20" i="5"/>
  <c r="E20" i="5"/>
  <c r="D20" i="5"/>
  <c r="C20" i="5"/>
  <c r="B20" i="5"/>
  <c r="AA19" i="5"/>
  <c r="Z19" i="5"/>
  <c r="Y19" i="5"/>
  <c r="X19" i="5"/>
  <c r="W19" i="5"/>
  <c r="V19" i="5"/>
  <c r="U19" i="5"/>
  <c r="T19" i="5"/>
  <c r="S19" i="5"/>
  <c r="R19" i="5"/>
  <c r="Q19" i="5"/>
  <c r="P19" i="5"/>
  <c r="O19" i="5"/>
  <c r="N19" i="5"/>
  <c r="M19" i="5"/>
  <c r="L19" i="5"/>
  <c r="K19" i="5"/>
  <c r="J19" i="5"/>
  <c r="I19" i="5"/>
  <c r="H19" i="5"/>
  <c r="G19" i="5"/>
  <c r="F19" i="5"/>
  <c r="E19" i="5"/>
  <c r="D19" i="5"/>
  <c r="C19" i="5"/>
  <c r="AA17" i="5"/>
  <c r="Z17" i="5"/>
  <c r="Y17" i="5"/>
  <c r="X17" i="5"/>
  <c r="W17" i="5"/>
  <c r="V17" i="5"/>
  <c r="U17" i="5"/>
  <c r="T17" i="5"/>
  <c r="S17" i="5"/>
  <c r="R17" i="5"/>
  <c r="Q17" i="5"/>
  <c r="P17" i="5"/>
  <c r="O17" i="5"/>
  <c r="N17" i="5"/>
  <c r="M17" i="5"/>
  <c r="L17" i="5"/>
  <c r="K17" i="5"/>
  <c r="J17" i="5"/>
  <c r="I17" i="5"/>
  <c r="H17" i="5"/>
  <c r="G17" i="5"/>
  <c r="F17" i="5"/>
  <c r="E17" i="5"/>
  <c r="D17" i="5"/>
  <c r="C17" i="5"/>
  <c r="B17" i="5"/>
  <c r="AA16" i="5"/>
  <c r="Z16" i="5"/>
  <c r="Y16" i="5"/>
  <c r="X16" i="5"/>
  <c r="W16" i="5"/>
  <c r="V16" i="5"/>
  <c r="U16" i="5"/>
  <c r="T16" i="5"/>
  <c r="S16" i="5"/>
  <c r="R16" i="5"/>
  <c r="Q16" i="5"/>
  <c r="P16" i="5"/>
  <c r="O16" i="5"/>
  <c r="N16" i="5"/>
  <c r="M16" i="5"/>
  <c r="L16" i="5"/>
  <c r="K16" i="5"/>
  <c r="J16" i="5"/>
  <c r="I16" i="5"/>
  <c r="H16" i="5"/>
  <c r="G16" i="5"/>
  <c r="F16" i="5"/>
  <c r="E16" i="5"/>
  <c r="D16" i="5"/>
  <c r="C16" i="5"/>
  <c r="AA12" i="5"/>
  <c r="Z12" i="5"/>
  <c r="Y12" i="5"/>
  <c r="X12" i="5"/>
  <c r="W12" i="5"/>
  <c r="V12" i="5"/>
  <c r="U12" i="5"/>
  <c r="T12" i="5"/>
  <c r="S12" i="5"/>
  <c r="R12" i="5"/>
  <c r="Q12" i="5"/>
  <c r="P12" i="5"/>
  <c r="O12" i="5"/>
  <c r="N12" i="5"/>
  <c r="M12" i="5"/>
  <c r="L12" i="5"/>
  <c r="K12" i="5"/>
  <c r="J12" i="5"/>
  <c r="I12" i="5"/>
  <c r="H12" i="5"/>
  <c r="G12" i="5"/>
  <c r="F12" i="5"/>
  <c r="E12" i="5"/>
  <c r="D12" i="5"/>
  <c r="C12" i="5"/>
  <c r="B12" i="5"/>
  <c r="AA11" i="5"/>
  <c r="Z11" i="5"/>
  <c r="Y11" i="5"/>
  <c r="X11" i="5"/>
  <c r="W11" i="5"/>
  <c r="V11" i="5"/>
  <c r="U11" i="5"/>
  <c r="T11" i="5"/>
  <c r="S11" i="5"/>
  <c r="R11" i="5"/>
  <c r="Q11" i="5"/>
  <c r="P11" i="5"/>
  <c r="O11" i="5"/>
  <c r="N11" i="5"/>
  <c r="M11" i="5"/>
  <c r="L11" i="5"/>
  <c r="K11" i="5"/>
  <c r="J11" i="5"/>
  <c r="I11" i="5"/>
  <c r="H11" i="5"/>
  <c r="G11" i="5"/>
  <c r="F11" i="5"/>
  <c r="E11" i="5"/>
  <c r="D11" i="5"/>
  <c r="C11" i="5"/>
  <c r="B11" i="5"/>
  <c r="AA7" i="5"/>
  <c r="Z7" i="5"/>
  <c r="Y7" i="5"/>
  <c r="X7" i="5"/>
  <c r="W7" i="5"/>
  <c r="V7" i="5"/>
  <c r="U7" i="5"/>
  <c r="T7" i="5"/>
  <c r="S7" i="5"/>
  <c r="R7" i="5"/>
  <c r="Q7" i="5"/>
  <c r="P7" i="5"/>
  <c r="O7" i="5"/>
  <c r="N7" i="5"/>
  <c r="M7" i="5"/>
  <c r="L7" i="5"/>
  <c r="K7" i="5"/>
  <c r="J7" i="5"/>
  <c r="I7" i="5"/>
  <c r="H7" i="5"/>
  <c r="G7" i="5"/>
  <c r="F7" i="5"/>
  <c r="E7" i="5"/>
  <c r="D7" i="5"/>
  <c r="C7" i="5"/>
  <c r="B7" i="5"/>
  <c r="AA6" i="5"/>
  <c r="Z6" i="5"/>
  <c r="Y6" i="5"/>
  <c r="X6" i="5"/>
  <c r="W6" i="5"/>
  <c r="V6" i="5"/>
  <c r="U6" i="5"/>
  <c r="T6" i="5"/>
  <c r="S6" i="5"/>
  <c r="R6" i="5"/>
  <c r="Q6" i="5"/>
  <c r="P6" i="5"/>
  <c r="O6" i="5"/>
  <c r="N6" i="5"/>
  <c r="M6" i="5"/>
  <c r="L6" i="5"/>
  <c r="K6" i="5"/>
  <c r="J6" i="5"/>
  <c r="I6" i="5"/>
  <c r="H6" i="5"/>
  <c r="G6" i="5"/>
  <c r="F6" i="5"/>
  <c r="E6" i="5"/>
  <c r="D6" i="5"/>
  <c r="C6" i="5"/>
  <c r="B6" i="5"/>
  <c r="AA5" i="5"/>
  <c r="Z5" i="5"/>
  <c r="Y5" i="5"/>
  <c r="X5" i="5"/>
  <c r="W5" i="5"/>
  <c r="V5" i="5"/>
  <c r="U5" i="5"/>
  <c r="T5" i="5"/>
  <c r="S5" i="5"/>
  <c r="R5" i="5"/>
  <c r="Q5" i="5"/>
  <c r="P5" i="5"/>
  <c r="O5" i="5"/>
  <c r="N5" i="5"/>
  <c r="M5" i="5"/>
  <c r="L5" i="5"/>
  <c r="K5" i="5"/>
  <c r="J5" i="5"/>
  <c r="I5" i="5"/>
  <c r="H5" i="5"/>
  <c r="G5" i="5"/>
  <c r="F5" i="5"/>
  <c r="E5" i="5"/>
  <c r="D5" i="5"/>
  <c r="C5" i="5"/>
  <c r="B5" i="5"/>
  <c r="AA4" i="5"/>
  <c r="AA24" i="5" s="1"/>
  <c r="Z4" i="5"/>
  <c r="Y4" i="5"/>
  <c r="X4" i="5"/>
  <c r="W4" i="5"/>
  <c r="V4" i="5"/>
  <c r="U4" i="5"/>
  <c r="T4" i="5"/>
  <c r="S4" i="5"/>
  <c r="R4" i="5"/>
  <c r="R24" i="5" s="1"/>
  <c r="Q4" i="5"/>
  <c r="P4" i="5"/>
  <c r="P24" i="5" s="1"/>
  <c r="O4" i="5"/>
  <c r="N4" i="5"/>
  <c r="N24" i="5" s="1"/>
  <c r="M4" i="5"/>
  <c r="M24" i="5" s="1"/>
  <c r="L4" i="5"/>
  <c r="K4" i="5"/>
  <c r="J4" i="5"/>
  <c r="I4" i="5"/>
  <c r="H4" i="5"/>
  <c r="G4" i="5"/>
  <c r="F4" i="5"/>
  <c r="F24" i="5" s="1"/>
  <c r="E4" i="5"/>
  <c r="E24" i="5" s="1"/>
  <c r="D4" i="5"/>
  <c r="C4" i="5"/>
  <c r="B4" i="5"/>
  <c r="F28" i="4"/>
  <c r="E28" i="4"/>
  <c r="D28" i="4"/>
  <c r="C28" i="4"/>
  <c r="F27" i="4"/>
  <c r="E27" i="4"/>
  <c r="D27" i="4"/>
  <c r="C27" i="4"/>
  <c r="F26" i="4"/>
  <c r="E26" i="4"/>
  <c r="D26" i="4"/>
  <c r="C26" i="4"/>
  <c r="F25" i="4"/>
  <c r="E25" i="4"/>
  <c r="D25" i="4"/>
  <c r="C25" i="4"/>
  <c r="F24" i="4"/>
  <c r="E24" i="4"/>
  <c r="D24" i="4"/>
  <c r="C24" i="4"/>
  <c r="F23" i="4"/>
  <c r="E23" i="4"/>
  <c r="D23" i="4"/>
  <c r="C23" i="4"/>
  <c r="F22" i="4"/>
  <c r="E22" i="4"/>
  <c r="D22" i="4"/>
  <c r="C22" i="4"/>
  <c r="F21" i="4"/>
  <c r="E21" i="4"/>
  <c r="D21" i="4"/>
  <c r="C21" i="4"/>
  <c r="F20" i="4"/>
  <c r="E20" i="4"/>
  <c r="D20" i="4"/>
  <c r="C20" i="4"/>
  <c r="F19" i="4"/>
  <c r="E19" i="4"/>
  <c r="D19" i="4"/>
  <c r="C19" i="4"/>
  <c r="F18" i="4"/>
  <c r="E18" i="4"/>
  <c r="D18" i="4"/>
  <c r="C18" i="4"/>
  <c r="F17" i="4"/>
  <c r="E17" i="4"/>
  <c r="D17" i="4"/>
  <c r="C17" i="4"/>
  <c r="F16" i="4"/>
  <c r="E16" i="4"/>
  <c r="D16" i="4"/>
  <c r="C16" i="4"/>
  <c r="F15" i="4"/>
  <c r="E15" i="4"/>
  <c r="D15" i="4"/>
  <c r="F9" i="1" s="1"/>
  <c r="C15" i="4"/>
  <c r="F14" i="4"/>
  <c r="E14" i="4"/>
  <c r="D14" i="4"/>
  <c r="C14" i="4"/>
  <c r="F13" i="4"/>
  <c r="E13" i="4"/>
  <c r="D13" i="4"/>
  <c r="C13" i="4"/>
  <c r="F12" i="4"/>
  <c r="E12" i="4"/>
  <c r="D12" i="4"/>
  <c r="C12" i="4"/>
  <c r="F11" i="4"/>
  <c r="E11" i="4"/>
  <c r="D11" i="4"/>
  <c r="C11" i="4"/>
  <c r="F10" i="4"/>
  <c r="E10" i="4"/>
  <c r="D10" i="4"/>
  <c r="C10" i="4"/>
  <c r="F9" i="4"/>
  <c r="E9" i="4"/>
  <c r="D9" i="4"/>
  <c r="C9" i="4"/>
  <c r="F8" i="4"/>
  <c r="E8" i="4"/>
  <c r="C10" i="1" s="1"/>
  <c r="D8" i="4"/>
  <c r="C8" i="4"/>
  <c r="F7" i="4"/>
  <c r="E7" i="4"/>
  <c r="D7" i="4"/>
  <c r="C7" i="4"/>
  <c r="F6" i="4"/>
  <c r="E6" i="4"/>
  <c r="D6" i="4"/>
  <c r="C6" i="4"/>
  <c r="F5" i="4"/>
  <c r="E5" i="4"/>
  <c r="D5" i="4"/>
  <c r="C5" i="4"/>
  <c r="F4" i="4"/>
  <c r="E4" i="4"/>
  <c r="D4" i="4"/>
  <c r="C4" i="4"/>
  <c r="F3" i="4"/>
  <c r="E3" i="4"/>
  <c r="D3" i="4"/>
  <c r="C3" i="4"/>
  <c r="U98" i="8"/>
  <c r="T98" i="8"/>
  <c r="V98" i="8" s="1"/>
  <c r="S98" i="8" a="1"/>
  <c r="S98" i="8" s="1"/>
  <c r="R98" i="8" a="1"/>
  <c r="R98" i="8" s="1"/>
  <c r="U97" i="8"/>
  <c r="T97" i="8"/>
  <c r="V97" i="8" s="1"/>
  <c r="S97" i="8" a="1"/>
  <c r="S97" i="8" s="1"/>
  <c r="R97" i="8" a="1"/>
  <c r="R97" i="8" s="1"/>
  <c r="U96" i="8"/>
  <c r="T96" i="8"/>
  <c r="V96" i="8" s="1"/>
  <c r="S96" i="8" a="1"/>
  <c r="S96" i="8" s="1"/>
  <c r="R96" i="8" a="1"/>
  <c r="R96" i="8" s="1"/>
  <c r="U95" i="8"/>
  <c r="T95" i="8"/>
  <c r="V95" i="8" s="1"/>
  <c r="S95" i="8" a="1"/>
  <c r="S95" i="8" s="1"/>
  <c r="R95" i="8" a="1"/>
  <c r="R95" i="8" s="1"/>
  <c r="U94" i="8"/>
  <c r="T94" i="8"/>
  <c r="V94" i="8" s="1"/>
  <c r="S94" i="8" a="1"/>
  <c r="S94" i="8" s="1"/>
  <c r="R94" i="8" a="1"/>
  <c r="R94" i="8" s="1"/>
  <c r="U93" i="8"/>
  <c r="T93" i="8"/>
  <c r="V93" i="8" s="1"/>
  <c r="S93" i="8" a="1"/>
  <c r="S93" i="8" s="1"/>
  <c r="R93" i="8" a="1"/>
  <c r="R93" i="8" s="1"/>
  <c r="U92" i="8"/>
  <c r="T92" i="8"/>
  <c r="V92" i="8" s="1"/>
  <c r="S92" i="8" a="1"/>
  <c r="S92" i="8" s="1"/>
  <c r="R92" i="8" a="1"/>
  <c r="R92" i="8" s="1"/>
  <c r="U91" i="8"/>
  <c r="T91" i="8"/>
  <c r="V91" i="8" s="1"/>
  <c r="S91" i="8" a="1"/>
  <c r="S91" i="8" s="1"/>
  <c r="R91" i="8" a="1"/>
  <c r="R91" i="8" s="1"/>
  <c r="U90" i="8"/>
  <c r="T90" i="8"/>
  <c r="V90" i="8" s="1"/>
  <c r="S90" i="8" a="1"/>
  <c r="S90" i="8" s="1"/>
  <c r="R90" i="8" a="1"/>
  <c r="R90" i="8" s="1"/>
  <c r="U89" i="8"/>
  <c r="T89" i="8"/>
  <c r="V89" i="8" s="1"/>
  <c r="S89" i="8" a="1"/>
  <c r="S89" i="8" s="1"/>
  <c r="R89" i="8" a="1"/>
  <c r="R89" i="8" s="1"/>
  <c r="U88" i="8"/>
  <c r="T88" i="8"/>
  <c r="V88" i="8" s="1"/>
  <c r="S88" i="8" a="1"/>
  <c r="S88" i="8" s="1"/>
  <c r="R88" i="8" a="1"/>
  <c r="R88" i="8" s="1"/>
  <c r="U87" i="8"/>
  <c r="T87" i="8"/>
  <c r="V87" i="8" s="1"/>
  <c r="S87" i="8" a="1"/>
  <c r="S87" i="8" s="1"/>
  <c r="R87" i="8" a="1"/>
  <c r="R87" i="8" s="1"/>
  <c r="U86" i="8"/>
  <c r="T86" i="8"/>
  <c r="V86" i="8" s="1"/>
  <c r="S86" i="8" a="1"/>
  <c r="S86" i="8" s="1"/>
  <c r="R86" i="8" a="1"/>
  <c r="R86" i="8" s="1"/>
  <c r="U85" i="8"/>
  <c r="T85" i="8"/>
  <c r="V85" i="8" s="1"/>
  <c r="S85" i="8" a="1"/>
  <c r="S85" i="8" s="1"/>
  <c r="R85" i="8" a="1"/>
  <c r="R85" i="8" s="1"/>
  <c r="U84" i="8"/>
  <c r="T84" i="8"/>
  <c r="V84" i="8" s="1"/>
  <c r="S84" i="8" a="1"/>
  <c r="S84" i="8" s="1"/>
  <c r="R84" i="8" a="1"/>
  <c r="R84" i="8" s="1"/>
  <c r="U83" i="8"/>
  <c r="T83" i="8"/>
  <c r="V83" i="8" s="1"/>
  <c r="S83" i="8" a="1"/>
  <c r="S83" i="8" s="1"/>
  <c r="R83" i="8" a="1"/>
  <c r="R83" i="8" s="1"/>
  <c r="U82" i="8"/>
  <c r="T82" i="8"/>
  <c r="V82" i="8" s="1"/>
  <c r="S82" i="8" a="1"/>
  <c r="S82" i="8" s="1"/>
  <c r="R82" i="8" a="1"/>
  <c r="R82" i="8" s="1"/>
  <c r="U81" i="8"/>
  <c r="T81" i="8"/>
  <c r="V81" i="8" s="1"/>
  <c r="S81" i="8" a="1"/>
  <c r="S81" i="8" s="1"/>
  <c r="R81" i="8" a="1"/>
  <c r="R81" i="8" s="1"/>
  <c r="U80" i="8"/>
  <c r="T80" i="8"/>
  <c r="V80" i="8" s="1"/>
  <c r="S80" i="8" a="1"/>
  <c r="S80" i="8" s="1"/>
  <c r="R80" i="8" a="1"/>
  <c r="R80" i="8" s="1"/>
  <c r="U79" i="8"/>
  <c r="T79" i="8"/>
  <c r="V79" i="8" s="1"/>
  <c r="S79" i="8" a="1"/>
  <c r="S79" i="8" s="1"/>
  <c r="R79" i="8" a="1"/>
  <c r="R79" i="8" s="1"/>
  <c r="U78" i="8"/>
  <c r="T78" i="8"/>
  <c r="V78" i="8" s="1"/>
  <c r="S78" i="8" a="1"/>
  <c r="S78" i="8" s="1"/>
  <c r="R78" i="8" a="1"/>
  <c r="R78" i="8" s="1"/>
  <c r="U77" i="8"/>
  <c r="T77" i="8"/>
  <c r="V77" i="8" s="1"/>
  <c r="S77" i="8" a="1"/>
  <c r="S77" i="8" s="1"/>
  <c r="R77" i="8" a="1"/>
  <c r="R77" i="8" s="1"/>
  <c r="U76" i="8"/>
  <c r="T76" i="8"/>
  <c r="V76" i="8" s="1"/>
  <c r="S76" i="8" a="1"/>
  <c r="S76" i="8" s="1"/>
  <c r="R76" i="8" a="1"/>
  <c r="R76" i="8" s="1"/>
  <c r="U75" i="8"/>
  <c r="T75" i="8"/>
  <c r="V75" i="8" s="1"/>
  <c r="S75" i="8" a="1"/>
  <c r="S75" i="8" s="1"/>
  <c r="R75" i="8" a="1"/>
  <c r="R75" i="8" s="1"/>
  <c r="U74" i="8"/>
  <c r="T74" i="8"/>
  <c r="V74" i="8" s="1"/>
  <c r="S74" i="8" a="1"/>
  <c r="S74" i="8" s="1"/>
  <c r="R74" i="8" a="1"/>
  <c r="R74" i="8" s="1"/>
  <c r="U73" i="8"/>
  <c r="T73" i="8"/>
  <c r="V73" i="8" s="1"/>
  <c r="S73" i="8" a="1"/>
  <c r="S73" i="8" s="1"/>
  <c r="R73" i="8" a="1"/>
  <c r="R73" i="8" s="1"/>
  <c r="U72" i="8"/>
  <c r="T72" i="8"/>
  <c r="V72" i="8" s="1"/>
  <c r="S72" i="8" a="1"/>
  <c r="S72" i="8" s="1"/>
  <c r="R72" i="8" a="1"/>
  <c r="R72" i="8" s="1"/>
  <c r="U71" i="8"/>
  <c r="T71" i="8"/>
  <c r="V71" i="8" s="1"/>
  <c r="S71" i="8" a="1"/>
  <c r="S71" i="8" s="1"/>
  <c r="R71" i="8" a="1"/>
  <c r="R71" i="8" s="1"/>
  <c r="U70" i="8"/>
  <c r="T70" i="8"/>
  <c r="V70" i="8" s="1"/>
  <c r="S70" i="8" a="1"/>
  <c r="S70" i="8" s="1"/>
  <c r="R70" i="8" a="1"/>
  <c r="R70" i="8" s="1"/>
  <c r="U69" i="8"/>
  <c r="T69" i="8"/>
  <c r="V69" i="8" s="1"/>
  <c r="S69" i="8" a="1"/>
  <c r="S69" i="8" s="1"/>
  <c r="R69" i="8" a="1"/>
  <c r="R69" i="8" s="1"/>
  <c r="U68" i="8"/>
  <c r="T68" i="8"/>
  <c r="V68" i="8" s="1"/>
  <c r="S68" i="8" a="1"/>
  <c r="S68" i="8" s="1"/>
  <c r="R68" i="8" a="1"/>
  <c r="R68" i="8" s="1"/>
  <c r="U67" i="8"/>
  <c r="T67" i="8"/>
  <c r="V67" i="8" s="1"/>
  <c r="S67" i="8" a="1"/>
  <c r="S67" i="8" s="1"/>
  <c r="R67" i="8" a="1"/>
  <c r="R67" i="8" s="1"/>
  <c r="U66" i="8"/>
  <c r="T66" i="8"/>
  <c r="V66" i="8" s="1"/>
  <c r="S66" i="8" a="1"/>
  <c r="S66" i="8" s="1"/>
  <c r="R66" i="8" a="1"/>
  <c r="R66" i="8" s="1"/>
  <c r="U65" i="8"/>
  <c r="T65" i="8"/>
  <c r="V65" i="8" s="1"/>
  <c r="S65" i="8" a="1"/>
  <c r="S65" i="8" s="1"/>
  <c r="R65" i="8" a="1"/>
  <c r="R65" i="8" s="1"/>
  <c r="U64" i="8"/>
  <c r="T64" i="8"/>
  <c r="V64" i="8" s="1"/>
  <c r="S64" i="8" a="1"/>
  <c r="S64" i="8" s="1"/>
  <c r="R64" i="8" a="1"/>
  <c r="R64" i="8" s="1"/>
  <c r="U63" i="8"/>
  <c r="T63" i="8"/>
  <c r="V63" i="8" s="1"/>
  <c r="S63" i="8" a="1"/>
  <c r="S63" i="8" s="1"/>
  <c r="R63" i="8" a="1"/>
  <c r="R63" i="8" s="1"/>
  <c r="U62" i="8"/>
  <c r="T62" i="8"/>
  <c r="V62" i="8" s="1"/>
  <c r="S62" i="8" a="1"/>
  <c r="S62" i="8" s="1"/>
  <c r="R62" i="8" a="1"/>
  <c r="R62" i="8" s="1"/>
  <c r="U61" i="8"/>
  <c r="T61" i="8"/>
  <c r="V61" i="8" s="1"/>
  <c r="S61" i="8" a="1"/>
  <c r="S61" i="8" s="1"/>
  <c r="R61" i="8" a="1"/>
  <c r="R61" i="8" s="1"/>
  <c r="U60" i="8"/>
  <c r="T60" i="8"/>
  <c r="V60" i="8" s="1"/>
  <c r="S60" i="8" a="1"/>
  <c r="S60" i="8" s="1"/>
  <c r="R60" i="8" a="1"/>
  <c r="R60" i="8" s="1"/>
  <c r="U59" i="8"/>
  <c r="T59" i="8"/>
  <c r="V59" i="8" s="1"/>
  <c r="S59" i="8" a="1"/>
  <c r="S59" i="8" s="1"/>
  <c r="R59" i="8" a="1"/>
  <c r="R59" i="8" s="1"/>
  <c r="U58" i="8"/>
  <c r="T58" i="8"/>
  <c r="V58" i="8" s="1"/>
  <c r="S58" i="8" a="1"/>
  <c r="S58" i="8" s="1"/>
  <c r="R58" i="8" a="1"/>
  <c r="R58" i="8" s="1"/>
  <c r="U57" i="8"/>
  <c r="T57" i="8"/>
  <c r="V57" i="8" s="1"/>
  <c r="S57" i="8" a="1"/>
  <c r="S57" i="8" s="1"/>
  <c r="R57" i="8" a="1"/>
  <c r="R57" i="8" s="1"/>
  <c r="U56" i="8"/>
  <c r="T56" i="8"/>
  <c r="V56" i="8" s="1"/>
  <c r="S56" i="8" a="1"/>
  <c r="S56" i="8" s="1"/>
  <c r="R56" i="8" a="1"/>
  <c r="R56" i="8" s="1"/>
  <c r="U55" i="8"/>
  <c r="T55" i="8"/>
  <c r="V55" i="8" s="1"/>
  <c r="S55" i="8" a="1"/>
  <c r="S55" i="8" s="1"/>
  <c r="R55" i="8" a="1"/>
  <c r="R55" i="8" s="1"/>
  <c r="U54" i="8"/>
  <c r="T54" i="8"/>
  <c r="V54" i="8" s="1"/>
  <c r="S54" i="8" a="1"/>
  <c r="S54" i="8" s="1"/>
  <c r="R54" i="8" a="1"/>
  <c r="R54" i="8" s="1"/>
  <c r="U53" i="8"/>
  <c r="T53" i="8"/>
  <c r="V53" i="8" s="1"/>
  <c r="S53" i="8" a="1"/>
  <c r="S53" i="8" s="1"/>
  <c r="R53" i="8" a="1"/>
  <c r="R53" i="8" s="1"/>
  <c r="U52" i="8"/>
  <c r="T52" i="8"/>
  <c r="V52" i="8" s="1"/>
  <c r="S52" i="8" a="1"/>
  <c r="S52" i="8" s="1"/>
  <c r="R52" i="8" a="1"/>
  <c r="R52" i="8" s="1"/>
  <c r="U51" i="8"/>
  <c r="T51" i="8"/>
  <c r="V51" i="8" s="1"/>
  <c r="S51" i="8" a="1"/>
  <c r="S51" i="8" s="1"/>
  <c r="R51" i="8" a="1"/>
  <c r="R51" i="8" s="1"/>
  <c r="U50" i="8"/>
  <c r="T50" i="8"/>
  <c r="V50" i="8" s="1"/>
  <c r="S50" i="8" a="1"/>
  <c r="S50" i="8" s="1"/>
  <c r="R50" i="8" a="1"/>
  <c r="R50" i="8" s="1"/>
  <c r="U49" i="8"/>
  <c r="T49" i="8"/>
  <c r="V49" i="8" s="1"/>
  <c r="S49" i="8" a="1"/>
  <c r="S49" i="8" s="1"/>
  <c r="R49" i="8" a="1"/>
  <c r="R49" i="8" s="1"/>
  <c r="U48" i="8"/>
  <c r="T48" i="8"/>
  <c r="V48" i="8" s="1"/>
  <c r="S48" i="8" a="1"/>
  <c r="S48" i="8" s="1"/>
  <c r="R48" i="8" a="1"/>
  <c r="R48" i="8" s="1"/>
  <c r="U47" i="8"/>
  <c r="T47" i="8"/>
  <c r="V47" i="8" s="1"/>
  <c r="S47" i="8" a="1"/>
  <c r="S47" i="8" s="1"/>
  <c r="R47" i="8" a="1"/>
  <c r="R47" i="8" s="1"/>
  <c r="U46" i="8"/>
  <c r="T46" i="8"/>
  <c r="V46" i="8" s="1"/>
  <c r="S46" i="8" a="1"/>
  <c r="S46" i="8" s="1"/>
  <c r="R46" i="8" a="1"/>
  <c r="R46" i="8" s="1"/>
  <c r="U45" i="8"/>
  <c r="T45" i="8"/>
  <c r="V45" i="8" s="1"/>
  <c r="S45" i="8" a="1"/>
  <c r="S45" i="8" s="1"/>
  <c r="R45" i="8" a="1"/>
  <c r="R45" i="8" s="1"/>
  <c r="U44" i="8"/>
  <c r="T44" i="8"/>
  <c r="V44" i="8" s="1"/>
  <c r="S44" i="8" a="1"/>
  <c r="S44" i="8" s="1"/>
  <c r="R44" i="8" a="1"/>
  <c r="R44" i="8" s="1"/>
  <c r="U43" i="8"/>
  <c r="T43" i="8"/>
  <c r="V43" i="8" s="1"/>
  <c r="S43" i="8" a="1"/>
  <c r="S43" i="8" s="1"/>
  <c r="R43" i="8" a="1"/>
  <c r="R43" i="8" s="1"/>
  <c r="U42" i="8"/>
  <c r="T42" i="8"/>
  <c r="V42" i="8" s="1"/>
  <c r="S42" i="8" a="1"/>
  <c r="S42" i="8" s="1"/>
  <c r="R42" i="8" a="1"/>
  <c r="R42" i="8" s="1"/>
  <c r="U41" i="8"/>
  <c r="T41" i="8"/>
  <c r="V41" i="8" s="1"/>
  <c r="S41" i="8" a="1"/>
  <c r="S41" i="8" s="1"/>
  <c r="R41" i="8" a="1"/>
  <c r="R41" i="8" s="1"/>
  <c r="U40" i="8"/>
  <c r="T40" i="8"/>
  <c r="V40" i="8" s="1"/>
  <c r="S40" i="8" a="1"/>
  <c r="S40" i="8" s="1"/>
  <c r="R40" i="8" a="1"/>
  <c r="R40" i="8" s="1"/>
  <c r="U39" i="8"/>
  <c r="T39" i="8"/>
  <c r="V39" i="8" s="1"/>
  <c r="S39" i="8" a="1"/>
  <c r="S39" i="8" s="1"/>
  <c r="R39" i="8" a="1"/>
  <c r="R39" i="8" s="1"/>
  <c r="U38" i="8"/>
  <c r="T38" i="8"/>
  <c r="V38" i="8" s="1"/>
  <c r="S38" i="8" a="1"/>
  <c r="S38" i="8" s="1"/>
  <c r="R38" i="8" a="1"/>
  <c r="R38" i="8" s="1"/>
  <c r="U37" i="8"/>
  <c r="T37" i="8"/>
  <c r="V37" i="8" s="1"/>
  <c r="S37" i="8" a="1"/>
  <c r="S37" i="8" s="1"/>
  <c r="R37" i="8" a="1"/>
  <c r="R37" i="8" s="1"/>
  <c r="U36" i="8"/>
  <c r="T36" i="8"/>
  <c r="V36" i="8" s="1"/>
  <c r="S36" i="8" a="1"/>
  <c r="S36" i="8" s="1"/>
  <c r="R36" i="8" a="1"/>
  <c r="R36" i="8" s="1"/>
  <c r="U35" i="8"/>
  <c r="T35" i="8"/>
  <c r="V35" i="8" s="1"/>
  <c r="S35" i="8" a="1"/>
  <c r="S35" i="8" s="1"/>
  <c r="R35" i="8" a="1"/>
  <c r="R35" i="8" s="1"/>
  <c r="U34" i="8"/>
  <c r="T34" i="8"/>
  <c r="V34" i="8" s="1"/>
  <c r="S34" i="8" a="1"/>
  <c r="S34" i="8" s="1"/>
  <c r="R34" i="8" a="1"/>
  <c r="R34" i="8" s="1"/>
  <c r="U33" i="8"/>
  <c r="T33" i="8"/>
  <c r="V33" i="8" s="1"/>
  <c r="S33" i="8" a="1"/>
  <c r="S33" i="8" s="1"/>
  <c r="R33" i="8" a="1"/>
  <c r="R33" i="8" s="1"/>
  <c r="U32" i="8"/>
  <c r="T32" i="8"/>
  <c r="V32" i="8" s="1"/>
  <c r="S32" i="8" a="1"/>
  <c r="S32" i="8" s="1"/>
  <c r="R32" i="8" a="1"/>
  <c r="R32" i="8" s="1"/>
  <c r="U31" i="8"/>
  <c r="T31" i="8"/>
  <c r="V31" i="8" s="1"/>
  <c r="S31" i="8"/>
  <c r="S31" i="8" a="1"/>
  <c r="R31" i="8" a="1"/>
  <c r="R31" i="8" s="1"/>
  <c r="U30" i="8"/>
  <c r="T30" i="8"/>
  <c r="V30" i="8" s="1"/>
  <c r="S30" i="8" a="1"/>
  <c r="S30" i="8" s="1"/>
  <c r="R30" i="8" a="1"/>
  <c r="R30" i="8" s="1"/>
  <c r="U29" i="8"/>
  <c r="T29" i="8"/>
  <c r="V29" i="8" s="1"/>
  <c r="S29" i="8" a="1"/>
  <c r="S29" i="8" s="1"/>
  <c r="R29" i="8" a="1"/>
  <c r="R29" i="8" s="1"/>
  <c r="U28" i="8"/>
  <c r="T28" i="8"/>
  <c r="V28" i="8" s="1"/>
  <c r="S28" i="8" a="1"/>
  <c r="S28" i="8" s="1"/>
  <c r="R28" i="8" a="1"/>
  <c r="R28" i="8" s="1"/>
  <c r="U27" i="8"/>
  <c r="T27" i="8"/>
  <c r="V27" i="8" s="1"/>
  <c r="S27" i="8" a="1"/>
  <c r="S27" i="8" s="1"/>
  <c r="R27" i="8" a="1"/>
  <c r="R27" i="8" s="1"/>
  <c r="U26" i="8"/>
  <c r="T26" i="8"/>
  <c r="V26" i="8" s="1"/>
  <c r="S26" i="8" a="1"/>
  <c r="S26" i="8" s="1"/>
  <c r="R26" i="8" a="1"/>
  <c r="R26" i="8" s="1"/>
  <c r="U25" i="8"/>
  <c r="T25" i="8"/>
  <c r="V25" i="8" s="1"/>
  <c r="S25" i="8" a="1"/>
  <c r="S25" i="8" s="1"/>
  <c r="R25" i="8" a="1"/>
  <c r="R25" i="8" s="1"/>
  <c r="U24" i="8"/>
  <c r="T24" i="8"/>
  <c r="V24" i="8" s="1"/>
  <c r="S24" i="8" a="1"/>
  <c r="S24" i="8" s="1"/>
  <c r="R24" i="8" a="1"/>
  <c r="R24" i="8" s="1"/>
  <c r="U23" i="8"/>
  <c r="T23" i="8"/>
  <c r="V23" i="8" s="1"/>
  <c r="S23" i="8" a="1"/>
  <c r="S23" i="8" s="1"/>
  <c r="R23" i="8" a="1"/>
  <c r="R23" i="8" s="1"/>
  <c r="U22" i="8"/>
  <c r="T22" i="8"/>
  <c r="V22" i="8" s="1"/>
  <c r="S22" i="8" a="1"/>
  <c r="S22" i="8" s="1"/>
  <c r="R22" i="8" a="1"/>
  <c r="R22" i="8" s="1"/>
  <c r="U21" i="8"/>
  <c r="T21" i="8"/>
  <c r="V21" i="8" s="1"/>
  <c r="S21" i="8" a="1"/>
  <c r="S21" i="8" s="1"/>
  <c r="R21" i="8" a="1"/>
  <c r="R21" i="8" s="1"/>
  <c r="U20" i="8"/>
  <c r="T20" i="8"/>
  <c r="V20" i="8" s="1"/>
  <c r="S20" i="8" a="1"/>
  <c r="S20" i="8" s="1"/>
  <c r="R20" i="8" a="1"/>
  <c r="R20" i="8" s="1"/>
  <c r="U19" i="8"/>
  <c r="T19" i="8"/>
  <c r="V19" i="8" s="1"/>
  <c r="S19" i="8" a="1"/>
  <c r="S19" i="8" s="1"/>
  <c r="R19" i="8" a="1"/>
  <c r="R19" i="8" s="1"/>
  <c r="U18" i="8"/>
  <c r="T18" i="8"/>
  <c r="V18" i="8" s="1"/>
  <c r="S18" i="8" a="1"/>
  <c r="S18" i="8" s="1"/>
  <c r="R18" i="8" a="1"/>
  <c r="R18" i="8" s="1"/>
  <c r="U17" i="8"/>
  <c r="T17" i="8"/>
  <c r="V17" i="8" s="1"/>
  <c r="S17" i="8" a="1"/>
  <c r="S17" i="8" s="1"/>
  <c r="R17" i="8" a="1"/>
  <c r="R17" i="8" s="1"/>
  <c r="U16" i="8"/>
  <c r="T16" i="8"/>
  <c r="V16" i="8" s="1"/>
  <c r="S16" i="8" a="1"/>
  <c r="S16" i="8" s="1"/>
  <c r="R16" i="8" a="1"/>
  <c r="R16" i="8" s="1"/>
  <c r="U15" i="8"/>
  <c r="T15" i="8"/>
  <c r="V15" i="8" s="1"/>
  <c r="S15" i="8" a="1"/>
  <c r="S15" i="8" s="1"/>
  <c r="R15" i="8" a="1"/>
  <c r="R15" i="8" s="1"/>
  <c r="U14" i="8"/>
  <c r="T14" i="8"/>
  <c r="V14" i="8" s="1"/>
  <c r="S14" i="8" a="1"/>
  <c r="S14" i="8" s="1"/>
  <c r="R14" i="8" a="1"/>
  <c r="R14" i="8" s="1"/>
  <c r="U13" i="8"/>
  <c r="T13" i="8"/>
  <c r="V13" i="8" s="1"/>
  <c r="S13" i="8" a="1"/>
  <c r="S13" i="8" s="1"/>
  <c r="R13" i="8" a="1"/>
  <c r="R13" i="8" s="1"/>
  <c r="U12" i="8"/>
  <c r="T12" i="8"/>
  <c r="V12" i="8" s="1"/>
  <c r="S12" i="8" a="1"/>
  <c r="S12" i="8" s="1"/>
  <c r="R12" i="8" a="1"/>
  <c r="R12" i="8" s="1"/>
  <c r="U11" i="8"/>
  <c r="T11" i="8"/>
  <c r="V11" i="8" s="1"/>
  <c r="S11" i="8" a="1"/>
  <c r="S11" i="8" s="1"/>
  <c r="R11" i="8" a="1"/>
  <c r="R11" i="8" s="1"/>
  <c r="U10" i="8"/>
  <c r="T10" i="8"/>
  <c r="V10" i="8" s="1"/>
  <c r="S10" i="8" a="1"/>
  <c r="S10" i="8" s="1"/>
  <c r="R10" i="8" a="1"/>
  <c r="R10" i="8" s="1"/>
  <c r="U9" i="8"/>
  <c r="T9" i="8"/>
  <c r="V9" i="8" s="1"/>
  <c r="S9" i="8" a="1"/>
  <c r="S9" i="8" s="1"/>
  <c r="R9" i="8" a="1"/>
  <c r="R9" i="8" s="1"/>
  <c r="U8" i="8"/>
  <c r="T8" i="8"/>
  <c r="V8" i="8" s="1"/>
  <c r="S8" i="8" a="1"/>
  <c r="S8" i="8" s="1"/>
  <c r="R8" i="8" a="1"/>
  <c r="R8" i="8" s="1"/>
  <c r="U7" i="8"/>
  <c r="T7" i="8"/>
  <c r="V7" i="8" s="1"/>
  <c r="S7" i="8" a="1"/>
  <c r="S7" i="8" s="1"/>
  <c r="R7" i="8" a="1"/>
  <c r="R7" i="8" s="1"/>
  <c r="U6" i="8"/>
  <c r="T6" i="8"/>
  <c r="V6" i="8" s="1"/>
  <c r="S6" i="8" a="1"/>
  <c r="S6" i="8" s="1"/>
  <c r="R6" i="8" a="1"/>
  <c r="R6" i="8" s="1"/>
  <c r="U5" i="8"/>
  <c r="T5" i="8"/>
  <c r="V5" i="8" s="1"/>
  <c r="S5" i="8" a="1"/>
  <c r="S5" i="8" s="1"/>
  <c r="R5" i="8" a="1"/>
  <c r="R5" i="8" s="1"/>
  <c r="U4" i="8"/>
  <c r="T4" i="8"/>
  <c r="V4" i="8" s="1"/>
  <c r="S4" i="8" a="1"/>
  <c r="S4" i="8" s="1"/>
  <c r="R4" i="8" a="1"/>
  <c r="R4" i="8" s="1"/>
  <c r="U3" i="8"/>
  <c r="T3" i="8"/>
  <c r="V3" i="8" s="1"/>
  <c r="S3" i="8" a="1"/>
  <c r="S3" i="8" s="1"/>
  <c r="R3" i="8" a="1"/>
  <c r="R3" i="8" s="1"/>
  <c r="U2" i="8"/>
  <c r="T2" i="8"/>
  <c r="V2" i="8" s="1"/>
  <c r="S2" i="8" a="1"/>
  <c r="S2" i="8" s="1"/>
  <c r="R2" i="8" a="1"/>
  <c r="R2" i="8" s="1"/>
  <c r="B38" i="3"/>
  <c r="C52" i="3"/>
  <c r="D52" i="3" s="1"/>
  <c r="B39" i="3"/>
  <c r="C53" i="3" s="1"/>
  <c r="D53" i="3" s="1"/>
  <c r="G28" i="3"/>
  <c r="E28" i="3"/>
  <c r="D28" i="3"/>
  <c r="C28" i="3"/>
  <c r="B28" i="3"/>
  <c r="G27" i="3"/>
  <c r="E27" i="3"/>
  <c r="D27" i="3"/>
  <c r="C27" i="3"/>
  <c r="B27" i="3"/>
  <c r="G26" i="3"/>
  <c r="E26" i="3"/>
  <c r="D26" i="3"/>
  <c r="C26" i="3"/>
  <c r="B26" i="3"/>
  <c r="G25" i="3"/>
  <c r="E25" i="3"/>
  <c r="D25" i="3"/>
  <c r="C25" i="3"/>
  <c r="B25" i="3"/>
  <c r="G8" i="3"/>
  <c r="E8" i="3"/>
  <c r="D8" i="3"/>
  <c r="C8" i="3"/>
  <c r="B8" i="3"/>
  <c r="E31" i="1"/>
  <c r="D31" i="1"/>
  <c r="C31" i="1"/>
  <c r="B31" i="1"/>
  <c r="I17" i="1"/>
  <c r="I28" i="1"/>
  <c r="I31" i="1" s="1"/>
  <c r="H28" i="1"/>
  <c r="H31" i="1" s="1"/>
  <c r="G28" i="1"/>
  <c r="G31" i="1" s="1"/>
  <c r="F28" i="1"/>
  <c r="F31" i="1" s="1"/>
  <c r="B7" i="1"/>
  <c r="B89" i="6" a="1"/>
  <c r="B89" i="6" s="1"/>
  <c r="B88" i="6" a="1"/>
  <c r="B88" i="6" s="1"/>
  <c r="B87" i="6" a="1"/>
  <c r="B87" i="6" s="1"/>
  <c r="C86" i="6" a="1"/>
  <c r="C86" i="6" s="1"/>
  <c r="B86" i="6" a="1"/>
  <c r="B86" i="6" s="1"/>
  <c r="B85" i="6" a="1"/>
  <c r="B85" i="6" s="1"/>
  <c r="J81" i="6"/>
  <c r="I81" i="6"/>
  <c r="H81" i="6"/>
  <c r="G81" i="6"/>
  <c r="F81" i="6"/>
  <c r="E81" i="6"/>
  <c r="D81" i="6"/>
  <c r="C81" i="6"/>
  <c r="B81" i="6"/>
  <c r="D18" i="6"/>
  <c r="D17" i="6"/>
  <c r="D16" i="6"/>
  <c r="D15" i="6"/>
  <c r="D14" i="6"/>
  <c r="D13" i="6"/>
  <c r="D12" i="6"/>
  <c r="B19" i="5"/>
  <c r="B21" i="5" s="1"/>
  <c r="B18" i="5"/>
  <c r="AA26" i="5"/>
  <c r="Z26" i="5"/>
  <c r="Y26" i="5"/>
  <c r="X26" i="5"/>
  <c r="T26" i="5"/>
  <c r="S26" i="5"/>
  <c r="AA25" i="5"/>
  <c r="S25" i="5"/>
  <c r="Z24" i="5"/>
  <c r="Y24" i="5"/>
  <c r="X24" i="5"/>
  <c r="W24" i="5"/>
  <c r="V24" i="5"/>
  <c r="U24" i="5"/>
  <c r="T24" i="5"/>
  <c r="S24" i="5"/>
  <c r="Q24" i="5"/>
  <c r="O24" i="5"/>
  <c r="L24" i="5"/>
  <c r="K24" i="5"/>
  <c r="J24" i="5"/>
  <c r="I24" i="5"/>
  <c r="H24" i="5"/>
  <c r="G24" i="5"/>
  <c r="D24" i="5"/>
  <c r="C24" i="5"/>
  <c r="B24" i="5"/>
  <c r="B3" i="4"/>
  <c r="B6" i="10" l="1"/>
  <c r="B62" i="9"/>
  <c r="B64" i="9"/>
  <c r="B9" i="10"/>
  <c r="B63" i="9"/>
  <c r="B8" i="10"/>
  <c r="B47" i="9"/>
  <c r="B11" i="10"/>
  <c r="B14" i="9"/>
  <c r="C8" i="11"/>
  <c r="B4" i="10"/>
  <c r="E6" i="11"/>
  <c r="E19" i="9"/>
  <c r="D19" i="9"/>
  <c r="F19" i="9" s="1" a="1"/>
  <c r="F19" i="9" s="1"/>
  <c r="E20" i="9"/>
  <c r="D20" i="9"/>
  <c r="F20" i="9" s="1" a="1"/>
  <c r="F20" i="9" s="1"/>
  <c r="D18" i="9"/>
  <c r="F18" i="9" s="1" a="1"/>
  <c r="F18" i="9" s="1"/>
  <c r="E18" i="9"/>
  <c r="B21" i="9"/>
  <c r="B15" i="9"/>
  <c r="B10" i="9"/>
  <c r="D7" i="9"/>
  <c r="F7" i="9" s="1" a="1"/>
  <c r="F7" i="9" s="1"/>
  <c r="D5" i="9"/>
  <c r="D4" i="9"/>
  <c r="D3" i="9"/>
  <c r="C8" i="9"/>
  <c r="D7" i="11" s="1"/>
  <c r="U25" i="5"/>
  <c r="V25" i="5"/>
  <c r="T25" i="5"/>
  <c r="I11" i="1"/>
  <c r="G26" i="4"/>
  <c r="I10" i="1"/>
  <c r="I9" i="1"/>
  <c r="H9" i="1"/>
  <c r="G23" i="4"/>
  <c r="H11" i="1"/>
  <c r="G11" i="1"/>
  <c r="G10" i="1"/>
  <c r="G9" i="1"/>
  <c r="F11" i="1"/>
  <c r="F10" i="1"/>
  <c r="E10" i="1"/>
  <c r="G13" i="4"/>
  <c r="E9" i="1"/>
  <c r="D9" i="1"/>
  <c r="G8" i="4"/>
  <c r="C9" i="1"/>
  <c r="B9" i="1"/>
  <c r="B11" i="1"/>
  <c r="B10" i="1"/>
  <c r="G4" i="4"/>
  <c r="G10" i="4"/>
  <c r="D10" i="1"/>
  <c r="H10" i="1"/>
  <c r="G20" i="4"/>
  <c r="B38" i="1"/>
  <c r="B37" i="1"/>
  <c r="E11" i="1"/>
  <c r="C11" i="1"/>
  <c r="F8" i="1"/>
  <c r="G11" i="4"/>
  <c r="D11" i="1"/>
  <c r="G22" i="4"/>
  <c r="G5" i="4"/>
  <c r="Y25" i="5"/>
  <c r="W26" i="5"/>
  <c r="Z25" i="5"/>
  <c r="X25" i="5"/>
  <c r="W25" i="5"/>
  <c r="G19" i="4"/>
  <c r="G17" i="4"/>
  <c r="F33" i="6"/>
  <c r="G14" i="4"/>
  <c r="G7" i="4"/>
  <c r="V26" i="5"/>
  <c r="U26" i="5"/>
  <c r="G25" i="4"/>
  <c r="F32" i="6"/>
  <c r="F31" i="6"/>
  <c r="F30" i="6"/>
  <c r="G27" i="4"/>
  <c r="R26" i="5"/>
  <c r="AA30" i="5"/>
  <c r="Q26" i="5"/>
  <c r="Z30" i="5"/>
  <c r="P26" i="5"/>
  <c r="Y30" i="5"/>
  <c r="O26" i="5"/>
  <c r="X30" i="5"/>
  <c r="W30" i="5"/>
  <c r="N26" i="5"/>
  <c r="V30" i="5"/>
  <c r="M26" i="5"/>
  <c r="L26" i="5"/>
  <c r="U30" i="5"/>
  <c r="T30" i="5"/>
  <c r="K26" i="5"/>
  <c r="J26" i="5"/>
  <c r="S30" i="5"/>
  <c r="I26" i="5"/>
  <c r="R30" i="5"/>
  <c r="Q30" i="5"/>
  <c r="H26" i="5"/>
  <c r="G26" i="5"/>
  <c r="P30" i="5"/>
  <c r="F26" i="5"/>
  <c r="O30" i="5"/>
  <c r="E26" i="5"/>
  <c r="N30" i="5"/>
  <c r="F30" i="5"/>
  <c r="H30" i="5"/>
  <c r="L30" i="5"/>
  <c r="M30" i="5"/>
  <c r="B26" i="5"/>
  <c r="D30" i="5"/>
  <c r="C30" i="5"/>
  <c r="D26" i="5"/>
  <c r="C26" i="5"/>
  <c r="J30" i="5"/>
  <c r="K30" i="5"/>
  <c r="I30" i="5"/>
  <c r="G30" i="5"/>
  <c r="E30" i="5"/>
  <c r="B30" i="5"/>
  <c r="AA29" i="5"/>
  <c r="R25" i="5"/>
  <c r="Z29" i="5"/>
  <c r="Q25" i="5"/>
  <c r="P25" i="5"/>
  <c r="Y29" i="5"/>
  <c r="X29" i="5"/>
  <c r="O25" i="5"/>
  <c r="N25" i="5"/>
  <c r="W29" i="5"/>
  <c r="M25" i="5"/>
  <c r="V29" i="5"/>
  <c r="U29" i="5"/>
  <c r="L25" i="5"/>
  <c r="T29" i="5"/>
  <c r="K25" i="5"/>
  <c r="S29" i="5"/>
  <c r="J25" i="5"/>
  <c r="I25" i="5"/>
  <c r="R29" i="5"/>
  <c r="Q29" i="5"/>
  <c r="H25" i="5"/>
  <c r="G25" i="5"/>
  <c r="P29" i="5"/>
  <c r="O29" i="5"/>
  <c r="F25" i="5"/>
  <c r="N29" i="5"/>
  <c r="E25" i="5"/>
  <c r="D29" i="5"/>
  <c r="D25" i="5"/>
  <c r="F29" i="5"/>
  <c r="E29" i="5"/>
  <c r="C29" i="5"/>
  <c r="J29" i="5"/>
  <c r="H29" i="5"/>
  <c r="I29" i="5"/>
  <c r="B29" i="5"/>
  <c r="B25" i="5"/>
  <c r="G29" i="5"/>
  <c r="M29" i="5"/>
  <c r="L29" i="5"/>
  <c r="K29" i="5"/>
  <c r="C25" i="5"/>
  <c r="G24" i="4"/>
  <c r="I8" i="1"/>
  <c r="G21" i="4"/>
  <c r="H8" i="1"/>
  <c r="G18" i="4"/>
  <c r="G8" i="1"/>
  <c r="G12" i="4"/>
  <c r="E8" i="1"/>
  <c r="G9" i="4"/>
  <c r="D8" i="1"/>
  <c r="G6" i="4"/>
  <c r="C8" i="1"/>
  <c r="G3" i="4"/>
  <c r="H3" i="4" s="1"/>
  <c r="B4" i="4" s="1"/>
  <c r="B8" i="1"/>
  <c r="F29" i="6"/>
  <c r="F28" i="6"/>
  <c r="G28" i="4"/>
  <c r="G16" i="4"/>
  <c r="G15" i="4"/>
  <c r="B22" i="6"/>
  <c r="B7" i="6"/>
  <c r="B45" i="1"/>
  <c r="B8" i="6"/>
  <c r="I40" i="1"/>
  <c r="D53" i="6"/>
  <c r="D54" i="6"/>
  <c r="C54" i="6"/>
  <c r="C53" i="6"/>
  <c r="B27" i="5"/>
  <c r="B31" i="5"/>
  <c r="AA15" i="5"/>
  <c r="AA10" i="5"/>
  <c r="Z15" i="5"/>
  <c r="Z10" i="5"/>
  <c r="Y15" i="5"/>
  <c r="Y10" i="5"/>
  <c r="X15" i="5"/>
  <c r="X10" i="5"/>
  <c r="W15" i="5"/>
  <c r="W10" i="5"/>
  <c r="V15" i="5"/>
  <c r="V10" i="5"/>
  <c r="U15" i="5"/>
  <c r="U10" i="5"/>
  <c r="T15" i="5"/>
  <c r="T10" i="5"/>
  <c r="S15" i="5"/>
  <c r="S10" i="5"/>
  <c r="R15" i="5"/>
  <c r="R10" i="5"/>
  <c r="Q15" i="5"/>
  <c r="Q10" i="5"/>
  <c r="P15" i="5"/>
  <c r="P10" i="5"/>
  <c r="O15" i="5"/>
  <c r="O10" i="5"/>
  <c r="N15" i="5"/>
  <c r="N10" i="5"/>
  <c r="M15" i="5"/>
  <c r="M10" i="5"/>
  <c r="L15" i="5"/>
  <c r="L10" i="5"/>
  <c r="K15" i="5"/>
  <c r="K10" i="5"/>
  <c r="J15" i="5"/>
  <c r="J10" i="5"/>
  <c r="I15" i="5"/>
  <c r="I10" i="5"/>
  <c r="H15" i="5"/>
  <c r="H10" i="5"/>
  <c r="G15" i="5"/>
  <c r="G10" i="5"/>
  <c r="F15" i="5"/>
  <c r="F10" i="5"/>
  <c r="E15" i="5"/>
  <c r="E10" i="5"/>
  <c r="D15" i="5"/>
  <c r="D10" i="5"/>
  <c r="C15" i="5"/>
  <c r="C10" i="5"/>
  <c r="B15" i="5"/>
  <c r="B10" i="5"/>
  <c r="B66" i="9" l="1"/>
  <c r="B12" i="10"/>
  <c r="F5" i="9" a="1"/>
  <c r="F5" i="9" s="1"/>
  <c r="E4" i="11"/>
  <c r="F4" i="9" a="1"/>
  <c r="F4" i="9" s="1"/>
  <c r="E3" i="11"/>
  <c r="F3" i="9" a="1"/>
  <c r="F3" i="9" s="1"/>
  <c r="E2" i="11"/>
  <c r="D21" i="9"/>
  <c r="F21" i="9" s="1" a="1"/>
  <c r="F21" i="9" s="1"/>
  <c r="E21" i="9"/>
  <c r="B16" i="9"/>
  <c r="C9" i="9"/>
  <c r="E8" i="9"/>
  <c r="D8" i="9"/>
  <c r="H4" i="4"/>
  <c r="B5" i="4" s="1"/>
  <c r="H5" i="4" s="1"/>
  <c r="B24" i="6"/>
  <c r="B23" i="6"/>
  <c r="B58" i="6"/>
  <c r="B59" i="6"/>
  <c r="B57" i="6"/>
  <c r="B96" i="6"/>
  <c r="B95" i="6"/>
  <c r="AA21" i="5"/>
  <c r="R21" i="5"/>
  <c r="L21" i="5"/>
  <c r="H21" i="5"/>
  <c r="C14" i="9" l="1"/>
  <c r="C15" i="9" s="1"/>
  <c r="C16" i="9" s="1"/>
  <c r="D8" i="11"/>
  <c r="F8" i="9" a="1"/>
  <c r="F8" i="9" s="1"/>
  <c r="E7" i="11"/>
  <c r="D14" i="9"/>
  <c r="F14" i="9" s="1" a="1"/>
  <c r="F14" i="9" s="1"/>
  <c r="E14" i="9"/>
  <c r="B22" i="9"/>
  <c r="D9" i="9"/>
  <c r="E9" i="9"/>
  <c r="C10" i="9"/>
  <c r="Y21" i="5"/>
  <c r="X21" i="5"/>
  <c r="H18" i="1"/>
  <c r="U21" i="5"/>
  <c r="W27" i="5" s="1"/>
  <c r="G18" i="1"/>
  <c r="H17" i="1"/>
  <c r="O21" i="5"/>
  <c r="N21" i="5"/>
  <c r="K21" i="5"/>
  <c r="C18" i="1"/>
  <c r="E21" i="5"/>
  <c r="B18" i="1"/>
  <c r="B6" i="4"/>
  <c r="H6" i="4" s="1"/>
  <c r="B7" i="4" s="1"/>
  <c r="H7" i="4" s="1"/>
  <c r="B8" i="4" s="1"/>
  <c r="H8" i="4" s="1"/>
  <c r="B13" i="1"/>
  <c r="I18" i="1"/>
  <c r="E18" i="1"/>
  <c r="F18" i="1"/>
  <c r="D18" i="1"/>
  <c r="I21" i="5"/>
  <c r="F21" i="5"/>
  <c r="Z21" i="5"/>
  <c r="I20" i="1"/>
  <c r="B8" i="2" s="1"/>
  <c r="W21" i="5"/>
  <c r="H20" i="1"/>
  <c r="V21" i="5"/>
  <c r="T21" i="5"/>
  <c r="G20" i="1"/>
  <c r="G17" i="1"/>
  <c r="Q21" i="5"/>
  <c r="F20" i="1"/>
  <c r="F17" i="1"/>
  <c r="M21" i="5"/>
  <c r="E20" i="1"/>
  <c r="E17" i="1"/>
  <c r="J21" i="5"/>
  <c r="L27" i="5" s="1"/>
  <c r="D20" i="1"/>
  <c r="D17" i="1"/>
  <c r="G21" i="5"/>
  <c r="C20" i="1"/>
  <c r="C17" i="1"/>
  <c r="D21" i="5"/>
  <c r="B20" i="1"/>
  <c r="B17" i="1"/>
  <c r="B93" i="6"/>
  <c r="B94" i="6"/>
  <c r="B19" i="1"/>
  <c r="C18" i="5"/>
  <c r="S21" i="5"/>
  <c r="P21" i="5"/>
  <c r="C21" i="5"/>
  <c r="F9" i="9" l="1" a="1"/>
  <c r="F9" i="9" s="1"/>
  <c r="E8" i="11"/>
  <c r="C22" i="9"/>
  <c r="E22" i="9" s="1"/>
  <c r="C17" i="9"/>
  <c r="E17" i="9" s="1"/>
  <c r="E15" i="9"/>
  <c r="D15" i="9"/>
  <c r="F15" i="9" s="1" a="1"/>
  <c r="F15" i="9" s="1"/>
  <c r="D16" i="9"/>
  <c r="F16" i="9" s="1" a="1"/>
  <c r="F16" i="9" s="1"/>
  <c r="E16" i="9"/>
  <c r="B23" i="9"/>
  <c r="E10" i="9"/>
  <c r="D10" i="9"/>
  <c r="F10" i="9" s="1" a="1"/>
  <c r="F10" i="9" s="1"/>
  <c r="X27" i="5"/>
  <c r="Y27" i="5"/>
  <c r="V27" i="5"/>
  <c r="C13" i="1"/>
  <c r="B9" i="4"/>
  <c r="H9" i="4" s="1"/>
  <c r="B10" i="4" s="1"/>
  <c r="H10" i="4" s="1"/>
  <c r="B11" i="4" s="1"/>
  <c r="H11" i="4" s="1"/>
  <c r="B24" i="1"/>
  <c r="B12" i="1"/>
  <c r="C7" i="1"/>
  <c r="O27" i="5"/>
  <c r="N27" i="5"/>
  <c r="M27" i="5"/>
  <c r="F27" i="5"/>
  <c r="K27" i="5"/>
  <c r="J27" i="5"/>
  <c r="I27" i="5"/>
  <c r="H27" i="5"/>
  <c r="G27" i="5"/>
  <c r="O31" i="5"/>
  <c r="AA27" i="5"/>
  <c r="Z27" i="5"/>
  <c r="B25" i="1"/>
  <c r="H39" i="1"/>
  <c r="H40" i="1"/>
  <c r="G39" i="1"/>
  <c r="G40" i="1"/>
  <c r="F40" i="1"/>
  <c r="F39" i="1"/>
  <c r="E39" i="1"/>
  <c r="E40" i="1"/>
  <c r="D39" i="1"/>
  <c r="D40" i="1"/>
  <c r="C39" i="1"/>
  <c r="C40" i="1"/>
  <c r="B39" i="1"/>
  <c r="B40" i="1"/>
  <c r="D18" i="5"/>
  <c r="S27" i="5"/>
  <c r="T27" i="5"/>
  <c r="U27" i="5"/>
  <c r="R27" i="5"/>
  <c r="AA31" i="5"/>
  <c r="N31" i="5"/>
  <c r="E27" i="5"/>
  <c r="J31" i="5"/>
  <c r="E31" i="5"/>
  <c r="G31" i="5"/>
  <c r="K31" i="5"/>
  <c r="M31" i="5"/>
  <c r="D31" i="5"/>
  <c r="H31" i="5"/>
  <c r="C31" i="5"/>
  <c r="F31" i="5"/>
  <c r="I31" i="5"/>
  <c r="L31" i="5"/>
  <c r="D27" i="5"/>
  <c r="C27" i="5"/>
  <c r="U31" i="5"/>
  <c r="T31" i="5"/>
  <c r="R31" i="5"/>
  <c r="Q31" i="5"/>
  <c r="P31" i="5"/>
  <c r="Z31" i="5"/>
  <c r="Q27" i="5"/>
  <c r="Y31" i="5"/>
  <c r="P27" i="5"/>
  <c r="X31" i="5"/>
  <c r="W31" i="5"/>
  <c r="V31" i="5"/>
  <c r="S31" i="5"/>
  <c r="C23" i="9" l="1"/>
  <c r="D22" i="9"/>
  <c r="F22" i="9" s="1" a="1"/>
  <c r="F22" i="9" s="1"/>
  <c r="C24" i="1"/>
  <c r="C25" i="1" s="1"/>
  <c r="C26" i="1" s="1"/>
  <c r="C12" i="1"/>
  <c r="D7" i="1"/>
  <c r="D13" i="1"/>
  <c r="B12" i="4"/>
  <c r="H12" i="4" s="1"/>
  <c r="B13" i="4" s="1"/>
  <c r="H13" i="4" s="1"/>
  <c r="B14" i="4" s="1"/>
  <c r="H14" i="4" s="1"/>
  <c r="C37" i="1"/>
  <c r="C38" i="1"/>
  <c r="B32" i="1"/>
  <c r="B33" i="1" s="1"/>
  <c r="E18" i="5"/>
  <c r="D23" i="9" l="1"/>
  <c r="F23" i="9" s="1" a="1"/>
  <c r="F23" i="9" s="1"/>
  <c r="E23" i="9"/>
  <c r="D37" i="1"/>
  <c r="D38" i="1"/>
  <c r="D12" i="1"/>
  <c r="D24" i="1"/>
  <c r="D25" i="1" s="1"/>
  <c r="D26" i="1" s="1"/>
  <c r="E7" i="1"/>
  <c r="E13" i="1"/>
  <c r="B15" i="4"/>
  <c r="H15" i="4" s="1"/>
  <c r="B16" i="4" s="1"/>
  <c r="H16" i="4" s="1"/>
  <c r="B17" i="4" s="1"/>
  <c r="H17" i="4" s="1"/>
  <c r="C32" i="1"/>
  <c r="C33" i="1" s="1"/>
  <c r="C27" i="1"/>
  <c r="C19" i="1"/>
  <c r="F18" i="5"/>
  <c r="E37" i="1" l="1"/>
  <c r="E38" i="1"/>
  <c r="F7" i="1"/>
  <c r="E12" i="1"/>
  <c r="E24" i="1"/>
  <c r="E25" i="1" s="1"/>
  <c r="E26" i="1" s="1"/>
  <c r="F13" i="1"/>
  <c r="B18" i="4"/>
  <c r="H18" i="4" s="1"/>
  <c r="B19" i="4" s="1"/>
  <c r="H19" i="4" s="1"/>
  <c r="B20" i="4" s="1"/>
  <c r="H20" i="4" s="1"/>
  <c r="D32" i="1"/>
  <c r="D33" i="1" s="1"/>
  <c r="D27" i="1"/>
  <c r="G18" i="5"/>
  <c r="F37" i="1" l="1"/>
  <c r="F38" i="1"/>
  <c r="F12" i="1"/>
  <c r="F24" i="1"/>
  <c r="F25" i="1" s="1"/>
  <c r="F26" i="1" s="1"/>
  <c r="G7" i="1"/>
  <c r="B21" i="4"/>
  <c r="H21" i="4" s="1"/>
  <c r="B22" i="4" s="1"/>
  <c r="H22" i="4" s="1"/>
  <c r="B23" i="4" s="1"/>
  <c r="H23" i="4" s="1"/>
  <c r="G13" i="1"/>
  <c r="E32" i="1"/>
  <c r="E33" i="1" s="1"/>
  <c r="E27" i="1"/>
  <c r="H18" i="5"/>
  <c r="H13" i="1" l="1"/>
  <c r="B24" i="4"/>
  <c r="H24" i="4" s="1"/>
  <c r="B25" i="4" s="1"/>
  <c r="H25" i="4" s="1"/>
  <c r="B26" i="4" s="1"/>
  <c r="H26" i="4" s="1"/>
  <c r="B27" i="4" s="1"/>
  <c r="H27" i="4" s="1"/>
  <c r="B28" i="4" s="1"/>
  <c r="H28" i="4" s="1"/>
  <c r="B30" i="4" s="1"/>
  <c r="B32" i="4" s="1"/>
  <c r="G37" i="1"/>
  <c r="G38" i="1"/>
  <c r="H7" i="1"/>
  <c r="G24" i="1"/>
  <c r="G25" i="1" s="1"/>
  <c r="G26" i="1" s="1"/>
  <c r="G12" i="1"/>
  <c r="F32" i="1"/>
  <c r="F33" i="1" s="1"/>
  <c r="F27" i="1"/>
  <c r="D19" i="1"/>
  <c r="I18" i="5"/>
  <c r="H37" i="1" l="1"/>
  <c r="H38" i="1"/>
  <c r="I7" i="1"/>
  <c r="I38" i="1" s="1"/>
  <c r="H24" i="1"/>
  <c r="H25" i="1" s="1"/>
  <c r="H26" i="1" s="1"/>
  <c r="H12" i="1"/>
  <c r="G32" i="1"/>
  <c r="G33" i="1" s="1"/>
  <c r="G27" i="1"/>
  <c r="I24" i="1"/>
  <c r="B44" i="1"/>
  <c r="J18" i="5"/>
  <c r="I12" i="1" l="1"/>
  <c r="I37" i="1"/>
  <c r="B46" i="1"/>
  <c r="B6" i="2"/>
  <c r="B7" i="3" s="1"/>
  <c r="H32" i="1"/>
  <c r="H33" i="1" s="1"/>
  <c r="H27" i="1"/>
  <c r="I25" i="1"/>
  <c r="I26" i="1" s="1"/>
  <c r="K18" i="5"/>
  <c r="G7" i="3" l="1"/>
  <c r="B10" i="3"/>
  <c r="B9" i="3"/>
  <c r="I32" i="1"/>
  <c r="I33" i="1" s="1"/>
  <c r="I27" i="1"/>
  <c r="E19" i="1"/>
  <c r="L18" i="5"/>
  <c r="B11" i="3" l="1"/>
  <c r="B12" i="3" s="1"/>
  <c r="M18" i="5"/>
  <c r="C45" i="3" l="1"/>
  <c r="D45" i="3" s="1"/>
  <c r="C7" i="3"/>
  <c r="B13" i="3"/>
  <c r="N18" i="5"/>
  <c r="C10" i="3" l="1"/>
  <c r="C9" i="3"/>
  <c r="B21" i="3"/>
  <c r="B22" i="3" s="1"/>
  <c r="O18" i="5"/>
  <c r="C11" i="3" l="1"/>
  <c r="C12" i="3" s="1"/>
  <c r="B30" i="3"/>
  <c r="B23" i="3"/>
  <c r="F19" i="1"/>
  <c r="P18" i="5"/>
  <c r="C46" i="3" l="1"/>
  <c r="D46" i="3" s="1"/>
  <c r="C20" i="3"/>
  <c r="C13" i="3"/>
  <c r="D7" i="3"/>
  <c r="B31" i="3"/>
  <c r="Q18" i="5"/>
  <c r="C21" i="3" l="1"/>
  <c r="D9" i="3"/>
  <c r="D10" i="3"/>
  <c r="R18" i="5"/>
  <c r="C22" i="3" l="1"/>
  <c r="D11" i="3"/>
  <c r="D12" i="3" s="1"/>
  <c r="G19" i="1"/>
  <c r="S18" i="5"/>
  <c r="C30" i="3" l="1"/>
  <c r="C23" i="3"/>
  <c r="D20" i="3"/>
  <c r="C47" i="3"/>
  <c r="D47" i="3" s="1"/>
  <c r="E7" i="3"/>
  <c r="D13" i="3"/>
  <c r="T18" i="5"/>
  <c r="C31" i="3" l="1"/>
  <c r="D21" i="3"/>
  <c r="E9" i="3"/>
  <c r="E10" i="3"/>
  <c r="G10" i="3" s="1"/>
  <c r="U18" i="5"/>
  <c r="D22" i="3" l="1"/>
  <c r="G9" i="3"/>
  <c r="G11" i="3" s="1"/>
  <c r="E11" i="3"/>
  <c r="E12" i="3" s="1"/>
  <c r="H19" i="1"/>
  <c r="V18" i="5"/>
  <c r="D30" i="3" l="1"/>
  <c r="D23" i="3"/>
  <c r="B40" i="3"/>
  <c r="C54" i="3" s="1"/>
  <c r="D54" i="3" s="1"/>
  <c r="B34" i="3"/>
  <c r="B35" i="3" s="1"/>
  <c r="C48" i="3"/>
  <c r="D48" i="3" s="1"/>
  <c r="E13" i="3"/>
  <c r="G12" i="3"/>
  <c r="G13" i="3" s="1"/>
  <c r="B37" i="3"/>
  <c r="E20" i="3"/>
  <c r="W18" i="5"/>
  <c r="D31" i="3" l="1"/>
  <c r="G20" i="3"/>
  <c r="E21" i="3"/>
  <c r="X18" i="5"/>
  <c r="B36" i="3" l="1"/>
  <c r="C49" i="3"/>
  <c r="D49" i="3" s="1"/>
  <c r="G21" i="3"/>
  <c r="E22" i="3"/>
  <c r="I19" i="1"/>
  <c r="B7" i="2" s="1"/>
  <c r="Y18" i="5"/>
  <c r="E23" i="3" l="1"/>
  <c r="E30" i="3"/>
  <c r="G22" i="3"/>
  <c r="G23" i="3" s="1"/>
  <c r="AA18" i="5"/>
  <c r="Z18" i="5"/>
  <c r="G30" i="3" l="1"/>
  <c r="E31" i="3"/>
  <c r="G31" i="3" l="1"/>
  <c r="C51" i="3" s="1"/>
  <c r="D51" i="3" s="1"/>
  <c r="C50" i="3"/>
  <c r="D5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28" authorId="0" shapeId="0" xr:uid="{46AD53E1-E041-482A-AC90-CDF2F82BBC18}">
      <text>
        <r>
          <rPr>
            <b/>
            <sz val="9"/>
            <color indexed="81"/>
            <rFont val="Tahoma"/>
            <charset val="1"/>
          </rPr>
          <t>Michael Bezrukov:</t>
        </r>
        <r>
          <rPr>
            <sz val="9"/>
            <color indexed="81"/>
            <rFont val="Tahoma"/>
            <charset val="1"/>
          </rPr>
          <t xml:space="preserve">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6D522666-8785-4632-B6DB-56CCF72929F4}">
      <text>
        <r>
          <rPr>
            <b/>
            <sz val="9"/>
            <color indexed="81"/>
            <rFont val="Tahoma"/>
            <charset val="1"/>
          </rPr>
          <t>Michael Bezrukov:</t>
        </r>
        <r>
          <rPr>
            <sz val="9"/>
            <color indexed="81"/>
            <rFont val="Tahoma"/>
            <charset val="1"/>
          </rPr>
          <t xml:space="preserve">
PREDICTION — not sourced from any table. Estimated: ~27% of Q2 2024 revenue ($107,967). S&amp;M ratio declining as company scales into its go-to-market motion.</t>
        </r>
      </text>
    </comment>
    <comment ref="D28" authorId="0" shapeId="0" xr:uid="{8D84B35C-1834-4A7F-A9ED-9C86FE8D9B8B}">
      <text>
        <r>
          <rPr>
            <b/>
            <sz val="9"/>
            <color indexed="81"/>
            <rFont val="Tahoma"/>
            <charset val="1"/>
          </rPr>
          <t>Michael Bezrukov:</t>
        </r>
        <r>
          <rPr>
            <sz val="9"/>
            <color indexed="81"/>
            <rFont val="Tahoma"/>
            <charset val="1"/>
          </rPr>
          <t xml:space="preserve">
PREDICTION — not sourced from any table. Estimated: ~25% of Q3 2024 revenue ($191,126). Continued ramp in absolute spend as customer acquisition accelerates.</t>
        </r>
      </text>
    </comment>
    <comment ref="E28" authorId="0" shapeId="0" xr:uid="{D79EBCFF-B617-4AD4-AF00-A18974EEB5D4}">
      <text>
        <r>
          <rPr>
            <b/>
            <sz val="9"/>
            <color indexed="81"/>
            <rFont val="Tahoma"/>
            <charset val="1"/>
          </rPr>
          <t>Michael Bezrukov:</t>
        </r>
        <r>
          <rPr>
            <sz val="9"/>
            <color indexed="81"/>
            <rFont val="Tahoma"/>
            <charset val="1"/>
          </rPr>
          <t xml:space="preserve">
PREDICTION — not sourced from any table. Estimated: ~23% of Q4 2024 revenue ($273,371). Approaching 2025 efficiency levels as the sales motion matures.</t>
        </r>
      </text>
    </comment>
    <comment ref="B29" authorId="0" shapeId="0" xr:uid="{0971D777-5962-4002-9EA7-B8FB36B134A5}">
      <text>
        <r>
          <rPr>
            <b/>
            <sz val="9"/>
            <color indexed="81"/>
            <rFont val="Tahoma"/>
            <charset val="1"/>
          </rPr>
          <t>Michael Bezrukov:</t>
        </r>
        <r>
          <rPr>
            <sz val="9"/>
            <color indexed="81"/>
            <rFont val="Tahoma"/>
            <charset val="1"/>
          </rPr>
          <t xml:space="preserve">
PREDICTION — not sourced from any table. Estimated: ~24% of Q1 2024 revenue. Early-stage SaaS R&amp;D typically runs 20-30% of revenue; used 24% for Q1 when team is small and product is early.</t>
        </r>
      </text>
    </comment>
    <comment ref="C29" authorId="0" shapeId="0" xr:uid="{916963B2-23D8-4321-83DF-4657BB302404}">
      <text>
        <r>
          <rPr>
            <b/>
            <sz val="9"/>
            <color indexed="81"/>
            <rFont val="Tahoma"/>
            <charset val="1"/>
          </rPr>
          <t>Michael Bezrukov:</t>
        </r>
        <r>
          <rPr>
            <sz val="9"/>
            <color indexed="81"/>
            <rFont val="Tahoma"/>
            <charset val="1"/>
          </rPr>
          <t xml:space="preserve">
PREDICTION — not sourced from any table. Estimated: ~23% of Q2 2024 revenue. R&amp;D spend growing in absolute terms as engineering team expands but declining as % of revenue.</t>
        </r>
      </text>
    </comment>
    <comment ref="D29" authorId="0" shapeId="0" xr:uid="{80447C88-AA26-4E31-BEA6-AE33841155A2}">
      <text>
        <r>
          <rPr>
            <b/>
            <sz val="9"/>
            <color indexed="81"/>
            <rFont val="Tahoma"/>
            <charset val="1"/>
          </rPr>
          <t>Michael Bezrukov:</t>
        </r>
        <r>
          <rPr>
            <sz val="9"/>
            <color indexed="81"/>
            <rFont val="Tahoma"/>
            <charset val="1"/>
          </rPr>
          <t xml:space="preserve">
PREDICTION — not sourced from any table. Estimated: ~22% of Q3 2024 revenue. Product development accelerating alongside customer growth.</t>
        </r>
      </text>
    </comment>
    <comment ref="E29" authorId="0" shapeId="0" xr:uid="{4CEA5DC3-33F8-4FAA-94D0-C3F4B6A252EB}">
      <text>
        <r>
          <rPr>
            <b/>
            <sz val="9"/>
            <color indexed="81"/>
            <rFont val="Tahoma"/>
            <charset val="1"/>
          </rPr>
          <t>Michael Bezrukov:</t>
        </r>
        <r>
          <rPr>
            <sz val="9"/>
            <color indexed="81"/>
            <rFont val="Tahoma"/>
            <charset val="1"/>
          </rPr>
          <t xml:space="preserve">
PREDICTION — not sourced from any table. Estimated: ~21% of Q4 2024 revenue. R&amp;D scaling with revenue, consistent with trajectory into 2025.</t>
        </r>
      </text>
    </comment>
    <comment ref="F29" authorId="0" shapeId="0" xr:uid="{322E40AE-1045-4293-8245-18CE2DCC662B}">
      <text>
        <r>
          <rPr>
            <b/>
            <sz val="9"/>
            <color indexed="81"/>
            <rFont val="Tahoma"/>
            <charset val="1"/>
          </rPr>
          <t>Michael Bezrukov:</t>
        </r>
        <r>
          <rPr>
            <sz val="9"/>
            <color indexed="81"/>
            <rFont val="Tahoma"/>
            <charset val="1"/>
          </rPr>
          <t xml:space="preserve">
PREDICTION — not sourced from any table. Estimated: ~16% of Q1 2025 revenue ($379,619), stepping up from Q4 2024 R&amp;D ($57,000) as engineering team grows heading into 2025.</t>
        </r>
      </text>
    </comment>
    <comment ref="G29" authorId="0" shapeId="0" xr:uid="{2DD951CF-08BF-47AA-BFB3-1DCDD9F763FD}">
      <text>
        <r>
          <rPr>
            <b/>
            <sz val="9"/>
            <color indexed="81"/>
            <rFont val="Tahoma"/>
            <charset val="1"/>
          </rPr>
          <t>Michael Bezrukov:</t>
        </r>
        <r>
          <rPr>
            <sz val="9"/>
            <color indexed="81"/>
            <rFont val="Tahoma"/>
            <charset val="1"/>
          </rPr>
          <t xml:space="preserve">
PREDICTION — not sourced from any table. Estimated: ~15% of Q2 2025 revenue ($456,344). R&amp;D growing in absolute terms as product investment continues.</t>
        </r>
      </text>
    </comment>
    <comment ref="H29" authorId="0" shapeId="0" xr:uid="{8998B413-834A-44AC-956B-6964DAE6EE3F}">
      <text>
        <r>
          <rPr>
            <b/>
            <sz val="9"/>
            <color indexed="81"/>
            <rFont val="Tahoma"/>
            <charset val="1"/>
          </rPr>
          <t>Michael Bezrukov:</t>
        </r>
        <r>
          <rPr>
            <sz val="9"/>
            <color indexed="81"/>
            <rFont val="Tahoma"/>
            <charset val="1"/>
          </rPr>
          <t xml:space="preserve">
PREDICTION — not sourced from any table. Estimated: ~16% of Q3 2025 revenue ($451,079). Continued product development investment; ratio stable.</t>
        </r>
      </text>
    </comment>
    <comment ref="I29" authorId="0" shapeId="0" xr:uid="{A57164C6-06A9-4407-8446-772B34ABC537}">
      <text>
        <r>
          <rPr>
            <b/>
            <sz val="9"/>
            <color indexed="81"/>
            <rFont val="Tahoma"/>
            <charset val="1"/>
          </rPr>
          <t>Michael Bezrukov:</t>
        </r>
        <r>
          <rPr>
            <sz val="9"/>
            <color indexed="81"/>
            <rFont val="Tahoma"/>
            <charset val="1"/>
          </rPr>
          <t xml:space="preserve">
PREDICTION — not sourced from any table. Estimated: ~14% of Q4 2025 revenue ($452,756). Slight pullback consistent with S&amp;M pattern in Q4.</t>
        </r>
      </text>
    </comment>
    <comment ref="B30" authorId="0" shapeId="0" xr:uid="{7E1DD046-8D54-4F76-A7F6-CFE23ADD162A}">
      <text>
        <r>
          <rPr>
            <b/>
            <sz val="9"/>
            <color indexed="81"/>
            <rFont val="Tahoma"/>
            <charset val="1"/>
          </rPr>
          <t>Michael Bezrukov:</t>
        </r>
        <r>
          <rPr>
            <sz val="9"/>
            <color indexed="81"/>
            <rFont val="Tahoma"/>
            <charset val="1"/>
          </rPr>
          <t xml:space="preserve">
PREDICTION — not sourced from any table. Estimated: ~13% of Q1 2024 revenue. G&amp;A for an early-stage company (finance, legal, ops overhead) typically 10-15% of revenue.</t>
        </r>
      </text>
    </comment>
    <comment ref="C30" authorId="0" shapeId="0" xr:uid="{52DDDEBA-EBCA-45FA-8F6D-815807F219DE}">
      <text>
        <r>
          <rPr>
            <b/>
            <sz val="9"/>
            <color indexed="81"/>
            <rFont val="Tahoma"/>
            <charset val="1"/>
          </rPr>
          <t>Michael Bezrukov:</t>
        </r>
        <r>
          <rPr>
            <sz val="9"/>
            <color indexed="81"/>
            <rFont val="Tahoma"/>
            <charset val="1"/>
          </rPr>
          <t xml:space="preserve">
PREDICTION — not sourced from any table. Estimated: ~12% of Q2 2024 revenue. G&amp;A growing modestly in absolute terms as company adds operational infrastructure.</t>
        </r>
      </text>
    </comment>
    <comment ref="D30" authorId="0" shapeId="0" xr:uid="{3A91445B-CD71-4E0B-A4E6-D8ED21AC4D95}">
      <text>
        <r>
          <rPr>
            <b/>
            <sz val="9"/>
            <color indexed="81"/>
            <rFont val="Tahoma"/>
            <charset val="1"/>
          </rPr>
          <t>Michael Bezrukov:</t>
        </r>
        <r>
          <rPr>
            <sz val="9"/>
            <color indexed="81"/>
            <rFont val="Tahoma"/>
            <charset val="1"/>
          </rPr>
          <t xml:space="preserve">
PREDICTION — not sourced from any table. Estimated: ~11% of Q3 2024 revenue. G&amp;A ratio declining as revenue base grows faster than overhead.</t>
        </r>
      </text>
    </comment>
    <comment ref="E30" authorId="0" shapeId="0" xr:uid="{60FA6D91-AB2D-497B-BA4D-11654723ECAB}">
      <text>
        <r>
          <rPr>
            <b/>
            <sz val="9"/>
            <color indexed="81"/>
            <rFont val="Tahoma"/>
            <charset val="1"/>
          </rPr>
          <t>Michael Bezrukov:</t>
        </r>
        <r>
          <rPr>
            <sz val="9"/>
            <color indexed="81"/>
            <rFont val="Tahoma"/>
            <charset val="1"/>
          </rPr>
          <t xml:space="preserve">
PREDICTION — not sourced from any table. Estimated: ~10% of Q4 2024 revenue. Approaching typical SaaS G&amp;A efficiency at this stage.</t>
        </r>
      </text>
    </comment>
    <comment ref="F30" authorId="0" shapeId="0" xr:uid="{87A9BE51-2603-43EB-8027-DA847013C19E}">
      <text>
        <r>
          <rPr>
            <b/>
            <sz val="9"/>
            <color indexed="81"/>
            <rFont val="Tahoma"/>
            <charset val="1"/>
          </rPr>
          <t>Michael Bezrukov:</t>
        </r>
        <r>
          <rPr>
            <sz val="9"/>
            <color indexed="81"/>
            <rFont val="Tahoma"/>
            <charset val="1"/>
          </rPr>
          <t xml:space="preserve">
PREDICTION — not sourced from any table. Estimated: ~8% of Q1 2025 revenue ($379,619), stepping up from Q4 2024 G&amp;A ($28,000). G&amp;A is largely fixed overhead growing slowly.</t>
        </r>
      </text>
    </comment>
    <comment ref="G30" authorId="0" shapeId="0" xr:uid="{67C82FF1-4360-4FA9-AA89-F0F63DC576A9}">
      <text>
        <r>
          <rPr>
            <b/>
            <sz val="9"/>
            <color indexed="81"/>
            <rFont val="Tahoma"/>
            <charset val="1"/>
          </rPr>
          <t>Michael Bezrukov:</t>
        </r>
        <r>
          <rPr>
            <sz val="9"/>
            <color indexed="81"/>
            <rFont val="Tahoma"/>
            <charset val="1"/>
          </rPr>
          <t xml:space="preserve">
PREDICTION — not sourced from any table. Estimated: ~7% of Q2 2025 revenue ($456,344). G&amp;A ratio declining as revenue scales faster than overhead.</t>
        </r>
      </text>
    </comment>
    <comment ref="H30" authorId="0" shapeId="0" xr:uid="{5B0666B8-E091-4277-A5D3-CE17DCD09670}">
      <text>
        <r>
          <rPr>
            <b/>
            <sz val="9"/>
            <color indexed="81"/>
            <rFont val="Tahoma"/>
            <charset val="1"/>
          </rPr>
          <t>Michael Bezrukov:</t>
        </r>
        <r>
          <rPr>
            <sz val="9"/>
            <color indexed="81"/>
            <rFont val="Tahoma"/>
            <charset val="1"/>
          </rPr>
          <t xml:space="preserve">
PREDICTION — not sourced from any table. Estimated: ~8% of Q3 2025 revenue ($451,079). Modest absolute increase for ops/finance/legal headcount.</t>
        </r>
      </text>
    </comment>
    <comment ref="I30" authorId="0" shapeId="0" xr:uid="{7D558E4C-40B0-450E-995F-76566C278426}">
      <text>
        <r>
          <rPr>
            <b/>
            <sz val="9"/>
            <color indexed="81"/>
            <rFont val="Tahoma"/>
            <charset val="1"/>
          </rPr>
          <t>Michael Bezrukov:</t>
        </r>
        <r>
          <rPr>
            <sz val="9"/>
            <color indexed="81"/>
            <rFont val="Tahoma"/>
            <charset val="1"/>
          </rPr>
          <t xml:space="preserve">
PREDICTION — not sourced from any table. Estimated: ~7% of Q4 2025 revenue ($452,756). Broadly stable G&amp;A in Q4, consistent with cost discipline.</t>
        </r>
      </text>
    </comment>
    <comment ref="B31" authorId="0" shapeId="0" xr:uid="{5B907824-4124-426E-895A-809C4E2516B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C31" authorId="0" shapeId="0" xr:uid="{CFEF6BF7-3045-47A7-8E7E-4B1F1706AD0B}">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D31" authorId="0" shapeId="0" xr:uid="{30C58773-A729-411F-8135-0353A67D01D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E31" authorId="0" shapeId="0" xr:uid="{90D8F5DC-337F-4368-8E63-2F2E87CD8E26}">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F31" authorId="0" shapeId="0" xr:uid="{F700FAAA-9A0C-4F86-B497-5382F475BB59}">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G31" authorId="0" shapeId="0" xr:uid="{4FC815B3-EFBC-4F2E-B297-D0415904D4A8}">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H31" authorId="0" shapeId="0" xr:uid="{CD905CD2-55A3-4EF7-A3D4-63AFBC67C272}">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I31" authorId="0" shapeId="0" xr:uid="{A4A8711F-3FF9-439F-BD82-D0C017AB0B86}">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B32" authorId="0" shapeId="0" xr:uid="{429F2C13-2FF7-4DE1-A53F-D89F6B714041}">
      <text>
        <r>
          <rPr>
            <b/>
            <sz val="9"/>
            <color indexed="81"/>
            <rFont val="Tahoma"/>
            <charset val="1"/>
          </rPr>
          <t>Michael Bezrukov:</t>
        </r>
        <r>
          <rPr>
            <sz val="9"/>
            <color indexed="81"/>
            <rFont val="Tahoma"/>
            <charset val="1"/>
          </rPr>
          <t xml:space="preserve">
PREDICTION — derived from estimated OpEx. Not sourced from any table.</t>
        </r>
      </text>
    </comment>
    <comment ref="C32" authorId="0" shapeId="0" xr:uid="{08259F58-F48E-4ADC-9B30-B7559C223948}">
      <text>
        <r>
          <rPr>
            <b/>
            <sz val="9"/>
            <color indexed="81"/>
            <rFont val="Tahoma"/>
            <charset val="1"/>
          </rPr>
          <t>Michael Bezrukov:</t>
        </r>
        <r>
          <rPr>
            <sz val="9"/>
            <color indexed="81"/>
            <rFont val="Tahoma"/>
            <charset val="1"/>
          </rPr>
          <t xml:space="preserve">
PREDICTION — derived from estimated OpEx. Not sourced from any table.</t>
        </r>
      </text>
    </comment>
    <comment ref="D32" authorId="0" shapeId="0" xr:uid="{00984054-C765-40DF-9E22-C7C02A47B03E}">
      <text>
        <r>
          <rPr>
            <b/>
            <sz val="9"/>
            <color indexed="81"/>
            <rFont val="Tahoma"/>
            <charset val="1"/>
          </rPr>
          <t>Michael Bezrukov:</t>
        </r>
        <r>
          <rPr>
            <sz val="9"/>
            <color indexed="81"/>
            <rFont val="Tahoma"/>
            <charset val="1"/>
          </rPr>
          <t xml:space="preserve">
PREDICTION — derived from estimated OpEx. Not sourced from any table.</t>
        </r>
      </text>
    </comment>
    <comment ref="E32" authorId="0" shapeId="0" xr:uid="{3362E61D-1FF6-401C-A9B2-F8D11BF4FB60}">
      <text>
        <r>
          <rPr>
            <b/>
            <sz val="9"/>
            <color indexed="81"/>
            <rFont val="Tahoma"/>
            <charset val="1"/>
          </rPr>
          <t>Michael Bezrukov:</t>
        </r>
        <r>
          <rPr>
            <sz val="9"/>
            <color indexed="81"/>
            <rFont val="Tahoma"/>
            <charset val="1"/>
          </rPr>
          <t xml:space="preserve">
PREDICTION — derived from estimated OpEx. Not sourced from any table.</t>
        </r>
      </text>
    </comment>
    <comment ref="F32" authorId="0" shapeId="0" xr:uid="{55A04A1E-5E1D-4060-BFE1-3A8DDCB155A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G32" authorId="0" shapeId="0" xr:uid="{75018EE7-9BCA-45F4-AADC-B9E1E21EF61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H32" authorId="0" shapeId="0" xr:uid="{3B9E62BB-A0E2-49AB-AA7F-C0EFA045C626}">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I32" authorId="0" shapeId="0" xr:uid="{7675E0C6-3B3A-42AE-B7BE-21A5B100C2ED}">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B33" authorId="0" shapeId="0" xr:uid="{CB8ACB1A-F3B3-4CAB-8F80-67DA0DA8D88C}">
      <text>
        <r>
          <rPr>
            <b/>
            <sz val="9"/>
            <color indexed="81"/>
            <rFont val="Tahoma"/>
            <charset val="1"/>
          </rPr>
          <t>Michael Bezrukov:</t>
        </r>
        <r>
          <rPr>
            <sz val="9"/>
            <color indexed="81"/>
            <rFont val="Tahoma"/>
            <charset val="1"/>
          </rPr>
          <t xml:space="preserve">
PREDICTION — derived from estimated EBITDA. Not sourced from any table.</t>
        </r>
      </text>
    </comment>
    <comment ref="C33" authorId="0" shapeId="0" xr:uid="{9C4476E7-AC34-4E1A-88E1-D7F9C1BB8887}">
      <text>
        <r>
          <rPr>
            <b/>
            <sz val="9"/>
            <color indexed="81"/>
            <rFont val="Tahoma"/>
            <charset val="1"/>
          </rPr>
          <t>Michael Bezrukov:</t>
        </r>
        <r>
          <rPr>
            <sz val="9"/>
            <color indexed="81"/>
            <rFont val="Tahoma"/>
            <charset val="1"/>
          </rPr>
          <t xml:space="preserve">
PREDICTION — derived from estimated EBITDA. Not sourced from any table.</t>
        </r>
      </text>
    </comment>
    <comment ref="D33" authorId="0" shapeId="0" xr:uid="{D41D33C6-6B0F-46CB-A3B1-447D6088E27D}">
      <text>
        <r>
          <rPr>
            <b/>
            <sz val="9"/>
            <color indexed="81"/>
            <rFont val="Tahoma"/>
            <charset val="1"/>
          </rPr>
          <t>Michael Bezrukov:</t>
        </r>
        <r>
          <rPr>
            <sz val="9"/>
            <color indexed="81"/>
            <rFont val="Tahoma"/>
            <charset val="1"/>
          </rPr>
          <t xml:space="preserve">
PREDICTION — derived from estimated EBITDA. Not sourced from any table.</t>
        </r>
      </text>
    </comment>
    <comment ref="E33" authorId="0" shapeId="0" xr:uid="{A7C36722-0CAB-4ADB-83FE-F6A30115F63E}">
      <text>
        <r>
          <rPr>
            <b/>
            <sz val="9"/>
            <color indexed="81"/>
            <rFont val="Tahoma"/>
            <charset val="1"/>
          </rPr>
          <t>Michael Bezrukov:</t>
        </r>
        <r>
          <rPr>
            <sz val="9"/>
            <color indexed="81"/>
            <rFont val="Tahoma"/>
            <charset val="1"/>
          </rPr>
          <t xml:space="preserve">
PREDICTION — derived from estimated EBITDA. Not sourced from any table.</t>
        </r>
      </text>
    </comment>
    <comment ref="F33" authorId="0" shapeId="0" xr:uid="{E29449ED-5F05-4250-853C-3D6FFB42B1DA}">
      <text>
        <r>
          <rPr>
            <b/>
            <sz val="9"/>
            <color indexed="81"/>
            <rFont val="Tahoma"/>
            <charset val="1"/>
          </rPr>
          <t>Michael Bezrukov:</t>
        </r>
        <r>
          <rPr>
            <sz val="9"/>
            <color indexed="81"/>
            <rFont val="Tahoma"/>
            <charset val="1"/>
          </rPr>
          <t xml:space="preserve">
PREDICTION — derived from estimated EBITDA. Not fully sourced from any table.</t>
        </r>
      </text>
    </comment>
    <comment ref="G33" authorId="0" shapeId="0" xr:uid="{313C446A-C92F-4461-A1FE-ACF49D14CAAB}">
      <text>
        <r>
          <rPr>
            <b/>
            <sz val="9"/>
            <color indexed="81"/>
            <rFont val="Tahoma"/>
            <charset val="1"/>
          </rPr>
          <t>Michael Bezrukov:</t>
        </r>
        <r>
          <rPr>
            <sz val="9"/>
            <color indexed="81"/>
            <rFont val="Tahoma"/>
            <charset val="1"/>
          </rPr>
          <t xml:space="preserve">
PREDICTION — derived from estimated EBITDA. Not fully sourced from any table.</t>
        </r>
      </text>
    </comment>
    <comment ref="H33" authorId="0" shapeId="0" xr:uid="{3770233A-934F-4FF3-B033-AF10CE0925B5}">
      <text>
        <r>
          <rPr>
            <b/>
            <sz val="9"/>
            <color indexed="81"/>
            <rFont val="Tahoma"/>
            <charset val="1"/>
          </rPr>
          <t>Michael Bezrukov:</t>
        </r>
        <r>
          <rPr>
            <sz val="9"/>
            <color indexed="81"/>
            <rFont val="Tahoma"/>
            <charset val="1"/>
          </rPr>
          <t xml:space="preserve">
PREDICTION — derived from estimated EBITDA. Not fully sourced from any table.</t>
        </r>
      </text>
    </comment>
    <comment ref="I33" authorId="0" shapeId="0" xr:uid="{13031157-BEEE-470C-8A86-02DF9F3893BD}">
      <text>
        <r>
          <rPr>
            <b/>
            <sz val="9"/>
            <color indexed="81"/>
            <rFont val="Tahoma"/>
            <charset val="1"/>
          </rPr>
          <t>Michael Bezrukov:</t>
        </r>
        <r>
          <rPr>
            <sz val="9"/>
            <color indexed="81"/>
            <rFont val="Tahoma"/>
            <charset val="1"/>
          </rPr>
          <t xml:space="preserve">
PREDICTION — derived from estimated EBITDA. Not fully sourced from any table.</t>
        </r>
      </text>
    </comment>
    <comment ref="B44" authorId="0" shapeId="0" xr:uid="{EA774127-8FCF-4FD6-9481-4FAA1C30B54A}">
      <text>
        <r>
          <rPr>
            <b/>
            <sz val="9"/>
            <color indexed="81"/>
            <rFont val="Tahoma"/>
            <charset val="1"/>
          </rPr>
          <t>Michael Bezrukov:</t>
        </r>
        <r>
          <rPr>
            <sz val="9"/>
            <color indexed="81"/>
            <rFont val="Tahoma"/>
            <charset val="1"/>
          </rPr>
          <t xml:space="preserve">
Waterfall tab, H26 (Dec 2025 closing row)</t>
        </r>
      </text>
    </comment>
    <comment ref="B45" authorId="0" shapeId="0" xr:uid="{84C7870E-15BA-4C96-8DB2-6F53DC665D1A}">
      <text>
        <r>
          <rPr>
            <b/>
            <sz val="9"/>
            <color indexed="81"/>
            <rFont val="Tahoma"/>
            <charset val="1"/>
          </rPr>
          <t>Michael Bezrukov:</t>
        </r>
        <r>
          <rPr>
            <sz val="9"/>
            <color indexed="81"/>
            <rFont val="Tahoma"/>
            <charset val="1"/>
          </rPr>
          <t xml:space="preserve">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tc={DABA5F44-B889-496F-A0C1-7D24F3B228AF}</author>
  </authors>
  <commentList>
    <comment ref="D5" authorId="0" shapeId="0" xr:uid="{DABA5F44-B889-496F-A0C1-7D24F3B228AF}">
      <text>
        <t>[Threaded comment]
Your version of Excel allows you to read this threaded comment; however, any edits to it will get removed if the file is opened in a newer version of Excel. Learn more: https://go.microsoft.com/fwlink/?linkid=870924
Comment:
    The Jan 2026 A vs F file does not include Contraction MRR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16" authorId="0" shapeId="0" xr:uid="{65BB6AE6-59F4-45CE-9F2E-B9F73D6584E2}">
      <text>
        <r>
          <rPr>
            <b/>
            <sz val="9"/>
            <color indexed="81"/>
            <rFont val="Tahoma"/>
            <charset val="1"/>
          </rPr>
          <t>Michael Bezrukov:</t>
        </r>
        <r>
          <rPr>
            <sz val="9"/>
            <color indexed="81"/>
            <rFont val="Tahoma"/>
            <charset val="1"/>
          </rPr>
          <t xml:space="preserve">
No subscriptions exist before month 1</t>
        </r>
      </text>
    </comment>
    <comment ref="A19" authorId="0" shapeId="0" xr:uid="{E61E5586-D30C-4F42-8CA7-D5796EF21CB6}">
      <text>
        <r>
          <rPr>
            <b/>
            <sz val="9"/>
            <color indexed="81"/>
            <rFont val="Tahoma"/>
            <charset val="1"/>
          </rPr>
          <t>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E7017FF4-D93B-4D79-923F-D035FC16E707}">
      <text>
        <r>
          <rPr>
            <b/>
            <sz val="9"/>
            <color indexed="81"/>
            <rFont val="Tahoma"/>
            <charset val="1"/>
          </rPr>
          <t>No customers exist before month 1</t>
        </r>
      </text>
    </comment>
    <comment ref="A20" authorId="0" shapeId="0" xr:uid="{847E6191-381D-4FAE-8D5E-FA5C2081D4B3}">
      <text>
        <r>
          <rPr>
            <b/>
            <sz val="9"/>
            <color indexed="81"/>
            <rFont val="Tahoma"/>
            <charset val="1"/>
          </rPr>
          <t>Cancellations where the customer had NO remaining active subscriptions. Uses Engine!U (is_logo_churn) helper column. Of 11 total subscription cancellations, only 3 were true logo churns:
- CUST005 Atlantic Media Corp (Nov 2024)
- CUST013 Alberta Tech Innovators (Jan 2025)
- CUST023 Island Media Productions (Jun 2025)</t>
        </r>
      </text>
    </comment>
    <comment ref="L20" authorId="0" shapeId="0" xr:uid="{E72827B5-8534-4A9F-BA97-0B0880E72DD7}">
      <text>
        <r>
          <rPr>
            <b/>
            <sz val="9"/>
            <color indexed="81"/>
            <rFont val="Tahoma"/>
            <charset val="1"/>
          </rPr>
          <t>Michael Bezrukov:</t>
        </r>
        <r>
          <rPr>
            <sz val="9"/>
            <color indexed="81"/>
            <rFont val="Tahoma"/>
            <charset val="1"/>
          </rPr>
          <t xml:space="preserve">
CUST005 Atlantic Media Corp — sole sub SUB005 cancelled (Price too high)</t>
        </r>
      </text>
    </comment>
    <comment ref="N20" authorId="0" shapeId="0" xr:uid="{7698D978-62B2-42D9-8B34-B3D995B6CFFA}">
      <text>
        <r>
          <rPr>
            <b/>
            <sz val="9"/>
            <color indexed="81"/>
            <rFont val="Tahoma"/>
            <charset val="1"/>
          </rPr>
          <t>Michael Bezrukov:</t>
        </r>
        <r>
          <rPr>
            <sz val="9"/>
            <color indexed="81"/>
            <rFont val="Tahoma"/>
            <charset val="1"/>
          </rPr>
          <t xml:space="preserve">
CUST013 Alberta Tech Innovators — sole sub SUB013 cancelled (Switched to competitor)</t>
        </r>
      </text>
    </comment>
    <comment ref="S20" authorId="0" shapeId="0" xr:uid="{76DAB765-2753-4825-A37C-C97A3A9C81AE}">
      <text>
        <r>
          <rPr>
            <b/>
            <sz val="9"/>
            <color indexed="81"/>
            <rFont val="Tahoma"/>
            <charset val="1"/>
          </rPr>
          <t>Michael Bezrukov:</t>
        </r>
        <r>
          <rPr>
            <sz val="9"/>
            <color indexed="81"/>
            <rFont val="Tahoma"/>
            <charset val="1"/>
          </rPr>
          <t xml:space="preserve">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<sst xmlns="http://schemas.openxmlformats.org/spreadsheetml/2006/main" count="1462" uniqueCount="656">
  <si>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</si>
  <si>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</si>
  <si>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</si>
  <si>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</si>
  <si>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Metric</t>
  </si>
  <si>
    <t>Q1 2024</t>
  </si>
  <si>
    <t>Q2 2024</t>
  </si>
  <si>
    <t>Q3 2024</t>
  </si>
  <si>
    <t>Q4 2024</t>
  </si>
  <si>
    <t>Q1 2025</t>
  </si>
  <si>
    <t>Q2 2025</t>
  </si>
  <si>
    <t>Q3 2025</t>
  </si>
  <si>
    <t>Q4 2025</t>
  </si>
  <si>
    <t>Source</t>
  </si>
  <si>
    <t>Opening MRR</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</si>
  <si>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</si>
  <si>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</si>
  <si>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</si>
  <si>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</si>
  <si>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</si>
  <si>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</si>
  <si>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</si>
  <si>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</si>
  <si>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</si>
  <si>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</si>
  <si>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</si>
  <si>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Closing MRR</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</si>
  <si>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</si>
  <si>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</si>
  <si>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</si>
  <si>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</si>
  <si>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</si>
  <si>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</si>
  <si>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</si>
  <si>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</si>
  <si>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</si>
  <si>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</si>
  <si>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</si>
  <si>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</si>
  <si>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</si>
  <si>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</si>
  <si>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</si>
  <si>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Gross Profit</t>
  </si>
  <si>
    <t>Revenue − COGS</t>
  </si>
  <si>
    <t>Gross Margin %</t>
  </si>
  <si>
    <t>GP / Revenue</t>
  </si>
  <si>
    <t>S&amp;M</t>
  </si>
  <si>
    <t>Accounting data, Unit Economics tab</t>
  </si>
  <si>
    <t>R&amp;D</t>
  </si>
  <si>
    <t>Company cost structure</t>
  </si>
  <si>
    <t>G&amp;A</t>
  </si>
  <si>
    <t>Total OpEx</t>
  </si>
  <si>
    <t>S&amp;M + R&amp;D + G&amp;A</t>
  </si>
  <si>
    <t>EBITDA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</si>
  <si>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</si>
  <si>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</si>
  <si>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</si>
  <si>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</si>
  <si>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</si>
  <si>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</si>
  <si>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</si>
  <si>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</si>
  <si>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</si>
  <si>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New MRR / New customers</t>
  </si>
  <si>
    <t>CAC (quarterly S&amp;M / new custs)</t>
  </si>
  <si>
    <t>Only meaningful if new custs &gt; 0</t>
  </si>
  <si>
    <t>RECONCILIATION NOTES</t>
  </si>
  <si>
    <t>Dec 2025 closing MRR (this table):</t>
  </si>
  <si>
    <t>Feb 2026 snapshot MRR:</t>
  </si>
  <si>
    <t>Difference:</t>
  </si>
  <si>
    <t>Explanation:</t>
  </si>
  <si>
    <t>Which number are you using as the 2026 opening MRR, and why?</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</si>
  <si>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</si>
  <si>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</si>
  <si>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</si>
  <si>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</si>
  <si>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</si>
  <si>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</si>
  <si>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</si>
  <si>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</si>
  <si>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</si>
  <si>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</si>
  <si>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</si>
  <si>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</si>
  <si>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</si>
  <si>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</si>
  <si>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</si>
  <si>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</si>
  <si>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</si>
  <si>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</si>
  <si>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</si>
  <si>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</si>
  <si>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</si>
  <si>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</si>
  <si>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</si>
  <si>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</si>
  <si>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</si>
  <si>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</si>
  <si>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</si>
  <si>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</si>
  <si>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</si>
  <si>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</si>
  <si>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</si>
  <si>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</si>
  <si>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</si>
  <si>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</si>
  <si>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</si>
  <si>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</si>
  <si>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</si>
  <si>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</si>
  <si>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</si>
  <si>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</si>
  <si>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Closing ARR</t>
  </si>
  <si>
    <t>→ Closing MRR × 12</t>
  </si>
  <si>
    <t>← Opening = Q1</t>
  </si>
  <si>
    <t>← Sums for flows</t>
  </si>
  <si>
    <t>← Q4 closing for balances</t>
  </si>
  <si>
    <t>PROFIT &amp; LOSS</t>
  </si>
  <si>
    <t>→ Closing MRR × 3</t>
  </si>
  <si>
    <t>COGS</t>
  </si>
  <si>
    <t>→ Revenue × (1 − gross margin)</t>
  </si>
  <si>
    <t>→ Revenue − COGS</t>
  </si>
  <si>
    <t>→ GP / Revenue</t>
  </si>
  <si>
    <t>← From Assumptions tab</t>
  </si>
  <si>
    <t>→ Gross Profit − Total OpEx</t>
  </si>
  <si>
    <t>→ EBITDA / Revenue</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</si>
  <si>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</si>
  <si>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</si>
  <si>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</si>
  <si>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</si>
  <si>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</si>
  <si>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</si>
  <si>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</si>
  <si>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</si>
  <si>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</si>
  <si>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</si>
  <si>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</si>
  <si>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</si>
  <si>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</si>
  <si>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</si>
  <si>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</si>
  <si>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</si>
  <si>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Check</t>
  </si>
  <si>
    <t>Expected</t>
  </si>
  <si>
    <t>Your Value</t>
  </si>
  <si>
    <t>Match?</t>
  </si>
  <si>
    <t>Q1 Closing MRR</t>
  </si>
  <si>
    <t>Q2 Closing MRR</t>
  </si>
  <si>
    <t>Q3 Closing MRR</t>
  </si>
  <si>
    <t>Q4 Closing MRR</t>
  </si>
  <si>
    <t>FY EBITDA</t>
  </si>
  <si>
    <t>EBITDA Margin</t>
  </si>
  <si>
    <t>Total New Customers</t>
  </si>
  <si>
    <t>CMGR (monthly)</t>
  </si>
  <si>
    <t>MRR Waterfall - January 2024 to February 2026</t>
  </si>
  <si>
    <t>Month</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</si>
  <si>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</si>
  <si>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</si>
  <si>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</si>
  <si>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</si>
  <si>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</si>
  <si>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</si>
  <si>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</si>
  <si>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</si>
  <si>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</si>
  <si>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</si>
  <si>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</si>
  <si>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</si>
  <si>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</si>
  <si>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</si>
  <si>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</si>
  <si>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</si>
  <si>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</si>
  <si>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</si>
  <si>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</si>
  <si>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</si>
  <si>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</si>
  <si>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</si>
  <si>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</si>
  <si>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</si>
  <si>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</si>
  <si>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</si>
  <si>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</si>
  <si>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</si>
  <si>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</si>
  <si>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</si>
  <si>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</si>
  <si>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</si>
  <si>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</si>
  <si>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</si>
  <si>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</si>
  <si>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</si>
  <si>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</si>
  <si>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Active Customers</t>
  </si>
  <si>
    <t>Active Subscriptions</t>
  </si>
  <si>
    <t>Total MRR</t>
  </si>
  <si>
    <t>ARPA (MRR / Active Customers)</t>
  </si>
  <si>
    <t>ARPS (MRR / Active Subscriptions)</t>
  </si>
  <si>
    <t>ARPA by Plan</t>
  </si>
  <si>
    <t>Plan</t>
  </si>
  <si>
    <t>Subscriptions</t>
  </si>
  <si>
    <t>Avg MRR / Subscription</t>
  </si>
  <si>
    <t>Analytics Starter</t>
  </si>
  <si>
    <t>Analytics Growth</t>
  </si>
  <si>
    <t>Analytics Enterprise</t>
  </si>
  <si>
    <t>Marketing Pro</t>
  </si>
  <si>
    <t>Sales Hub</t>
  </si>
  <si>
    <t>Platform Suite</t>
  </si>
  <si>
    <t>Total</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</si>
  <si>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</si>
  <si>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</si>
  <si>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</si>
  <si>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</si>
  <si>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</si>
  <si>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</si>
  <si>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</si>
  <si>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</si>
  <si>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</si>
  <si>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</si>
  <si>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</si>
  <si>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</si>
  <si>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</si>
  <si>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</si>
  <si>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</si>
  <si>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</si>
  <si>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</si>
  <si>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SUB001</t>
  </si>
  <si>
    <t>TechVision Solutions</t>
  </si>
  <si>
    <t>SUB005</t>
  </si>
  <si>
    <t>Atlantic Media Corp</t>
  </si>
  <si>
    <t>SUB008</t>
  </si>
  <si>
    <t>Quantum Education Platform</t>
  </si>
  <si>
    <t>SUB013</t>
  </si>
  <si>
    <t>Alberta Tech Innovators</t>
  </si>
  <si>
    <t>SUB021</t>
  </si>
  <si>
    <t>Calgary Commerce Solutions</t>
  </si>
  <si>
    <t>SUB049</t>
  </si>
  <si>
    <t>Maritime E-commerce</t>
  </si>
  <si>
    <t>SUB023</t>
  </si>
  <si>
    <t>Island Media Productions</t>
  </si>
  <si>
    <t>SUB060</t>
  </si>
  <si>
    <t>Central Healthcare Partners</t>
  </si>
  <si>
    <t>SUB055</t>
  </si>
  <si>
    <t>Prairie Commerce Group</t>
  </si>
  <si>
    <t>SUB015</t>
  </si>
  <si>
    <t>BC Retail Networks</t>
  </si>
  <si>
    <t>SUB050</t>
  </si>
  <si>
    <t>Ontario Manufacturing Tech</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</si>
  <si>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</si>
  <si>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</si>
  <si>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</si>
  <si>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</si>
  <si>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</si>
  <si>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</si>
  <si>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</si>
  <si>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</si>
  <si>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</si>
  <si>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</si>
  <si>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</si>
  <si>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</si>
  <si>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</si>
  <si>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</si>
  <si>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</si>
  <si>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</si>
  <si>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</si>
  <si>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</si>
  <si>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New Customers</t>
  </si>
  <si>
    <t>2025-01</t>
  </si>
  <si>
    <t>2025-02</t>
  </si>
  <si>
    <t>2025-03</t>
  </si>
  <si>
    <t>2025-04</t>
  </si>
  <si>
    <t>2025-05</t>
  </si>
  <si>
    <t>2025-06</t>
  </si>
  <si>
    <t>2025-07</t>
  </si>
  <si>
    <t>2025-08</t>
  </si>
  <si>
    <t>2025-09</t>
  </si>
  <si>
    <t>2025-10</t>
  </si>
  <si>
    <t>2025-11</t>
  </si>
  <si>
    <t>2025-12</t>
  </si>
  <si>
    <t>2026-01</t>
  </si>
  <si>
    <t>2026-02</t>
  </si>
  <si>
    <t>CAC Calculations</t>
  </si>
  <si>
    <t>Period</t>
  </si>
  <si>
    <t>Value</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</si>
  <si>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</si>
  <si>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</si>
  <si>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</si>
  <si>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</si>
  <si>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</si>
  <si>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</si>
  <si>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</si>
  <si>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</si>
  <si>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</si>
  <si>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</si>
  <si>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</si>
  <si>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</si>
  <si>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</si>
  <si>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</si>
  <si>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</si>
  <si>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</si>
  <si>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</si>
  <si>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</si>
  <si>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</si>
  <si>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</si>
  <si>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plan_name</t>
  </si>
  <si>
    <t>monthly_price</t>
  </si>
  <si>
    <t>monthly_cost</t>
  </si>
  <si>
    <t>gross_margin</t>
  </si>
  <si>
    <t>N/A</t>
  </si>
  <si>
    <t xml:space="preserve"> </t>
  </si>
  <si>
    <t>Assumes opening MRR = $143,069.50. Our opening is $150,918.50 (Waterfall tab, Dec 2025 closing).  Same model logic, different starting MRR.</t>
  </si>
  <si>
    <t>Waterfall closing ($150,918.50) exceeds Snapshot ($144,185.50) by $6,733. This gap exists because Snapshot only reflects currently active subscriptions while Waterfall has all movements including churned subs after Dec 2025.</t>
  </si>
  <si>
    <t>Using $150,918.50 (Waterfall tab, Dec 2025 closing MRR, cell H26). This is the complete figure tied to month-by-month movement data.</t>
  </si>
  <si>
    <t>event_id</t>
  </si>
  <si>
    <t>subscription_id</t>
  </si>
  <si>
    <t>customer_id</t>
  </si>
  <si>
    <t>company_name</t>
  </si>
  <si>
    <t>region</t>
  </si>
  <si>
    <t>month</t>
  </si>
  <si>
    <t>event_date</t>
  </si>
  <si>
    <t>event_type</t>
  </si>
  <si>
    <t>old_value</t>
  </si>
  <si>
    <t>new_value</t>
  </si>
  <si>
    <t>field_changed</t>
  </si>
  <si>
    <t>reason</t>
  </si>
  <si>
    <t>billing_cycle</t>
  </si>
  <si>
    <t>seats</t>
  </si>
  <si>
    <t>price_per_seat</t>
  </si>
  <si>
    <t>discount_percent</t>
  </si>
  <si>
    <t>movement</t>
  </si>
  <si>
    <t>mrr_delta</t>
  </si>
  <si>
    <t>is_new_logo</t>
  </si>
  <si>
    <t>is_logo_churn</t>
  </si>
  <si>
    <t>is_logo_reactivation</t>
  </si>
  <si>
    <t>EVT001</t>
  </si>
  <si>
    <t>CUST001</t>
  </si>
  <si>
    <t>Eastern Canada</t>
  </si>
  <si>
    <t>created</t>
  </si>
  <si>
    <t>Monthly</t>
  </si>
  <si>
    <t>EVT002</t>
  </si>
  <si>
    <t>SUB002</t>
  </si>
  <si>
    <t>CUST002</t>
  </si>
  <si>
    <t>Pacific Analytics Inc</t>
  </si>
  <si>
    <t>Western Canada</t>
  </si>
  <si>
    <t>Annual</t>
  </si>
  <si>
    <t>EVT003</t>
  </si>
  <si>
    <t>SUB003</t>
  </si>
  <si>
    <t>CUST003</t>
  </si>
  <si>
    <t>Maple Healthcare Systems</t>
  </si>
  <si>
    <t>EVT004</t>
  </si>
  <si>
    <t>SUB004</t>
  </si>
  <si>
    <t>CUST004</t>
  </si>
  <si>
    <t>EVT005</t>
  </si>
  <si>
    <t>EVT006</t>
  </si>
  <si>
    <t>CUST005</t>
  </si>
  <si>
    <t>EVT007</t>
  </si>
  <si>
    <t>SUB006</t>
  </si>
  <si>
    <t>CUST006</t>
  </si>
  <si>
    <t>Northern Retail Solutions</t>
  </si>
  <si>
    <t>EVT008</t>
  </si>
  <si>
    <t>SUB007</t>
  </si>
  <si>
    <t>CUST007</t>
  </si>
  <si>
    <t>EVT009</t>
  </si>
  <si>
    <t>EVT010</t>
  </si>
  <si>
    <t>CUST008</t>
  </si>
  <si>
    <t>EVT011</t>
  </si>
  <si>
    <t>SUB009</t>
  </si>
  <si>
    <t>CUST009</t>
  </si>
  <si>
    <t>West Coast Logistics</t>
  </si>
  <si>
    <t>EVT012</t>
  </si>
  <si>
    <t>SUB010</t>
  </si>
  <si>
    <t>CUST010</t>
  </si>
  <si>
    <t>Montreal Finance Hub</t>
  </si>
  <si>
    <t>EVT013</t>
  </si>
  <si>
    <t>SUB011</t>
  </si>
  <si>
    <t>CUST011</t>
  </si>
  <si>
    <t>Prairie Health Connect</t>
  </si>
  <si>
    <t>Central Canada</t>
  </si>
  <si>
    <t>EVT014</t>
  </si>
  <si>
    <t>SUB012</t>
  </si>
  <si>
    <t>CUST012</t>
  </si>
  <si>
    <t>EVT015</t>
  </si>
  <si>
    <t>EVT016</t>
  </si>
  <si>
    <t>CUST013</t>
  </si>
  <si>
    <t>EVT017</t>
  </si>
  <si>
    <t>SUB014</t>
  </si>
  <si>
    <t>CUST014</t>
  </si>
  <si>
    <t>Toronto Media Group</t>
  </si>
  <si>
    <t>EVT018</t>
  </si>
  <si>
    <t>SUB041</t>
  </si>
  <si>
    <t>EVT019</t>
  </si>
  <si>
    <t>CUST015</t>
  </si>
  <si>
    <t>EVT020</t>
  </si>
  <si>
    <t>SUB046</t>
  </si>
  <si>
    <t>EVT021</t>
  </si>
  <si>
    <t>SUB016</t>
  </si>
  <si>
    <t>CUST016</t>
  </si>
  <si>
    <t>Quebec Manufacturing</t>
  </si>
  <si>
    <t>EVT022</t>
  </si>
  <si>
    <t>SUB017</t>
  </si>
  <si>
    <t>CUST017</t>
  </si>
  <si>
    <t>Capital Education Tech</t>
  </si>
  <si>
    <t>EVT023</t>
  </si>
  <si>
    <t>cancelled</t>
  </si>
  <si>
    <t>active</t>
  </si>
  <si>
    <t>churned</t>
  </si>
  <si>
    <t>status</t>
  </si>
  <si>
    <t>Missing features</t>
  </si>
  <si>
    <t>EVT024</t>
  </si>
  <si>
    <t>SUB018</t>
  </si>
  <si>
    <t>CUST018</t>
  </si>
  <si>
    <t>Vancouver FinTech Labs</t>
  </si>
  <si>
    <t>EVT025</t>
  </si>
  <si>
    <t>SUB042</t>
  </si>
  <si>
    <t>EVT026</t>
  </si>
  <si>
    <t>SUB019</t>
  </si>
  <si>
    <t>CUST019</t>
  </si>
  <si>
    <t>EVT027</t>
  </si>
  <si>
    <t>EVT028</t>
  </si>
  <si>
    <t>SUB020</t>
  </si>
  <si>
    <t>CUST020</t>
  </si>
  <si>
    <t>Atlantic SaaS Systems</t>
  </si>
  <si>
    <t>EVT029</t>
  </si>
  <si>
    <t>SUB043</t>
  </si>
  <si>
    <t>EVT030</t>
  </si>
  <si>
    <t>CUST021</t>
  </si>
  <si>
    <t>EVT031</t>
  </si>
  <si>
    <t>SUB022</t>
  </si>
  <si>
    <t>CUST022</t>
  </si>
  <si>
    <t>Toronto Tech Ventures</t>
  </si>
  <si>
    <t>EVT032</t>
  </si>
  <si>
    <t>SUB059</t>
  </si>
  <si>
    <t>EVT033</t>
  </si>
  <si>
    <t>CUST023</t>
  </si>
  <si>
    <t>EVT034</t>
  </si>
  <si>
    <t>Price too high</t>
  </si>
  <si>
    <t>EVT035</t>
  </si>
  <si>
    <t>SUB024</t>
  </si>
  <si>
    <t>CUST024</t>
  </si>
  <si>
    <t>Western Retail Group</t>
  </si>
  <si>
    <t>EVT036</t>
  </si>
  <si>
    <t>SUB025</t>
  </si>
  <si>
    <t>CUST025</t>
  </si>
  <si>
    <t>Montreal Manufacturing Pro</t>
  </si>
  <si>
    <t>EVT037</t>
  </si>
  <si>
    <t>SUB056</t>
  </si>
  <si>
    <t>EVT038</t>
  </si>
  <si>
    <t>SUB044</t>
  </si>
  <si>
    <t>EVT039</t>
  </si>
  <si>
    <t>EVT040</t>
  </si>
  <si>
    <t>SUB026</t>
  </si>
  <si>
    <t>CUST026</t>
  </si>
  <si>
    <t>Ontario Education Connect</t>
  </si>
  <si>
    <t>EVT041</t>
  </si>
  <si>
    <t>SUB027</t>
  </si>
  <si>
    <t>CUST027</t>
  </si>
  <si>
    <t>Pacific Finance Corp</t>
  </si>
  <si>
    <t>EVT042</t>
  </si>
  <si>
    <t>price_change</t>
  </si>
  <si>
    <t>Annual price increase applied at renewal</t>
  </si>
  <si>
    <t>EVT043</t>
  </si>
  <si>
    <t>Switched to competitor</t>
  </si>
  <si>
    <t>EVT044</t>
  </si>
  <si>
    <t>SUB028</t>
  </si>
  <si>
    <t>CUST028</t>
  </si>
  <si>
    <t>Prairie SaaS Innovations</t>
  </si>
  <si>
    <t>EVT045</t>
  </si>
  <si>
    <t>SUB054</t>
  </si>
  <si>
    <t>EVT046</t>
  </si>
  <si>
    <t>SUB057</t>
  </si>
  <si>
    <t>EVT047</t>
  </si>
  <si>
    <t>SUB029</t>
  </si>
  <si>
    <t>CUST029</t>
  </si>
  <si>
    <t>Halifax Healthcare Tech</t>
  </si>
  <si>
    <t>EVT048</t>
  </si>
  <si>
    <t>SUB045</t>
  </si>
  <si>
    <t>EVT049</t>
  </si>
  <si>
    <t>SUB051</t>
  </si>
  <si>
    <t>EVT050</t>
  </si>
  <si>
    <t>SUB030</t>
  </si>
  <si>
    <t>CUST030</t>
  </si>
  <si>
    <t>Alberta E-commerce Hub</t>
  </si>
  <si>
    <t>EVT051</t>
  </si>
  <si>
    <t>SUB031</t>
  </si>
  <si>
    <t>CUST031</t>
  </si>
  <si>
    <t>Toronto Digital Media</t>
  </si>
  <si>
    <t>EVT052</t>
  </si>
  <si>
    <t>SUB058</t>
  </si>
  <si>
    <t>EVT053</t>
  </si>
  <si>
    <t>plan_downgrade</t>
  </si>
  <si>
    <t>Cost reduction initiative - downgraded to starter tier</t>
  </si>
  <si>
    <t>EVT054</t>
  </si>
  <si>
    <t>SUB052</t>
  </si>
  <si>
    <t>EVT055</t>
  </si>
  <si>
    <t>discount_added</t>
  </si>
  <si>
    <t>Annual contract loyalty discount applied</t>
  </si>
  <si>
    <t>EVT056</t>
  </si>
  <si>
    <t>SUB032</t>
  </si>
  <si>
    <t>CUST032</t>
  </si>
  <si>
    <t>BC Manufacturing Systems</t>
  </si>
  <si>
    <t>EVT057</t>
  </si>
  <si>
    <t>seats_change</t>
  </si>
  <si>
    <t>Headcount reduction - Q1 restructuring</t>
  </si>
  <si>
    <t>EVT058</t>
  </si>
  <si>
    <t>SUB033</t>
  </si>
  <si>
    <t>CUST033</t>
  </si>
  <si>
    <t>Ottawa Retail Solutions</t>
  </si>
  <si>
    <t>EVT059</t>
  </si>
  <si>
    <t>EVT060</t>
  </si>
  <si>
    <t>SUB034</t>
  </si>
  <si>
    <t>CUST034</t>
  </si>
  <si>
    <t>Quebec Education Platform</t>
  </si>
  <si>
    <t>EVT061</t>
  </si>
  <si>
    <t>New hires onboarded - sales team expansion</t>
  </si>
  <si>
    <t>EVT062</t>
  </si>
  <si>
    <t>SUB047</t>
  </si>
  <si>
    <t>EVT063</t>
  </si>
  <si>
    <t>SUB035</t>
  </si>
  <si>
    <t>CUST035</t>
  </si>
  <si>
    <t>Vancouver Health Systems</t>
  </si>
  <si>
    <t>EVT064</t>
  </si>
  <si>
    <t>Team expansion - 3 new account managers onboarded</t>
  </si>
  <si>
    <t>EVT065</t>
  </si>
  <si>
    <t>SUB036</t>
  </si>
  <si>
    <t>CUST036</t>
  </si>
  <si>
    <t>Manitoba Finance Group</t>
  </si>
  <si>
    <t>EVT066</t>
  </si>
  <si>
    <t>SUB061</t>
  </si>
  <si>
    <t>Returning customer â€” reactivation</t>
  </si>
  <si>
    <t>EVT067</t>
  </si>
  <si>
    <t>SUB048</t>
  </si>
  <si>
    <t>EVT068</t>
  </si>
  <si>
    <t>Company downsizing</t>
  </si>
  <si>
    <t>EVT069</t>
  </si>
  <si>
    <t>SUB037</t>
  </si>
  <si>
    <t>CUST037</t>
  </si>
  <si>
    <t>Maritime SaaS Ventures</t>
  </si>
  <si>
    <t>EVT070</t>
  </si>
  <si>
    <t>Department growth - added analytics sub-team</t>
  </si>
  <si>
    <t>EVT071</t>
  </si>
  <si>
    <t>SUB053</t>
  </si>
  <si>
    <t>EVT072</t>
  </si>
  <si>
    <t>SUB038</t>
  </si>
  <si>
    <t>CUST038</t>
  </si>
  <si>
    <t>Calgary Tech Partners</t>
  </si>
  <si>
    <t>EVT073</t>
  </si>
  <si>
    <t>No longer needed</t>
  </si>
  <si>
    <t>EVT074</t>
  </si>
  <si>
    <t>plan_upgrade</t>
  </si>
  <si>
    <t>Growing usage - upgraded for advanced features and higher limits</t>
  </si>
  <si>
    <t>EVT075</t>
  </si>
  <si>
    <t>SUB039</t>
  </si>
  <si>
    <t>CUST039</t>
  </si>
  <si>
    <t>Toronto Commerce Cloud</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</si>
  <si>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</si>
  <si>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</si>
  <si>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</si>
  <si>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</si>
  <si>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</si>
  <si>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</si>
  <si>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</si>
  <si>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</si>
  <si>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</si>
  <si>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</si>
  <si>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</si>
  <si>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</si>
  <si>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</si>
  <si>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</si>
  <si>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</si>
  <si>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</si>
  <si>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</si>
  <si>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</si>
  <si>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</si>
  <si>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</si>
  <si>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</si>
  <si>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</si>
  <si>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</si>
  <si>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</si>
  <si>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SUB062</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</si>
  <si>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</si>
  <si>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</si>
  <si>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</si>
  <si>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</si>
  <si>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</si>
  <si>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</si>
  <si>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</si>
  <si>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</si>
  <si>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</si>
  <si>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</si>
  <si>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</si>
  <si>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</si>
  <si>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SUB040</t>
  </si>
  <si>
    <t>CUST040</t>
  </si>
  <si>
    <t>BC Education Innovations</t>
  </si>
  <si>
    <t>EVT097</t>
  </si>
  <si>
    <t>Poor support</t>
  </si>
  <si>
    <t>Forecast - Jan 26</t>
  </si>
  <si>
    <t>$ Variance</t>
  </si>
  <si>
    <t>% Variance</t>
  </si>
  <si>
    <t>Actual - Jan 26</t>
  </si>
  <si>
    <t>MRR Waterfall</t>
  </si>
  <si>
    <t>P&amp;L</t>
  </si>
  <si>
    <t>F/U</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</si>
  <si>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</si>
  <si>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</si>
  <si>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</si>
  <si>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Offsetting this was the lack of churned MRR this month which resulted in a favorable variance of $954.</t>
  </si>
  <si>
    <t>There was no expansion recorded this month versus the expected $715.35.</t>
  </si>
  <si>
    <t>Operating Expenses were in line with expectation.</t>
  </si>
  <si>
    <t>EBITDA of $27,345.65 was 5% lower than the expected $28,781.74. This was driven by the shortfall in Gross Profit due to the Closing MRR being less than anticipated.</t>
  </si>
  <si>
    <t>Currently, Q1 is approximately $6000 less than planned, which could be fixed with a strong performance in February.</t>
  </si>
  <si>
    <t>Summary:</t>
  </si>
  <si>
    <t>The customers revenue was $1,710 which is 43% less than the planned rate of $3000 per customer.</t>
  </si>
  <si>
    <t>January 2026 — SaaS KPIs</t>
  </si>
  <si>
    <t>Notes</t>
  </si>
  <si>
    <t>From your Jan 31 SQL snapshot</t>
  </si>
  <si>
    <t>ARPA</t>
  </si>
  <si>
    <t>Excel 04</t>
  </si>
  <si>
    <t>Gross Margin</t>
  </si>
  <si>
    <t>Already in your P&amp;L</t>
  </si>
  <si>
    <t>GRR</t>
  </si>
  <si>
    <t>Excel 03</t>
  </si>
  <si>
    <t>NRR</t>
  </si>
  <si>
    <t>Quick Ratio</t>
  </si>
  <si>
    <t>N/A — no losses</t>
  </si>
  <si>
    <t>S&amp;M (actual)</t>
  </si>
  <si>
    <t>From Lisa's monthly close message</t>
  </si>
  <si>
    <t>CAC — this month</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</si>
  <si>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</si>
  <si>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</si>
  <si>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</si>
  <si>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</si>
  <si>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</si>
  <si>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</si>
  <si>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</si>
  <si>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</si>
  <si>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</si>
  <si>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Excel 04 — S&amp;M ÷ new customers acquired this month (= 1 new logo Jan)</t>
  </si>
  <si>
    <t>Self-Check — KPIs</t>
  </si>
  <si>
    <t>Your value</t>
  </si>
  <si>
    <t>CAC (monthly)</t>
  </si>
  <si>
    <t>KPI Tracker</t>
  </si>
  <si>
    <t>CAC — monthly</t>
  </si>
  <si>
    <t>CAC — trailing Q</t>
  </si>
  <si>
    <t>(calc at Q1 close)</t>
  </si>
  <si>
    <t>LTV, LTV:CAC, and CAC Payback appear in the Q1 column only. Monthly figures are too sensitive to single-month churn swings to be meaningful.</t>
  </si>
  <si>
    <t>Movement</t>
  </si>
  <si>
    <t>Actual</t>
  </si>
  <si>
    <t>Forecast</t>
  </si>
  <si>
    <t>Variance</t>
  </si>
  <si>
    <t>New MRR</t>
  </si>
  <si>
    <t>Expansion MRR</t>
  </si>
  <si>
    <t>Contraction MRR</t>
  </si>
  <si>
    <t>Churned MRR</t>
  </si>
  <si>
    <t xml:space="preserve">Excel 02 </t>
  </si>
  <si>
    <t xml:space="preserve"> - Contraction 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</si>
</sst>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164" formatCode="\$#,##0.00"/>
    <numFmt numFmtId="165" formatCode="\$#,##0"/>
    <numFmt numFmtId="166" formatCode="0.0%"/>
    <numFmt numFmtId="167" formatCode="\$#,##0;\(\$#,##0\);&quot;-&quot;"/>
    <numFmt numFmtId="168" formatCode="yyyy/mm"/>
    <numFmt numFmtId="169" formatCode="mmm\ yyyy"/>
    <numFmt numFmtId="170" formatCode="&quot;$&quot;#,##0"/>
    <numFmt numFmtId="171" formatCode="_(&quot;$&quot;* #,##0_);_(&quot;$&quot;* \(#,##0\);_(&quot;$&quot;* &quot;-&quot;??_);_(@_)"/>
    <numFmt numFmtId="172" formatCode="0.0"/>
    <numFmt numFmtId="173" formatCode="0.0\x"/>
    <numFmt numFmtId="174" formatCode="0.0&quot; months&quot;"/>
    <numFmt numFmtId="175" formatCode="&quot;$&quot;#,##0.00"/>
    <numFmt numFmtId="176" formatCode="&quot;$&quot;#,##0.00;\(&quot;$&quot;#,##0.00\);&quot;-&quot;"/>
  </numFmts>
  <fonts count="39" x14ac:knownFonts="1">
    <font>
      <sz val="11"/>
      <color theme="1"/>
      <name val="Calibri"/>
      <family val="2"/>
      <scheme val="minor"/>
    </font>
    <font>
      <b/>
      <sz val="13"/>
      <color rgb="FF1F3864"/>
      <name val="Arial"/>
    </font>
    <font>
      <i/>
      <sz val="9"/>
      <color rgb="FF666666"/>
      <name val="Arial"/>
    </font>
    <font>
      <b/>
      <sz val="10"/>
      <color rgb="FF1F3864"/>
      <name val="Arial"/>
    </font>
    <font>
      <b/>
      <sz val="10"/>
      <color rgb="FFFFFFFF"/>
      <name val="Arial"/>
    </font>
    <font>
      <b/>
      <sz val="10"/>
      <name val="Arial"/>
    </font>
    <font>
      <sz val="10"/>
      <name val="Arial"/>
    </font>
    <font>
      <sz val="10"/>
      <color rgb="FFC00000"/>
      <name val="Arial"/>
    </font>
    <font>
      <sz val="10"/>
      <color rgb="FF0000FF"/>
      <name val="Arial"/>
    </font>
    <font>
      <b/>
      <i/>
      <sz val="9"/>
      <color rgb="FFC00000"/>
      <name val="Arial"/>
    </font>
    <font>
      <b/>
      <sz val="9"/>
      <color rgb="FF808080"/>
      <name val="Arial"/>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000000"/>
      <name val="Calibri"/>
      <family val="2"/>
      <scheme val="minor"/>
    </font>
    <font>
      <sz val="10"/>
      <color rgb="FF333333"/>
      <name val="Calibri"/>
      <family val="2"/>
      <scheme val="minor"/>
    </font>
    <font>
      <b/>
      <sz val="9"/>
      <color indexed="81"/>
      <name val="Tahoma"/>
      <charset val="1"/>
    </font>
    <font>
      <sz val="9"/>
      <color indexed="81"/>
      <name val="Tahoma"/>
      <charset val="1"/>
    </font>
    <font>
      <b/>
      <sz val="14"/>
      <color rgb="FF000000"/>
      <name val="Calibri"/>
      <scheme val="minor"/>
    </font>
    <font>
      <b/>
      <sz val="11"/>
      <color rgb="FFFFFFFF"/>
      <name val="Calibri"/>
      <scheme val="minor"/>
    </font>
    <font>
      <b/>
      <sz val="11"/>
      <color rgb="FF000000"/>
      <name val="Calibri"/>
      <scheme val="minor"/>
    </font>
    <font>
      <sz val="11"/>
      <color rgb="FF000000"/>
      <name val="Calibri"/>
      <scheme val="minor"/>
    </font>
    <font>
      <sz val="11"/>
      <color theme="1"/>
      <name val="Calibri"/>
      <scheme val="minor"/>
    </font>
    <font>
      <b/>
      <sz val="11"/>
      <color theme="1"/>
      <name val="Calibri"/>
      <scheme val="minor"/>
    </font>
    <font>
      <b/>
      <sz val="11"/>
      <color rgb="FFFFFFFF"/>
      <name val="Calibri"/>
      <family val="2"/>
      <scheme val="minor"/>
    </font>
    <font>
      <b/>
      <sz val="11"/>
      <color rgb="FF000000"/>
      <name val="Calibri"/>
      <family val="2"/>
      <scheme val="minor"/>
    </font>
    <font>
      <b/>
      <sz val="10"/>
      <color rgb="FF333333"/>
      <name val="Calibri"/>
      <family val="2"/>
      <scheme val="minor"/>
    </font>
    <font>
      <i/>
      <sz val="9"/>
      <color theme="1"/>
      <name val="Calibri"/>
      <family val="2"/>
      <scheme val="minor"/>
    </font>
    <font>
      <i/>
      <sz val="9"/>
      <color rgb="FFFF0000"/>
      <name val="Arial"/>
    </font>
    <font>
      <b/>
      <sz val="10"/>
      <color rgb="FFFFFFFF"/>
      <name val="Arial"/>
      <family val="2"/>
    </font>
    <font>
      <b/>
      <sz val="10"/>
      <name val="Arial"/>
      <family val="2"/>
    </font>
    <font>
      <b/>
      <sz val="11"/>
      <name val="Calibri"/>
      <family val="2"/>
      <scheme val="minor"/>
    </font>
    <font>
      <b/>
      <sz val="13"/>
      <color theme="1"/>
      <name val="Calibri"/>
      <family val="2"/>
      <scheme val="minor"/>
    </font>
    <font>
      <sz val="11"/>
      <color rgb="FF0000FF"/>
      <name val="Calibri"/>
      <family val="2"/>
      <scheme val="minor"/>
    </font>
    <font>
      <i/>
      <sz val="11"/>
      <color theme="1"/>
      <name val="Calibri"/>
      <family val="2"/>
      <scheme val="minor"/>
    </font>
    <font>
      <b/>
      <i/>
      <sz val="13"/>
      <color theme="1"/>
      <name val="Calibri"/>
      <family val="2"/>
      <scheme val="minor"/>
    </font>
    <font>
      <b/>
      <sz val="14"/>
      <color theme="1"/>
      <name val="Calibri"/>
      <family val="2"/>
      <scheme val="minor"/>
    </font>
  </fonts>
  <fills count="14">
    <fill>
      <patternFill patternType="none"/>
    </fill>
    <fill>
      <patternFill patternType="gray125"/>
    </fill>
    <fill>
      <patternFill patternType="solid">
        <fgColor rgb="FFD6E4F0"/>
      </patternFill>
    </fill>
    <fill>
      <patternFill patternType="solid">
        <fgColor rgb="FF1F3864"/>
      </patternFill>
    </fill>
    <fill>
      <patternFill patternType="solid">
        <fgColor rgb="FFE2EFDA"/>
      </patternFill>
    </fill>
    <fill>
      <patternFill patternType="solid">
        <fgColor rgb="FFFFF2CC"/>
      </patternFill>
    </fill>
    <fill>
      <patternFill patternType="solid">
        <fgColor rgb="FF548235"/>
      </patternFill>
    </fill>
    <fill>
      <patternFill patternType="solid">
        <fgColor rgb="FFE2EFDA"/>
        <bgColor indexed="64"/>
      </patternFill>
    </fill>
    <fill>
      <patternFill patternType="solid">
        <fgColor rgb="FF4472C4"/>
        <bgColor indexed="64"/>
      </patternFill>
    </fill>
    <fill>
      <patternFill patternType="solid">
        <fgColor rgb="FFFFFF00"/>
        <bgColor indexed="64"/>
      </patternFill>
    </fill>
    <fill>
      <patternFill patternType="solid">
        <fgColor rgb="FFFFF2CC"/>
        <bgColor indexed="64"/>
      </patternFill>
    </fill>
    <fill>
      <patternFill patternType="solid">
        <fgColor rgb="FFD9E1F2"/>
        <bgColor indexed="64"/>
      </patternFill>
    </fill>
    <fill>
      <patternFill patternType="solid">
        <fgColor rgb="FFBDD7EE"/>
        <bgColor indexed="64"/>
      </patternFill>
    </fill>
    <fill>
      <patternFill patternType="solid">
        <fgColor rgb="FFEBF3FB"/>
        <bgColor indexed="64"/>
      </patternFill>
    </fill>
  </fills>
  <borders count="2">
    <border>
      <left/>
      <right/>
      <top/>
      <bottom/>
      <diagonal/>
    </border>
    <border>
      <left/>
      <right/>
      <top style="thin">
        <color rgb="FF000000"/>
      </top>
      <bottom style="double">
        <color rgb="FF000000"/>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130">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0" xfId="0" applyFont="1" applyFill="1" applyAlignment="1">
      <alignment horizontal="center" vertical="center" wrapText="1"/>
    </xf>
    <xf numFmtId="0" fontId="5" fillId="4" borderId="0" xfId="0" applyFont="1" applyFill="1"/>
    <xf numFmtId="0" fontId="6" fillId="0" borderId="0" xfId="0" applyFont="1"/>
    <xf numFmtId="164" fontId="6" fillId="5" borderId="0" xfId="0" applyNumberFormat="1" applyFont="1" applyFill="1"/>
    <xf numFmtId="0" fontId="5" fillId="0" borderId="1" xfId="0" applyFont="1" applyBorder="1"/>
    <xf numFmtId="164" fontId="5" fillId="5" borderId="1" xfId="0" applyNumberFormat="1" applyFont="1" applyFill="1" applyBorder="1"/>
    <xf numFmtId="3" fontId="0" fillId="5" borderId="0" xfId="0" applyNumberFormat="1" applyFill="1"/>
    <xf numFmtId="166" fontId="0" fillId="5" borderId="0" xfId="0" applyNumberFormat="1" applyFill="1"/>
    <xf numFmtId="164" fontId="0" fillId="5" borderId="0" xfId="0" applyNumberFormat="1" applyFill="1"/>
    <xf numFmtId="0" fontId="0" fillId="5" borderId="0" xfId="0" applyFill="1"/>
    <xf numFmtId="0" fontId="7" fillId="0" borderId="0" xfId="0" applyFont="1"/>
    <xf numFmtId="164" fontId="8" fillId="5" borderId="0" xfId="0" applyNumberFormat="1" applyFont="1" applyFill="1"/>
    <xf numFmtId="3" fontId="8" fillId="5" borderId="0" xfId="0" applyNumberFormat="1" applyFont="1" applyFill="1"/>
    <xf numFmtId="3" fontId="8" fillId="0" borderId="0" xfId="0" applyNumberFormat="1" applyFont="1"/>
    <xf numFmtId="165" fontId="8" fillId="0" borderId="0" xfId="0" applyNumberFormat="1" applyFont="1"/>
    <xf numFmtId="166" fontId="8" fillId="0" borderId="0" xfId="0" applyNumberFormat="1" applyFont="1"/>
    <xf numFmtId="0" fontId="9" fillId="0" borderId="0" xfId="0" applyFont="1"/>
    <xf numFmtId="165" fontId="5" fillId="0" borderId="1" xfId="0" applyNumberFormat="1" applyFont="1" applyBorder="1"/>
    <xf numFmtId="0" fontId="4" fillId="3" borderId="0" xfId="0" applyFont="1" applyFill="1" applyAlignment="1">
      <alignment horizontal="center"/>
    </xf>
    <xf numFmtId="0" fontId="10" fillId="0" borderId="0" xfId="0" applyFont="1"/>
    <xf numFmtId="164" fontId="6" fillId="0" borderId="0" xfId="0" applyNumberFormat="1" applyFont="1"/>
    <xf numFmtId="164" fontId="5" fillId="0" borderId="1" xfId="0" applyNumberFormat="1" applyFont="1" applyBorder="1"/>
    <xf numFmtId="165" fontId="0" fillId="0" borderId="0" xfId="0" applyNumberFormat="1"/>
    <xf numFmtId="166" fontId="0" fillId="0" borderId="0" xfId="0" applyNumberFormat="1"/>
    <xf numFmtId="167" fontId="5" fillId="0" borderId="1" xfId="0" applyNumberFormat="1" applyFont="1" applyBorder="1"/>
    <xf numFmtId="164" fontId="0" fillId="0" borderId="0" xfId="0" applyNumberFormat="1"/>
    <xf numFmtId="3" fontId="0" fillId="0" borderId="0" xfId="0" applyNumberFormat="1"/>
    <xf numFmtId="0" fontId="3" fillId="4" borderId="0" xfId="0" applyFont="1" applyFill="1"/>
    <xf numFmtId="0" fontId="0" fillId="4" borderId="0" xfId="0" applyFill="1"/>
    <xf numFmtId="0" fontId="4" fillId="6" borderId="0" xfId="0" applyFont="1" applyFill="1" applyAlignment="1">
      <alignment horizontal="center" vertical="center" wrapText="1"/>
    </xf>
    <xf numFmtId="166" fontId="6" fillId="0" borderId="0" xfId="0" applyNumberFormat="1" applyFont="1"/>
    <xf numFmtId="3" fontId="6" fillId="0" borderId="0" xfId="0" applyNumberFormat="1" applyFont="1"/>
    <xf numFmtId="168" fontId="0" fillId="0" borderId="0" xfId="0" applyNumberFormat="1"/>
    <xf numFmtId="44" fontId="0" fillId="0" borderId="0" xfId="0" applyNumberFormat="1"/>
    <xf numFmtId="44" fontId="0" fillId="0" borderId="0" xfId="1" applyFont="1"/>
    <xf numFmtId="44" fontId="12" fillId="0" borderId="0" xfId="1" applyFont="1"/>
    <xf numFmtId="0" fontId="15" fillId="0" borderId="0" xfId="0" applyFont="1"/>
    <xf numFmtId="0" fontId="13" fillId="0" borderId="0" xfId="0" applyFont="1"/>
    <xf numFmtId="169" fontId="13" fillId="0" borderId="0" xfId="0" applyNumberFormat="1" applyFont="1"/>
    <xf numFmtId="170" fontId="0" fillId="0" borderId="0" xfId="0" applyNumberFormat="1"/>
    <xf numFmtId="0" fontId="13" fillId="7" borderId="0" xfId="0" applyFont="1" applyFill="1"/>
    <xf numFmtId="3" fontId="16" fillId="7" borderId="0" xfId="0" applyNumberFormat="1" applyFont="1" applyFill="1"/>
    <xf numFmtId="166" fontId="0" fillId="7" borderId="0" xfId="0" applyNumberFormat="1" applyFill="1"/>
    <xf numFmtId="0" fontId="20" fillId="0" borderId="0" xfId="0" applyFont="1"/>
    <xf numFmtId="0" fontId="21" fillId="8" borderId="0" xfId="0" applyFont="1" applyFill="1"/>
    <xf numFmtId="0" fontId="0" fillId="8" borderId="0" xfId="0" applyFill="1"/>
    <xf numFmtId="0" fontId="22" fillId="0" borderId="0" xfId="0" applyFont="1"/>
    <xf numFmtId="3" fontId="23" fillId="0" borderId="0" xfId="0" applyNumberFormat="1" applyFont="1" applyAlignment="1">
      <alignment horizontal="right"/>
    </xf>
    <xf numFmtId="171" fontId="23" fillId="0" borderId="0" xfId="0" applyNumberFormat="1" applyFont="1" applyAlignment="1">
      <alignment horizontal="right"/>
    </xf>
    <xf numFmtId="0" fontId="23" fillId="0" borderId="0" xfId="0" applyFont="1"/>
    <xf numFmtId="3" fontId="24" fillId="0" borderId="0" xfId="0" applyNumberFormat="1" applyFont="1" applyAlignment="1">
      <alignment horizontal="right"/>
    </xf>
    <xf numFmtId="3" fontId="25" fillId="0" borderId="0" xfId="0" applyNumberFormat="1" applyFont="1" applyAlignment="1">
      <alignment horizontal="right"/>
    </xf>
    <xf numFmtId="44" fontId="13" fillId="0" borderId="0" xfId="1" applyFont="1"/>
    <xf numFmtId="166" fontId="23" fillId="0" borderId="0" xfId="0" applyNumberFormat="1" applyFont="1" applyAlignment="1">
      <alignment horizontal="right"/>
    </xf>
    <xf numFmtId="171" fontId="24" fillId="0" borderId="0" xfId="0" applyNumberFormat="1" applyFont="1" applyAlignment="1">
      <alignment horizontal="right"/>
    </xf>
    <xf numFmtId="166" fontId="24" fillId="0" borderId="0" xfId="0" applyNumberFormat="1" applyFont="1" applyAlignment="1">
      <alignment horizontal="right"/>
    </xf>
    <xf numFmtId="0" fontId="26" fillId="8" borderId="0" xfId="0" applyFont="1" applyFill="1"/>
    <xf numFmtId="0" fontId="27" fillId="0" borderId="0" xfId="0" applyFont="1"/>
    <xf numFmtId="166" fontId="16" fillId="0" borderId="0" xfId="0" applyNumberFormat="1" applyFont="1" applyAlignment="1">
      <alignment horizontal="right"/>
    </xf>
    <xf numFmtId="172" fontId="16" fillId="0" borderId="0" xfId="0" applyNumberFormat="1" applyFont="1" applyAlignment="1">
      <alignment horizontal="right"/>
    </xf>
    <xf numFmtId="0" fontId="16" fillId="0" borderId="0" xfId="0" applyFont="1"/>
    <xf numFmtId="171" fontId="16" fillId="0" borderId="0" xfId="0" applyNumberFormat="1" applyFont="1" applyAlignment="1">
      <alignment horizontal="right"/>
    </xf>
    <xf numFmtId="0" fontId="27" fillId="7" borderId="0" xfId="0" applyFont="1" applyFill="1"/>
    <xf numFmtId="171" fontId="16" fillId="7" borderId="0" xfId="0" applyNumberFormat="1" applyFont="1" applyFill="1" applyAlignment="1">
      <alignment horizontal="right"/>
    </xf>
    <xf numFmtId="0" fontId="28" fillId="0" borderId="0" xfId="0" applyFont="1" applyAlignment="1">
      <alignment wrapText="1"/>
    </xf>
    <xf numFmtId="0" fontId="14" fillId="0" borderId="0" xfId="0" applyFont="1"/>
    <xf numFmtId="49" fontId="16" fillId="0" borderId="0" xfId="0" applyNumberFormat="1" applyFont="1"/>
    <xf numFmtId="171" fontId="16" fillId="0" borderId="0" xfId="0" applyNumberFormat="1" applyFont="1"/>
    <xf numFmtId="3" fontId="16" fillId="0" borderId="0" xfId="0" applyNumberFormat="1" applyFont="1"/>
    <xf numFmtId="49" fontId="27" fillId="0" borderId="0" xfId="0" applyNumberFormat="1" applyFont="1"/>
    <xf numFmtId="171" fontId="13" fillId="0" borderId="0" xfId="0" applyNumberFormat="1" applyFont="1"/>
    <xf numFmtId="3" fontId="13" fillId="0" borderId="0" xfId="0" applyNumberFormat="1" applyFont="1"/>
    <xf numFmtId="0" fontId="27" fillId="9" borderId="0" xfId="0" applyFont="1" applyFill="1"/>
    <xf numFmtId="0" fontId="0" fillId="9" borderId="0" xfId="0" applyFill="1" applyAlignment="1">
      <alignment horizontal="right"/>
    </xf>
    <xf numFmtId="0" fontId="16" fillId="9" borderId="0" xfId="0" applyFont="1" applyFill="1"/>
    <xf numFmtId="173" fontId="16" fillId="7" borderId="0" xfId="0" applyNumberFormat="1" applyFont="1" applyFill="1" applyAlignment="1">
      <alignment horizontal="right"/>
    </xf>
    <xf numFmtId="0" fontId="16" fillId="7" borderId="0" xfId="0" applyFont="1" applyFill="1"/>
    <xf numFmtId="173" fontId="16" fillId="0" borderId="0" xfId="0" applyNumberFormat="1" applyFont="1" applyAlignment="1">
      <alignment horizontal="right"/>
    </xf>
    <xf numFmtId="174" fontId="16" fillId="7" borderId="0" xfId="0" applyNumberFormat="1" applyFont="1" applyFill="1" applyAlignment="1">
      <alignment horizontal="right"/>
    </xf>
    <xf numFmtId="174" fontId="16" fillId="0" borderId="0" xfId="0" applyNumberFormat="1" applyFont="1" applyAlignment="1">
      <alignment horizontal="right"/>
    </xf>
    <xf numFmtId="0" fontId="17" fillId="0" borderId="0" xfId="0" applyFont="1" applyAlignment="1">
      <alignment wrapText="1"/>
    </xf>
    <xf numFmtId="175" fontId="23" fillId="0" borderId="0" xfId="0" applyNumberFormat="1" applyFont="1"/>
    <xf numFmtId="9" fontId="23" fillId="0" borderId="0" xfId="0" applyNumberFormat="1" applyFont="1"/>
    <xf numFmtId="4" fontId="0" fillId="0" borderId="0" xfId="0" applyNumberFormat="1"/>
    <xf numFmtId="170" fontId="0" fillId="10" borderId="0" xfId="0" applyNumberFormat="1" applyFill="1"/>
    <xf numFmtId="170" fontId="0" fillId="10" borderId="1" xfId="0" applyNumberFormat="1" applyFill="1" applyBorder="1"/>
    <xf numFmtId="166" fontId="0" fillId="10" borderId="0" xfId="0" applyNumberFormat="1" applyFill="1"/>
    <xf numFmtId="175" fontId="0" fillId="10" borderId="0" xfId="0" applyNumberFormat="1" applyFill="1"/>
    <xf numFmtId="176" fontId="0" fillId="10" borderId="0" xfId="0" applyNumberFormat="1" applyFill="1"/>
    <xf numFmtId="0" fontId="30" fillId="0" borderId="0" xfId="0" applyFont="1"/>
    <xf numFmtId="172" fontId="0" fillId="0" borderId="0" xfId="0" applyNumberFormat="1"/>
    <xf numFmtId="17" fontId="0" fillId="0" borderId="0" xfId="0" applyNumberFormat="1"/>
    <xf numFmtId="14" fontId="0" fillId="0" borderId="0" xfId="0" applyNumberFormat="1"/>
    <xf numFmtId="172" fontId="0" fillId="0" borderId="0" xfId="0" applyNumberFormat="1" applyAlignment="1">
      <alignment horizontal="right"/>
    </xf>
    <xf numFmtId="17" fontId="4" fillId="3" borderId="0" xfId="0" applyNumberFormat="1" applyFont="1" applyFill="1" applyAlignment="1">
      <alignment horizontal="center" vertical="center" wrapText="1"/>
    </xf>
    <xf numFmtId="175" fontId="0" fillId="0" borderId="0" xfId="0" applyNumberFormat="1"/>
    <xf numFmtId="9" fontId="6" fillId="0" borderId="0" xfId="2" applyFont="1"/>
    <xf numFmtId="9" fontId="5" fillId="0" borderId="1" xfId="2" applyFont="1" applyBorder="1"/>
    <xf numFmtId="17" fontId="31" fillId="3" borderId="0" xfId="0" applyNumberFormat="1" applyFont="1" applyFill="1" applyAlignment="1">
      <alignment horizontal="center" vertical="center" wrapText="1"/>
    </xf>
    <xf numFmtId="0" fontId="32" fillId="0" borderId="0" xfId="0" applyFont="1"/>
    <xf numFmtId="9" fontId="0" fillId="0" borderId="0" xfId="2" applyFont="1"/>
    <xf numFmtId="175" fontId="13" fillId="0" borderId="0" xfId="0" applyNumberFormat="1" applyFont="1"/>
    <xf numFmtId="175" fontId="13" fillId="0" borderId="0" xfId="2" applyNumberFormat="1" applyFont="1"/>
    <xf numFmtId="9" fontId="0" fillId="0" borderId="0" xfId="0" applyNumberFormat="1"/>
    <xf numFmtId="0" fontId="0" fillId="0" borderId="0" xfId="0" applyAlignment="1">
      <alignment horizontal="center"/>
    </xf>
    <xf numFmtId="9" fontId="5" fillId="0" borderId="1" xfId="2" applyFont="1" applyBorder="1" applyAlignment="1">
      <alignment horizontal="center"/>
    </xf>
    <xf numFmtId="0" fontId="33" fillId="0" borderId="0" xfId="0" applyFont="1"/>
    <xf numFmtId="0" fontId="34" fillId="0" borderId="0" xfId="0" applyFont="1"/>
    <xf numFmtId="0" fontId="13" fillId="11" borderId="0" xfId="0" applyFont="1" applyFill="1"/>
    <xf numFmtId="0" fontId="35" fillId="0" borderId="0" xfId="0" applyFont="1"/>
    <xf numFmtId="0" fontId="36" fillId="0" borderId="0" xfId="0" applyFont="1"/>
    <xf numFmtId="0" fontId="37" fillId="0" borderId="0" xfId="0" applyFont="1"/>
    <xf numFmtId="0" fontId="38" fillId="0" borderId="0" xfId="0" applyFont="1"/>
    <xf numFmtId="17" fontId="13" fillId="11" borderId="0" xfId="0" applyNumberFormat="1" applyFont="1" applyFill="1" applyAlignment="1">
      <alignment horizontal="center"/>
    </xf>
    <xf numFmtId="0" fontId="13" fillId="12" borderId="0" xfId="0" applyFont="1" applyFill="1" applyAlignment="1">
      <alignment horizontal="center"/>
    </xf>
    <xf numFmtId="0" fontId="0" fillId="13" borderId="0" xfId="0" applyFill="1"/>
    <xf numFmtId="1" fontId="0" fillId="0" borderId="0" xfId="0" applyNumberFormat="1"/>
    <xf numFmtId="0" fontId="0" fillId="13" borderId="0" xfId="0" applyFill="1" applyAlignment="1">
      <alignment horizontal="center"/>
    </xf>
    <xf numFmtId="0" fontId="36" fillId="13" borderId="0" xfId="0" applyFont="1" applyFill="1" applyAlignment="1">
      <alignment horizontal="center"/>
    </xf>
    <xf numFmtId="0" fontId="0" fillId="0" borderId="0" xfId="0" applyAlignment="1">
      <alignment wrapText="1"/>
    </xf>
    <xf numFmtId="0" fontId="36" fillId="13" borderId="0" xfId="0" applyFont="1" applyFill="1" applyAlignment="1">
      <alignment horizontal="center" wrapText="1"/>
    </xf>
    <xf numFmtId="0" fontId="29" fillId="10" borderId="0" xfId="0" applyFont="1" applyFill="1"/>
    <xf numFmtId="0" fontId="17" fillId="0" borderId="0" xfId="0" applyFont="1" applyAlignment="1">
      <alignment vertical="top" wrapText="1"/>
    </xf>
    <xf numFmtId="0" fontId="0" fillId="0" borderId="0" xfId="0"/>
    <xf numFmtId="0" fontId="26" fillId="8" borderId="0" xfId="0" applyFont="1" applyFill="1"/>
  </cellXfs>
  <cellStyles count="3">
    <cellStyle name="Currency" xfId="1" builtinId="4"/>
    <cellStyle name="Normal" xfId="0" builtinId="0"/>
    <cellStyle name="Percent" xfId="2" builtinId="5"/>
  </cellStyles>
  <dxfs count="21">
    <dxf>
      <font>
        <b val="0"/>
        <i val="0"/>
        <strike val="0"/>
        <condense val="0"/>
        <extend val="0"/>
        <outline val="0"/>
        <shadow val="0"/>
        <u val="none"/>
        <vertAlign val="baseline"/>
        <sz val="11"/>
        <color rgb="FF000000"/>
        <name val="Calibri"/>
        <scheme val="minor"/>
      </font>
      <numFmt numFmtId="13" formatCode="0%"/>
    </dxf>
    <dxf>
      <font>
        <b val="0"/>
        <i val="0"/>
        <strike val="0"/>
        <condense val="0"/>
        <extend val="0"/>
        <outline val="0"/>
        <shadow val="0"/>
        <u val="none"/>
        <vertAlign val="baseline"/>
        <sz val="11"/>
        <color rgb="FF000000"/>
        <name val="Calibri"/>
        <scheme val="minor"/>
      </font>
      <numFmt numFmtId="175" formatCode="&quot;$&quot;#,##0.00"/>
    </dxf>
    <dxf>
      <font>
        <b val="0"/>
        <i val="0"/>
        <strike val="0"/>
        <condense val="0"/>
        <extend val="0"/>
        <outline val="0"/>
        <shadow val="0"/>
        <u val="none"/>
        <vertAlign val="baseline"/>
        <sz val="11"/>
        <color rgb="FF000000"/>
        <name val="Calibri"/>
        <family val="2"/>
        <scheme val="minor"/>
      </font>
      <numFmt numFmtId="3" formatCode="#,##0"/>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theme="0"/>
        <name val="Calibri"/>
        <family val="2"/>
        <scheme val="minor"/>
      </font>
    </dxf>
    <dxf>
      <numFmt numFmtId="172" formatCode="0.0"/>
      <alignment horizontal="right" vertical="bottom" textRotation="0" wrapText="0" indent="0" justifyLastLine="0" shrinkToFit="0" readingOrder="0"/>
    </dxf>
    <dxf>
      <numFmt numFmtId="19" formatCode="yyyy/mm/dd"/>
    </dxf>
    <dxf>
      <numFmt numFmtId="22" formatCode="mmm/yy"/>
    </dxf>
    <dxf>
      <numFmt numFmtId="175" formatCode="&quot;$&quot;#,##0.00"/>
    </dxf>
    <dxf>
      <numFmt numFmtId="175" formatCode="&quot;$&quot;#,##0.00"/>
    </dxf>
    <dxf>
      <numFmt numFmtId="175" formatCode="&quot;$&quot;#,##0.00"/>
    </dxf>
    <dxf>
      <numFmt numFmtId="22" formatCode="mmm/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chael Bezrukov" id="{E0CF43CD-786C-485F-8F02-5CFDECC1ADF9}" userId="c369a87971b237bd"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92567E-A03E-4943-98E4-EB876B9B20D6}" name="WaterfallData" displayName="WaterfallData" ref="A1:E8" totalsRowShown="0">
  <autoFilter ref="A1:E8" xr:uid="{0792567E-A03E-4943-98E4-EB876B9B20D6}"/>
  <tableColumns count="5">
    <tableColumn id="1" xr3:uid="{E535E1E4-A65E-480E-B37A-792FC0723850}" name="Month" dataDxfId="20"/>
    <tableColumn id="2" xr3:uid="{AF51F227-B625-4255-94A7-6199B7D7DAD1}" name="Movement"/>
    <tableColumn id="3" xr3:uid="{72A4FA60-7150-4102-88DE-5B089CAE1D25}" name="Actual" dataDxfId="19"/>
    <tableColumn id="4" xr3:uid="{69CC0EB6-9154-4E79-8DD0-FAB442AC9657}" name="Forecast" dataDxfId="18"/>
    <tableColumn id="5" xr3:uid="{4D5B15AB-1D25-4871-B2A0-95F16E574BA9}" name="Variance" dataDxfId="1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4FA47-45D2-4122-AEB2-38E9A4BEAA57}" name="Table1" displayName="Table1" ref="A1:S98" totalsRowShown="0">
  <autoFilter ref="A1:S98" xr:uid="{4D0CD488-A2A9-4594-92D1-28BF2D26397C}"/>
  <tableColumns count="19">
    <tableColumn id="1" xr3:uid="{73269052-4CFC-4982-9F00-A91059847353}" name="event_id"/>
    <tableColumn id="2" xr3:uid="{E1A97A37-C6B5-4DAE-AED3-916DF1F9944D}" name="subscription_id"/>
    <tableColumn id="3" xr3:uid="{3945ECD4-BB6F-4E5B-9B54-0517BF942829}" name="customer_id"/>
    <tableColumn id="4" xr3:uid="{82CA9B0A-4810-468C-8854-3017D97B8592}" name="company_name"/>
    <tableColumn id="5" xr3:uid="{30A8D838-4B8E-4217-8666-E0DF4BB06955}" name="region"/>
    <tableColumn id="6" xr3:uid="{D841C5AC-D4B5-409A-8CFA-53443E346DCF}" name="month" dataDxfId="16"/>
    <tableColumn id="7" xr3:uid="{6DBCDEDE-28AB-45B0-93DD-BA33B3BFB675}" name="event_date" dataDxfId="15"/>
    <tableColumn id="8" xr3:uid="{C44CB2B9-5967-4692-A03A-7AF3E634A147}" name="event_type"/>
    <tableColumn id="9" xr3:uid="{47B2CD92-F52F-435B-8F19-D30BF4C73CE3}" name="old_value"/>
    <tableColumn id="10" xr3:uid="{5E6457F7-8D2B-4A6E-BB02-89A98B1FF9A9}" name="new_value"/>
    <tableColumn id="11" xr3:uid="{60D7A7AA-A22A-43C8-8DA6-E1248E26BD13}" name="field_changed"/>
    <tableColumn id="12" xr3:uid="{FA87EF8B-7B5E-4524-BC4D-2F7CA5624334}" name="reason"/>
    <tableColumn id="13" xr3:uid="{BC0D83AC-DC73-4B27-B7D6-D87ACC311CBE}" name="plan_name"/>
    <tableColumn id="14" xr3:uid="{B02786FE-0C64-4F96-BABD-7769DC72B5B9}" name="billing_cycle"/>
    <tableColumn id="15" xr3:uid="{655F7DC6-ADE3-41CD-AFBC-8605C6C72994}" name="seats"/>
    <tableColumn id="16" xr3:uid="{87DA48A5-CD0E-4ECD-8CA2-672B0F9D86A4}" name="price_per_seat"/>
    <tableColumn id="17" xr3:uid="{1E7B8043-8D8C-4F37-A39E-E2468AC5A294}" name="discount_percent"/>
    <tableColumn id="18" xr3:uid="{1FFE8D74-8F15-43CF-B8E5-E408F0044790}" name="movement">
      <calculatedColumnFormula array="1">_xlfn.IFS(H2="created", "New", H2="cancelled", "Churned", AND(H2="seats_change", J2 &gt; I2), "Expansion", AND(H2="seats_change", J2 &lt; I2), "Contraction", AND(H2="price_change", J2 &gt; I2), "Expansion", AND(H2="price_change", J2 &lt; I2), "Contraction", H2="plan_upgrade", "Expansion", H2="plan_downgrade", "Contraction", H2="discount_added", "Contraction")</calculatedColumnFormula>
    </tableColumn>
    <tableColumn id="19" xr3:uid="{543176F6-F2BB-4A01-87F5-5C68A679C2B3}" name="mrr_delta" dataDxfId="14">
      <calculatedColumnFormula array="1">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C435F-C1A6-4146-89EF-73537E96D5A1}" name="SMSpend" displayName="SMSpend" ref="A66:J80" totalsRowShown="0" headerRowDxfId="13" dataDxfId="12">
  <autoFilter ref="A66:J80" xr:uid="{B4D1F123-2972-489C-8FEC-9C6D26BDA440}"/>
  <tableColumns count="10">
    <tableColumn id="1" xr3:uid="{428B9524-495F-4624-8292-AC7281BC37CF}" name="Month" dataDxfId="11"/>
    <tableColumn id="2" xr3:uid="{A39BE488-44BB-4D32-8BC9-2CAD0287B7FB}" name="Sales Comp" dataDxfId="10"/>
    <tableColumn id="3" xr3:uid="{5A5033F7-6D0F-4017-B24D-2EF30AF0C04A}" name="Marketing Comp" dataDxfId="9"/>
    <tableColumn id="4" xr3:uid="{221D6297-6EAF-44F9-9192-FCE924DEAE38}" name="Paid Ads" dataDxfId="8"/>
    <tableColumn id="5" xr3:uid="{DDDAF5EF-D699-4B54-AE9C-1DE1AE53E1FA}" name="Content &amp; SEO" dataDxfId="7"/>
    <tableColumn id="6" xr3:uid="{C06DAFB6-3F41-4AB7-AC72-F2CD13738214}" name="Partner Commissions" dataDxfId="6"/>
    <tableColumn id="7" xr3:uid="{B2373C96-3DA9-4205-B260-ECD2E8248D4F}" name="Tools &amp; Software" dataDxfId="5"/>
    <tableColumn id="8" xr3:uid="{4C8B3A2D-C15B-426C-8B89-E7B5EA3AC7A8}" name="Events" dataDxfId="4"/>
    <tableColumn id="9" xr3:uid="{591DAA16-7C9D-4A8A-8098-00ABCE2C68AB}" name="Total S&amp;M" dataDxfId="3"/>
    <tableColumn id="10" xr3:uid="{27267743-1105-471C-A056-7EE8466EDA53}" name="New Customers"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C251F-7B17-4393-8014-7AFD83428EA2}" name="Table3" displayName="Table3" ref="A1:D7" totalsRowShown="0">
  <autoFilter ref="A1:D7" xr:uid="{D57C8F59-9D05-4E48-BB7C-E78657E107B1}"/>
  <tableColumns count="4">
    <tableColumn id="1" xr3:uid="{01F66372-C956-4E27-89CF-1874F2147DCD}" name="plan_name"/>
    <tableColumn id="2" xr3:uid="{CCAD8762-EF12-4CFA-B5B5-C51B5EADA2B4}" name="monthly_price"/>
    <tableColumn id="3" xr3:uid="{C40B4B1D-B122-4F11-B805-69D33B9BC9E8}" name="monthly_cost" dataDxfId="1"/>
    <tableColumn id="4" xr3:uid="{9C412AFC-8F05-4E39-B8E1-9E65F1E3A073}" name="gross_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6-04-06T20:13:16.37" personId="{E0CF43CD-786C-485F-8F02-5CFDECC1ADF9}" id="{DABA5F44-B889-496F-A0C1-7D24F3B228AF}">
    <text>The Jan 2026 A vs F file does not include Contraction MRR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49"/>
  <sheetViews>
    <sheetView workbookViewId="0">
      <pane ySplit="6" topLeftCell="A7" activePane="bottomLeft" state="frozen"/>
      <selection pane="bottomLeft" activeCell="I17" sqref="I17"/>
    </sheetView>
  </sheetViews>
  <sheetFormatPr defaultRowHeight="14.5" x14ac:dyDescent="0.35"/>
  <cols>
    <col min="1" max="1" width="55.81640625" customWidth="1"/>
    <col min="2" max="2" width="27.1796875" customWidth="1"/>
    <col min="3" max="8" width="14" customWidth="1"/>
    <col min="9" max="9" width="39.54296875" customWidth="1"/>
    <col min="10" max="10" width="4" customWidth="1"/>
    <col min="11" max="11" width="14" customWidth="1"/>
  </cols>
  <sheetData>
    <row r="1" spans="1:11" ht="16.5" x14ac:dyDescent="0.35">
      <c r="A1" s="1" t="s">
        <v>0</v>
      </c>
    </row>
    <row r="2" spans="1:11" x14ac:dyDescent="0.35">
      <c r="A2" s="2" t="s">
        <v>1</v>
      </c>
    </row>
    <row r="3" spans="1:11" x14ac:dyDescent="0.35">
      <c r="A3" s="2" t="s">
        <v>2</v>
      </c>
    </row>
    <row r="5" spans="1:11" x14ac:dyDescent="0.35">
      <c r="A5" s="3" t="s">
        <v>3</v>
      </c>
      <c r="B5" s="4"/>
      <c r="C5" s="4"/>
      <c r="D5" s="4"/>
      <c r="E5" s="4"/>
      <c r="F5" s="4"/>
      <c r="G5" s="4"/>
      <c r="H5" s="4"/>
      <c r="I5" s="4"/>
    </row>
    <row r="6" spans="1:11" x14ac:dyDescent="0.35">
      <c r="A6" s="5" t="s">
        <v>4</v>
      </c>
      <c r="B6" s="5" t="s">
        <v>5</v>
      </c>
      <c r="C6" s="5" t="s">
        <v>6</v>
      </c>
      <c r="D6" s="5" t="s">
        <v>7</v>
      </c>
      <c r="E6" s="5" t="s">
        <v>8</v>
      </c>
      <c r="F6" s="5" t="s">
        <v>9</v>
      </c>
      <c r="G6" s="5" t="s">
        <v>10</v>
      </c>
      <c r="H6" s="5" t="s">
        <v>11</v>
      </c>
      <c r="I6" s="5" t="s">
        <v>12</v>
      </c>
      <c r="K6" s="6" t="s">
        <v>13</v>
      </c>
    </row>
    <row r="7" spans="1:11" x14ac:dyDescent="0.35">
      <c r="A7" s="7" t="s">
        <v>14</v>
      </c>
      <c r="B7" s="8">
        <f>Waterfall!B3</f>
        <v>0</v>
      </c>
      <c r="C7" s="8">
        <f>B13</f>
        <v>20490</v>
      </c>
      <c r="D7" s="8">
        <f t="shared" ref="D7:I7" si="0">C13</f>
        <v>35989</v>
      </c>
      <c r="E7" s="8">
        <f t="shared" si="0"/>
        <v>63708.5</v>
      </c>
      <c r="F7" s="8">
        <f t="shared" si="0"/>
        <v>91123.5</v>
      </c>
      <c r="G7" s="8">
        <f t="shared" si="0"/>
        <v>126539.5</v>
      </c>
      <c r="H7" s="8">
        <f t="shared" si="0"/>
        <v>152114.5</v>
      </c>
      <c r="I7" s="8">
        <f t="shared" si="0"/>
        <v>150359.5</v>
      </c>
      <c r="K7" s="2" t="s">
        <v>15</v>
      </c>
    </row>
    <row r="8" spans="1:11" x14ac:dyDescent="0.35">
      <c r="A8" s="7" t="s">
        <v>16</v>
      </c>
      <c r="B8" s="8">
        <f>SUM(Waterfall!C3:C5)</f>
        <v>20490</v>
      </c>
      <c r="C8" s="8">
        <f>SUM(Waterfall!C6:C8)</f>
        <v>15499</v>
      </c>
      <c r="D8" s="8">
        <f>SUM(Waterfall!C9:C11)</f>
        <v>29619.5</v>
      </c>
      <c r="E8" s="8">
        <f>SUM(Waterfall!C12:C14)</f>
        <v>30000</v>
      </c>
      <c r="F8" s="8">
        <f>SUM(Waterfall!C15:C17)</f>
        <v>36735.5</v>
      </c>
      <c r="G8" s="8">
        <f>SUM(Waterfall!C18:C20)</f>
        <v>26470</v>
      </c>
      <c r="H8" s="8">
        <f>SUM(Waterfall!C21:C23)</f>
        <v>0</v>
      </c>
      <c r="I8" s="8">
        <f>SUM(Waterfall!C24:C26)</f>
        <v>935</v>
      </c>
      <c r="K8" s="2" t="s">
        <v>17</v>
      </c>
    </row>
    <row r="9" spans="1:11" x14ac:dyDescent="0.35">
      <c r="A9" s="7" t="s">
        <v>18</v>
      </c>
      <c r="B9" s="8">
        <f>SUM(Waterfall!D3:D5)</f>
        <v>0</v>
      </c>
      <c r="C9" s="8">
        <f>SUM(Waterfall!D6:D8)</f>
        <v>0</v>
      </c>
      <c r="D9" s="8">
        <f>SUM(Waterfall!D9:D11)</f>
        <v>0</v>
      </c>
      <c r="E9" s="8">
        <f>SUM(Waterfall!D12:D14)</f>
        <v>0</v>
      </c>
      <c r="F9" s="8">
        <f>SUM(Waterfall!D15:D17)</f>
        <v>140</v>
      </c>
      <c r="G9" s="8">
        <f>SUM(Waterfall!D18:D20)</f>
        <v>2785</v>
      </c>
      <c r="H9" s="8">
        <f>SUM(Waterfall!D21:D23)</f>
        <v>5520</v>
      </c>
      <c r="I9" s="8">
        <f>SUM(Waterfall!D24:D26)</f>
        <v>1765</v>
      </c>
      <c r="K9" s="2" t="s">
        <v>19</v>
      </c>
    </row>
    <row r="10" spans="1:11" x14ac:dyDescent="0.35">
      <c r="A10" s="7" t="s">
        <v>20</v>
      </c>
      <c r="B10" s="8">
        <f>SUM(Waterfall!E3:E5)</f>
        <v>0</v>
      </c>
      <c r="C10" s="8">
        <f>SUM(Waterfall!E6:E8)</f>
        <v>0</v>
      </c>
      <c r="D10" s="8">
        <f>SUM(Waterfall!E9:E11)</f>
        <v>0</v>
      </c>
      <c r="E10" s="8">
        <f>SUM(Waterfall!E12:E14)</f>
        <v>0</v>
      </c>
      <c r="F10" s="8">
        <f>SUM(Waterfall!E15:E17)</f>
        <v>-1009.5</v>
      </c>
      <c r="G10" s="8">
        <f>SUM(Waterfall!E18:E20)</f>
        <v>0</v>
      </c>
      <c r="H10" s="8">
        <f>SUM(Waterfall!E21:E23)</f>
        <v>-835</v>
      </c>
      <c r="I10" s="8">
        <f>SUM(Waterfall!E24:E26)</f>
        <v>-516.5</v>
      </c>
      <c r="K10" s="2" t="s">
        <v>21</v>
      </c>
    </row>
    <row r="11" spans="1:11" x14ac:dyDescent="0.35">
      <c r="A11" s="7" t="s">
        <v>22</v>
      </c>
      <c r="B11" s="8">
        <f>SUM(Waterfall!F3:F5)</f>
        <v>0</v>
      </c>
      <c r="C11" s="8">
        <f>SUM(Waterfall!F6:F8)</f>
        <v>0</v>
      </c>
      <c r="D11" s="8">
        <f>SUM(Waterfall!F9:F11)</f>
        <v>-1900</v>
      </c>
      <c r="E11" s="8">
        <f>SUM(Waterfall!F12:F14)</f>
        <v>-2585</v>
      </c>
      <c r="F11" s="8">
        <f>SUM(Waterfall!F15:F17)</f>
        <v>-450</v>
      </c>
      <c r="G11" s="8">
        <f>SUM(Waterfall!F18:F20)</f>
        <v>-3680</v>
      </c>
      <c r="H11" s="8">
        <f>SUM(Waterfall!F21:F23)</f>
        <v>-6440</v>
      </c>
      <c r="I11" s="8">
        <f>SUM(Waterfall!F24:F26)</f>
        <v>-1624.5</v>
      </c>
      <c r="K11" s="2" t="s">
        <v>23</v>
      </c>
    </row>
    <row r="12" spans="1:11" x14ac:dyDescent="0.35">
      <c r="A12" s="9" t="s">
        <v>24</v>
      </c>
      <c r="B12" s="10">
        <f>B13-B7</f>
        <v>20490</v>
      </c>
      <c r="C12" s="10">
        <f>C13-C7</f>
        <v>15499</v>
      </c>
      <c r="D12" s="10">
        <f t="shared" ref="D12:I12" si="1">D13-D7</f>
        <v>27719.5</v>
      </c>
      <c r="E12" s="10">
        <f t="shared" si="1"/>
        <v>27415</v>
      </c>
      <c r="F12" s="10">
        <f t="shared" si="1"/>
        <v>35416</v>
      </c>
      <c r="G12" s="10">
        <f t="shared" si="1"/>
        <v>25575</v>
      </c>
      <c r="H12" s="10">
        <f t="shared" si="1"/>
        <v>-1755</v>
      </c>
      <c r="I12" s="10">
        <f t="shared" si="1"/>
        <v>-7290</v>
      </c>
      <c r="K12" s="2" t="s">
        <v>25</v>
      </c>
    </row>
    <row r="13" spans="1:11" x14ac:dyDescent="0.35">
      <c r="A13" s="9" t="s">
        <v>26</v>
      </c>
      <c r="B13" s="10">
        <f>Waterfall!H5</f>
        <v>20490</v>
      </c>
      <c r="C13" s="10">
        <f>Waterfall!H8</f>
        <v>35989</v>
      </c>
      <c r="D13" s="10">
        <f>Waterfall!H11</f>
        <v>63708.5</v>
      </c>
      <c r="E13" s="10">
        <f>Waterfall!H14</f>
        <v>91123.5</v>
      </c>
      <c r="F13" s="10">
        <f>Waterfall!H17</f>
        <v>126539.5</v>
      </c>
      <c r="G13" s="10">
        <f>Waterfall!H20</f>
        <v>152114.5</v>
      </c>
      <c r="H13" s="10">
        <f>Waterfall!H23</f>
        <v>150359.5</v>
      </c>
      <c r="I13" s="10">
        <v>143069.5</v>
      </c>
      <c r="K13" s="2" t="s">
        <v>27</v>
      </c>
    </row>
    <row r="14" spans="1:11" x14ac:dyDescent="0.35">
      <c r="B14" s="88"/>
      <c r="C14" s="88"/>
      <c r="D14" s="88"/>
      <c r="E14" s="88"/>
      <c r="F14" s="88"/>
      <c r="G14" s="88"/>
      <c r="H14" s="88"/>
      <c r="I14" s="88"/>
    </row>
    <row r="15" spans="1:11" x14ac:dyDescent="0.35">
      <c r="A15" s="3" t="s">
        <v>28</v>
      </c>
      <c r="B15" s="4"/>
      <c r="C15" s="4"/>
      <c r="D15" s="4"/>
      <c r="E15" s="4"/>
      <c r="F15" s="4"/>
      <c r="G15" s="4"/>
      <c r="H15" s="4"/>
      <c r="I15" s="4"/>
    </row>
    <row r="16" spans="1:11" x14ac:dyDescent="0.35">
      <c r="A16" s="5" t="s">
        <v>4</v>
      </c>
      <c r="B16" s="5" t="s">
        <v>5</v>
      </c>
      <c r="C16" s="5" t="s">
        <v>6</v>
      </c>
      <c r="D16" s="5" t="s">
        <v>7</v>
      </c>
      <c r="E16" s="5" t="s">
        <v>8</v>
      </c>
      <c r="F16" s="5" t="s">
        <v>9</v>
      </c>
      <c r="G16" s="5" t="s">
        <v>10</v>
      </c>
      <c r="H16" s="5" t="s">
        <v>11</v>
      </c>
      <c r="I16" s="5" t="s">
        <v>12</v>
      </c>
      <c r="K16" s="6" t="s">
        <v>13</v>
      </c>
    </row>
    <row r="17" spans="1:11" x14ac:dyDescent="0.35">
      <c r="A17" s="7" t="s">
        <v>29</v>
      </c>
      <c r="B17" s="31">
        <f>Retention!D19-0</f>
        <v>4</v>
      </c>
      <c r="C17" s="31">
        <f>Retention!G19-Retention!D19</f>
        <v>7</v>
      </c>
      <c r="D17" s="31">
        <f>Retention!J19-Retention!G19</f>
        <v>6</v>
      </c>
      <c r="E17" s="31">
        <f>Retention!M19-Retention!J19</f>
        <v>6</v>
      </c>
      <c r="F17" s="31">
        <f>Retention!Q19-Retention!N19</f>
        <v>6</v>
      </c>
      <c r="G17" s="31">
        <f>Retention!T19-Retention!Q19</f>
        <v>6</v>
      </c>
      <c r="H17" s="31">
        <f>Retention!V19-Retention!S19</f>
        <v>1</v>
      </c>
      <c r="I17">
        <f>SUM('Unit Economics'!J76:J78)</f>
        <v>0</v>
      </c>
      <c r="K17" s="2" t="s">
        <v>30</v>
      </c>
    </row>
    <row r="18" spans="1:11" x14ac:dyDescent="0.35">
      <c r="A18" s="7" t="s">
        <v>31</v>
      </c>
      <c r="B18">
        <f>SUM(Retention!B17:D17)</f>
        <v>0</v>
      </c>
      <c r="C18">
        <f>SUM(Retention!E17:G17)</f>
        <v>0</v>
      </c>
      <c r="D18">
        <f>SUM(Retention!H17:J17)</f>
        <v>1</v>
      </c>
      <c r="E18">
        <f>SUM(Retention!K17:M17)</f>
        <v>2</v>
      </c>
      <c r="F18">
        <f>SUM(Retention!N17:P17)</f>
        <v>1</v>
      </c>
      <c r="G18">
        <f>SUM(Retention!Q17:S17)</f>
        <v>3</v>
      </c>
      <c r="H18">
        <f>SUM(Retention!T17:V17)</f>
        <v>2</v>
      </c>
      <c r="I18">
        <f>SUM(Retention!W17:Y17)</f>
        <v>1</v>
      </c>
      <c r="K18" s="2" t="s">
        <v>32</v>
      </c>
    </row>
    <row r="19" spans="1:11" x14ac:dyDescent="0.35">
      <c r="A19" s="7" t="s">
        <v>33</v>
      </c>
      <c r="B19">
        <f>Retention!D16</f>
        <v>5</v>
      </c>
      <c r="C19">
        <f>Retention!G16</f>
        <v>13</v>
      </c>
      <c r="D19">
        <f>Retention!J16</f>
        <v>21</v>
      </c>
      <c r="E19">
        <f>Retention!M16</f>
        <v>31</v>
      </c>
      <c r="F19">
        <f>Retention!Q16</f>
        <v>46</v>
      </c>
      <c r="G19">
        <f>Retention!T16</f>
        <v>53</v>
      </c>
      <c r="H19">
        <f>Retention!W16</f>
        <v>51</v>
      </c>
      <c r="I19">
        <f>Retention!Z16</f>
        <v>51</v>
      </c>
      <c r="K19" s="2" t="s">
        <v>34</v>
      </c>
    </row>
    <row r="20" spans="1:11" x14ac:dyDescent="0.35">
      <c r="A20" s="7" t="s">
        <v>35</v>
      </c>
      <c r="B20">
        <f>Retention!D19</f>
        <v>4</v>
      </c>
      <c r="C20">
        <f>Retention!G19</f>
        <v>11</v>
      </c>
      <c r="D20">
        <f>Retention!J19</f>
        <v>17</v>
      </c>
      <c r="E20">
        <f>Retention!M19</f>
        <v>23</v>
      </c>
      <c r="F20">
        <f>Retention!Q19</f>
        <v>31</v>
      </c>
      <c r="G20">
        <f>Retention!T19</f>
        <v>37</v>
      </c>
      <c r="H20">
        <f>Retention!W19</f>
        <v>37</v>
      </c>
      <c r="I20">
        <f>Retention!Z19</f>
        <v>38</v>
      </c>
      <c r="K20" s="2" t="s">
        <v>36</v>
      </c>
    </row>
    <row r="22" spans="1:11" x14ac:dyDescent="0.35">
      <c r="A22" s="3" t="s">
        <v>37</v>
      </c>
      <c r="B22" s="4"/>
      <c r="C22" s="4"/>
      <c r="D22" s="4"/>
      <c r="E22" s="4"/>
      <c r="F22" s="4"/>
      <c r="G22" s="4"/>
      <c r="H22" s="4"/>
      <c r="I22" s="4"/>
    </row>
    <row r="23" spans="1:11" x14ac:dyDescent="0.35">
      <c r="A23" s="5" t="s">
        <v>4</v>
      </c>
      <c r="B23" s="5" t="s">
        <v>5</v>
      </c>
      <c r="C23" s="5" t="s">
        <v>6</v>
      </c>
      <c r="D23" s="5" t="s">
        <v>7</v>
      </c>
      <c r="E23" s="5" t="s">
        <v>8</v>
      </c>
      <c r="F23" s="5" t="s">
        <v>9</v>
      </c>
      <c r="G23" s="5" t="s">
        <v>10</v>
      </c>
      <c r="H23" s="5" t="s">
        <v>11</v>
      </c>
      <c r="I23" s="5" t="s">
        <v>12</v>
      </c>
      <c r="K23" s="6" t="s">
        <v>13</v>
      </c>
    </row>
    <row r="24" spans="1:11" x14ac:dyDescent="0.35">
      <c r="A24" s="7" t="s">
        <v>38</v>
      </c>
      <c r="B24" s="89">
        <f t="shared" ref="B24:I24" si="2">B13*3</f>
        <v>61470</v>
      </c>
      <c r="C24" s="89">
        <f t="shared" si="2"/>
        <v>107967</v>
      </c>
      <c r="D24" s="89">
        <f t="shared" si="2"/>
        <v>191125.5</v>
      </c>
      <c r="E24" s="89">
        <f t="shared" si="2"/>
        <v>273370.5</v>
      </c>
      <c r="F24" s="89">
        <f t="shared" si="2"/>
        <v>379618.5</v>
      </c>
      <c r="G24" s="89">
        <f t="shared" si="2"/>
        <v>456343.5</v>
      </c>
      <c r="H24" s="89">
        <f t="shared" si="2"/>
        <v>451078.5</v>
      </c>
      <c r="I24" s="89">
        <f t="shared" si="2"/>
        <v>429208.5</v>
      </c>
      <c r="K24" s="2" t="s">
        <v>39</v>
      </c>
    </row>
    <row r="25" spans="1:11" x14ac:dyDescent="0.35">
      <c r="A25" s="7" t="s">
        <v>40</v>
      </c>
      <c r="B25" s="89">
        <f t="shared" ref="B25:I25" si="3">B24*0.3</f>
        <v>18441</v>
      </c>
      <c r="C25" s="89">
        <f t="shared" si="3"/>
        <v>32390.1</v>
      </c>
      <c r="D25" s="89">
        <f t="shared" si="3"/>
        <v>57337.65</v>
      </c>
      <c r="E25" s="89">
        <f t="shared" si="3"/>
        <v>82011.149999999994</v>
      </c>
      <c r="F25" s="89">
        <f t="shared" si="3"/>
        <v>113885.55</v>
      </c>
      <c r="G25" s="89">
        <f t="shared" si="3"/>
        <v>136903.04999999999</v>
      </c>
      <c r="H25" s="89">
        <f t="shared" si="3"/>
        <v>135323.54999999999</v>
      </c>
      <c r="I25" s="89">
        <f t="shared" si="3"/>
        <v>128762.54999999999</v>
      </c>
      <c r="K25" s="2" t="s">
        <v>41</v>
      </c>
    </row>
    <row r="26" spans="1:11" x14ac:dyDescent="0.35">
      <c r="A26" s="9" t="s">
        <v>42</v>
      </c>
      <c r="B26" s="90">
        <f>B24-B25</f>
        <v>43029</v>
      </c>
      <c r="C26" s="90">
        <f t="shared" ref="C26:I26" si="4">C24-C25</f>
        <v>75576.899999999994</v>
      </c>
      <c r="D26" s="90">
        <f t="shared" si="4"/>
        <v>133787.85</v>
      </c>
      <c r="E26" s="90">
        <f t="shared" si="4"/>
        <v>191359.35</v>
      </c>
      <c r="F26" s="90">
        <f t="shared" si="4"/>
        <v>265732.95</v>
      </c>
      <c r="G26" s="90">
        <f t="shared" si="4"/>
        <v>319440.45</v>
      </c>
      <c r="H26" s="90">
        <f t="shared" si="4"/>
        <v>315754.95</v>
      </c>
      <c r="I26" s="90">
        <f t="shared" si="4"/>
        <v>300445.95</v>
      </c>
      <c r="K26" s="2" t="s">
        <v>43</v>
      </c>
    </row>
    <row r="27" spans="1:11" x14ac:dyDescent="0.35">
      <c r="A27" s="7" t="s">
        <v>44</v>
      </c>
      <c r="B27" s="91">
        <f>B26/B24</f>
        <v>0.7</v>
      </c>
      <c r="C27" s="91">
        <f t="shared" ref="C27:I27" si="5">C26/C24</f>
        <v>0.7</v>
      </c>
      <c r="D27" s="91">
        <f t="shared" si="5"/>
        <v>0.70000000000000007</v>
      </c>
      <c r="E27" s="91">
        <f t="shared" si="5"/>
        <v>0.70000000000000007</v>
      </c>
      <c r="F27" s="91">
        <f t="shared" si="5"/>
        <v>0.70000000000000007</v>
      </c>
      <c r="G27" s="91">
        <f t="shared" si="5"/>
        <v>0.70000000000000007</v>
      </c>
      <c r="H27" s="91">
        <f t="shared" si="5"/>
        <v>0.70000000000000007</v>
      </c>
      <c r="I27" s="91">
        <f t="shared" si="5"/>
        <v>0.70000000000000007</v>
      </c>
      <c r="K27" s="2" t="s">
        <v>45</v>
      </c>
    </row>
    <row r="28" spans="1:11" x14ac:dyDescent="0.35">
      <c r="A28" s="7" t="s">
        <v>46</v>
      </c>
      <c r="B28" s="89">
        <v>18500</v>
      </c>
      <c r="C28" s="89">
        <v>29000</v>
      </c>
      <c r="D28" s="89">
        <v>47000</v>
      </c>
      <c r="E28" s="89">
        <v>63000</v>
      </c>
      <c r="F28" s="89">
        <f>'Unit Economics'!I67+'Unit Economics'!I68+'Unit Economics'!I69</f>
        <v>88250</v>
      </c>
      <c r="G28" s="89">
        <f>'Unit Economics'!I70+'Unit Economics'!I71+'Unit Economics'!I72</f>
        <v>87550</v>
      </c>
      <c r="H28" s="89">
        <f>'Unit Economics'!I73+'Unit Economics'!I74+'Unit Economics'!I75</f>
        <v>91450</v>
      </c>
      <c r="I28" s="89">
        <f>'Unit Economics'!I76+'Unit Economics'!I77+'Unit Economics'!I78</f>
        <v>74150</v>
      </c>
      <c r="K28" s="2" t="s">
        <v>47</v>
      </c>
    </row>
    <row r="29" spans="1:11" x14ac:dyDescent="0.35">
      <c r="A29" s="7" t="s">
        <v>48</v>
      </c>
      <c r="B29" s="89">
        <v>15000</v>
      </c>
      <c r="C29" s="89">
        <v>25000</v>
      </c>
      <c r="D29" s="89">
        <v>42000</v>
      </c>
      <c r="E29" s="89">
        <v>57000</v>
      </c>
      <c r="F29" s="89">
        <v>62000</v>
      </c>
      <c r="G29" s="89">
        <v>68000</v>
      </c>
      <c r="H29" s="89">
        <v>72000</v>
      </c>
      <c r="I29" s="89">
        <v>65000</v>
      </c>
      <c r="K29" s="2" t="s">
        <v>49</v>
      </c>
    </row>
    <row r="30" spans="1:11" x14ac:dyDescent="0.35">
      <c r="A30" s="7" t="s">
        <v>50</v>
      </c>
      <c r="B30" s="89">
        <v>8000</v>
      </c>
      <c r="C30" s="89">
        <v>13000</v>
      </c>
      <c r="D30" s="89">
        <v>21000</v>
      </c>
      <c r="E30" s="89">
        <v>28000</v>
      </c>
      <c r="F30" s="89">
        <v>32000</v>
      </c>
      <c r="G30" s="89">
        <v>34000</v>
      </c>
      <c r="H30" s="89">
        <v>36000</v>
      </c>
      <c r="I30" s="89">
        <v>33000</v>
      </c>
      <c r="K30" s="2" t="s">
        <v>49</v>
      </c>
    </row>
    <row r="31" spans="1:11" ht="15" thickBot="1" x14ac:dyDescent="0.4">
      <c r="A31" s="9" t="s">
        <v>51</v>
      </c>
      <c r="B31" s="90">
        <f t="shared" ref="B31:I31" si="6">B28+B29+B30</f>
        <v>41500</v>
      </c>
      <c r="C31" s="90">
        <f t="shared" si="6"/>
        <v>67000</v>
      </c>
      <c r="D31" s="90">
        <f t="shared" si="6"/>
        <v>110000</v>
      </c>
      <c r="E31" s="90">
        <f t="shared" si="6"/>
        <v>148000</v>
      </c>
      <c r="F31" s="90">
        <f t="shared" si="6"/>
        <v>182250</v>
      </c>
      <c r="G31" s="90">
        <f t="shared" si="6"/>
        <v>189550</v>
      </c>
      <c r="H31" s="90">
        <f t="shared" si="6"/>
        <v>199450</v>
      </c>
      <c r="I31" s="90">
        <f t="shared" si="6"/>
        <v>172150</v>
      </c>
      <c r="K31" s="2" t="s">
        <v>52</v>
      </c>
    </row>
    <row r="32" spans="1:11" ht="15.5" thickTop="1" thickBot="1" x14ac:dyDescent="0.4">
      <c r="A32" s="9" t="s">
        <v>53</v>
      </c>
      <c r="B32" s="90">
        <f t="shared" ref="B32:I32" si="7">B26-B31</f>
        <v>1529</v>
      </c>
      <c r="C32" s="90">
        <f t="shared" si="7"/>
        <v>8576.8999999999942</v>
      </c>
      <c r="D32" s="90">
        <f t="shared" si="7"/>
        <v>23787.850000000006</v>
      </c>
      <c r="E32" s="90">
        <f t="shared" si="7"/>
        <v>43359.350000000006</v>
      </c>
      <c r="F32" s="90">
        <f t="shared" si="7"/>
        <v>83482.950000000012</v>
      </c>
      <c r="G32" s="90">
        <f t="shared" si="7"/>
        <v>129890.45000000001</v>
      </c>
      <c r="H32" s="90">
        <f t="shared" si="7"/>
        <v>116304.95000000001</v>
      </c>
      <c r="I32" s="90">
        <f t="shared" si="7"/>
        <v>128295.95000000001</v>
      </c>
      <c r="K32" s="2" t="s">
        <v>54</v>
      </c>
    </row>
    <row r="33" spans="1:11" ht="15" thickTop="1" x14ac:dyDescent="0.35">
      <c r="A33" s="7" t="s">
        <v>55</v>
      </c>
      <c r="B33" s="91">
        <f>B32/B24</f>
        <v>2.4873922238490321E-2</v>
      </c>
      <c r="C33" s="91">
        <f>C32/C24</f>
        <v>7.944001407837574E-2</v>
      </c>
      <c r="D33" s="91">
        <f>D32/D24</f>
        <v>0.12446193731344067</v>
      </c>
      <c r="E33" s="91">
        <f>E32/E24</f>
        <v>0.15861020117386479</v>
      </c>
      <c r="F33" s="91">
        <f>IF(F24=0,"",F32/F24)</f>
        <v>0.2199127545153885</v>
      </c>
      <c r="G33" s="91">
        <f>IF(G24=0,"",G32/G24)</f>
        <v>0.28463306697695928</v>
      </c>
      <c r="H33" s="91">
        <f>IF(H24=0,"",H32/H24)</f>
        <v>0.25783749391735589</v>
      </c>
      <c r="I33" s="91">
        <f>IF(I24=0,"",I32/I24)</f>
        <v>0.29891288266658284</v>
      </c>
      <c r="K33" s="2" t="s">
        <v>56</v>
      </c>
    </row>
    <row r="35" spans="1:11" x14ac:dyDescent="0.35">
      <c r="A35" s="3" t="s">
        <v>57</v>
      </c>
      <c r="B35" s="4"/>
      <c r="C35" s="4"/>
      <c r="D35" s="4"/>
      <c r="E35" s="4"/>
      <c r="F35" s="4"/>
      <c r="G35" s="4"/>
      <c r="H35" s="4"/>
      <c r="I35" s="4"/>
    </row>
    <row r="36" spans="1:11" x14ac:dyDescent="0.35">
      <c r="A36" s="5" t="s">
        <v>4</v>
      </c>
      <c r="B36" s="5" t="s">
        <v>5</v>
      </c>
      <c r="C36" s="5" t="s">
        <v>6</v>
      </c>
      <c r="D36" s="5" t="s">
        <v>7</v>
      </c>
      <c r="E36" s="5" t="s">
        <v>8</v>
      </c>
      <c r="F36" s="5" t="s">
        <v>9</v>
      </c>
      <c r="G36" s="5" t="s">
        <v>10</v>
      </c>
      <c r="H36" s="5" t="s">
        <v>11</v>
      </c>
      <c r="I36" s="5" t="s">
        <v>12</v>
      </c>
      <c r="K36" s="6" t="s">
        <v>13</v>
      </c>
    </row>
    <row r="37" spans="1:11" x14ac:dyDescent="0.35">
      <c r="A37" s="7" t="s">
        <v>58</v>
      </c>
      <c r="B37" s="91" t="str">
        <f t="shared" ref="B37:I37" si="8">IF(B7=0,"",ABS(B11)/B7)</f>
        <v/>
      </c>
      <c r="C37" s="91">
        <f t="shared" si="8"/>
        <v>0</v>
      </c>
      <c r="D37" s="91">
        <f t="shared" si="8"/>
        <v>5.2793909250048628E-2</v>
      </c>
      <c r="E37" s="91">
        <f t="shared" si="8"/>
        <v>4.0575433419402437E-2</v>
      </c>
      <c r="F37" s="91">
        <f t="shared" si="8"/>
        <v>4.9383528946978549E-3</v>
      </c>
      <c r="G37" s="91">
        <f t="shared" si="8"/>
        <v>2.9081828203841489E-2</v>
      </c>
      <c r="H37" s="91">
        <f t="shared" si="8"/>
        <v>4.233652939068925E-2</v>
      </c>
      <c r="I37" s="91">
        <f t="shared" si="8"/>
        <v>1.0804106158905822E-2</v>
      </c>
      <c r="K37" s="2" t="s">
        <v>59</v>
      </c>
    </row>
    <row r="38" spans="1:11" x14ac:dyDescent="0.35">
      <c r="A38" s="7" t="s">
        <v>60</v>
      </c>
      <c r="B38" s="91" t="str">
        <f t="shared" ref="B38:I38" si="9">IF(B7=0,"",B9/B7)</f>
        <v/>
      </c>
      <c r="C38" s="91">
        <f t="shared" si="9"/>
        <v>0</v>
      </c>
      <c r="D38" s="91">
        <f t="shared" si="9"/>
        <v>0</v>
      </c>
      <c r="E38" s="91">
        <f t="shared" si="9"/>
        <v>0</v>
      </c>
      <c r="F38" s="91">
        <f t="shared" si="9"/>
        <v>1.5363764561282217E-3</v>
      </c>
      <c r="G38" s="91">
        <f t="shared" si="9"/>
        <v>2.2008937920570258E-2</v>
      </c>
      <c r="H38" s="91">
        <f t="shared" si="9"/>
        <v>3.6288453763447928E-2</v>
      </c>
      <c r="I38" s="91">
        <f t="shared" si="9"/>
        <v>1.1738533315154679E-2</v>
      </c>
      <c r="K38" s="2" t="s">
        <v>61</v>
      </c>
    </row>
    <row r="39" spans="1:11" x14ac:dyDescent="0.35">
      <c r="A39" s="7" t="s">
        <v>62</v>
      </c>
      <c r="B39" s="89">
        <f t="shared" ref="B39:H39" si="10">IF(B17=0,"",B8/B17)</f>
        <v>5122.5</v>
      </c>
      <c r="C39" s="89">
        <f t="shared" si="10"/>
        <v>2214.1428571428573</v>
      </c>
      <c r="D39" s="89">
        <f t="shared" si="10"/>
        <v>4936.583333333333</v>
      </c>
      <c r="E39" s="89">
        <f t="shared" si="10"/>
        <v>5000</v>
      </c>
      <c r="F39" s="89">
        <f t="shared" si="10"/>
        <v>6122.583333333333</v>
      </c>
      <c r="G39" s="89">
        <f t="shared" si="10"/>
        <v>4411.666666666667</v>
      </c>
      <c r="H39" s="89">
        <f t="shared" si="10"/>
        <v>0</v>
      </c>
      <c r="I39" s="89" t="s">
        <v>308</v>
      </c>
      <c r="K39" s="2" t="s">
        <v>63</v>
      </c>
    </row>
    <row r="40" spans="1:11" x14ac:dyDescent="0.35">
      <c r="A40" s="7" t="s">
        <v>64</v>
      </c>
      <c r="B40" s="89">
        <f t="shared" ref="B40:E40" si="11">IF(B17=0,"N/A",B28/B17)</f>
        <v>4625</v>
      </c>
      <c r="C40" s="89">
        <f t="shared" si="11"/>
        <v>4142.8571428571431</v>
      </c>
      <c r="D40" s="89">
        <f t="shared" si="11"/>
        <v>7833.333333333333</v>
      </c>
      <c r="E40" s="89">
        <f t="shared" si="11"/>
        <v>10500</v>
      </c>
      <c r="F40" s="89">
        <f>IF(F17=0,"N/A",F28/F17)</f>
        <v>14708.333333333334</v>
      </c>
      <c r="G40" s="89">
        <f>IF(G17=0,"N/A",G28/G17)</f>
        <v>14591.666666666666</v>
      </c>
      <c r="H40" s="89">
        <f>IF(H17=0,"N/A",H28/H17)</f>
        <v>91450</v>
      </c>
      <c r="I40" s="89" t="str">
        <f>IF(I17=0,"N/A",I28/I17)</f>
        <v>N/A</v>
      </c>
      <c r="K40" s="2" t="s">
        <v>65</v>
      </c>
    </row>
    <row r="43" spans="1:11" x14ac:dyDescent="0.35">
      <c r="A43" s="3" t="s">
        <v>66</v>
      </c>
    </row>
    <row r="44" spans="1:11" x14ac:dyDescent="0.35">
      <c r="A44" s="7" t="s">
        <v>67</v>
      </c>
      <c r="B44" s="92">
        <f>I13</f>
        <v>143069.5</v>
      </c>
    </row>
    <row r="45" spans="1:11" x14ac:dyDescent="0.35">
      <c r="A45" s="7" t="s">
        <v>68</v>
      </c>
      <c r="B45" s="92">
        <f>'Unit Economics'!B6</f>
        <v>144185.5</v>
      </c>
    </row>
    <row r="46" spans="1:11" x14ac:dyDescent="0.35">
      <c r="A46" s="7" t="s">
        <v>69</v>
      </c>
      <c r="B46" s="93">
        <f>B44-B45</f>
        <v>-1116</v>
      </c>
    </row>
    <row r="47" spans="1:11" x14ac:dyDescent="0.35">
      <c r="A47" s="7" t="s">
        <v>70</v>
      </c>
      <c r="B47" s="126" t="s">
        <v>311</v>
      </c>
      <c r="C47" s="126"/>
      <c r="D47" s="126"/>
      <c r="E47" s="126"/>
      <c r="F47" s="126"/>
      <c r="G47" s="126"/>
      <c r="H47" s="126"/>
      <c r="I47" s="126"/>
    </row>
    <row r="49" spans="1:8" x14ac:dyDescent="0.35">
      <c r="A49" s="15" t="s">
        <v>71</v>
      </c>
      <c r="B49" s="126" t="s">
        <v>312</v>
      </c>
      <c r="C49" s="126"/>
      <c r="D49" s="126"/>
      <c r="E49" s="126"/>
      <c r="F49" s="126"/>
      <c r="G49" s="126"/>
      <c r="H49" s="126"/>
    </row>
  </sheetData>
  <mergeCells count="2">
    <mergeCell ref="B47:I47"/>
    <mergeCell ref="B49:H49"/>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35"/>
  <sheetViews>
    <sheetView workbookViewId="0">
      <selection activeCell="I17" sqref="I17"/>
    </sheetView>
  </sheetViews>
  <sheetFormatPr defaultRowHeight="14.5" x14ac:dyDescent="0.35"/>
  <cols>
    <col min="1" max="1" width="30" customWidth="1"/>
    <col min="2" max="5" width="14" customWidth="1"/>
    <col min="6" max="6" width="4" customWidth="1"/>
    <col min="7" max="7" width="14" customWidth="1"/>
  </cols>
  <sheetData>
    <row r="1" spans="1:5" ht="16.5" x14ac:dyDescent="0.35">
      <c r="A1" s="1" t="s">
        <v>72</v>
      </c>
    </row>
    <row r="2" spans="1:5" x14ac:dyDescent="0.35">
      <c r="A2" s="2" t="s">
        <v>73</v>
      </c>
    </row>
    <row r="3" spans="1:5" x14ac:dyDescent="0.35">
      <c r="A3" s="2" t="s">
        <v>74</v>
      </c>
    </row>
    <row r="5" spans="1:5" x14ac:dyDescent="0.35">
      <c r="A5" s="3" t="s">
        <v>75</v>
      </c>
      <c r="B5" s="4"/>
      <c r="C5" s="4"/>
      <c r="D5" s="4"/>
    </row>
    <row r="6" spans="1:5" x14ac:dyDescent="0.35">
      <c r="A6" s="7" t="s">
        <v>76</v>
      </c>
      <c r="B6" s="16">
        <f>'Historical Baseline'!B44</f>
        <v>143069.5</v>
      </c>
      <c r="D6" s="15" t="s">
        <v>77</v>
      </c>
    </row>
    <row r="7" spans="1:5" x14ac:dyDescent="0.35">
      <c r="A7" s="7" t="s">
        <v>78</v>
      </c>
      <c r="B7" s="17">
        <f>'Historical Baseline'!I19</f>
        <v>51</v>
      </c>
      <c r="D7" s="15" t="s">
        <v>77</v>
      </c>
    </row>
    <row r="8" spans="1:5" x14ac:dyDescent="0.35">
      <c r="A8" s="7" t="s">
        <v>79</v>
      </c>
      <c r="B8" s="17">
        <f>'Historical Baseline'!I20</f>
        <v>38</v>
      </c>
      <c r="D8" s="15" t="s">
        <v>77</v>
      </c>
    </row>
    <row r="10" spans="1:5" x14ac:dyDescent="0.35">
      <c r="A10" s="3" t="s">
        <v>80</v>
      </c>
      <c r="B10" s="4"/>
      <c r="C10" s="4"/>
      <c r="D10" s="4"/>
      <c r="E10" s="4"/>
    </row>
    <row r="11" spans="1:5" x14ac:dyDescent="0.35">
      <c r="A11" s="5" t="s">
        <v>4</v>
      </c>
      <c r="B11" s="5" t="s">
        <v>81</v>
      </c>
      <c r="C11" s="5" t="s">
        <v>82</v>
      </c>
      <c r="D11" s="5" t="s">
        <v>83</v>
      </c>
      <c r="E11" s="5" t="s">
        <v>84</v>
      </c>
    </row>
    <row r="12" spans="1:5" x14ac:dyDescent="0.35">
      <c r="A12" s="7" t="s">
        <v>29</v>
      </c>
      <c r="B12" s="18">
        <v>4</v>
      </c>
      <c r="C12" s="18">
        <v>6</v>
      </c>
      <c r="D12" s="18">
        <v>9</v>
      </c>
      <c r="E12" s="18">
        <v>9</v>
      </c>
    </row>
    <row r="13" spans="1:5" x14ac:dyDescent="0.35">
      <c r="A13" s="7" t="s">
        <v>62</v>
      </c>
      <c r="B13" s="19">
        <v>3000</v>
      </c>
      <c r="C13" s="19">
        <v>3200</v>
      </c>
      <c r="D13" s="19">
        <v>3200</v>
      </c>
      <c r="E13" s="19">
        <v>3400</v>
      </c>
    </row>
    <row r="14" spans="1:5" x14ac:dyDescent="0.35">
      <c r="A14" s="7" t="s">
        <v>85</v>
      </c>
      <c r="B14" s="20">
        <v>1.4999999999999999E-2</v>
      </c>
      <c r="C14" s="20">
        <v>1.4999999999999999E-2</v>
      </c>
      <c r="D14" s="20">
        <v>1.4999999999999999E-2</v>
      </c>
      <c r="E14" s="20">
        <v>1.4999999999999999E-2</v>
      </c>
    </row>
    <row r="15" spans="1:5" x14ac:dyDescent="0.35">
      <c r="A15" s="7" t="s">
        <v>86</v>
      </c>
      <c r="B15" s="20">
        <v>0.02</v>
      </c>
      <c r="C15" s="20">
        <v>0.02</v>
      </c>
      <c r="D15" s="20">
        <v>0.02</v>
      </c>
      <c r="E15" s="20">
        <v>0.02</v>
      </c>
    </row>
    <row r="17" spans="1:5" x14ac:dyDescent="0.35">
      <c r="A17" s="2" t="s">
        <v>87</v>
      </c>
    </row>
    <row r="18" spans="1:5" x14ac:dyDescent="0.35">
      <c r="A18" s="2" t="s">
        <v>88</v>
      </c>
    </row>
    <row r="19" spans="1:5" x14ac:dyDescent="0.35">
      <c r="A19" s="21" t="s">
        <v>89</v>
      </c>
    </row>
    <row r="21" spans="1:5" x14ac:dyDescent="0.35">
      <c r="A21" s="3" t="s">
        <v>90</v>
      </c>
      <c r="B21" s="4"/>
      <c r="C21" s="4"/>
      <c r="D21" s="4"/>
      <c r="E21" s="4"/>
    </row>
    <row r="22" spans="1:5" x14ac:dyDescent="0.35">
      <c r="A22" s="7" t="s">
        <v>91</v>
      </c>
      <c r="B22" s="20">
        <v>0.7</v>
      </c>
      <c r="C22" s="2" t="s">
        <v>92</v>
      </c>
    </row>
    <row r="24" spans="1:5" x14ac:dyDescent="0.35">
      <c r="A24" s="3" t="s">
        <v>93</v>
      </c>
      <c r="B24" s="4"/>
      <c r="C24" s="4"/>
      <c r="D24" s="4"/>
      <c r="E24" s="4"/>
    </row>
    <row r="25" spans="1:5" x14ac:dyDescent="0.35">
      <c r="A25" s="5" t="s">
        <v>4</v>
      </c>
      <c r="B25" s="5" t="s">
        <v>81</v>
      </c>
      <c r="C25" s="5" t="s">
        <v>82</v>
      </c>
      <c r="D25" s="5" t="s">
        <v>83</v>
      </c>
      <c r="E25" s="5" t="s">
        <v>84</v>
      </c>
    </row>
    <row r="26" spans="1:5" x14ac:dyDescent="0.35">
      <c r="A26" s="7" t="s">
        <v>94</v>
      </c>
      <c r="B26" s="19">
        <v>90000</v>
      </c>
      <c r="C26" s="19">
        <v>90000</v>
      </c>
      <c r="D26" s="19">
        <v>108000</v>
      </c>
      <c r="E26" s="19">
        <v>108000</v>
      </c>
    </row>
    <row r="27" spans="1:5" x14ac:dyDescent="0.35">
      <c r="A27" s="7" t="s">
        <v>95</v>
      </c>
      <c r="B27" s="19">
        <v>75000</v>
      </c>
      <c r="C27" s="19">
        <v>75000</v>
      </c>
      <c r="D27" s="19">
        <v>75000</v>
      </c>
      <c r="E27" s="19">
        <v>75000</v>
      </c>
    </row>
    <row r="28" spans="1:5" x14ac:dyDescent="0.35">
      <c r="A28" s="7" t="s">
        <v>96</v>
      </c>
      <c r="B28" s="19">
        <v>57000</v>
      </c>
      <c r="C28" s="19">
        <v>57000</v>
      </c>
      <c r="D28" s="19">
        <v>57000</v>
      </c>
      <c r="E28" s="19">
        <v>57000</v>
      </c>
    </row>
    <row r="29" spans="1:5" x14ac:dyDescent="0.35">
      <c r="A29" s="9" t="s">
        <v>51</v>
      </c>
      <c r="B29" s="22">
        <v>222000</v>
      </c>
      <c r="C29" s="22">
        <v>222000</v>
      </c>
      <c r="D29" s="22">
        <v>240000</v>
      </c>
      <c r="E29" s="22">
        <v>240000</v>
      </c>
    </row>
    <row r="31" spans="1:5" x14ac:dyDescent="0.35">
      <c r="A31" s="2" t="s">
        <v>97</v>
      </c>
    </row>
    <row r="33" spans="1:5" x14ac:dyDescent="0.35">
      <c r="A33" s="3" t="s">
        <v>98</v>
      </c>
      <c r="B33" s="4"/>
      <c r="C33" s="4"/>
      <c r="D33" s="4"/>
      <c r="E33" s="4"/>
    </row>
    <row r="34" spans="1:5" x14ac:dyDescent="0.35">
      <c r="A34" s="7" t="s">
        <v>99</v>
      </c>
    </row>
    <row r="35" spans="1:5" x14ac:dyDescent="0.35">
      <c r="A35" s="2"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I54"/>
  <sheetViews>
    <sheetView workbookViewId="0">
      <pane ySplit="6" topLeftCell="A19" activePane="bottomLeft" state="frozen"/>
      <selection pane="bottomLeft" activeCell="B8" sqref="B8"/>
    </sheetView>
  </sheetViews>
  <sheetFormatPr defaultRowHeight="14.5" x14ac:dyDescent="0.35"/>
  <cols>
    <col min="1" max="1" width="30" customWidth="1"/>
    <col min="2" max="5" width="14" customWidth="1"/>
    <col min="6" max="6" width="4" customWidth="1"/>
    <col min="7" max="7" width="14" customWidth="1"/>
    <col min="9" max="9" width="48" customWidth="1"/>
  </cols>
  <sheetData>
    <row r="1" spans="1:9" ht="16.5" x14ac:dyDescent="0.35">
      <c r="A1" s="1" t="s">
        <v>309</v>
      </c>
    </row>
    <row r="2" spans="1:9" x14ac:dyDescent="0.35">
      <c r="A2" s="2" t="s">
        <v>101</v>
      </c>
    </row>
    <row r="3" spans="1:9" x14ac:dyDescent="0.35">
      <c r="A3" s="2" t="s">
        <v>102</v>
      </c>
    </row>
    <row r="5" spans="1:9" x14ac:dyDescent="0.35">
      <c r="A5" s="3" t="s">
        <v>103</v>
      </c>
      <c r="B5" s="4"/>
      <c r="C5" s="4"/>
      <c r="D5" s="4"/>
      <c r="E5" s="4"/>
      <c r="F5" s="4"/>
    </row>
    <row r="6" spans="1:9" x14ac:dyDescent="0.35">
      <c r="A6" s="5" t="s">
        <v>4</v>
      </c>
      <c r="B6" s="5" t="s">
        <v>81</v>
      </c>
      <c r="C6" s="5" t="s">
        <v>82</v>
      </c>
      <c r="D6" s="5" t="s">
        <v>83</v>
      </c>
      <c r="E6" s="5" t="s">
        <v>84</v>
      </c>
      <c r="G6" s="23" t="s">
        <v>104</v>
      </c>
      <c r="I6" s="24" t="s">
        <v>105</v>
      </c>
    </row>
    <row r="7" spans="1:9" x14ac:dyDescent="0.35">
      <c r="A7" s="7" t="s">
        <v>14</v>
      </c>
      <c r="B7" s="25">
        <f>'Forecast Assumptions'!B6</f>
        <v>143069.5</v>
      </c>
      <c r="C7" s="25">
        <f>B12</f>
        <v>154354.1525</v>
      </c>
      <c r="D7" s="25">
        <f>C12</f>
        <v>172782.38173749999</v>
      </c>
      <c r="E7" s="25">
        <f>D12</f>
        <v>200718.46982881249</v>
      </c>
      <c r="G7" s="25">
        <f>B7</f>
        <v>143069.5</v>
      </c>
      <c r="I7" s="2" t="s">
        <v>106</v>
      </c>
    </row>
    <row r="8" spans="1:9" x14ac:dyDescent="0.35">
      <c r="A8" s="7" t="s">
        <v>16</v>
      </c>
      <c r="B8" s="25">
        <f>'Forecast Assumptions'!B12*'Forecast Assumptions'!B13</f>
        <v>12000</v>
      </c>
      <c r="C8" s="25">
        <f>'Forecast Assumptions'!C12*'Forecast Assumptions'!C13</f>
        <v>19200</v>
      </c>
      <c r="D8" s="25">
        <f>'Forecast Assumptions'!D12*'Forecast Assumptions'!D13</f>
        <v>28800</v>
      </c>
      <c r="E8" s="25">
        <f>'Forecast Assumptions'!E12*'Forecast Assumptions'!E13</f>
        <v>30600</v>
      </c>
      <c r="G8" s="25">
        <f>B8+C8+D8+E8</f>
        <v>90600</v>
      </c>
      <c r="I8" s="2" t="s">
        <v>107</v>
      </c>
    </row>
    <row r="9" spans="1:9" x14ac:dyDescent="0.35">
      <c r="A9" s="7" t="s">
        <v>18</v>
      </c>
      <c r="B9" s="25">
        <f>B7*'Forecast Assumptions'!B14</f>
        <v>2146.0425</v>
      </c>
      <c r="C9" s="25">
        <f>C7*'Forecast Assumptions'!C14</f>
        <v>2315.3122874999999</v>
      </c>
      <c r="D9" s="25">
        <f>D7*'Forecast Assumptions'!D14</f>
        <v>2591.7357260624999</v>
      </c>
      <c r="E9" s="25">
        <f>E7*'Forecast Assumptions'!E14</f>
        <v>3010.7770474321874</v>
      </c>
      <c r="G9" s="25">
        <f>B9+C9+D9+E9</f>
        <v>10063.867560994688</v>
      </c>
      <c r="I9" s="2" t="s">
        <v>108</v>
      </c>
    </row>
    <row r="10" spans="1:9" x14ac:dyDescent="0.35">
      <c r="A10" s="7" t="s">
        <v>22</v>
      </c>
      <c r="B10" s="25">
        <f>B7*'Forecast Assumptions'!B15</f>
        <v>2861.39</v>
      </c>
      <c r="C10" s="25">
        <f>C7*'Forecast Assumptions'!C15</f>
        <v>3087.0830500000002</v>
      </c>
      <c r="D10" s="25">
        <f>D7*'Forecast Assumptions'!D15</f>
        <v>3455.6476347499997</v>
      </c>
      <c r="E10" s="25">
        <f>E7*'Forecast Assumptions'!E15</f>
        <v>4014.36939657625</v>
      </c>
      <c r="G10" s="25">
        <f>B10+C10+D10+E10</f>
        <v>13418.49008132625</v>
      </c>
      <c r="I10" s="2" t="s">
        <v>109</v>
      </c>
    </row>
    <row r="11" spans="1:9" x14ac:dyDescent="0.35">
      <c r="A11" s="9" t="s">
        <v>24</v>
      </c>
      <c r="B11" s="26">
        <f>B8+B9-B10</f>
        <v>11284.6525</v>
      </c>
      <c r="C11" s="26">
        <f>C8+C9-C10</f>
        <v>18428.2292375</v>
      </c>
      <c r="D11" s="26">
        <f>D8+D9-D10</f>
        <v>27936.0880913125</v>
      </c>
      <c r="E11" s="26">
        <f>E8+E9-E10</f>
        <v>29596.407650855937</v>
      </c>
      <c r="G11" s="26">
        <f>G8+G9-G10</f>
        <v>87245.377479668445</v>
      </c>
      <c r="I11" s="2" t="s">
        <v>110</v>
      </c>
    </row>
    <row r="12" spans="1:9" x14ac:dyDescent="0.35">
      <c r="A12" s="9" t="s">
        <v>26</v>
      </c>
      <c r="B12" s="26">
        <f>B7+B11</f>
        <v>154354.1525</v>
      </c>
      <c r="C12" s="26">
        <f>C7+C11</f>
        <v>172782.38173749999</v>
      </c>
      <c r="D12" s="26">
        <f>D7+D11</f>
        <v>200718.46982881249</v>
      </c>
      <c r="E12" s="26">
        <f>E7+E11</f>
        <v>230314.87747966842</v>
      </c>
      <c r="G12" s="26">
        <f>E12</f>
        <v>230314.87747966842</v>
      </c>
      <c r="I12" s="2" t="s">
        <v>111</v>
      </c>
    </row>
    <row r="13" spans="1:9" x14ac:dyDescent="0.35">
      <c r="A13" s="9" t="s">
        <v>112</v>
      </c>
      <c r="B13" s="22">
        <f>B12*12</f>
        <v>1852249.83</v>
      </c>
      <c r="C13" s="22">
        <f>C12*12</f>
        <v>2073388.58085</v>
      </c>
      <c r="D13" s="22">
        <f>D12*12</f>
        <v>2408621.6379457498</v>
      </c>
      <c r="E13" s="22">
        <f>E12*12</f>
        <v>2763778.5297560208</v>
      </c>
      <c r="G13" s="22">
        <f>G12*12</f>
        <v>2763778.5297560208</v>
      </c>
      <c r="I13" s="2" t="s">
        <v>113</v>
      </c>
    </row>
    <row r="14" spans="1:9" x14ac:dyDescent="0.35">
      <c r="G14" s="2" t="s">
        <v>114</v>
      </c>
    </row>
    <row r="15" spans="1:9" x14ac:dyDescent="0.35">
      <c r="G15" s="2" t="s">
        <v>115</v>
      </c>
    </row>
    <row r="16" spans="1:9" x14ac:dyDescent="0.35">
      <c r="G16" s="2" t="s">
        <v>116</v>
      </c>
    </row>
    <row r="18" spans="1:9" x14ac:dyDescent="0.35">
      <c r="A18" s="3" t="s">
        <v>117</v>
      </c>
      <c r="B18" s="4"/>
      <c r="C18" s="4"/>
      <c r="D18" s="4"/>
      <c r="E18" s="4"/>
      <c r="F18" s="4"/>
    </row>
    <row r="19" spans="1:9" x14ac:dyDescent="0.35">
      <c r="A19" s="5" t="s">
        <v>4</v>
      </c>
      <c r="B19" s="5" t="s">
        <v>81</v>
      </c>
      <c r="C19" s="5" t="s">
        <v>82</v>
      </c>
      <c r="D19" s="5" t="s">
        <v>83</v>
      </c>
      <c r="E19" s="5" t="s">
        <v>84</v>
      </c>
      <c r="G19" s="23" t="s">
        <v>104</v>
      </c>
    </row>
    <row r="20" spans="1:9" x14ac:dyDescent="0.35">
      <c r="A20" s="7" t="s">
        <v>38</v>
      </c>
      <c r="B20" s="27">
        <f>B12*3</f>
        <v>463062.45750000002</v>
      </c>
      <c r="C20" s="27">
        <f>C12*3</f>
        <v>518347.14521250001</v>
      </c>
      <c r="D20" s="27">
        <f>D12*3</f>
        <v>602155.40948643745</v>
      </c>
      <c r="E20" s="27">
        <f>E12*3</f>
        <v>690944.63243900519</v>
      </c>
      <c r="G20" s="27">
        <f>B20+C20+D20+E20</f>
        <v>2274509.6446379428</v>
      </c>
      <c r="I20" s="2" t="s">
        <v>118</v>
      </c>
    </row>
    <row r="21" spans="1:9" x14ac:dyDescent="0.35">
      <c r="A21" s="7" t="s">
        <v>119</v>
      </c>
      <c r="B21" s="27">
        <f>B20*(1-'Forecast Assumptions'!B22)</f>
        <v>138918.73725000003</v>
      </c>
      <c r="C21" s="27">
        <f>C20*(1-'Forecast Assumptions'!B22)</f>
        <v>155504.14356375003</v>
      </c>
      <c r="D21" s="27">
        <f>D20*(1-'Forecast Assumptions'!B22)</f>
        <v>180646.62284593127</v>
      </c>
      <c r="E21" s="27">
        <f>E20*(1-'Forecast Assumptions'!B22)</f>
        <v>207283.38973170158</v>
      </c>
      <c r="G21" s="27">
        <f>B21+C21+D21+E21</f>
        <v>682352.89339138288</v>
      </c>
      <c r="I21" s="2" t="s">
        <v>120</v>
      </c>
    </row>
    <row r="22" spans="1:9" x14ac:dyDescent="0.35">
      <c r="A22" s="9" t="s">
        <v>42</v>
      </c>
      <c r="B22" s="22">
        <f>B20-B21</f>
        <v>324143.72025000001</v>
      </c>
      <c r="C22" s="22">
        <f>C20-C21</f>
        <v>362843.00164874998</v>
      </c>
      <c r="D22" s="22">
        <f>D20-D21</f>
        <v>421508.78664050618</v>
      </c>
      <c r="E22" s="22">
        <f>E20-E21</f>
        <v>483661.24270730361</v>
      </c>
      <c r="G22" s="22">
        <f>B22+C22+D22+E22</f>
        <v>1592156.7512465599</v>
      </c>
      <c r="I22" s="2" t="s">
        <v>121</v>
      </c>
    </row>
    <row r="23" spans="1:9" x14ac:dyDescent="0.35">
      <c r="A23" s="7" t="s">
        <v>44</v>
      </c>
      <c r="B23" s="28">
        <f>B22/B20</f>
        <v>0.7</v>
      </c>
      <c r="C23" s="28">
        <f>C22/C20</f>
        <v>0.7</v>
      </c>
      <c r="D23" s="28">
        <f>D22/D20</f>
        <v>0.7</v>
      </c>
      <c r="E23" s="28">
        <f>E22/E20</f>
        <v>0.7</v>
      </c>
      <c r="G23" s="28">
        <f>G22/G20</f>
        <v>0.7</v>
      </c>
      <c r="I23" s="2" t="s">
        <v>122</v>
      </c>
    </row>
    <row r="24" spans="1:9" x14ac:dyDescent="0.35">
      <c r="A24" s="7"/>
      <c r="I24" s="2"/>
    </row>
    <row r="25" spans="1:9" x14ac:dyDescent="0.35">
      <c r="A25" s="7" t="s">
        <v>94</v>
      </c>
      <c r="B25" s="27">
        <f>'Forecast Assumptions'!B26</f>
        <v>90000</v>
      </c>
      <c r="C25" s="27">
        <f>'Forecast Assumptions'!C26</f>
        <v>90000</v>
      </c>
      <c r="D25" s="27">
        <f>'Forecast Assumptions'!D26</f>
        <v>108000</v>
      </c>
      <c r="E25" s="27">
        <f>'Forecast Assumptions'!E26</f>
        <v>108000</v>
      </c>
      <c r="G25" s="27">
        <f>B25+C25+D25+E25</f>
        <v>396000</v>
      </c>
      <c r="I25" s="2" t="s">
        <v>123</v>
      </c>
    </row>
    <row r="26" spans="1:9" x14ac:dyDescent="0.35">
      <c r="A26" s="7" t="s">
        <v>95</v>
      </c>
      <c r="B26" s="27">
        <f>'Forecast Assumptions'!B27</f>
        <v>75000</v>
      </c>
      <c r="C26" s="27">
        <f>'Forecast Assumptions'!C27</f>
        <v>75000</v>
      </c>
      <c r="D26" s="27">
        <f>'Forecast Assumptions'!D27</f>
        <v>75000</v>
      </c>
      <c r="E26" s="27">
        <f>'Forecast Assumptions'!E27</f>
        <v>75000</v>
      </c>
      <c r="G26" s="27">
        <f>B26+C26+D26+E26</f>
        <v>300000</v>
      </c>
      <c r="I26" s="2" t="s">
        <v>123</v>
      </c>
    </row>
    <row r="27" spans="1:9" x14ac:dyDescent="0.35">
      <c r="A27" s="7" t="s">
        <v>96</v>
      </c>
      <c r="B27" s="27">
        <f>'Forecast Assumptions'!B28</f>
        <v>57000</v>
      </c>
      <c r="C27" s="27">
        <f>'Forecast Assumptions'!C28</f>
        <v>57000</v>
      </c>
      <c r="D27" s="27">
        <f>'Forecast Assumptions'!D28</f>
        <v>57000</v>
      </c>
      <c r="E27" s="27">
        <f>'Forecast Assumptions'!E28</f>
        <v>57000</v>
      </c>
      <c r="G27" s="27">
        <f>B27+C27+D27+E27</f>
        <v>228000</v>
      </c>
      <c r="I27" s="2" t="s">
        <v>123</v>
      </c>
    </row>
    <row r="28" spans="1:9" x14ac:dyDescent="0.35">
      <c r="A28" s="9" t="s">
        <v>51</v>
      </c>
      <c r="B28" s="22">
        <f>B25+B26+B27</f>
        <v>222000</v>
      </c>
      <c r="C28" s="22">
        <f>C25+C26+C27</f>
        <v>222000</v>
      </c>
      <c r="D28" s="22">
        <f>D25+D26+D27</f>
        <v>240000</v>
      </c>
      <c r="E28" s="22">
        <f>E25+E26+E27</f>
        <v>240000</v>
      </c>
      <c r="G28" s="22">
        <f>G25+G26+G27</f>
        <v>924000</v>
      </c>
      <c r="I28" s="2" t="s">
        <v>52</v>
      </c>
    </row>
    <row r="29" spans="1:9" x14ac:dyDescent="0.35">
      <c r="A29" s="7"/>
      <c r="I29" s="2"/>
    </row>
    <row r="30" spans="1:9" x14ac:dyDescent="0.35">
      <c r="A30" s="9" t="s">
        <v>53</v>
      </c>
      <c r="B30" s="29">
        <f>B22-B28</f>
        <v>102143.72025000001</v>
      </c>
      <c r="C30" s="29">
        <f>C22-C28</f>
        <v>140843.00164874998</v>
      </c>
      <c r="D30" s="29">
        <f>D22-D28</f>
        <v>181508.78664050618</v>
      </c>
      <c r="E30" s="29">
        <f>E22-E28</f>
        <v>243661.24270730361</v>
      </c>
      <c r="G30" s="29">
        <f>B30+C30+D30+E30</f>
        <v>668156.75124655978</v>
      </c>
      <c r="I30" s="2" t="s">
        <v>124</v>
      </c>
    </row>
    <row r="31" spans="1:9" x14ac:dyDescent="0.35">
      <c r="A31" s="7" t="s">
        <v>55</v>
      </c>
      <c r="B31" s="28">
        <f>B30/B20</f>
        <v>0.22058303063793508</v>
      </c>
      <c r="C31" s="28">
        <f>C30/C20</f>
        <v>0.27171559243566473</v>
      </c>
      <c r="D31" s="28">
        <f>D30/D20</f>
        <v>0.30143179614596549</v>
      </c>
      <c r="E31" s="28">
        <f>E30/E20</f>
        <v>0.3526494472461415</v>
      </c>
      <c r="G31" s="28">
        <f>G30/G20</f>
        <v>0.29375859224062212</v>
      </c>
      <c r="I31" s="2" t="s">
        <v>125</v>
      </c>
    </row>
    <row r="33" spans="1:9" x14ac:dyDescent="0.35">
      <c r="A33" s="3" t="s">
        <v>126</v>
      </c>
      <c r="B33" s="4"/>
      <c r="C33" s="4"/>
      <c r="D33" s="4"/>
      <c r="E33" s="4"/>
      <c r="F33" s="4"/>
    </row>
    <row r="34" spans="1:9" x14ac:dyDescent="0.35">
      <c r="A34" s="7" t="s">
        <v>127</v>
      </c>
      <c r="B34" s="30">
        <f>E12</f>
        <v>230314.87747966842</v>
      </c>
      <c r="I34" s="2" t="s">
        <v>128</v>
      </c>
    </row>
    <row r="35" spans="1:9" x14ac:dyDescent="0.35">
      <c r="A35" s="7" t="s">
        <v>129</v>
      </c>
      <c r="B35" s="27">
        <f>B34*12</f>
        <v>2763778.5297560208</v>
      </c>
      <c r="I35" s="2" t="s">
        <v>130</v>
      </c>
    </row>
    <row r="36" spans="1:9" x14ac:dyDescent="0.35">
      <c r="A36" s="7" t="s">
        <v>131</v>
      </c>
      <c r="B36" s="27">
        <f>G20</f>
        <v>2274509.6446379428</v>
      </c>
      <c r="I36" s="2" t="s">
        <v>132</v>
      </c>
    </row>
    <row r="37" spans="1:9" x14ac:dyDescent="0.35">
      <c r="A37" s="7" t="s">
        <v>133</v>
      </c>
      <c r="B37" s="28">
        <f>(E12-B7)/B7</f>
        <v>0.60981115807120612</v>
      </c>
      <c r="I37" s="2" t="s">
        <v>134</v>
      </c>
    </row>
    <row r="38" spans="1:9" x14ac:dyDescent="0.35">
      <c r="A38" s="7" t="s">
        <v>135</v>
      </c>
      <c r="B38" s="31">
        <f>'Forecast Assumptions'!B12+'Forecast Assumptions'!C12+'Forecast Assumptions'!D12+'Forecast Assumptions'!E12</f>
        <v>28</v>
      </c>
      <c r="I38" s="2" t="s">
        <v>136</v>
      </c>
    </row>
    <row r="39" spans="1:9" x14ac:dyDescent="0.35">
      <c r="A39" s="7" t="s">
        <v>137</v>
      </c>
      <c r="B39" s="27">
        <f>G25/B38</f>
        <v>14142.857142857143</v>
      </c>
      <c r="I39" s="2" t="s">
        <v>138</v>
      </c>
    </row>
    <row r="40" spans="1:9" x14ac:dyDescent="0.35">
      <c r="A40" s="7" t="s">
        <v>139</v>
      </c>
      <c r="B40" s="28">
        <f>(E12/B7)^(1/12)-1</f>
        <v>4.0474029164477399E-2</v>
      </c>
      <c r="I40" s="2" t="s">
        <v>140</v>
      </c>
    </row>
    <row r="43" spans="1:9" x14ac:dyDescent="0.35">
      <c r="A43" s="32" t="s">
        <v>141</v>
      </c>
      <c r="B43" s="33"/>
      <c r="C43" s="33"/>
      <c r="D43" s="33"/>
      <c r="E43" s="94" t="s">
        <v>310</v>
      </c>
    </row>
    <row r="44" spans="1:9" x14ac:dyDescent="0.35">
      <c r="A44" s="34" t="s">
        <v>142</v>
      </c>
      <c r="B44" s="34" t="s">
        <v>143</v>
      </c>
      <c r="C44" s="34" t="s">
        <v>144</v>
      </c>
      <c r="D44" s="34" t="s">
        <v>145</v>
      </c>
    </row>
    <row r="45" spans="1:9" x14ac:dyDescent="0.35">
      <c r="A45" s="7" t="s">
        <v>146</v>
      </c>
      <c r="B45" s="25">
        <v>154354.15</v>
      </c>
      <c r="C45" s="13">
        <f>B12</f>
        <v>154354.1525</v>
      </c>
      <c r="D45" s="14" t="str">
        <f t="shared" ref="D45:D50" si="0">IF(ROUND(C45,2)=ROUND(B45,2),"✓","✗ diff: "&amp;TEXT(C45-B45,"$#,##0.00"))</f>
        <v>✓</v>
      </c>
    </row>
    <row r="46" spans="1:9" x14ac:dyDescent="0.35">
      <c r="A46" s="7" t="s">
        <v>147</v>
      </c>
      <c r="B46" s="25">
        <v>172782.38</v>
      </c>
      <c r="C46" s="13">
        <f>C12</f>
        <v>172782.38173749999</v>
      </c>
      <c r="D46" s="14" t="str">
        <f t="shared" si="0"/>
        <v>✓</v>
      </c>
    </row>
    <row r="47" spans="1:9" x14ac:dyDescent="0.35">
      <c r="A47" s="7" t="s">
        <v>148</v>
      </c>
      <c r="B47" s="25">
        <v>200718.47</v>
      </c>
      <c r="C47" s="13">
        <f>D12</f>
        <v>200718.46982881249</v>
      </c>
      <c r="D47" s="14" t="str">
        <f t="shared" si="0"/>
        <v>✓</v>
      </c>
    </row>
    <row r="48" spans="1:9" x14ac:dyDescent="0.35">
      <c r="A48" s="7" t="s">
        <v>149</v>
      </c>
      <c r="B48" s="25">
        <v>230314.88</v>
      </c>
      <c r="C48" s="13">
        <f>E12</f>
        <v>230314.87747966842</v>
      </c>
      <c r="D48" s="14" t="str">
        <f t="shared" si="0"/>
        <v>✓</v>
      </c>
    </row>
    <row r="49" spans="1:4" x14ac:dyDescent="0.35">
      <c r="A49" s="7" t="s">
        <v>131</v>
      </c>
      <c r="B49" s="25">
        <v>2274509.64</v>
      </c>
      <c r="C49" s="13">
        <f>G20</f>
        <v>2274509.6446379428</v>
      </c>
      <c r="D49" s="14" t="str">
        <f t="shared" si="0"/>
        <v>✓</v>
      </c>
    </row>
    <row r="50" spans="1:4" x14ac:dyDescent="0.35">
      <c r="A50" s="7" t="s">
        <v>150</v>
      </c>
      <c r="B50" s="25">
        <v>668156.75</v>
      </c>
      <c r="C50" s="13">
        <f>G30</f>
        <v>668156.75124655978</v>
      </c>
      <c r="D50" s="14" t="str">
        <f t="shared" si="0"/>
        <v>✓</v>
      </c>
    </row>
    <row r="51" spans="1:4" x14ac:dyDescent="0.35">
      <c r="A51" s="7" t="s">
        <v>151</v>
      </c>
      <c r="B51" s="35">
        <v>0.29399999999999998</v>
      </c>
      <c r="C51" s="12">
        <f>G31</f>
        <v>0.29375859224062212</v>
      </c>
      <c r="D51" s="14" t="str">
        <f>IF(ROUND(C51,3)=ROUND(B51,3),"✓","✗ diff: "&amp;TEXT(C51-B51,"0.0%"))</f>
        <v>✓</v>
      </c>
    </row>
    <row r="52" spans="1:4" x14ac:dyDescent="0.35">
      <c r="A52" s="7" t="s">
        <v>152</v>
      </c>
      <c r="B52" s="36">
        <v>28</v>
      </c>
      <c r="C52" s="11">
        <f>B38</f>
        <v>28</v>
      </c>
      <c r="D52" s="14" t="str">
        <f>IF(C52=B52,"✓","✗ diff: "&amp;(C52-B52))</f>
        <v>✓</v>
      </c>
    </row>
    <row r="53" spans="1:4" x14ac:dyDescent="0.35">
      <c r="A53" s="7" t="s">
        <v>137</v>
      </c>
      <c r="B53" s="25">
        <v>14142.86</v>
      </c>
      <c r="C53" s="13">
        <f>B39</f>
        <v>14142.857142857143</v>
      </c>
      <c r="D53" s="14" t="str">
        <f>IF(ROUND(C53,2)=ROUND(B53,2),"✓","✗ diff: "&amp;TEXT(C53-B53,"$#,##0.00"))</f>
        <v>✓</v>
      </c>
    </row>
    <row r="54" spans="1:4" x14ac:dyDescent="0.35">
      <c r="A54" s="7" t="s">
        <v>153</v>
      </c>
      <c r="B54" s="35">
        <v>0.04</v>
      </c>
      <c r="C54" s="12">
        <f>B40</f>
        <v>4.0474029164477399E-2</v>
      </c>
      <c r="D54" s="14" t="str">
        <f>IF(ROUND(C54,2)=ROUND(B54,2),"✓","✗ diff: "&amp;TEXT(C54-B54,"0.00%"))</f>
        <v>✓</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D98E-4DD3-4CB1-9EF7-22E4D369D9B8}">
  <sheetPr>
    <tabColor rgb="FF7030A0"/>
  </sheetPr>
  <dimension ref="A1:H66"/>
  <sheetViews>
    <sheetView workbookViewId="0">
      <selection activeCell="C56" sqref="C56"/>
    </sheetView>
  </sheetViews>
  <sheetFormatPr defaultRowHeight="14.5" x14ac:dyDescent="0.35"/>
  <cols>
    <col min="1" max="1" width="32.7265625" customWidth="1"/>
    <col min="2" max="2" width="20" customWidth="1"/>
    <col min="3" max="3" width="58.1796875" customWidth="1"/>
    <col min="4" max="4" width="11.453125" customWidth="1"/>
    <col min="5" max="5" width="11.26953125" customWidth="1"/>
    <col min="6" max="6" width="12.6328125" bestFit="1" customWidth="1"/>
  </cols>
  <sheetData>
    <row r="1" spans="1:8" x14ac:dyDescent="0.35">
      <c r="A1" s="42" t="s">
        <v>600</v>
      </c>
    </row>
    <row r="2" spans="1:8" x14ac:dyDescent="0.35">
      <c r="A2" s="5" t="s">
        <v>4</v>
      </c>
      <c r="B2" s="5" t="s">
        <v>599</v>
      </c>
      <c r="C2" s="99" t="s">
        <v>596</v>
      </c>
      <c r="D2" s="99" t="s">
        <v>597</v>
      </c>
      <c r="E2" s="99" t="s">
        <v>598</v>
      </c>
      <c r="F2" s="103" t="s">
        <v>602</v>
      </c>
    </row>
    <row r="3" spans="1:8" x14ac:dyDescent="0.35">
      <c r="A3" s="7" t="s">
        <v>14</v>
      </c>
      <c r="B3" s="25">
        <v>143069.5</v>
      </c>
      <c r="C3" s="25">
        <f>'2026 Forecast'!B7</f>
        <v>143069.5</v>
      </c>
      <c r="D3" s="25">
        <f>B3-C3</f>
        <v>0</v>
      </c>
      <c r="E3" s="101">
        <f>IFERROR(B3/C3-1, 0)</f>
        <v>0</v>
      </c>
      <c r="F3" s="109" t="str" cm="1">
        <f t="array" ref="F3">_xlfn.IFS(D3&lt;0, "U", D3&gt;0, "F", D3=0, "-")</f>
        <v>-</v>
      </c>
    </row>
    <row r="4" spans="1:8" x14ac:dyDescent="0.35">
      <c r="A4" s="7" t="s">
        <v>16</v>
      </c>
      <c r="B4" s="25">
        <v>1710</v>
      </c>
      <c r="C4" s="25">
        <v>4000</v>
      </c>
      <c r="D4" s="25">
        <f t="shared" ref="D4:D10" si="0">B4-C4</f>
        <v>-2290</v>
      </c>
      <c r="E4" s="101">
        <f t="shared" ref="E4:E7" si="1">IFERROR(B4/C4-1, 0)</f>
        <v>-0.57250000000000001</v>
      </c>
      <c r="F4" s="109" t="str" cm="1">
        <f t="array" ref="F4">_xlfn.IFS(D4&lt;0, "U", D4&gt;0, "F", D4=0, "-")</f>
        <v>U</v>
      </c>
    </row>
    <row r="5" spans="1:8" x14ac:dyDescent="0.35">
      <c r="A5" s="7" t="s">
        <v>18</v>
      </c>
      <c r="B5" s="25">
        <v>0</v>
      </c>
      <c r="C5" s="25">
        <f>'2026 Forecast'!B9/3</f>
        <v>715.34749999999997</v>
      </c>
      <c r="D5" s="25">
        <f t="shared" si="0"/>
        <v>-715.34749999999997</v>
      </c>
      <c r="E5" s="101">
        <f t="shared" si="1"/>
        <v>-1</v>
      </c>
      <c r="F5" s="109" t="str" cm="1">
        <f t="array" ref="F5">_xlfn.IFS(D5&lt;0, "U", D5&gt;0, "F", D5=0, "-")</f>
        <v>U</v>
      </c>
    </row>
    <row r="6" spans="1:8" x14ac:dyDescent="0.35">
      <c r="A6" s="7" t="s">
        <v>655</v>
      </c>
      <c r="B6" s="25">
        <v>0</v>
      </c>
      <c r="C6" s="25">
        <v>0</v>
      </c>
      <c r="D6" s="25">
        <f t="shared" si="0"/>
        <v>0</v>
      </c>
      <c r="E6" s="101">
        <f t="shared" si="1"/>
        <v>0</v>
      </c>
      <c r="F6" s="109" t="str" cm="1">
        <f t="array" ref="F6">_xlfn.IFS(D6&lt;0, "U", D6&gt;0, "F", D6=0, "-")</f>
        <v>-</v>
      </c>
    </row>
    <row r="7" spans="1:8" x14ac:dyDescent="0.35">
      <c r="A7" s="7" t="s">
        <v>22</v>
      </c>
      <c r="B7" s="25">
        <v>0</v>
      </c>
      <c r="C7" s="25">
        <f>'2026 Forecast'!B10/3</f>
        <v>953.79666666666662</v>
      </c>
      <c r="D7" s="25">
        <f t="shared" si="0"/>
        <v>-953.79666666666662</v>
      </c>
      <c r="E7" s="101">
        <f t="shared" si="1"/>
        <v>-1</v>
      </c>
      <c r="F7" s="109" t="str" cm="1">
        <f t="array" ref="F7">_xlfn.IFS(D7&gt;0, "U", D7&lt;0, "F", D7=0, "-")</f>
        <v>F</v>
      </c>
    </row>
    <row r="8" spans="1:8" ht="15" thickBot="1" x14ac:dyDescent="0.4">
      <c r="A8" s="9" t="s">
        <v>24</v>
      </c>
      <c r="B8" s="26">
        <f>B4+B5-B7</f>
        <v>1710</v>
      </c>
      <c r="C8" s="26">
        <f>C4+C5-C7</f>
        <v>3761.5508333333332</v>
      </c>
      <c r="D8" s="26">
        <f t="shared" si="0"/>
        <v>-2051.5508333333332</v>
      </c>
      <c r="E8" s="102">
        <f>B8/C8-1</f>
        <v>-0.54540026819611853</v>
      </c>
      <c r="F8" s="110" t="str" cm="1">
        <f t="array" ref="F8">_xlfn.IFS(D8&lt;0, "U", D8&gt;0, "F", D8=0, "-")</f>
        <v>U</v>
      </c>
    </row>
    <row r="9" spans="1:8" ht="15.5" thickTop="1" thickBot="1" x14ac:dyDescent="0.4">
      <c r="A9" s="9" t="s">
        <v>26</v>
      </c>
      <c r="B9" s="26">
        <f>B3+B4+B5-B7</f>
        <v>144779.5</v>
      </c>
      <c r="C9" s="26">
        <f>C3+C8</f>
        <v>146831.05083333334</v>
      </c>
      <c r="D9" s="26">
        <f t="shared" si="0"/>
        <v>-2051.5508333333419</v>
      </c>
      <c r="E9" s="102">
        <f>B9/C9-1</f>
        <v>-1.3972186548348309E-2</v>
      </c>
      <c r="F9" s="110" t="str" cm="1">
        <f t="array" ref="F9">_xlfn.IFS(D9&lt;0, "U", D9&gt;0, "F", D9=0, "-")</f>
        <v>U</v>
      </c>
    </row>
    <row r="10" spans="1:8" ht="15.5" thickTop="1" thickBot="1" x14ac:dyDescent="0.4">
      <c r="A10" s="9" t="s">
        <v>112</v>
      </c>
      <c r="B10" s="26">
        <f>B9*12</f>
        <v>1737354</v>
      </c>
      <c r="C10" s="22">
        <f>C9*12</f>
        <v>1761972.61</v>
      </c>
      <c r="D10" s="22">
        <f t="shared" si="0"/>
        <v>-24618.610000000102</v>
      </c>
      <c r="E10" s="102">
        <f>B10/C10-1</f>
        <v>-1.3972186548348309E-2</v>
      </c>
      <c r="F10" s="110" t="str" cm="1">
        <f t="array" ref="F10">_xlfn.IFS(D10&lt;0, "U", D10&gt;0, "F", D10=0, "-")</f>
        <v>U</v>
      </c>
    </row>
    <row r="11" spans="1:8" ht="15" thickTop="1" x14ac:dyDescent="0.35"/>
    <row r="12" spans="1:8" x14ac:dyDescent="0.35">
      <c r="A12" s="104" t="s">
        <v>601</v>
      </c>
    </row>
    <row r="13" spans="1:8" x14ac:dyDescent="0.35">
      <c r="A13" s="5" t="s">
        <v>4</v>
      </c>
      <c r="B13" s="5" t="s">
        <v>599</v>
      </c>
      <c r="C13" s="99" t="s">
        <v>596</v>
      </c>
      <c r="D13" s="99" t="s">
        <v>597</v>
      </c>
      <c r="E13" s="99" t="s">
        <v>598</v>
      </c>
      <c r="F13" s="103" t="s">
        <v>602</v>
      </c>
    </row>
    <row r="14" spans="1:8" x14ac:dyDescent="0.35">
      <c r="A14" s="7" t="s">
        <v>38</v>
      </c>
      <c r="B14" s="100">
        <f>B9</f>
        <v>144779.5</v>
      </c>
      <c r="C14" s="100">
        <f>C9</f>
        <v>146831.05083333334</v>
      </c>
      <c r="D14" s="100">
        <f>B14-C14</f>
        <v>-2051.5508333333419</v>
      </c>
      <c r="E14" s="105">
        <f>B14/C14-1</f>
        <v>-1.3972186548348309E-2</v>
      </c>
      <c r="F14" s="109" t="str" cm="1">
        <f t="array" ref="F14">_xlfn.IFS(D14&lt;0, "U", D14&gt;0, "F", D14=0, "-")</f>
        <v>U</v>
      </c>
      <c r="H14" s="2"/>
    </row>
    <row r="15" spans="1:8" x14ac:dyDescent="0.35">
      <c r="A15" s="7" t="s">
        <v>119</v>
      </c>
      <c r="B15" s="100">
        <f>B14*(1-B17)</f>
        <v>43433.850000000006</v>
      </c>
      <c r="C15" s="100">
        <f>C14*0.3</f>
        <v>44049.31525</v>
      </c>
      <c r="D15" s="100">
        <f t="shared" ref="D15:D22" si="2">B15-C15</f>
        <v>-615.46524999999383</v>
      </c>
      <c r="E15" s="105">
        <f t="shared" ref="E15:E23" si="3">B15/C15-1</f>
        <v>-1.3972186548348087E-2</v>
      </c>
      <c r="F15" s="109" t="str" cm="1">
        <f t="array" ref="F15">_xlfn.IFS(D15&gt;0, "U", D15&lt;0, "F", D15=0, "-")</f>
        <v>F</v>
      </c>
      <c r="H15" s="2" t="s">
        <v>120</v>
      </c>
    </row>
    <row r="16" spans="1:8" ht="15" thickBot="1" x14ac:dyDescent="0.4">
      <c r="A16" s="9" t="s">
        <v>42</v>
      </c>
      <c r="B16" s="106">
        <f>B14-B15</f>
        <v>101345.65</v>
      </c>
      <c r="C16" s="106">
        <f>C14-C15</f>
        <v>102781.73558333334</v>
      </c>
      <c r="D16" s="100">
        <f t="shared" si="2"/>
        <v>-1436.085583333348</v>
      </c>
      <c r="E16" s="105">
        <f t="shared" si="3"/>
        <v>-1.3972186548348309E-2</v>
      </c>
      <c r="F16" s="109" t="str" cm="1">
        <f t="array" ref="F16">_xlfn.IFS(D16&lt;0, "U", D16&gt;0, "F", D16=0, "-")</f>
        <v>U</v>
      </c>
      <c r="H16" s="2" t="s">
        <v>121</v>
      </c>
    </row>
    <row r="17" spans="1:8" ht="15" thickTop="1" x14ac:dyDescent="0.35">
      <c r="A17" s="7" t="s">
        <v>44</v>
      </c>
      <c r="B17" s="108">
        <v>0.7</v>
      </c>
      <c r="C17" s="105">
        <f>C16/C14</f>
        <v>0.70000000000000007</v>
      </c>
      <c r="D17" s="100"/>
      <c r="E17" s="105">
        <f t="shared" si="3"/>
        <v>0</v>
      </c>
      <c r="F17" s="109" t="str" cm="1">
        <f t="array" ref="F17">_xlfn.IFS(D17&lt;0, "U", D17&gt;0, "F", D17=0, "-")</f>
        <v>-</v>
      </c>
      <c r="H17" s="2" t="s">
        <v>122</v>
      </c>
    </row>
    <row r="18" spans="1:8" x14ac:dyDescent="0.35">
      <c r="A18" s="7" t="s">
        <v>94</v>
      </c>
      <c r="B18" s="100">
        <f>'Forecast Assumptions'!B26/3</f>
        <v>30000</v>
      </c>
      <c r="C18" s="100">
        <f>'2026 Forecast'!B25/3</f>
        <v>30000</v>
      </c>
      <c r="D18" s="100">
        <f t="shared" si="2"/>
        <v>0</v>
      </c>
      <c r="E18" s="105">
        <f t="shared" si="3"/>
        <v>0</v>
      </c>
      <c r="F18" s="109" t="str" cm="1">
        <f t="array" ref="F18">_xlfn.IFS(D18&lt;0, "U", D18&gt;0, "F", D18=0, "-")</f>
        <v>-</v>
      </c>
      <c r="H18" s="2" t="s">
        <v>123</v>
      </c>
    </row>
    <row r="19" spans="1:8" x14ac:dyDescent="0.35">
      <c r="A19" s="7" t="s">
        <v>95</v>
      </c>
      <c r="B19" s="100">
        <f>'Forecast Assumptions'!B27/3</f>
        <v>25000</v>
      </c>
      <c r="C19" s="100">
        <f>'2026 Forecast'!B26/3</f>
        <v>25000</v>
      </c>
      <c r="D19" s="100">
        <f t="shared" si="2"/>
        <v>0</v>
      </c>
      <c r="E19" s="105">
        <f t="shared" si="3"/>
        <v>0</v>
      </c>
      <c r="F19" s="109" t="str" cm="1">
        <f t="array" ref="F19">_xlfn.IFS(D19&lt;0, "U", D19&gt;0, "F", D19=0, "-")</f>
        <v>-</v>
      </c>
      <c r="H19" s="2" t="s">
        <v>123</v>
      </c>
    </row>
    <row r="20" spans="1:8" x14ac:dyDescent="0.35">
      <c r="A20" s="7" t="s">
        <v>96</v>
      </c>
      <c r="B20" s="100">
        <f>'Forecast Assumptions'!B28/3</f>
        <v>19000</v>
      </c>
      <c r="C20" s="100">
        <f>'2026 Forecast'!B27/3</f>
        <v>19000</v>
      </c>
      <c r="D20" s="100">
        <f t="shared" si="2"/>
        <v>0</v>
      </c>
      <c r="E20" s="105">
        <f t="shared" si="3"/>
        <v>0</v>
      </c>
      <c r="F20" s="109" t="str" cm="1">
        <f t="array" ref="F20">_xlfn.IFS(D20&lt;0, "U", D20&gt;0, "F", D20=0, "-")</f>
        <v>-</v>
      </c>
      <c r="H20" s="2" t="s">
        <v>123</v>
      </c>
    </row>
    <row r="21" spans="1:8" ht="15" thickBot="1" x14ac:dyDescent="0.4">
      <c r="A21" s="9" t="s">
        <v>51</v>
      </c>
      <c r="B21" s="106">
        <f>SUM(B18:B20)</f>
        <v>74000</v>
      </c>
      <c r="C21" s="106">
        <f>'2026 Forecast'!B28/3</f>
        <v>74000</v>
      </c>
      <c r="D21" s="100">
        <f t="shared" si="2"/>
        <v>0</v>
      </c>
      <c r="E21" s="105">
        <f t="shared" si="3"/>
        <v>0</v>
      </c>
      <c r="F21" s="109" t="str" cm="1">
        <f t="array" ref="F21">_xlfn.IFS(D21&lt;0, "U", D21&gt;0, "F", D21=0, "-")</f>
        <v>-</v>
      </c>
      <c r="H21" s="2" t="s">
        <v>52</v>
      </c>
    </row>
    <row r="22" spans="1:8" ht="15.5" thickTop="1" thickBot="1" x14ac:dyDescent="0.4">
      <c r="A22" s="9" t="s">
        <v>53</v>
      </c>
      <c r="B22" s="107">
        <f>B16-B21</f>
        <v>27345.649999999994</v>
      </c>
      <c r="C22" s="107">
        <f>C16-C21</f>
        <v>28781.735583333342</v>
      </c>
      <c r="D22" s="100">
        <f t="shared" si="2"/>
        <v>-1436.085583333348</v>
      </c>
      <c r="E22" s="105">
        <f t="shared" si="3"/>
        <v>-4.9895725682538195E-2</v>
      </c>
      <c r="F22" s="109" t="str" cm="1">
        <f t="array" ref="F22">_xlfn.IFS(D22&lt;0, "U", D22&gt;0, "F", D22=0, "-")</f>
        <v>U</v>
      </c>
      <c r="H22" s="2" t="s">
        <v>124</v>
      </c>
    </row>
    <row r="23" spans="1:8" ht="15" thickTop="1" x14ac:dyDescent="0.35">
      <c r="A23" s="7" t="s">
        <v>55</v>
      </c>
      <c r="B23" s="105">
        <f>B22/B14</f>
        <v>0.18887791434560827</v>
      </c>
      <c r="C23" s="105">
        <f>C22/C14</f>
        <v>0.19601940747535235</v>
      </c>
      <c r="D23" s="105">
        <f>B23-C23</f>
        <v>-7.1414931297440754E-3</v>
      </c>
      <c r="E23" s="105">
        <f t="shared" si="3"/>
        <v>-3.643258196585486E-2</v>
      </c>
      <c r="F23" s="109" t="str" cm="1">
        <f t="array" ref="F23">_xlfn.IFS(D23&lt;0, "U", D23&gt;0, "F", D23=0, "-")</f>
        <v>U</v>
      </c>
      <c r="H23" s="2" t="s">
        <v>125</v>
      </c>
    </row>
    <row r="25" spans="1:8" x14ac:dyDescent="0.35">
      <c r="A25" s="111" t="s">
        <v>611</v>
      </c>
    </row>
    <row r="26" spans="1:8" x14ac:dyDescent="0.35">
      <c r="A26" t="s">
        <v>603</v>
      </c>
    </row>
    <row r="27" spans="1:8" x14ac:dyDescent="0.35">
      <c r="A27" t="s">
        <v>604</v>
      </c>
    </row>
    <row r="28" spans="1:8" x14ac:dyDescent="0.35">
      <c r="A28" t="s">
        <v>605</v>
      </c>
    </row>
    <row r="29" spans="1:8" x14ac:dyDescent="0.35">
      <c r="A29" t="s">
        <v>612</v>
      </c>
    </row>
    <row r="30" spans="1:8" x14ac:dyDescent="0.35">
      <c r="A30" t="s">
        <v>607</v>
      </c>
    </row>
    <row r="31" spans="1:8" x14ac:dyDescent="0.35">
      <c r="A31" t="s">
        <v>606</v>
      </c>
    </row>
    <row r="32" spans="1:8" x14ac:dyDescent="0.35">
      <c r="A32" t="s">
        <v>609</v>
      </c>
    </row>
    <row r="33" spans="1:3" x14ac:dyDescent="0.35">
      <c r="A33" t="s">
        <v>608</v>
      </c>
    </row>
    <row r="34" spans="1:3" x14ac:dyDescent="0.35">
      <c r="A34" t="s">
        <v>610</v>
      </c>
    </row>
    <row r="36" spans="1:3" ht="17" x14ac:dyDescent="0.4">
      <c r="A36" s="112" t="s">
        <v>613</v>
      </c>
    </row>
    <row r="38" spans="1:3" x14ac:dyDescent="0.35">
      <c r="A38" s="113" t="s">
        <v>4</v>
      </c>
      <c r="B38" s="113" t="s">
        <v>283</v>
      </c>
      <c r="C38" s="113" t="s">
        <v>614</v>
      </c>
    </row>
    <row r="39" spans="1:3" x14ac:dyDescent="0.35">
      <c r="A39" t="s">
        <v>193</v>
      </c>
      <c r="B39" s="114">
        <v>39</v>
      </c>
      <c r="C39" t="s">
        <v>615</v>
      </c>
    </row>
    <row r="40" spans="1:3" x14ac:dyDescent="0.35">
      <c r="A40" t="s">
        <v>194</v>
      </c>
      <c r="B40" s="114">
        <v>52</v>
      </c>
      <c r="C40" t="s">
        <v>615</v>
      </c>
    </row>
    <row r="41" spans="1:3" x14ac:dyDescent="0.35">
      <c r="A41" t="s">
        <v>616</v>
      </c>
      <c r="B41" s="100">
        <f>'Jan 2026 A vs F '!B9/'Jan 2026 A vs F '!B39</f>
        <v>3712.2948717948716</v>
      </c>
      <c r="C41" t="s">
        <v>617</v>
      </c>
    </row>
    <row r="42" spans="1:3" x14ac:dyDescent="0.35">
      <c r="A42" t="s">
        <v>618</v>
      </c>
      <c r="B42" s="28">
        <f>B17</f>
        <v>0.7</v>
      </c>
      <c r="C42" t="s">
        <v>619</v>
      </c>
    </row>
    <row r="43" spans="1:3" x14ac:dyDescent="0.35">
      <c r="A43" t="s">
        <v>620</v>
      </c>
      <c r="B43" s="28">
        <f>Retention!Z6</f>
        <v>1</v>
      </c>
      <c r="C43" t="s">
        <v>621</v>
      </c>
    </row>
    <row r="44" spans="1:3" x14ac:dyDescent="0.35">
      <c r="A44" t="s">
        <v>622</v>
      </c>
      <c r="B44" s="28">
        <f>Retention!Z7</f>
        <v>1</v>
      </c>
      <c r="C44" t="s">
        <v>621</v>
      </c>
    </row>
    <row r="45" spans="1:3" x14ac:dyDescent="0.35">
      <c r="A45" t="s">
        <v>623</v>
      </c>
      <c r="B45" t="s">
        <v>624</v>
      </c>
      <c r="C45" t="s">
        <v>654</v>
      </c>
    </row>
    <row r="46" spans="1:3" x14ac:dyDescent="0.35">
      <c r="A46" t="s">
        <v>625</v>
      </c>
      <c r="B46" s="44">
        <f>B18</f>
        <v>30000</v>
      </c>
      <c r="C46" t="s">
        <v>626</v>
      </c>
    </row>
    <row r="47" spans="1:3" x14ac:dyDescent="0.35">
      <c r="A47" t="s">
        <v>627</v>
      </c>
      <c r="B47" s="44">
        <f>B46/1</f>
        <v>30000</v>
      </c>
      <c r="C47" t="s">
        <v>637</v>
      </c>
    </row>
    <row r="48" spans="1:3" x14ac:dyDescent="0.35">
      <c r="A48" t="s">
        <v>628</v>
      </c>
      <c r="B48" t="s">
        <v>629</v>
      </c>
      <c r="C48" t="s">
        <v>630</v>
      </c>
    </row>
    <row r="49" spans="1:3" x14ac:dyDescent="0.35">
      <c r="A49" t="s">
        <v>631</v>
      </c>
      <c r="B49" t="s">
        <v>629</v>
      </c>
      <c r="C49" t="s">
        <v>630</v>
      </c>
    </row>
    <row r="50" spans="1:3" x14ac:dyDescent="0.35">
      <c r="A50" t="s">
        <v>632</v>
      </c>
      <c r="B50" t="s">
        <v>629</v>
      </c>
      <c r="C50" t="s">
        <v>630</v>
      </c>
    </row>
    <row r="52" spans="1:3" x14ac:dyDescent="0.35">
      <c r="A52" s="115" t="s">
        <v>633</v>
      </c>
    </row>
    <row r="53" spans="1:3" x14ac:dyDescent="0.35">
      <c r="A53" s="115" t="s">
        <v>634</v>
      </c>
    </row>
    <row r="55" spans="1:3" x14ac:dyDescent="0.35">
      <c r="A55" s="115" t="s">
        <v>635</v>
      </c>
    </row>
    <row r="56" spans="1:3" x14ac:dyDescent="0.35">
      <c r="A56" s="115" t="s">
        <v>636</v>
      </c>
    </row>
    <row r="59" spans="1:3" ht="17" x14ac:dyDescent="0.4">
      <c r="A59" s="116" t="s">
        <v>638</v>
      </c>
    </row>
    <row r="61" spans="1:3" x14ac:dyDescent="0.35">
      <c r="A61" s="113" t="s">
        <v>4</v>
      </c>
      <c r="B61" s="113" t="s">
        <v>639</v>
      </c>
    </row>
    <row r="62" spans="1:3" x14ac:dyDescent="0.35">
      <c r="A62" t="s">
        <v>616</v>
      </c>
      <c r="B62" s="100">
        <f>B41</f>
        <v>3712.2948717948716</v>
      </c>
    </row>
    <row r="63" spans="1:3" x14ac:dyDescent="0.35">
      <c r="A63" t="s">
        <v>620</v>
      </c>
      <c r="B63" s="28">
        <f>B43</f>
        <v>1</v>
      </c>
    </row>
    <row r="64" spans="1:3" x14ac:dyDescent="0.35">
      <c r="A64" t="s">
        <v>622</v>
      </c>
      <c r="B64" s="28">
        <f>B44</f>
        <v>1</v>
      </c>
    </row>
    <row r="65" spans="1:2" x14ac:dyDescent="0.35">
      <c r="A65" t="s">
        <v>623</v>
      </c>
      <c r="B65" t="str">
        <f>B45</f>
        <v>N/A — no losses</v>
      </c>
    </row>
    <row r="66" spans="1:2" x14ac:dyDescent="0.35">
      <c r="A66" t="s">
        <v>640</v>
      </c>
      <c r="B66" s="44">
        <f>B47</f>
        <v>30000</v>
      </c>
    </row>
  </sheetData>
  <pageMargins left="0.7" right="0.7" top="0.75" bottom="0.75" header="0.3" footer="0.3"/>
  <pageSetup orientation="portrait" r:id="rId1"/>
  <ignoredErrors>
    <ignoredError sqref="F7 F15"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6536-E0F1-4975-A641-B712DF8BD68D}">
  <sheetPr>
    <tabColor theme="9" tint="-0.499984740745262"/>
  </sheetPr>
  <dimension ref="A1:E18"/>
  <sheetViews>
    <sheetView tabSelected="1" workbookViewId="0">
      <selection activeCell="L25" sqref="L25"/>
    </sheetView>
  </sheetViews>
  <sheetFormatPr defaultRowHeight="14.5" x14ac:dyDescent="0.35"/>
  <cols>
    <col min="1" max="1" width="29.08984375" customWidth="1"/>
    <col min="2" max="4" width="20" customWidth="1"/>
    <col min="5" max="5" width="23.6328125" customWidth="1"/>
  </cols>
  <sheetData>
    <row r="1" spans="1:5" ht="18.5" x14ac:dyDescent="0.45">
      <c r="A1" s="117" t="s">
        <v>641</v>
      </c>
    </row>
    <row r="3" spans="1:5" x14ac:dyDescent="0.35">
      <c r="A3" s="113" t="s">
        <v>4</v>
      </c>
      <c r="B3" s="118">
        <v>46023</v>
      </c>
      <c r="C3" s="118">
        <v>46054</v>
      </c>
      <c r="D3" s="118">
        <v>46082</v>
      </c>
      <c r="E3" s="119" t="s">
        <v>81</v>
      </c>
    </row>
    <row r="4" spans="1:5" x14ac:dyDescent="0.35">
      <c r="A4" t="s">
        <v>26</v>
      </c>
      <c r="B4" s="100">
        <f>'Jan 2026 A vs F '!B9</f>
        <v>144779.5</v>
      </c>
      <c r="E4" s="120"/>
    </row>
    <row r="5" spans="1:5" x14ac:dyDescent="0.35">
      <c r="A5" t="s">
        <v>193</v>
      </c>
      <c r="B5" s="121">
        <f>'Jan 2026 A vs F '!B39</f>
        <v>39</v>
      </c>
      <c r="E5" s="120"/>
    </row>
    <row r="6" spans="1:5" x14ac:dyDescent="0.35">
      <c r="A6" t="s">
        <v>616</v>
      </c>
      <c r="B6" s="100">
        <f>'Jan 2026 A vs F '!B41</f>
        <v>3712.2948717948716</v>
      </c>
      <c r="E6" s="120"/>
    </row>
    <row r="7" spans="1:5" x14ac:dyDescent="0.35">
      <c r="A7" t="s">
        <v>618</v>
      </c>
      <c r="B7" s="28">
        <f>'Jan 2026 A vs F '!B42</f>
        <v>0.7</v>
      </c>
      <c r="E7" s="120"/>
    </row>
    <row r="8" spans="1:5" x14ac:dyDescent="0.35">
      <c r="A8" t="s">
        <v>620</v>
      </c>
      <c r="B8" s="28">
        <f>'Jan 2026 A vs F '!B43</f>
        <v>1</v>
      </c>
      <c r="E8" s="120"/>
    </row>
    <row r="9" spans="1:5" x14ac:dyDescent="0.35">
      <c r="A9" t="s">
        <v>622</v>
      </c>
      <c r="B9" s="28">
        <f>'Jan 2026 A vs F '!B44</f>
        <v>1</v>
      </c>
      <c r="E9" s="120"/>
    </row>
    <row r="10" spans="1:5" x14ac:dyDescent="0.35">
      <c r="A10" t="s">
        <v>623</v>
      </c>
      <c r="B10" t="str">
        <f>'Jan 2026 A vs F '!B45</f>
        <v>N/A — no losses</v>
      </c>
      <c r="E10" s="120"/>
    </row>
    <row r="11" spans="1:5" x14ac:dyDescent="0.35">
      <c r="A11" t="s">
        <v>625</v>
      </c>
      <c r="B11" s="44">
        <f>'Jan 2026 A vs F '!B46</f>
        <v>30000</v>
      </c>
      <c r="E11" s="120"/>
    </row>
    <row r="12" spans="1:5" x14ac:dyDescent="0.35">
      <c r="A12" t="s">
        <v>642</v>
      </c>
      <c r="B12" s="44">
        <f>'Jan 2026 A vs F '!B47</f>
        <v>30000</v>
      </c>
      <c r="E12" s="120"/>
    </row>
    <row r="13" spans="1:5" x14ac:dyDescent="0.35">
      <c r="A13" s="120" t="s">
        <v>643</v>
      </c>
      <c r="B13" s="122" t="s">
        <v>629</v>
      </c>
      <c r="C13" s="122" t="s">
        <v>629</v>
      </c>
      <c r="D13" s="122" t="s">
        <v>629</v>
      </c>
      <c r="E13" s="123" t="s">
        <v>644</v>
      </c>
    </row>
    <row r="14" spans="1:5" x14ac:dyDescent="0.35">
      <c r="A14" s="120" t="s">
        <v>628</v>
      </c>
      <c r="B14" s="122" t="s">
        <v>629</v>
      </c>
      <c r="C14" s="122" t="s">
        <v>629</v>
      </c>
      <c r="D14" s="122" t="s">
        <v>629</v>
      </c>
      <c r="E14" s="123" t="s">
        <v>644</v>
      </c>
    </row>
    <row r="15" spans="1:5" x14ac:dyDescent="0.35">
      <c r="A15" s="120" t="s">
        <v>631</v>
      </c>
      <c r="B15" s="122" t="s">
        <v>629</v>
      </c>
      <c r="C15" s="122" t="s">
        <v>629</v>
      </c>
      <c r="D15" s="122" t="s">
        <v>629</v>
      </c>
      <c r="E15" s="123" t="s">
        <v>644</v>
      </c>
    </row>
    <row r="16" spans="1:5" x14ac:dyDescent="0.35">
      <c r="A16" s="120" t="s">
        <v>632</v>
      </c>
      <c r="B16" s="122" t="s">
        <v>629</v>
      </c>
      <c r="C16" s="122" t="s">
        <v>629</v>
      </c>
      <c r="D16" s="122" t="s">
        <v>629</v>
      </c>
      <c r="E16" s="123" t="s">
        <v>644</v>
      </c>
    </row>
    <row r="18" spans="1:5" ht="30" customHeight="1" x14ac:dyDescent="0.35">
      <c r="A18" s="125" t="s">
        <v>645</v>
      </c>
      <c r="B18" s="125"/>
      <c r="C18" s="125"/>
      <c r="D18" s="124"/>
      <c r="E18" s="124"/>
    </row>
  </sheetData>
  <mergeCells count="1">
    <mergeCell ref="A18:C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400A-F6A7-4884-99EF-FD343C8B71C2}">
  <sheetPr>
    <tabColor theme="8" tint="-0.499984740745262"/>
  </sheetPr>
  <dimension ref="A1:E8"/>
  <sheetViews>
    <sheetView workbookViewId="0">
      <selection activeCell="I34" sqref="I34"/>
    </sheetView>
  </sheetViews>
  <sheetFormatPr defaultRowHeight="14.5" x14ac:dyDescent="0.35"/>
  <cols>
    <col min="1" max="1" width="8.81640625" bestFit="1" customWidth="1"/>
    <col min="2" max="2" width="15" bestFit="1" customWidth="1"/>
    <col min="3" max="4" width="10.81640625" bestFit="1" customWidth="1"/>
    <col min="5" max="5" width="10.36328125" bestFit="1" customWidth="1"/>
  </cols>
  <sheetData>
    <row r="1" spans="1:5" x14ac:dyDescent="0.35">
      <c r="A1" t="s">
        <v>155</v>
      </c>
      <c r="B1" t="s">
        <v>646</v>
      </c>
      <c r="C1" t="s">
        <v>647</v>
      </c>
      <c r="D1" t="s">
        <v>648</v>
      </c>
      <c r="E1" t="s">
        <v>649</v>
      </c>
    </row>
    <row r="2" spans="1:5" x14ac:dyDescent="0.35">
      <c r="A2" s="96">
        <v>46023</v>
      </c>
      <c r="B2" t="s">
        <v>14</v>
      </c>
      <c r="C2" s="100">
        <f>'Jan 2026 A vs F '!B3</f>
        <v>143069.5</v>
      </c>
      <c r="D2" s="100">
        <f>'Jan 2026 A vs F '!C3</f>
        <v>143069.5</v>
      </c>
      <c r="E2" s="100">
        <f>'Jan 2026 A vs F '!D3</f>
        <v>0</v>
      </c>
    </row>
    <row r="3" spans="1:5" x14ac:dyDescent="0.35">
      <c r="A3" s="96">
        <v>46023</v>
      </c>
      <c r="B3" t="s">
        <v>650</v>
      </c>
      <c r="C3" s="100">
        <f>'Jan 2026 A vs F '!B4</f>
        <v>1710</v>
      </c>
      <c r="D3" s="100">
        <f>'Jan 2026 A vs F '!C4</f>
        <v>4000</v>
      </c>
      <c r="E3" s="100">
        <f>'Jan 2026 A vs F '!D4</f>
        <v>-2290</v>
      </c>
    </row>
    <row r="4" spans="1:5" x14ac:dyDescent="0.35">
      <c r="A4" s="96">
        <v>46023</v>
      </c>
      <c r="B4" t="s">
        <v>651</v>
      </c>
      <c r="C4" s="100">
        <f>'Jan 2026 A vs F '!B5</f>
        <v>0</v>
      </c>
      <c r="D4" s="100">
        <f>'Jan 2026 A vs F '!C5</f>
        <v>715.34749999999997</v>
      </c>
      <c r="E4" s="100">
        <f>'Jan 2026 A vs F '!D5</f>
        <v>-715.34749999999997</v>
      </c>
    </row>
    <row r="5" spans="1:5" x14ac:dyDescent="0.35">
      <c r="A5" s="96">
        <v>46023</v>
      </c>
      <c r="B5" t="s">
        <v>652</v>
      </c>
      <c r="C5" s="100">
        <f>'Jan 2026 A vs F '!B6</f>
        <v>0</v>
      </c>
      <c r="D5" s="100">
        <f>'Jan 2026 A vs F '!C6</f>
        <v>0</v>
      </c>
      <c r="E5" s="100">
        <f>C5-D5</f>
        <v>0</v>
      </c>
    </row>
    <row r="6" spans="1:5" x14ac:dyDescent="0.35">
      <c r="A6" s="96">
        <v>46023</v>
      </c>
      <c r="B6" t="s">
        <v>653</v>
      </c>
      <c r="C6" s="100">
        <f>'Jan 2026 A vs F '!B7</f>
        <v>0</v>
      </c>
      <c r="D6" s="100">
        <f>'Jan 2026 A vs F '!C7</f>
        <v>953.79666666666662</v>
      </c>
      <c r="E6" s="100">
        <f>C6-D6</f>
        <v>-953.79666666666662</v>
      </c>
    </row>
    <row r="7" spans="1:5" x14ac:dyDescent="0.35">
      <c r="A7" s="96">
        <v>46023</v>
      </c>
      <c r="B7" t="s">
        <v>24</v>
      </c>
      <c r="C7" s="100">
        <f>'Jan 2026 A vs F '!B8</f>
        <v>1710</v>
      </c>
      <c r="D7" s="100">
        <f>'Jan 2026 A vs F '!C8</f>
        <v>3761.5508333333332</v>
      </c>
      <c r="E7" s="100">
        <f>'Jan 2026 A vs F '!D8</f>
        <v>-2051.5508333333332</v>
      </c>
    </row>
    <row r="8" spans="1:5" x14ac:dyDescent="0.35">
      <c r="A8" s="96">
        <v>46023</v>
      </c>
      <c r="B8" t="s">
        <v>26</v>
      </c>
      <c r="C8" s="100">
        <f>'Jan 2026 A vs F '!B9</f>
        <v>144779.5</v>
      </c>
      <c r="D8" s="100">
        <f>'Jan 2026 A vs F '!C9</f>
        <v>146831.05083333334</v>
      </c>
      <c r="E8" s="100">
        <f>'Jan 2026 A vs F '!D9</f>
        <v>-2051.5508333333419</v>
      </c>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C6DE-03E7-4ACC-888F-430CD55F0A58}">
  <dimension ref="A1:V98"/>
  <sheetViews>
    <sheetView workbookViewId="0">
      <selection activeCell="T23" sqref="T23"/>
    </sheetView>
  </sheetViews>
  <sheetFormatPr defaultRowHeight="14.5" x14ac:dyDescent="0.35"/>
  <cols>
    <col min="1" max="1" width="9.90625" customWidth="1"/>
    <col min="2" max="2" width="15.81640625" customWidth="1"/>
    <col min="3" max="3" width="13.1796875" customWidth="1"/>
    <col min="4" max="4" width="24.36328125" bestFit="1" customWidth="1"/>
    <col min="5" max="5" width="14.36328125" bestFit="1" customWidth="1"/>
    <col min="6" max="6" width="8.26953125" customWidth="1"/>
    <col min="7" max="7" width="12" customWidth="1"/>
    <col min="8" max="8" width="14" bestFit="1" customWidth="1"/>
    <col min="9" max="9" width="14.453125" bestFit="1" customWidth="1"/>
    <col min="10" max="10" width="17" bestFit="1" customWidth="1"/>
    <col min="11" max="11" width="15" bestFit="1" customWidth="1"/>
    <col min="12" max="12" width="53.81640625" bestFit="1" customWidth="1"/>
    <col min="13" max="13" width="17" bestFit="1" customWidth="1"/>
    <col min="14" max="14" width="13.36328125" customWidth="1"/>
    <col min="15" max="15" width="7.26953125" customWidth="1"/>
    <col min="16" max="16" width="15" customWidth="1"/>
    <col min="17" max="17" width="17.453125" customWidth="1"/>
    <col min="18" max="18" width="11.7265625" customWidth="1"/>
    <col min="19" max="19" width="10.81640625" style="95" customWidth="1"/>
    <col min="20" max="20" width="10.81640625" bestFit="1" customWidth="1"/>
    <col min="21" max="21" width="12.26953125" bestFit="1" customWidth="1"/>
    <col min="22" max="22" width="17.54296875" bestFit="1" customWidth="1"/>
  </cols>
  <sheetData>
    <row r="1" spans="1:22" x14ac:dyDescent="0.35">
      <c r="A1" t="s">
        <v>313</v>
      </c>
      <c r="B1" t="s">
        <v>314</v>
      </c>
      <c r="C1" t="s">
        <v>315</v>
      </c>
      <c r="D1" t="s">
        <v>316</v>
      </c>
      <c r="E1" t="s">
        <v>317</v>
      </c>
      <c r="F1" t="s">
        <v>318</v>
      </c>
      <c r="G1" t="s">
        <v>319</v>
      </c>
      <c r="H1" t="s">
        <v>320</v>
      </c>
      <c r="I1" t="s">
        <v>321</v>
      </c>
      <c r="J1" t="s">
        <v>322</v>
      </c>
      <c r="K1" t="s">
        <v>323</v>
      </c>
      <c r="L1" t="s">
        <v>324</v>
      </c>
      <c r="M1" t="s">
        <v>304</v>
      </c>
      <c r="N1" t="s">
        <v>325</v>
      </c>
      <c r="O1" t="s">
        <v>326</v>
      </c>
      <c r="P1" t="s">
        <v>327</v>
      </c>
      <c r="Q1" t="s">
        <v>328</v>
      </c>
      <c r="R1" t="s">
        <v>329</v>
      </c>
      <c r="S1" s="95" t="s">
        <v>330</v>
      </c>
      <c r="T1" s="42" t="s">
        <v>331</v>
      </c>
      <c r="U1" s="42" t="s">
        <v>332</v>
      </c>
      <c r="V1" s="42" t="s">
        <v>333</v>
      </c>
    </row>
    <row r="2" spans="1:22" x14ac:dyDescent="0.35">
      <c r="A2" t="s">
        <v>334</v>
      </c>
      <c r="B2" t="s">
        <v>226</v>
      </c>
      <c r="C2" t="s">
        <v>335</v>
      </c>
      <c r="D2" t="s">
        <v>227</v>
      </c>
      <c r="E2" t="s">
        <v>336</v>
      </c>
      <c r="F2" s="96">
        <v>45292</v>
      </c>
      <c r="G2" s="97">
        <v>45299</v>
      </c>
      <c r="H2" t="s">
        <v>337</v>
      </c>
      <c r="M2" t="s">
        <v>203</v>
      </c>
      <c r="N2" t="s">
        <v>338</v>
      </c>
      <c r="O2">
        <v>20</v>
      </c>
      <c r="P2">
        <v>95</v>
      </c>
      <c r="Q2">
        <v>0</v>
      </c>
      <c r="R2"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98"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f>IF(H2&lt;&gt;"created",0,IF(COUNTIFS($C$1:C1,$C2,$H$1:H1,"created")=0,1,0))</f>
        <v>1</v>
      </c>
      <c r="U2">
        <f>IF(H2&lt;&gt;"cancelled",0,IF(COUNTIFS($C$2:$C$98,$C2,$H$2:$H$98,"created",$F$2:$F$98,"&lt;="&amp;F2)-COUNTIFS($C$2:$C$98,$C2,$H$2:$H$98,"cancelled",$F$2:$F$98,"&lt;="&amp;F2)=0,1,0))</f>
        <v>0</v>
      </c>
      <c r="V2">
        <f>IF(AND(H2="created",T2=0,COUNTIFS($C$2:$C$98,$C2,$H$2:$H$98,"cancelled",$F$2:$F$98,"&lt;"&amp;F2)&gt;0,COUNTIFS($C$2:$C$98,$C2,$H$2:$H$98,"created",$F$2:$F$98,"&lt;"&amp;F2)-COUNTIFS($C$2:$C$98,$C2,$H$2:$H$98,"cancelled",$F$2:$F$98,"&lt;"&amp;F2)=0),1,0)</f>
        <v>0</v>
      </c>
    </row>
    <row r="3" spans="1:22" x14ac:dyDescent="0.35">
      <c r="A3" t="s">
        <v>339</v>
      </c>
      <c r="B3" t="s">
        <v>340</v>
      </c>
      <c r="C3" t="s">
        <v>341</v>
      </c>
      <c r="D3" t="s">
        <v>342</v>
      </c>
      <c r="E3" t="s">
        <v>343</v>
      </c>
      <c r="F3" s="96">
        <v>45292</v>
      </c>
      <c r="G3" s="97">
        <v>45313</v>
      </c>
      <c r="H3" t="s">
        <v>337</v>
      </c>
      <c r="M3" t="s">
        <v>207</v>
      </c>
      <c r="N3" t="s">
        <v>344</v>
      </c>
      <c r="O3">
        <v>26</v>
      </c>
      <c r="P3">
        <v>1800</v>
      </c>
      <c r="Q3">
        <v>0</v>
      </c>
      <c r="R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98"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f>IF(H3&lt;&gt;"created",0,IF(COUNTIFS($C$1:C2,$C3,$H$1:H2,"created")=0,1,0))</f>
        <v>1</v>
      </c>
      <c r="U3">
        <f t="shared" ref="U3:U66" si="0">IF(H3&lt;&gt;"cancelled",0,IF(COUNTIFS($C$2:$C$98,$C3,$H$2:$H$98,"created",$F$2:$F$98,"&lt;="&amp;F3)-COUNTIFS($C$2:$C$98,$C3,$H$2:$H$98,"cancelled",$F$2:$F$98,"&lt;="&amp;F3)=0,1,0))</f>
        <v>0</v>
      </c>
      <c r="V3">
        <f t="shared" ref="V3:V66" si="1">IF(AND(H3="created",T3=0,COUNTIFS($C$2:$C$98,$C3,$H$2:$H$98,"cancelled",$F$2:$F$98,"&lt;"&amp;F3)&gt;0,COUNTIFS($C$2:$C$98,$C3,$H$2:$H$98,"created",$F$2:$F$98,"&lt;"&amp;F3)-COUNTIFS($C$2:$C$98,$C3,$H$2:$H$98,"cancelled",$F$2:$F$98,"&lt;"&amp;F3)=0),1,0)</f>
        <v>0</v>
      </c>
    </row>
    <row r="4" spans="1:22" x14ac:dyDescent="0.35">
      <c r="A4" t="s">
        <v>345</v>
      </c>
      <c r="B4" t="s">
        <v>346</v>
      </c>
      <c r="C4" t="s">
        <v>347</v>
      </c>
      <c r="D4" t="s">
        <v>348</v>
      </c>
      <c r="E4" t="s">
        <v>336</v>
      </c>
      <c r="F4" s="96">
        <v>45323</v>
      </c>
      <c r="G4" s="97">
        <v>45327</v>
      </c>
      <c r="H4" t="s">
        <v>337</v>
      </c>
      <c r="M4" t="s">
        <v>205</v>
      </c>
      <c r="N4" t="s">
        <v>338</v>
      </c>
      <c r="O4">
        <v>23</v>
      </c>
      <c r="P4">
        <v>85</v>
      </c>
      <c r="Q4">
        <v>0</v>
      </c>
      <c r="R4"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98"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f>IF(H4&lt;&gt;"created",0,IF(COUNTIFS($C$1:C3,$C4,$H$1:H3,"created")=0,1,0))</f>
        <v>1</v>
      </c>
      <c r="U4">
        <f t="shared" si="0"/>
        <v>0</v>
      </c>
      <c r="V4">
        <f t="shared" si="1"/>
        <v>0</v>
      </c>
    </row>
    <row r="5" spans="1:22" x14ac:dyDescent="0.35">
      <c r="A5" t="s">
        <v>349</v>
      </c>
      <c r="B5" t="s">
        <v>350</v>
      </c>
      <c r="C5" t="s">
        <v>351</v>
      </c>
      <c r="D5" t="s">
        <v>243</v>
      </c>
      <c r="E5" t="s">
        <v>343</v>
      </c>
      <c r="F5" s="96">
        <v>45323</v>
      </c>
      <c r="G5" s="97">
        <v>45341</v>
      </c>
      <c r="H5" t="s">
        <v>337</v>
      </c>
      <c r="M5" t="s">
        <v>206</v>
      </c>
      <c r="N5" t="s">
        <v>338</v>
      </c>
      <c r="O5">
        <v>18</v>
      </c>
      <c r="P5">
        <v>110</v>
      </c>
      <c r="Q5">
        <v>0</v>
      </c>
      <c r="R5"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98"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f>IF(H5&lt;&gt;"created",0,IF(COUNTIFS($C$1:C4,$C5,$H$1:H4,"created")=0,1,0))</f>
        <v>1</v>
      </c>
      <c r="U5">
        <f t="shared" si="0"/>
        <v>0</v>
      </c>
      <c r="V5">
        <f t="shared" si="1"/>
        <v>0</v>
      </c>
    </row>
    <row r="6" spans="1:22" x14ac:dyDescent="0.35">
      <c r="A6" t="s">
        <v>352</v>
      </c>
      <c r="B6" t="s">
        <v>242</v>
      </c>
      <c r="C6" t="s">
        <v>351</v>
      </c>
      <c r="D6" t="s">
        <v>243</v>
      </c>
      <c r="E6" t="s">
        <v>343</v>
      </c>
      <c r="F6" s="96">
        <v>45323</v>
      </c>
      <c r="G6" s="97">
        <v>45341</v>
      </c>
      <c r="H6" t="s">
        <v>337</v>
      </c>
      <c r="M6" t="s">
        <v>204</v>
      </c>
      <c r="N6" t="s">
        <v>338</v>
      </c>
      <c r="O6">
        <v>26</v>
      </c>
      <c r="P6">
        <v>180</v>
      </c>
      <c r="Q6">
        <v>0</v>
      </c>
      <c r="R6"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98"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f>IF(H6&lt;&gt;"created",0,IF(COUNTIFS($C$1:C5,$C6,$H$1:H5,"created")=0,1,0))</f>
        <v>0</v>
      </c>
      <c r="U6">
        <f t="shared" si="0"/>
        <v>0</v>
      </c>
      <c r="V6">
        <f t="shared" si="1"/>
        <v>0</v>
      </c>
    </row>
    <row r="7" spans="1:22" x14ac:dyDescent="0.35">
      <c r="A7" t="s">
        <v>353</v>
      </c>
      <c r="B7" t="s">
        <v>228</v>
      </c>
      <c r="C7" t="s">
        <v>354</v>
      </c>
      <c r="D7" t="s">
        <v>229</v>
      </c>
      <c r="E7" t="s">
        <v>336</v>
      </c>
      <c r="F7" s="96">
        <v>45352</v>
      </c>
      <c r="G7" s="97">
        <v>45355</v>
      </c>
      <c r="H7" t="s">
        <v>337</v>
      </c>
      <c r="M7" t="s">
        <v>202</v>
      </c>
      <c r="N7" t="s">
        <v>338</v>
      </c>
      <c r="O7">
        <v>11</v>
      </c>
      <c r="P7">
        <v>45</v>
      </c>
      <c r="Q7">
        <v>0</v>
      </c>
      <c r="R7"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98"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f>IF(H7&lt;&gt;"created",0,IF(COUNTIFS($C$1:C6,$C7,$H$1:H6,"created")=0,1,0))</f>
        <v>1</v>
      </c>
      <c r="U7">
        <f t="shared" si="0"/>
        <v>0</v>
      </c>
      <c r="V7">
        <f t="shared" si="1"/>
        <v>0</v>
      </c>
    </row>
    <row r="8" spans="1:22" x14ac:dyDescent="0.35">
      <c r="A8" t="s">
        <v>355</v>
      </c>
      <c r="B8" t="s">
        <v>356</v>
      </c>
      <c r="C8" t="s">
        <v>357</v>
      </c>
      <c r="D8" t="s">
        <v>358</v>
      </c>
      <c r="E8" t="s">
        <v>343</v>
      </c>
      <c r="F8" s="96">
        <v>45352</v>
      </c>
      <c r="G8" s="97">
        <v>45369</v>
      </c>
      <c r="H8" t="s">
        <v>337</v>
      </c>
      <c r="M8" t="s">
        <v>204</v>
      </c>
      <c r="N8" t="s">
        <v>344</v>
      </c>
      <c r="O8">
        <v>31</v>
      </c>
      <c r="P8">
        <v>2160</v>
      </c>
      <c r="Q8">
        <v>0</v>
      </c>
      <c r="R8"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98"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f>IF(H8&lt;&gt;"created",0,IF(COUNTIFS($C$1:C7,$C8,$H$1:H7,"created")=0,1,0))</f>
        <v>1</v>
      </c>
      <c r="U8">
        <f t="shared" si="0"/>
        <v>0</v>
      </c>
      <c r="V8">
        <f t="shared" si="1"/>
        <v>0</v>
      </c>
    </row>
    <row r="9" spans="1:22" x14ac:dyDescent="0.35">
      <c r="A9" t="s">
        <v>359</v>
      </c>
      <c r="B9" t="s">
        <v>360</v>
      </c>
      <c r="C9" t="s">
        <v>361</v>
      </c>
      <c r="D9" t="s">
        <v>247</v>
      </c>
      <c r="E9" t="s">
        <v>336</v>
      </c>
      <c r="F9" s="96">
        <v>45383</v>
      </c>
      <c r="G9" s="97">
        <v>45383</v>
      </c>
      <c r="H9" t="s">
        <v>337</v>
      </c>
      <c r="M9" t="s">
        <v>205</v>
      </c>
      <c r="N9" t="s">
        <v>338</v>
      </c>
      <c r="O9">
        <v>16</v>
      </c>
      <c r="P9">
        <v>85</v>
      </c>
      <c r="Q9">
        <v>0</v>
      </c>
      <c r="R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98"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f>IF(H9&lt;&gt;"created",0,IF(COUNTIFS($C$1:C8,$C9,$H$1:H8,"created")=0,1,0))</f>
        <v>1</v>
      </c>
      <c r="U9">
        <f t="shared" si="0"/>
        <v>0</v>
      </c>
      <c r="V9">
        <f t="shared" si="1"/>
        <v>0</v>
      </c>
    </row>
    <row r="10" spans="1:22" x14ac:dyDescent="0.35">
      <c r="A10" t="s">
        <v>362</v>
      </c>
      <c r="B10" t="s">
        <v>246</v>
      </c>
      <c r="C10" t="s">
        <v>361</v>
      </c>
      <c r="D10" t="s">
        <v>247</v>
      </c>
      <c r="E10" t="s">
        <v>336</v>
      </c>
      <c r="F10" s="96">
        <v>45383</v>
      </c>
      <c r="G10" s="97">
        <v>45383</v>
      </c>
      <c r="H10" t="s">
        <v>337</v>
      </c>
      <c r="M10" t="s">
        <v>202</v>
      </c>
      <c r="N10" t="s">
        <v>338</v>
      </c>
      <c r="O10">
        <v>15</v>
      </c>
      <c r="P10">
        <v>45</v>
      </c>
      <c r="Q10">
        <v>12</v>
      </c>
      <c r="R10"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98"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f>IF(H10&lt;&gt;"created",0,IF(COUNTIFS($C$1:C9,$C10,$H$1:H9,"created")=0,1,0))</f>
        <v>0</v>
      </c>
      <c r="U10">
        <f t="shared" si="0"/>
        <v>0</v>
      </c>
      <c r="V10">
        <f t="shared" si="1"/>
        <v>0</v>
      </c>
    </row>
    <row r="11" spans="1:22" x14ac:dyDescent="0.35">
      <c r="A11" t="s">
        <v>363</v>
      </c>
      <c r="B11" t="s">
        <v>230</v>
      </c>
      <c r="C11" t="s">
        <v>364</v>
      </c>
      <c r="D11" t="s">
        <v>231</v>
      </c>
      <c r="E11" t="s">
        <v>336</v>
      </c>
      <c r="F11" s="96">
        <v>45383</v>
      </c>
      <c r="G11" s="97">
        <v>45397</v>
      </c>
      <c r="H11" t="s">
        <v>337</v>
      </c>
      <c r="M11" t="s">
        <v>203</v>
      </c>
      <c r="N11" t="s">
        <v>338</v>
      </c>
      <c r="O11">
        <v>22</v>
      </c>
      <c r="P11">
        <v>95</v>
      </c>
      <c r="Q11">
        <v>0</v>
      </c>
      <c r="R11"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98"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f>IF(H11&lt;&gt;"created",0,IF(COUNTIFS($C$1:C10,$C11,$H$1:H10,"created")=0,1,0))</f>
        <v>1</v>
      </c>
      <c r="U11">
        <f t="shared" si="0"/>
        <v>0</v>
      </c>
      <c r="V11">
        <f t="shared" si="1"/>
        <v>0</v>
      </c>
    </row>
    <row r="12" spans="1:22" x14ac:dyDescent="0.35">
      <c r="A12" t="s">
        <v>365</v>
      </c>
      <c r="B12" t="s">
        <v>366</v>
      </c>
      <c r="C12" t="s">
        <v>367</v>
      </c>
      <c r="D12" t="s">
        <v>368</v>
      </c>
      <c r="E12" t="s">
        <v>343</v>
      </c>
      <c r="F12" s="96">
        <v>45383</v>
      </c>
      <c r="G12" s="97">
        <v>45411</v>
      </c>
      <c r="H12" t="s">
        <v>337</v>
      </c>
      <c r="M12" t="s">
        <v>207</v>
      </c>
      <c r="N12" t="s">
        <v>344</v>
      </c>
      <c r="O12">
        <v>36</v>
      </c>
      <c r="P12">
        <v>1800</v>
      </c>
      <c r="Q12">
        <v>0</v>
      </c>
      <c r="R12"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98"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f>IF(H12&lt;&gt;"created",0,IF(COUNTIFS($C$1:C11,$C12,$H$1:H11,"created")=0,1,0))</f>
        <v>1</v>
      </c>
      <c r="U12">
        <f t="shared" si="0"/>
        <v>0</v>
      </c>
      <c r="V12">
        <f t="shared" si="1"/>
        <v>0</v>
      </c>
    </row>
    <row r="13" spans="1:22" x14ac:dyDescent="0.35">
      <c r="A13" t="s">
        <v>369</v>
      </c>
      <c r="B13" t="s">
        <v>370</v>
      </c>
      <c r="C13" t="s">
        <v>371</v>
      </c>
      <c r="D13" t="s">
        <v>372</v>
      </c>
      <c r="E13" t="s">
        <v>336</v>
      </c>
      <c r="F13" s="96">
        <v>45413</v>
      </c>
      <c r="G13" s="97">
        <v>45425</v>
      </c>
      <c r="H13" t="s">
        <v>337</v>
      </c>
      <c r="M13" t="s">
        <v>202</v>
      </c>
      <c r="N13" t="s">
        <v>338</v>
      </c>
      <c r="O13">
        <v>13</v>
      </c>
      <c r="P13">
        <v>45</v>
      </c>
      <c r="Q13">
        <v>0</v>
      </c>
      <c r="R1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98"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f>IF(H13&lt;&gt;"created",0,IF(COUNTIFS($C$1:C12,$C13,$H$1:H12,"created")=0,1,0))</f>
        <v>1</v>
      </c>
      <c r="U13">
        <f t="shared" si="0"/>
        <v>0</v>
      </c>
      <c r="V13">
        <f t="shared" si="1"/>
        <v>0</v>
      </c>
    </row>
    <row r="14" spans="1:22" x14ac:dyDescent="0.35">
      <c r="A14" t="s">
        <v>373</v>
      </c>
      <c r="B14" t="s">
        <v>374</v>
      </c>
      <c r="C14" t="s">
        <v>375</v>
      </c>
      <c r="D14" t="s">
        <v>376</v>
      </c>
      <c r="E14" t="s">
        <v>377</v>
      </c>
      <c r="F14" s="96">
        <v>45413</v>
      </c>
      <c r="G14" s="97">
        <v>45439</v>
      </c>
      <c r="H14" t="s">
        <v>337</v>
      </c>
      <c r="M14" t="s">
        <v>206</v>
      </c>
      <c r="N14" t="s">
        <v>338</v>
      </c>
      <c r="O14">
        <v>18</v>
      </c>
      <c r="P14">
        <v>110</v>
      </c>
      <c r="Q14">
        <v>0</v>
      </c>
      <c r="R14"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98"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f>IF(H14&lt;&gt;"created",0,IF(COUNTIFS($C$1:C13,$C14,$H$1:H13,"created")=0,1,0))</f>
        <v>1</v>
      </c>
      <c r="U14">
        <f t="shared" si="0"/>
        <v>0</v>
      </c>
      <c r="V14">
        <f t="shared" si="1"/>
        <v>0</v>
      </c>
    </row>
    <row r="15" spans="1:22" x14ac:dyDescent="0.35">
      <c r="A15" t="s">
        <v>378</v>
      </c>
      <c r="B15" t="s">
        <v>379</v>
      </c>
      <c r="C15" t="s">
        <v>380</v>
      </c>
      <c r="D15" t="s">
        <v>237</v>
      </c>
      <c r="E15" t="s">
        <v>336</v>
      </c>
      <c r="F15" s="96">
        <v>45444</v>
      </c>
      <c r="G15" s="97">
        <v>45453</v>
      </c>
      <c r="H15" t="s">
        <v>337</v>
      </c>
      <c r="M15" t="s">
        <v>203</v>
      </c>
      <c r="N15" t="s">
        <v>338</v>
      </c>
      <c r="O15">
        <v>23</v>
      </c>
      <c r="P15">
        <v>95</v>
      </c>
      <c r="Q15">
        <v>0</v>
      </c>
      <c r="R15"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98"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f>IF(H15&lt;&gt;"created",0,IF(COUNTIFS($C$1:C14,$C15,$H$1:H14,"created")=0,1,0))</f>
        <v>1</v>
      </c>
      <c r="U15">
        <f t="shared" si="0"/>
        <v>0</v>
      </c>
      <c r="V15">
        <f t="shared" si="1"/>
        <v>0</v>
      </c>
    </row>
    <row r="16" spans="1:22" x14ac:dyDescent="0.35">
      <c r="A16" t="s">
        <v>381</v>
      </c>
      <c r="B16" t="s">
        <v>236</v>
      </c>
      <c r="C16" t="s">
        <v>380</v>
      </c>
      <c r="D16" t="s">
        <v>237</v>
      </c>
      <c r="E16" t="s">
        <v>336</v>
      </c>
      <c r="F16" s="96">
        <v>45444</v>
      </c>
      <c r="G16" s="97">
        <v>45453</v>
      </c>
      <c r="H16" t="s">
        <v>337</v>
      </c>
      <c r="M16" t="s">
        <v>202</v>
      </c>
      <c r="N16" t="s">
        <v>338</v>
      </c>
      <c r="O16">
        <v>19</v>
      </c>
      <c r="P16">
        <v>45</v>
      </c>
      <c r="Q16">
        <v>0</v>
      </c>
      <c r="R16"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98"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f>IF(H16&lt;&gt;"created",0,IF(COUNTIFS($C$1:C15,$C16,$H$1:H15,"created")=0,1,0))</f>
        <v>0</v>
      </c>
      <c r="U16">
        <f t="shared" si="0"/>
        <v>0</v>
      </c>
      <c r="V16">
        <f t="shared" si="1"/>
        <v>0</v>
      </c>
    </row>
    <row r="17" spans="1:22" x14ac:dyDescent="0.35">
      <c r="A17" t="s">
        <v>382</v>
      </c>
      <c r="B17" t="s">
        <v>232</v>
      </c>
      <c r="C17" t="s">
        <v>383</v>
      </c>
      <c r="D17" t="s">
        <v>233</v>
      </c>
      <c r="E17" t="s">
        <v>343</v>
      </c>
      <c r="F17" s="96">
        <v>45444</v>
      </c>
      <c r="G17" s="97">
        <v>45467</v>
      </c>
      <c r="H17" t="s">
        <v>337</v>
      </c>
      <c r="M17" t="s">
        <v>202</v>
      </c>
      <c r="N17" t="s">
        <v>338</v>
      </c>
      <c r="O17">
        <v>10</v>
      </c>
      <c r="P17">
        <v>45</v>
      </c>
      <c r="Q17">
        <v>0</v>
      </c>
      <c r="R17"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98"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f>IF(H17&lt;&gt;"created",0,IF(COUNTIFS($C$1:C16,$C17,$H$1:H16,"created")=0,1,0))</f>
        <v>1</v>
      </c>
      <c r="U17">
        <f t="shared" si="0"/>
        <v>0</v>
      </c>
      <c r="V17">
        <f t="shared" si="1"/>
        <v>0</v>
      </c>
    </row>
    <row r="18" spans="1:22" x14ac:dyDescent="0.35">
      <c r="A18" t="s">
        <v>384</v>
      </c>
      <c r="B18" t="s">
        <v>385</v>
      </c>
      <c r="C18" t="s">
        <v>386</v>
      </c>
      <c r="D18" t="s">
        <v>387</v>
      </c>
      <c r="E18" t="s">
        <v>336</v>
      </c>
      <c r="F18" s="96">
        <v>45474</v>
      </c>
      <c r="G18" s="97">
        <v>45481</v>
      </c>
      <c r="H18" t="s">
        <v>337</v>
      </c>
      <c r="M18" t="s">
        <v>205</v>
      </c>
      <c r="N18" t="s">
        <v>338</v>
      </c>
      <c r="O18">
        <v>28</v>
      </c>
      <c r="P18">
        <v>85</v>
      </c>
      <c r="Q18">
        <v>0</v>
      </c>
      <c r="R18"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98"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f>IF(H18&lt;&gt;"created",0,IF(COUNTIFS($C$1:C17,$C18,$H$1:H17,"created")=0,1,0))</f>
        <v>1</v>
      </c>
      <c r="U18">
        <f t="shared" si="0"/>
        <v>0</v>
      </c>
      <c r="V18">
        <f t="shared" si="1"/>
        <v>0</v>
      </c>
    </row>
    <row r="19" spans="1:22" x14ac:dyDescent="0.35">
      <c r="A19" t="s">
        <v>388</v>
      </c>
      <c r="B19" t="s">
        <v>389</v>
      </c>
      <c r="C19" t="s">
        <v>335</v>
      </c>
      <c r="D19" t="s">
        <v>227</v>
      </c>
      <c r="E19" t="s">
        <v>336</v>
      </c>
      <c r="F19" s="96">
        <v>45474</v>
      </c>
      <c r="G19" s="97">
        <v>45488</v>
      </c>
      <c r="H19" t="s">
        <v>337</v>
      </c>
      <c r="M19" t="s">
        <v>206</v>
      </c>
      <c r="N19" t="s">
        <v>338</v>
      </c>
      <c r="O19">
        <v>16</v>
      </c>
      <c r="P19">
        <v>110</v>
      </c>
      <c r="Q19">
        <v>0</v>
      </c>
      <c r="R1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98"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f>IF(H19&lt;&gt;"created",0,IF(COUNTIFS($C$1:C18,$C19,$H$1:H18,"created")=0,1,0))</f>
        <v>0</v>
      </c>
      <c r="U19">
        <f t="shared" si="0"/>
        <v>0</v>
      </c>
      <c r="V19">
        <f t="shared" si="1"/>
        <v>0</v>
      </c>
    </row>
    <row r="20" spans="1:22" x14ac:dyDescent="0.35">
      <c r="A20" t="s">
        <v>390</v>
      </c>
      <c r="B20" t="s">
        <v>244</v>
      </c>
      <c r="C20" t="s">
        <v>391</v>
      </c>
      <c r="D20" t="s">
        <v>245</v>
      </c>
      <c r="E20" t="s">
        <v>343</v>
      </c>
      <c r="F20" s="96">
        <v>45474</v>
      </c>
      <c r="G20" s="97">
        <v>45495</v>
      </c>
      <c r="H20" t="s">
        <v>337</v>
      </c>
      <c r="M20" t="s">
        <v>203</v>
      </c>
      <c r="N20" t="s">
        <v>338</v>
      </c>
      <c r="O20">
        <v>19</v>
      </c>
      <c r="P20">
        <v>95</v>
      </c>
      <c r="Q20">
        <v>10</v>
      </c>
      <c r="R20"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98"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f>IF(H20&lt;&gt;"created",0,IF(COUNTIFS($C$1:C19,$C20,$H$1:H19,"created")=0,1,0))</f>
        <v>1</v>
      </c>
      <c r="U20">
        <f t="shared" si="0"/>
        <v>0</v>
      </c>
      <c r="V20">
        <f t="shared" si="1"/>
        <v>0</v>
      </c>
    </row>
    <row r="21" spans="1:22" x14ac:dyDescent="0.35">
      <c r="A21" t="s">
        <v>392</v>
      </c>
      <c r="B21" t="s">
        <v>393</v>
      </c>
      <c r="C21" t="s">
        <v>391</v>
      </c>
      <c r="D21" t="s">
        <v>245</v>
      </c>
      <c r="E21" t="s">
        <v>343</v>
      </c>
      <c r="F21" s="96">
        <v>45474</v>
      </c>
      <c r="G21" s="97">
        <v>45495</v>
      </c>
      <c r="H21" t="s">
        <v>337</v>
      </c>
      <c r="M21" t="s">
        <v>204</v>
      </c>
      <c r="N21" t="s">
        <v>338</v>
      </c>
      <c r="O21">
        <v>20</v>
      </c>
      <c r="P21">
        <v>180</v>
      </c>
      <c r="Q21">
        <v>0</v>
      </c>
      <c r="R21"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98"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f>IF(H21&lt;&gt;"created",0,IF(COUNTIFS($C$1:C20,$C21,$H$1:H20,"created")=0,1,0))</f>
        <v>0</v>
      </c>
      <c r="U21">
        <f t="shared" si="0"/>
        <v>0</v>
      </c>
      <c r="V21">
        <f t="shared" si="1"/>
        <v>0</v>
      </c>
    </row>
    <row r="22" spans="1:22" x14ac:dyDescent="0.35">
      <c r="A22" t="s">
        <v>394</v>
      </c>
      <c r="B22" t="s">
        <v>395</v>
      </c>
      <c r="C22" t="s">
        <v>396</v>
      </c>
      <c r="D22" t="s">
        <v>397</v>
      </c>
      <c r="E22" t="s">
        <v>336</v>
      </c>
      <c r="F22" s="96">
        <v>45505</v>
      </c>
      <c r="G22" s="97">
        <v>45509</v>
      </c>
      <c r="H22" t="s">
        <v>337</v>
      </c>
      <c r="M22" t="s">
        <v>207</v>
      </c>
      <c r="N22" t="s">
        <v>344</v>
      </c>
      <c r="O22">
        <v>42</v>
      </c>
      <c r="P22">
        <v>1800</v>
      </c>
      <c r="Q22">
        <v>0</v>
      </c>
      <c r="R22"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98"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f>IF(H22&lt;&gt;"created",0,IF(COUNTIFS($C$1:C21,$C22,$H$1:H21,"created")=0,1,0))</f>
        <v>1</v>
      </c>
      <c r="U22">
        <f t="shared" si="0"/>
        <v>0</v>
      </c>
      <c r="V22">
        <f t="shared" si="1"/>
        <v>0</v>
      </c>
    </row>
    <row r="23" spans="1:22" x14ac:dyDescent="0.35">
      <c r="A23" t="s">
        <v>398</v>
      </c>
      <c r="B23" t="s">
        <v>399</v>
      </c>
      <c r="C23" t="s">
        <v>400</v>
      </c>
      <c r="D23" t="s">
        <v>401</v>
      </c>
      <c r="E23" t="s">
        <v>336</v>
      </c>
      <c r="F23" s="96">
        <v>45505</v>
      </c>
      <c r="G23" s="97">
        <v>45523</v>
      </c>
      <c r="H23" t="s">
        <v>337</v>
      </c>
      <c r="M23" t="s">
        <v>202</v>
      </c>
      <c r="N23" t="s">
        <v>338</v>
      </c>
      <c r="O23">
        <v>12</v>
      </c>
      <c r="P23">
        <v>45</v>
      </c>
      <c r="Q23">
        <v>0</v>
      </c>
      <c r="R2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98"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f>IF(H23&lt;&gt;"created",0,IF(COUNTIFS($C$1:C22,$C23,$H$1:H22,"created")=0,1,0))</f>
        <v>1</v>
      </c>
      <c r="U23">
        <f t="shared" si="0"/>
        <v>0</v>
      </c>
      <c r="V23">
        <f t="shared" si="1"/>
        <v>0</v>
      </c>
    </row>
    <row r="24" spans="1:22" x14ac:dyDescent="0.35">
      <c r="A24" t="s">
        <v>402</v>
      </c>
      <c r="B24" t="s">
        <v>226</v>
      </c>
      <c r="C24" t="s">
        <v>335</v>
      </c>
      <c r="D24" t="s">
        <v>227</v>
      </c>
      <c r="E24" t="s">
        <v>336</v>
      </c>
      <c r="F24" s="96">
        <v>45505</v>
      </c>
      <c r="G24" s="97">
        <v>45531</v>
      </c>
      <c r="H24" t="s">
        <v>403</v>
      </c>
      <c r="I24" t="s">
        <v>404</v>
      </c>
      <c r="J24" t="s">
        <v>405</v>
      </c>
      <c r="K24" t="s">
        <v>406</v>
      </c>
      <c r="L24" t="s">
        <v>407</v>
      </c>
      <c r="M24" t="s">
        <v>203</v>
      </c>
      <c r="N24" t="s">
        <v>338</v>
      </c>
      <c r="O24">
        <v>20</v>
      </c>
      <c r="P24">
        <v>95</v>
      </c>
      <c r="Q24">
        <v>0</v>
      </c>
      <c r="R24"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98"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f>IF(H24&lt;&gt;"created",0,IF(COUNTIFS($C$1:C23,$C24,$H$1:H23,"created")=0,1,0))</f>
        <v>0</v>
      </c>
      <c r="U24">
        <f t="shared" si="0"/>
        <v>0</v>
      </c>
      <c r="V24">
        <f t="shared" si="1"/>
        <v>0</v>
      </c>
    </row>
    <row r="25" spans="1:22" x14ac:dyDescent="0.35">
      <c r="A25" t="s">
        <v>408</v>
      </c>
      <c r="B25" t="s">
        <v>409</v>
      </c>
      <c r="C25" t="s">
        <v>410</v>
      </c>
      <c r="D25" t="s">
        <v>411</v>
      </c>
      <c r="E25" t="s">
        <v>343</v>
      </c>
      <c r="F25" s="96">
        <v>45536</v>
      </c>
      <c r="G25" s="97">
        <v>45537</v>
      </c>
      <c r="H25" t="s">
        <v>337</v>
      </c>
      <c r="M25" t="s">
        <v>204</v>
      </c>
      <c r="N25" t="s">
        <v>338</v>
      </c>
      <c r="O25">
        <v>35</v>
      </c>
      <c r="P25">
        <v>180</v>
      </c>
      <c r="Q25">
        <v>0</v>
      </c>
      <c r="R25"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98"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f>IF(H25&lt;&gt;"created",0,IF(COUNTIFS($C$1:C24,$C25,$H$1:H24,"created")=0,1,0))</f>
        <v>1</v>
      </c>
      <c r="U25">
        <f t="shared" si="0"/>
        <v>0</v>
      </c>
      <c r="V25">
        <f t="shared" si="1"/>
        <v>0</v>
      </c>
    </row>
    <row r="26" spans="1:22" x14ac:dyDescent="0.35">
      <c r="A26" t="s">
        <v>412</v>
      </c>
      <c r="B26" t="s">
        <v>413</v>
      </c>
      <c r="C26" t="s">
        <v>347</v>
      </c>
      <c r="D26" t="s">
        <v>348</v>
      </c>
      <c r="E26" t="s">
        <v>336</v>
      </c>
      <c r="F26" s="96">
        <v>45536</v>
      </c>
      <c r="G26" s="97">
        <v>45545</v>
      </c>
      <c r="H26" t="s">
        <v>337</v>
      </c>
      <c r="M26" t="s">
        <v>206</v>
      </c>
      <c r="N26" t="s">
        <v>338</v>
      </c>
      <c r="O26">
        <v>19</v>
      </c>
      <c r="P26">
        <v>110</v>
      </c>
      <c r="Q26">
        <v>0</v>
      </c>
      <c r="R26"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98"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f>IF(H26&lt;&gt;"created",0,IF(COUNTIFS($C$1:C25,$C26,$H$1:H25,"created")=0,1,0))</f>
        <v>0</v>
      </c>
      <c r="U26">
        <f t="shared" si="0"/>
        <v>0</v>
      </c>
      <c r="V26">
        <f t="shared" si="1"/>
        <v>0</v>
      </c>
    </row>
    <row r="27" spans="1:22" x14ac:dyDescent="0.35">
      <c r="A27" t="s">
        <v>414</v>
      </c>
      <c r="B27" t="s">
        <v>415</v>
      </c>
      <c r="C27" t="s">
        <v>416</v>
      </c>
      <c r="D27" t="s">
        <v>241</v>
      </c>
      <c r="E27" t="s">
        <v>377</v>
      </c>
      <c r="F27" s="96">
        <v>45536</v>
      </c>
      <c r="G27" s="97">
        <v>45551</v>
      </c>
      <c r="H27" t="s">
        <v>337</v>
      </c>
      <c r="M27" t="s">
        <v>205</v>
      </c>
      <c r="N27" t="s">
        <v>338</v>
      </c>
      <c r="O27">
        <v>19</v>
      </c>
      <c r="P27">
        <v>85</v>
      </c>
      <c r="Q27">
        <v>0</v>
      </c>
      <c r="R27"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98"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f>IF(H27&lt;&gt;"created",0,IF(COUNTIFS($C$1:C26,$C27,$H$1:H26,"created")=0,1,0))</f>
        <v>1</v>
      </c>
      <c r="U27">
        <f t="shared" si="0"/>
        <v>0</v>
      </c>
      <c r="V27">
        <f t="shared" si="1"/>
        <v>0</v>
      </c>
    </row>
    <row r="28" spans="1:22" x14ac:dyDescent="0.35">
      <c r="A28" t="s">
        <v>417</v>
      </c>
      <c r="B28" t="s">
        <v>240</v>
      </c>
      <c r="C28" t="s">
        <v>416</v>
      </c>
      <c r="D28" t="s">
        <v>241</v>
      </c>
      <c r="E28" t="s">
        <v>377</v>
      </c>
      <c r="F28" s="96">
        <v>45536</v>
      </c>
      <c r="G28" s="97">
        <v>45551</v>
      </c>
      <c r="H28" t="s">
        <v>337</v>
      </c>
      <c r="M28" t="s">
        <v>206</v>
      </c>
      <c r="N28" t="s">
        <v>338</v>
      </c>
      <c r="O28">
        <v>16</v>
      </c>
      <c r="P28">
        <v>110</v>
      </c>
      <c r="Q28">
        <v>0</v>
      </c>
      <c r="R28"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98"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f>IF(H28&lt;&gt;"created",0,IF(COUNTIFS($C$1:C27,$C28,$H$1:H27,"created")=0,1,0))</f>
        <v>0</v>
      </c>
      <c r="U28">
        <f t="shared" si="0"/>
        <v>0</v>
      </c>
      <c r="V28">
        <f t="shared" si="1"/>
        <v>0</v>
      </c>
    </row>
    <row r="29" spans="1:22" x14ac:dyDescent="0.35">
      <c r="A29" t="s">
        <v>418</v>
      </c>
      <c r="B29" t="s">
        <v>419</v>
      </c>
      <c r="C29" t="s">
        <v>420</v>
      </c>
      <c r="D29" t="s">
        <v>421</v>
      </c>
      <c r="E29" t="s">
        <v>336</v>
      </c>
      <c r="F29" s="96">
        <v>45536</v>
      </c>
      <c r="G29" s="97">
        <v>45565</v>
      </c>
      <c r="H29" t="s">
        <v>337</v>
      </c>
      <c r="M29" t="s">
        <v>206</v>
      </c>
      <c r="N29" t="s">
        <v>338</v>
      </c>
      <c r="O29">
        <v>15</v>
      </c>
      <c r="P29">
        <v>110</v>
      </c>
      <c r="Q29">
        <v>0</v>
      </c>
      <c r="R2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98"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f>IF(H29&lt;&gt;"created",0,IF(COUNTIFS($C$1:C28,$C29,$H$1:H28,"created")=0,1,0))</f>
        <v>1</v>
      </c>
      <c r="U29">
        <f t="shared" si="0"/>
        <v>0</v>
      </c>
      <c r="V29">
        <f t="shared" si="1"/>
        <v>0</v>
      </c>
    </row>
    <row r="30" spans="1:22" x14ac:dyDescent="0.35">
      <c r="A30" t="s">
        <v>422</v>
      </c>
      <c r="B30" t="s">
        <v>423</v>
      </c>
      <c r="C30" t="s">
        <v>357</v>
      </c>
      <c r="D30" t="s">
        <v>358</v>
      </c>
      <c r="E30" t="s">
        <v>343</v>
      </c>
      <c r="F30" s="96">
        <v>45566</v>
      </c>
      <c r="G30" s="97">
        <v>45570</v>
      </c>
      <c r="H30" t="s">
        <v>337</v>
      </c>
      <c r="M30" t="s">
        <v>205</v>
      </c>
      <c r="N30" t="s">
        <v>338</v>
      </c>
      <c r="O30">
        <v>33</v>
      </c>
      <c r="P30">
        <v>85</v>
      </c>
      <c r="Q30">
        <v>0</v>
      </c>
      <c r="R30"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98"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f>IF(H30&lt;&gt;"created",0,IF(COUNTIFS($C$1:C29,$C30,$H$1:H29,"created")=0,1,0))</f>
        <v>0</v>
      </c>
      <c r="U30">
        <f t="shared" si="0"/>
        <v>0</v>
      </c>
      <c r="V30">
        <f t="shared" si="1"/>
        <v>0</v>
      </c>
    </row>
    <row r="31" spans="1:22" x14ac:dyDescent="0.35">
      <c r="A31" t="s">
        <v>424</v>
      </c>
      <c r="B31" t="s">
        <v>234</v>
      </c>
      <c r="C31" t="s">
        <v>425</v>
      </c>
      <c r="D31" t="s">
        <v>235</v>
      </c>
      <c r="E31" t="s">
        <v>343</v>
      </c>
      <c r="F31" s="96">
        <v>45566</v>
      </c>
      <c r="G31" s="97">
        <v>45579</v>
      </c>
      <c r="H31" t="s">
        <v>337</v>
      </c>
      <c r="M31" t="s">
        <v>203</v>
      </c>
      <c r="N31" t="s">
        <v>338</v>
      </c>
      <c r="O31">
        <v>25</v>
      </c>
      <c r="P31">
        <v>95</v>
      </c>
      <c r="Q31">
        <v>0</v>
      </c>
      <c r="R31"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98"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f>IF(H31&lt;&gt;"created",0,IF(COUNTIFS($C$1:C30,$C31,$H$1:H30,"created")=0,1,0))</f>
        <v>1</v>
      </c>
      <c r="U31">
        <f t="shared" si="0"/>
        <v>0</v>
      </c>
      <c r="V31">
        <f t="shared" si="1"/>
        <v>0</v>
      </c>
    </row>
    <row r="32" spans="1:22" x14ac:dyDescent="0.35">
      <c r="A32" t="s">
        <v>426</v>
      </c>
      <c r="B32" t="s">
        <v>427</v>
      </c>
      <c r="C32" t="s">
        <v>428</v>
      </c>
      <c r="D32" t="s">
        <v>429</v>
      </c>
      <c r="E32" t="s">
        <v>336</v>
      </c>
      <c r="F32" s="96">
        <v>45566</v>
      </c>
      <c r="G32" s="97">
        <v>45593</v>
      </c>
      <c r="H32" t="s">
        <v>337</v>
      </c>
      <c r="M32" t="s">
        <v>207</v>
      </c>
      <c r="N32" t="s">
        <v>338</v>
      </c>
      <c r="O32">
        <v>33</v>
      </c>
      <c r="P32">
        <v>150</v>
      </c>
      <c r="Q32">
        <v>0</v>
      </c>
      <c r="R32"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98"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f>IF(H32&lt;&gt;"created",0,IF(COUNTIFS($C$1:C31,$C32,$H$1:H31,"created")=0,1,0))</f>
        <v>1</v>
      </c>
      <c r="U32">
        <f t="shared" si="0"/>
        <v>0</v>
      </c>
      <c r="V32">
        <f t="shared" si="1"/>
        <v>0</v>
      </c>
    </row>
    <row r="33" spans="1:22" x14ac:dyDescent="0.35">
      <c r="A33" t="s">
        <v>430</v>
      </c>
      <c r="B33" t="s">
        <v>431</v>
      </c>
      <c r="C33" t="s">
        <v>364</v>
      </c>
      <c r="D33" t="s">
        <v>231</v>
      </c>
      <c r="E33" t="s">
        <v>336</v>
      </c>
      <c r="F33" s="96">
        <v>45597</v>
      </c>
      <c r="G33" s="97">
        <v>45601</v>
      </c>
      <c r="H33" t="s">
        <v>337</v>
      </c>
      <c r="M33" t="s">
        <v>205</v>
      </c>
      <c r="N33" t="s">
        <v>338</v>
      </c>
      <c r="O33">
        <v>22</v>
      </c>
      <c r="P33">
        <v>85</v>
      </c>
      <c r="Q33">
        <v>0</v>
      </c>
      <c r="R3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98"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f>IF(H33&lt;&gt;"created",0,IF(COUNTIFS($C$1:C32,$C33,$H$1:H32,"created")=0,1,0))</f>
        <v>0</v>
      </c>
      <c r="U33">
        <f t="shared" si="0"/>
        <v>0</v>
      </c>
      <c r="V33">
        <f t="shared" si="1"/>
        <v>0</v>
      </c>
    </row>
    <row r="34" spans="1:22" x14ac:dyDescent="0.35">
      <c r="A34" t="s">
        <v>432</v>
      </c>
      <c r="B34" t="s">
        <v>238</v>
      </c>
      <c r="C34" t="s">
        <v>433</v>
      </c>
      <c r="D34" t="s">
        <v>239</v>
      </c>
      <c r="E34" t="s">
        <v>336</v>
      </c>
      <c r="F34" s="96">
        <v>45597</v>
      </c>
      <c r="G34" s="97">
        <v>45607</v>
      </c>
      <c r="H34" t="s">
        <v>337</v>
      </c>
      <c r="M34" t="s">
        <v>202</v>
      </c>
      <c r="N34" t="s">
        <v>338</v>
      </c>
      <c r="O34">
        <v>10</v>
      </c>
      <c r="P34">
        <v>45</v>
      </c>
      <c r="Q34">
        <v>0</v>
      </c>
      <c r="R34"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98"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f>IF(H34&lt;&gt;"created",0,IF(COUNTIFS($C$1:C33,$C34,$H$1:H33,"created")=0,1,0))</f>
        <v>1</v>
      </c>
      <c r="U34">
        <f t="shared" si="0"/>
        <v>0</v>
      </c>
      <c r="V34">
        <f t="shared" si="1"/>
        <v>0</v>
      </c>
    </row>
    <row r="35" spans="1:22" x14ac:dyDescent="0.35">
      <c r="A35" t="s">
        <v>434</v>
      </c>
      <c r="B35" t="s">
        <v>228</v>
      </c>
      <c r="C35" t="s">
        <v>354</v>
      </c>
      <c r="D35" t="s">
        <v>229</v>
      </c>
      <c r="E35" t="s">
        <v>336</v>
      </c>
      <c r="F35" s="96">
        <v>45597</v>
      </c>
      <c r="G35" s="97">
        <v>45616</v>
      </c>
      <c r="H35" t="s">
        <v>403</v>
      </c>
      <c r="I35" t="s">
        <v>404</v>
      </c>
      <c r="J35" t="s">
        <v>405</v>
      </c>
      <c r="K35" t="s">
        <v>406</v>
      </c>
      <c r="L35" t="s">
        <v>435</v>
      </c>
      <c r="M35" t="s">
        <v>202</v>
      </c>
      <c r="N35" t="s">
        <v>338</v>
      </c>
      <c r="O35">
        <v>11</v>
      </c>
      <c r="P35">
        <v>45</v>
      </c>
      <c r="Q35">
        <v>0</v>
      </c>
      <c r="R35"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98"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f>IF(H35&lt;&gt;"created",0,IF(COUNTIFS($C$1:C34,$C35,$H$1:H34,"created")=0,1,0))</f>
        <v>0</v>
      </c>
      <c r="U35">
        <f t="shared" si="0"/>
        <v>1</v>
      </c>
      <c r="V35">
        <f t="shared" si="1"/>
        <v>0</v>
      </c>
    </row>
    <row r="36" spans="1:22" x14ac:dyDescent="0.35">
      <c r="A36" t="s">
        <v>436</v>
      </c>
      <c r="B36" t="s">
        <v>437</v>
      </c>
      <c r="C36" t="s">
        <v>438</v>
      </c>
      <c r="D36" t="s">
        <v>439</v>
      </c>
      <c r="E36" t="s">
        <v>343</v>
      </c>
      <c r="F36" s="96">
        <v>45597</v>
      </c>
      <c r="G36" s="97">
        <v>45621</v>
      </c>
      <c r="H36" t="s">
        <v>337</v>
      </c>
      <c r="M36" t="s">
        <v>205</v>
      </c>
      <c r="N36" t="s">
        <v>338</v>
      </c>
      <c r="O36">
        <v>31</v>
      </c>
      <c r="P36">
        <v>85</v>
      </c>
      <c r="Q36">
        <v>0</v>
      </c>
      <c r="R36"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98"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f>IF(H36&lt;&gt;"created",0,IF(COUNTIFS($C$1:C35,$C36,$H$1:H35,"created")=0,1,0))</f>
        <v>1</v>
      </c>
      <c r="U36">
        <f t="shared" si="0"/>
        <v>0</v>
      </c>
      <c r="V36">
        <f t="shared" si="1"/>
        <v>0</v>
      </c>
    </row>
    <row r="37" spans="1:22" x14ac:dyDescent="0.35">
      <c r="A37" t="s">
        <v>440</v>
      </c>
      <c r="B37" t="s">
        <v>441</v>
      </c>
      <c r="C37" t="s">
        <v>442</v>
      </c>
      <c r="D37" t="s">
        <v>443</v>
      </c>
      <c r="E37" t="s">
        <v>336</v>
      </c>
      <c r="F37" s="96">
        <v>45627</v>
      </c>
      <c r="G37" s="97">
        <v>45635</v>
      </c>
      <c r="H37" t="s">
        <v>337</v>
      </c>
      <c r="M37" t="s">
        <v>204</v>
      </c>
      <c r="N37" t="s">
        <v>344</v>
      </c>
      <c r="O37">
        <v>38</v>
      </c>
      <c r="P37">
        <v>2160</v>
      </c>
      <c r="Q37">
        <v>0</v>
      </c>
      <c r="R37"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98"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f>IF(H37&lt;&gt;"created",0,IF(COUNTIFS($C$1:C36,$C37,$H$1:H36,"created")=0,1,0))</f>
        <v>1</v>
      </c>
      <c r="U37">
        <f t="shared" si="0"/>
        <v>0</v>
      </c>
      <c r="V37">
        <f t="shared" si="1"/>
        <v>0</v>
      </c>
    </row>
    <row r="38" spans="1:22" x14ac:dyDescent="0.35">
      <c r="A38" t="s">
        <v>444</v>
      </c>
      <c r="B38" t="s">
        <v>445</v>
      </c>
      <c r="C38" t="s">
        <v>396</v>
      </c>
      <c r="D38" t="s">
        <v>397</v>
      </c>
      <c r="E38" t="s">
        <v>336</v>
      </c>
      <c r="F38" s="96">
        <v>45627</v>
      </c>
      <c r="G38" s="97">
        <v>45638</v>
      </c>
      <c r="H38" t="s">
        <v>337</v>
      </c>
      <c r="M38" t="s">
        <v>205</v>
      </c>
      <c r="N38" t="s">
        <v>338</v>
      </c>
      <c r="O38">
        <v>38</v>
      </c>
      <c r="P38">
        <v>85</v>
      </c>
      <c r="Q38">
        <v>0</v>
      </c>
      <c r="R38"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98"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f>IF(H38&lt;&gt;"created",0,IF(COUNTIFS($C$1:C37,$C38,$H$1:H37,"created")=0,1,0))</f>
        <v>0</v>
      </c>
      <c r="U38">
        <f t="shared" si="0"/>
        <v>0</v>
      </c>
      <c r="V38">
        <f t="shared" si="1"/>
        <v>0</v>
      </c>
    </row>
    <row r="39" spans="1:22" x14ac:dyDescent="0.35">
      <c r="A39" t="s">
        <v>446</v>
      </c>
      <c r="B39" t="s">
        <v>447</v>
      </c>
      <c r="C39" t="s">
        <v>367</v>
      </c>
      <c r="D39" t="s">
        <v>368</v>
      </c>
      <c r="E39" t="s">
        <v>343</v>
      </c>
      <c r="F39" s="96">
        <v>45627</v>
      </c>
      <c r="G39" s="97">
        <v>45646</v>
      </c>
      <c r="H39" t="s">
        <v>337</v>
      </c>
      <c r="M39" t="s">
        <v>203</v>
      </c>
      <c r="N39" t="s">
        <v>338</v>
      </c>
      <c r="O39">
        <v>35</v>
      </c>
      <c r="P39">
        <v>95</v>
      </c>
      <c r="Q39">
        <v>0</v>
      </c>
      <c r="R3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98"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f>IF(H39&lt;&gt;"created",0,IF(COUNTIFS($C$1:C38,$C39,$H$1:H38,"created")=0,1,0))</f>
        <v>0</v>
      </c>
      <c r="U39">
        <f t="shared" si="0"/>
        <v>0</v>
      </c>
      <c r="V39">
        <f t="shared" si="1"/>
        <v>0</v>
      </c>
    </row>
    <row r="40" spans="1:22" x14ac:dyDescent="0.35">
      <c r="A40" t="s">
        <v>448</v>
      </c>
      <c r="B40" t="s">
        <v>230</v>
      </c>
      <c r="C40" t="s">
        <v>364</v>
      </c>
      <c r="D40" t="s">
        <v>231</v>
      </c>
      <c r="E40" t="s">
        <v>336</v>
      </c>
      <c r="F40" s="96">
        <v>45627</v>
      </c>
      <c r="G40" s="97">
        <v>45648</v>
      </c>
      <c r="H40" t="s">
        <v>403</v>
      </c>
      <c r="I40" t="s">
        <v>404</v>
      </c>
      <c r="J40" t="s">
        <v>405</v>
      </c>
      <c r="K40" t="s">
        <v>406</v>
      </c>
      <c r="L40" t="s">
        <v>435</v>
      </c>
      <c r="M40" t="s">
        <v>203</v>
      </c>
      <c r="N40" t="s">
        <v>338</v>
      </c>
      <c r="O40">
        <v>22</v>
      </c>
      <c r="P40">
        <v>95</v>
      </c>
      <c r="Q40">
        <v>0</v>
      </c>
      <c r="R40"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98"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f>IF(H40&lt;&gt;"created",0,IF(COUNTIFS($C$1:C39,$C40,$H$1:H39,"created")=0,1,0))</f>
        <v>0</v>
      </c>
      <c r="U40">
        <f t="shared" si="0"/>
        <v>0</v>
      </c>
      <c r="V40">
        <f t="shared" si="1"/>
        <v>0</v>
      </c>
    </row>
    <row r="41" spans="1:22" x14ac:dyDescent="0.35">
      <c r="A41" t="s">
        <v>449</v>
      </c>
      <c r="B41" t="s">
        <v>450</v>
      </c>
      <c r="C41" t="s">
        <v>451</v>
      </c>
      <c r="D41" t="s">
        <v>452</v>
      </c>
      <c r="E41" t="s">
        <v>336</v>
      </c>
      <c r="F41" s="96">
        <v>45627</v>
      </c>
      <c r="G41" s="97">
        <v>45649</v>
      </c>
      <c r="H41" t="s">
        <v>337</v>
      </c>
      <c r="M41" t="s">
        <v>203</v>
      </c>
      <c r="N41" t="s">
        <v>338</v>
      </c>
      <c r="O41">
        <v>16</v>
      </c>
      <c r="P41">
        <v>95</v>
      </c>
      <c r="Q41">
        <v>0</v>
      </c>
      <c r="R41"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98"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f>IF(H41&lt;&gt;"created",0,IF(COUNTIFS($C$1:C40,$C41,$H$1:H40,"created")=0,1,0))</f>
        <v>1</v>
      </c>
      <c r="U41">
        <f t="shared" si="0"/>
        <v>0</v>
      </c>
      <c r="V41">
        <f t="shared" si="1"/>
        <v>0</v>
      </c>
    </row>
    <row r="42" spans="1:22" x14ac:dyDescent="0.35">
      <c r="A42" t="s">
        <v>453</v>
      </c>
      <c r="B42" t="s">
        <v>454</v>
      </c>
      <c r="C42" t="s">
        <v>455</v>
      </c>
      <c r="D42" t="s">
        <v>456</v>
      </c>
      <c r="E42" t="s">
        <v>343</v>
      </c>
      <c r="F42" s="96">
        <v>45658</v>
      </c>
      <c r="G42" s="97">
        <v>45663</v>
      </c>
      <c r="H42" t="s">
        <v>337</v>
      </c>
      <c r="M42" t="s">
        <v>206</v>
      </c>
      <c r="N42" t="s">
        <v>338</v>
      </c>
      <c r="O42">
        <v>28</v>
      </c>
      <c r="P42">
        <v>110</v>
      </c>
      <c r="Q42">
        <v>0</v>
      </c>
      <c r="R42"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98"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f>IF(H42&lt;&gt;"created",0,IF(COUNTIFS($C$1:C41,$C42,$H$1:H41,"created")=0,1,0))</f>
        <v>1</v>
      </c>
      <c r="U42">
        <f t="shared" si="0"/>
        <v>0</v>
      </c>
      <c r="V42">
        <f t="shared" si="1"/>
        <v>0</v>
      </c>
    </row>
    <row r="43" spans="1:22" x14ac:dyDescent="0.35">
      <c r="A43" t="s">
        <v>457</v>
      </c>
      <c r="B43" t="s">
        <v>385</v>
      </c>
      <c r="C43" t="s">
        <v>386</v>
      </c>
      <c r="D43" t="s">
        <v>387</v>
      </c>
      <c r="E43" t="s">
        <v>336</v>
      </c>
      <c r="F43" s="96">
        <v>45658</v>
      </c>
      <c r="G43" s="97">
        <v>45665</v>
      </c>
      <c r="H43" t="s">
        <v>458</v>
      </c>
      <c r="I43">
        <v>80</v>
      </c>
      <c r="J43">
        <v>85</v>
      </c>
      <c r="K43" t="s">
        <v>327</v>
      </c>
      <c r="L43" t="s">
        <v>459</v>
      </c>
      <c r="M43" t="s">
        <v>205</v>
      </c>
      <c r="N43" t="s">
        <v>338</v>
      </c>
      <c r="O43">
        <v>28</v>
      </c>
      <c r="P43">
        <v>85</v>
      </c>
      <c r="Q43">
        <v>0</v>
      </c>
      <c r="R4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98"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f>IF(H43&lt;&gt;"created",0,IF(COUNTIFS($C$1:C42,$C43,$H$1:H42,"created")=0,1,0))</f>
        <v>0</v>
      </c>
      <c r="U43">
        <f t="shared" si="0"/>
        <v>0</v>
      </c>
      <c r="V43">
        <f t="shared" si="1"/>
        <v>0</v>
      </c>
    </row>
    <row r="44" spans="1:22" x14ac:dyDescent="0.35">
      <c r="A44" t="s">
        <v>460</v>
      </c>
      <c r="B44" t="s">
        <v>232</v>
      </c>
      <c r="C44" t="s">
        <v>383</v>
      </c>
      <c r="D44" t="s">
        <v>233</v>
      </c>
      <c r="E44" t="s">
        <v>343</v>
      </c>
      <c r="F44" s="96">
        <v>45658</v>
      </c>
      <c r="G44" s="97">
        <v>45672</v>
      </c>
      <c r="H44" t="s">
        <v>403</v>
      </c>
      <c r="I44" t="s">
        <v>404</v>
      </c>
      <c r="J44" t="s">
        <v>405</v>
      </c>
      <c r="K44" t="s">
        <v>406</v>
      </c>
      <c r="L44" t="s">
        <v>461</v>
      </c>
      <c r="M44" t="s">
        <v>202</v>
      </c>
      <c r="N44" t="s">
        <v>338</v>
      </c>
      <c r="O44">
        <v>10</v>
      </c>
      <c r="P44">
        <v>45</v>
      </c>
      <c r="Q44">
        <v>0</v>
      </c>
      <c r="R44"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98"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f>IF(H44&lt;&gt;"created",0,IF(COUNTIFS($C$1:C43,$C44,$H$1:H43,"created")=0,1,0))</f>
        <v>0</v>
      </c>
      <c r="U44">
        <f t="shared" si="0"/>
        <v>1</v>
      </c>
      <c r="V44">
        <f t="shared" si="1"/>
        <v>0</v>
      </c>
    </row>
    <row r="45" spans="1:22" x14ac:dyDescent="0.35">
      <c r="A45" t="s">
        <v>462</v>
      </c>
      <c r="B45" t="s">
        <v>463</v>
      </c>
      <c r="C45" t="s">
        <v>464</v>
      </c>
      <c r="D45" t="s">
        <v>465</v>
      </c>
      <c r="E45" t="s">
        <v>377</v>
      </c>
      <c r="F45" s="96">
        <v>45658</v>
      </c>
      <c r="G45" s="97">
        <v>45677</v>
      </c>
      <c r="H45" t="s">
        <v>337</v>
      </c>
      <c r="M45" t="s">
        <v>202</v>
      </c>
      <c r="N45" t="s">
        <v>338</v>
      </c>
      <c r="O45">
        <v>15</v>
      </c>
      <c r="P45">
        <v>45</v>
      </c>
      <c r="Q45">
        <v>0</v>
      </c>
      <c r="R45"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98"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f>IF(H45&lt;&gt;"created",0,IF(COUNTIFS($C$1:C44,$C45,$H$1:H44,"created")=0,1,0))</f>
        <v>1</v>
      </c>
      <c r="U45">
        <f t="shared" si="0"/>
        <v>0</v>
      </c>
      <c r="V45">
        <f t="shared" si="1"/>
        <v>0</v>
      </c>
    </row>
    <row r="46" spans="1:22" x14ac:dyDescent="0.35">
      <c r="A46" t="s">
        <v>466</v>
      </c>
      <c r="B46" t="s">
        <v>467</v>
      </c>
      <c r="C46" t="s">
        <v>341</v>
      </c>
      <c r="D46" t="s">
        <v>342</v>
      </c>
      <c r="E46" t="s">
        <v>343</v>
      </c>
      <c r="F46" s="96">
        <v>45658</v>
      </c>
      <c r="G46" s="97">
        <v>45679</v>
      </c>
      <c r="H46" t="s">
        <v>337</v>
      </c>
      <c r="M46" t="s">
        <v>203</v>
      </c>
      <c r="N46" t="s">
        <v>344</v>
      </c>
      <c r="O46">
        <v>22</v>
      </c>
      <c r="P46">
        <v>1140</v>
      </c>
      <c r="Q46">
        <v>5</v>
      </c>
      <c r="R46"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98"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f>IF(H46&lt;&gt;"created",0,IF(COUNTIFS($C$1:C45,$C46,$H$1:H45,"created")=0,1,0))</f>
        <v>0</v>
      </c>
      <c r="U46">
        <f t="shared" si="0"/>
        <v>0</v>
      </c>
      <c r="V46">
        <f t="shared" si="1"/>
        <v>0</v>
      </c>
    </row>
    <row r="47" spans="1:22" x14ac:dyDescent="0.35">
      <c r="A47" t="s">
        <v>468</v>
      </c>
      <c r="B47" t="s">
        <v>469</v>
      </c>
      <c r="C47" t="s">
        <v>425</v>
      </c>
      <c r="D47" t="s">
        <v>235</v>
      </c>
      <c r="E47" t="s">
        <v>343</v>
      </c>
      <c r="F47" s="96">
        <v>45658</v>
      </c>
      <c r="G47" s="97">
        <v>45685</v>
      </c>
      <c r="H47" t="s">
        <v>337</v>
      </c>
      <c r="M47" t="s">
        <v>207</v>
      </c>
      <c r="N47" t="s">
        <v>338</v>
      </c>
      <c r="O47">
        <v>28</v>
      </c>
      <c r="P47">
        <v>150</v>
      </c>
      <c r="Q47">
        <v>0</v>
      </c>
      <c r="R47"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98"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f>IF(H47&lt;&gt;"created",0,IF(COUNTIFS($C$1:C46,$C47,$H$1:H46,"created")=0,1,0))</f>
        <v>0</v>
      </c>
      <c r="U47">
        <f t="shared" si="0"/>
        <v>0</v>
      </c>
      <c r="V47">
        <f t="shared" si="1"/>
        <v>0</v>
      </c>
    </row>
    <row r="48" spans="1:22" x14ac:dyDescent="0.35">
      <c r="A48" t="s">
        <v>470</v>
      </c>
      <c r="B48" t="s">
        <v>471</v>
      </c>
      <c r="C48" t="s">
        <v>472</v>
      </c>
      <c r="D48" t="s">
        <v>473</v>
      </c>
      <c r="E48" t="s">
        <v>336</v>
      </c>
      <c r="F48" s="96">
        <v>45689</v>
      </c>
      <c r="G48" s="97">
        <v>45691</v>
      </c>
      <c r="H48" t="s">
        <v>337</v>
      </c>
      <c r="M48" t="s">
        <v>205</v>
      </c>
      <c r="N48" t="s">
        <v>338</v>
      </c>
      <c r="O48">
        <v>22</v>
      </c>
      <c r="P48">
        <v>85</v>
      </c>
      <c r="Q48">
        <v>0</v>
      </c>
      <c r="R48"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98"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f>IF(H48&lt;&gt;"created",0,IF(COUNTIFS($C$1:C47,$C48,$H$1:H47,"created")=0,1,0))</f>
        <v>1</v>
      </c>
      <c r="U48">
        <f t="shared" si="0"/>
        <v>0</v>
      </c>
      <c r="V48">
        <f t="shared" si="1"/>
        <v>0</v>
      </c>
    </row>
    <row r="49" spans="1:22" x14ac:dyDescent="0.35">
      <c r="A49" t="s">
        <v>474</v>
      </c>
      <c r="B49" t="s">
        <v>475</v>
      </c>
      <c r="C49" t="s">
        <v>371</v>
      </c>
      <c r="D49" t="s">
        <v>372</v>
      </c>
      <c r="E49" t="s">
        <v>336</v>
      </c>
      <c r="F49" s="96">
        <v>45689</v>
      </c>
      <c r="G49" s="97">
        <v>45696</v>
      </c>
      <c r="H49" t="s">
        <v>337</v>
      </c>
      <c r="M49" t="s">
        <v>205</v>
      </c>
      <c r="N49" t="s">
        <v>338</v>
      </c>
      <c r="O49">
        <v>13</v>
      </c>
      <c r="P49">
        <v>85</v>
      </c>
      <c r="Q49">
        <v>0</v>
      </c>
      <c r="R4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98"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f>IF(H49&lt;&gt;"created",0,IF(COUNTIFS($C$1:C48,$C49,$H$1:H48,"created")=0,1,0))</f>
        <v>0</v>
      </c>
      <c r="U49">
        <f t="shared" si="0"/>
        <v>0</v>
      </c>
      <c r="V49">
        <f t="shared" si="1"/>
        <v>0</v>
      </c>
    </row>
    <row r="50" spans="1:22" x14ac:dyDescent="0.35">
      <c r="A50" t="s">
        <v>476</v>
      </c>
      <c r="B50" t="s">
        <v>477</v>
      </c>
      <c r="C50" t="s">
        <v>386</v>
      </c>
      <c r="D50" t="s">
        <v>387</v>
      </c>
      <c r="E50" t="s">
        <v>336</v>
      </c>
      <c r="F50" s="96">
        <v>45689</v>
      </c>
      <c r="G50" s="97">
        <v>45698</v>
      </c>
      <c r="H50" t="s">
        <v>337</v>
      </c>
      <c r="M50" t="s">
        <v>206</v>
      </c>
      <c r="N50" t="s">
        <v>338</v>
      </c>
      <c r="O50">
        <v>23</v>
      </c>
      <c r="P50">
        <v>110</v>
      </c>
      <c r="Q50">
        <v>0</v>
      </c>
      <c r="R50"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98"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f>IF(H50&lt;&gt;"created",0,IF(COUNTIFS($C$1:C49,$C50,$H$1:H49,"created")=0,1,0))</f>
        <v>0</v>
      </c>
      <c r="U50">
        <f t="shared" si="0"/>
        <v>0</v>
      </c>
      <c r="V50">
        <f t="shared" si="1"/>
        <v>0</v>
      </c>
    </row>
    <row r="51" spans="1:22" x14ac:dyDescent="0.35">
      <c r="A51" t="s">
        <v>478</v>
      </c>
      <c r="B51" t="s">
        <v>479</v>
      </c>
      <c r="C51" t="s">
        <v>480</v>
      </c>
      <c r="D51" t="s">
        <v>481</v>
      </c>
      <c r="E51" t="s">
        <v>343</v>
      </c>
      <c r="F51" s="96">
        <v>45689</v>
      </c>
      <c r="G51" s="97">
        <v>45705</v>
      </c>
      <c r="H51" t="s">
        <v>337</v>
      </c>
      <c r="M51" t="s">
        <v>203</v>
      </c>
      <c r="N51" t="s">
        <v>338</v>
      </c>
      <c r="O51">
        <v>20</v>
      </c>
      <c r="P51">
        <v>95</v>
      </c>
      <c r="Q51">
        <v>0</v>
      </c>
      <c r="R51"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98"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f>IF(H51&lt;&gt;"created",0,IF(COUNTIFS($C$1:C50,$C51,$H$1:H50,"created")=0,1,0))</f>
        <v>1</v>
      </c>
      <c r="U51">
        <f t="shared" si="0"/>
        <v>0</v>
      </c>
      <c r="V51">
        <f t="shared" si="1"/>
        <v>0</v>
      </c>
    </row>
    <row r="52" spans="1:22" x14ac:dyDescent="0.35">
      <c r="A52" t="s">
        <v>482</v>
      </c>
      <c r="B52" t="s">
        <v>483</v>
      </c>
      <c r="C52" t="s">
        <v>484</v>
      </c>
      <c r="D52" t="s">
        <v>485</v>
      </c>
      <c r="E52" t="s">
        <v>336</v>
      </c>
      <c r="F52" s="96">
        <v>45717</v>
      </c>
      <c r="G52" s="97">
        <v>45719</v>
      </c>
      <c r="H52" t="s">
        <v>337</v>
      </c>
      <c r="M52" t="s">
        <v>207</v>
      </c>
      <c r="N52" t="s">
        <v>344</v>
      </c>
      <c r="O52">
        <v>45</v>
      </c>
      <c r="P52">
        <v>1800</v>
      </c>
      <c r="Q52">
        <v>0</v>
      </c>
      <c r="R52"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98"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f>IF(H52&lt;&gt;"created",0,IF(COUNTIFS($C$1:C51,$C52,$H$1:H51,"created")=0,1,0))</f>
        <v>1</v>
      </c>
      <c r="U52">
        <f t="shared" si="0"/>
        <v>0</v>
      </c>
      <c r="V52">
        <f t="shared" si="1"/>
        <v>0</v>
      </c>
    </row>
    <row r="53" spans="1:22" x14ac:dyDescent="0.35">
      <c r="A53" t="s">
        <v>486</v>
      </c>
      <c r="B53" t="s">
        <v>487</v>
      </c>
      <c r="C53" t="s">
        <v>438</v>
      </c>
      <c r="D53" t="s">
        <v>439</v>
      </c>
      <c r="E53" t="s">
        <v>343</v>
      </c>
      <c r="F53" s="96">
        <v>45717</v>
      </c>
      <c r="G53" s="97">
        <v>45724</v>
      </c>
      <c r="H53" t="s">
        <v>337</v>
      </c>
      <c r="M53" t="s">
        <v>206</v>
      </c>
      <c r="N53" t="s">
        <v>338</v>
      </c>
      <c r="O53">
        <v>26</v>
      </c>
      <c r="P53">
        <v>110</v>
      </c>
      <c r="Q53">
        <v>0</v>
      </c>
      <c r="R5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98"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f>IF(H53&lt;&gt;"created",0,IF(COUNTIFS($C$1:C52,$C53,$H$1:H52,"created")=0,1,0))</f>
        <v>0</v>
      </c>
      <c r="U53">
        <f t="shared" si="0"/>
        <v>0</v>
      </c>
      <c r="V53">
        <f t="shared" si="1"/>
        <v>0</v>
      </c>
    </row>
    <row r="54" spans="1:22" x14ac:dyDescent="0.35">
      <c r="A54" t="s">
        <v>488</v>
      </c>
      <c r="B54" t="s">
        <v>370</v>
      </c>
      <c r="C54" t="s">
        <v>371</v>
      </c>
      <c r="D54" t="s">
        <v>372</v>
      </c>
      <c r="E54" t="s">
        <v>336</v>
      </c>
      <c r="F54" s="96">
        <v>45717</v>
      </c>
      <c r="G54" s="97">
        <v>45729</v>
      </c>
      <c r="H54" t="s">
        <v>489</v>
      </c>
      <c r="I54" t="s">
        <v>203</v>
      </c>
      <c r="J54" t="s">
        <v>202</v>
      </c>
      <c r="K54" t="s">
        <v>304</v>
      </c>
      <c r="L54" t="s">
        <v>490</v>
      </c>
      <c r="M54" t="s">
        <v>202</v>
      </c>
      <c r="N54" t="s">
        <v>338</v>
      </c>
      <c r="O54">
        <v>13</v>
      </c>
      <c r="P54">
        <v>45</v>
      </c>
      <c r="Q54">
        <v>0</v>
      </c>
      <c r="R54"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98"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f>IF(H54&lt;&gt;"created",0,IF(COUNTIFS($C$1:C53,$C54,$H$1:H53,"created")=0,1,0))</f>
        <v>0</v>
      </c>
      <c r="U54">
        <f t="shared" si="0"/>
        <v>0</v>
      </c>
      <c r="V54">
        <f t="shared" si="1"/>
        <v>0</v>
      </c>
    </row>
    <row r="55" spans="1:22" x14ac:dyDescent="0.35">
      <c r="A55" t="s">
        <v>491</v>
      </c>
      <c r="B55" t="s">
        <v>492</v>
      </c>
      <c r="C55" t="s">
        <v>410</v>
      </c>
      <c r="D55" t="s">
        <v>411</v>
      </c>
      <c r="E55" t="s">
        <v>343</v>
      </c>
      <c r="F55" s="96">
        <v>45717</v>
      </c>
      <c r="G55" s="97">
        <v>45731</v>
      </c>
      <c r="H55" t="s">
        <v>337</v>
      </c>
      <c r="M55" t="s">
        <v>205</v>
      </c>
      <c r="N55" t="s">
        <v>338</v>
      </c>
      <c r="O55">
        <v>35</v>
      </c>
      <c r="P55">
        <v>85</v>
      </c>
      <c r="Q55">
        <v>0</v>
      </c>
      <c r="R55"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98"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f>IF(H55&lt;&gt;"created",0,IF(COUNTIFS($C$1:C54,$C55,$H$1:H54,"created")=0,1,0))</f>
        <v>0</v>
      </c>
      <c r="U55">
        <f t="shared" si="0"/>
        <v>0</v>
      </c>
      <c r="V55">
        <f t="shared" si="1"/>
        <v>0</v>
      </c>
    </row>
    <row r="56" spans="1:22" x14ac:dyDescent="0.35">
      <c r="A56" t="s">
        <v>493</v>
      </c>
      <c r="B56" t="s">
        <v>467</v>
      </c>
      <c r="C56" t="s">
        <v>341</v>
      </c>
      <c r="D56" t="s">
        <v>342</v>
      </c>
      <c r="E56" t="s">
        <v>343</v>
      </c>
      <c r="F56" s="96">
        <v>45717</v>
      </c>
      <c r="G56" s="97">
        <v>45731</v>
      </c>
      <c r="H56" t="s">
        <v>494</v>
      </c>
      <c r="I56">
        <v>0</v>
      </c>
      <c r="J56">
        <v>5</v>
      </c>
      <c r="K56" t="s">
        <v>328</v>
      </c>
      <c r="L56" t="s">
        <v>495</v>
      </c>
      <c r="M56" t="s">
        <v>203</v>
      </c>
      <c r="N56" t="s">
        <v>344</v>
      </c>
      <c r="O56">
        <v>22</v>
      </c>
      <c r="P56">
        <v>1140</v>
      </c>
      <c r="Q56">
        <v>5</v>
      </c>
      <c r="R56"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98"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f>IF(H56&lt;&gt;"created",0,IF(COUNTIFS($C$1:C55,$C56,$H$1:H55,"created")=0,1,0))</f>
        <v>0</v>
      </c>
      <c r="U56">
        <f t="shared" si="0"/>
        <v>0</v>
      </c>
      <c r="V56">
        <f t="shared" si="1"/>
        <v>0</v>
      </c>
    </row>
    <row r="57" spans="1:22" x14ac:dyDescent="0.35">
      <c r="A57" t="s">
        <v>496</v>
      </c>
      <c r="B57" t="s">
        <v>497</v>
      </c>
      <c r="C57" t="s">
        <v>498</v>
      </c>
      <c r="D57" t="s">
        <v>499</v>
      </c>
      <c r="E57" t="s">
        <v>343</v>
      </c>
      <c r="F57" s="96">
        <v>45717</v>
      </c>
      <c r="G57" s="97">
        <v>45733</v>
      </c>
      <c r="H57" t="s">
        <v>337</v>
      </c>
      <c r="M57" t="s">
        <v>204</v>
      </c>
      <c r="N57" t="s">
        <v>338</v>
      </c>
      <c r="O57">
        <v>26</v>
      </c>
      <c r="P57">
        <v>180</v>
      </c>
      <c r="Q57">
        <v>0</v>
      </c>
      <c r="R57"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98"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f>IF(H57&lt;&gt;"created",0,IF(COUNTIFS($C$1:C56,$C57,$H$1:H56,"created")=0,1,0))</f>
        <v>1</v>
      </c>
      <c r="U57">
        <f t="shared" si="0"/>
        <v>0</v>
      </c>
      <c r="V57">
        <f t="shared" si="1"/>
        <v>0</v>
      </c>
    </row>
    <row r="58" spans="1:22" x14ac:dyDescent="0.35">
      <c r="A58" t="s">
        <v>500</v>
      </c>
      <c r="B58" t="s">
        <v>415</v>
      </c>
      <c r="C58" t="s">
        <v>416</v>
      </c>
      <c r="D58" t="s">
        <v>241</v>
      </c>
      <c r="E58" t="s">
        <v>377</v>
      </c>
      <c r="F58" s="96">
        <v>45717</v>
      </c>
      <c r="G58" s="97">
        <v>45736</v>
      </c>
      <c r="H58" t="s">
        <v>501</v>
      </c>
      <c r="I58">
        <v>22</v>
      </c>
      <c r="J58">
        <v>19</v>
      </c>
      <c r="K58" t="s">
        <v>326</v>
      </c>
      <c r="L58" t="s">
        <v>502</v>
      </c>
      <c r="M58" t="s">
        <v>205</v>
      </c>
      <c r="N58" t="s">
        <v>338</v>
      </c>
      <c r="O58">
        <v>19</v>
      </c>
      <c r="P58">
        <v>85</v>
      </c>
      <c r="Q58">
        <v>0</v>
      </c>
      <c r="R58"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98"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f>IF(H58&lt;&gt;"created",0,IF(COUNTIFS($C$1:C57,$C58,$H$1:H57,"created")=0,1,0))</f>
        <v>0</v>
      </c>
      <c r="U58">
        <f t="shared" si="0"/>
        <v>0</v>
      </c>
      <c r="V58">
        <f t="shared" si="1"/>
        <v>0</v>
      </c>
    </row>
    <row r="59" spans="1:22" x14ac:dyDescent="0.35">
      <c r="A59" t="s">
        <v>503</v>
      </c>
      <c r="B59" t="s">
        <v>504</v>
      </c>
      <c r="C59" t="s">
        <v>505</v>
      </c>
      <c r="D59" t="s">
        <v>506</v>
      </c>
      <c r="E59" t="s">
        <v>336</v>
      </c>
      <c r="F59" s="96">
        <v>45717</v>
      </c>
      <c r="G59" s="97">
        <v>45747</v>
      </c>
      <c r="H59" t="s">
        <v>337</v>
      </c>
      <c r="M59" t="s">
        <v>205</v>
      </c>
      <c r="N59" t="s">
        <v>338</v>
      </c>
      <c r="O59">
        <v>25</v>
      </c>
      <c r="P59">
        <v>85</v>
      </c>
      <c r="Q59">
        <v>0</v>
      </c>
      <c r="R5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98"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f>IF(H59&lt;&gt;"created",0,IF(COUNTIFS($C$1:C58,$C59,$H$1:H58,"created")=0,1,0))</f>
        <v>1</v>
      </c>
      <c r="U59">
        <f t="shared" si="0"/>
        <v>0</v>
      </c>
      <c r="V59">
        <f t="shared" si="1"/>
        <v>0</v>
      </c>
    </row>
    <row r="60" spans="1:22" x14ac:dyDescent="0.35">
      <c r="A60" t="s">
        <v>507</v>
      </c>
      <c r="B60" t="s">
        <v>454</v>
      </c>
      <c r="C60" t="s">
        <v>455</v>
      </c>
      <c r="D60" t="s">
        <v>456</v>
      </c>
      <c r="E60" t="s">
        <v>343</v>
      </c>
      <c r="F60" s="96">
        <v>45748</v>
      </c>
      <c r="G60" s="97">
        <v>45753</v>
      </c>
      <c r="H60" t="s">
        <v>458</v>
      </c>
      <c r="I60">
        <v>100</v>
      </c>
      <c r="J60">
        <v>110</v>
      </c>
      <c r="K60" t="s">
        <v>327</v>
      </c>
      <c r="L60" t="s">
        <v>459</v>
      </c>
      <c r="M60" t="s">
        <v>206</v>
      </c>
      <c r="N60" t="s">
        <v>338</v>
      </c>
      <c r="O60">
        <v>28</v>
      </c>
      <c r="P60">
        <v>110</v>
      </c>
      <c r="Q60">
        <v>0</v>
      </c>
      <c r="R60"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98"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f>IF(H60&lt;&gt;"created",0,IF(COUNTIFS($C$1:C59,$C60,$H$1:H59,"created")=0,1,0))</f>
        <v>0</v>
      </c>
      <c r="U60">
        <f t="shared" si="0"/>
        <v>0</v>
      </c>
      <c r="V60">
        <f t="shared" si="1"/>
        <v>0</v>
      </c>
    </row>
    <row r="61" spans="1:22" x14ac:dyDescent="0.35">
      <c r="A61" t="s">
        <v>508</v>
      </c>
      <c r="B61" t="s">
        <v>509</v>
      </c>
      <c r="C61" t="s">
        <v>510</v>
      </c>
      <c r="D61" t="s">
        <v>511</v>
      </c>
      <c r="E61" t="s">
        <v>336</v>
      </c>
      <c r="F61" s="96">
        <v>45748</v>
      </c>
      <c r="G61" s="97">
        <v>45761</v>
      </c>
      <c r="H61" t="s">
        <v>337</v>
      </c>
      <c r="M61" t="s">
        <v>202</v>
      </c>
      <c r="N61" t="s">
        <v>338</v>
      </c>
      <c r="O61">
        <v>16</v>
      </c>
      <c r="P61">
        <v>45</v>
      </c>
      <c r="Q61">
        <v>0</v>
      </c>
      <c r="R61"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98"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f>IF(H61&lt;&gt;"created",0,IF(COUNTIFS($C$1:C60,$C61,$H$1:H60,"created")=0,1,0))</f>
        <v>1</v>
      </c>
      <c r="U61">
        <f t="shared" si="0"/>
        <v>0</v>
      </c>
      <c r="V61">
        <f t="shared" si="1"/>
        <v>0</v>
      </c>
    </row>
    <row r="62" spans="1:22" x14ac:dyDescent="0.35">
      <c r="A62" t="s">
        <v>512</v>
      </c>
      <c r="B62" t="s">
        <v>379</v>
      </c>
      <c r="C62" t="s">
        <v>380</v>
      </c>
      <c r="D62" t="s">
        <v>237</v>
      </c>
      <c r="E62" t="s">
        <v>336</v>
      </c>
      <c r="F62" s="96">
        <v>45748</v>
      </c>
      <c r="G62" s="97">
        <v>45762</v>
      </c>
      <c r="H62" t="s">
        <v>501</v>
      </c>
      <c r="I62">
        <v>18</v>
      </c>
      <c r="J62">
        <v>23</v>
      </c>
      <c r="K62" t="s">
        <v>326</v>
      </c>
      <c r="L62" t="s">
        <v>513</v>
      </c>
      <c r="M62" t="s">
        <v>203</v>
      </c>
      <c r="N62" t="s">
        <v>338</v>
      </c>
      <c r="O62">
        <v>23</v>
      </c>
      <c r="P62">
        <v>95</v>
      </c>
      <c r="Q62">
        <v>0</v>
      </c>
      <c r="R62"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98"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f>IF(H62&lt;&gt;"created",0,IF(COUNTIFS($C$1:C61,$C62,$H$1:H61,"created")=0,1,0))</f>
        <v>0</v>
      </c>
      <c r="U62">
        <f t="shared" si="0"/>
        <v>0</v>
      </c>
      <c r="V62">
        <f t="shared" si="1"/>
        <v>0</v>
      </c>
    </row>
    <row r="63" spans="1:22" x14ac:dyDescent="0.35">
      <c r="A63" t="s">
        <v>514</v>
      </c>
      <c r="B63" t="s">
        <v>515</v>
      </c>
      <c r="C63" t="s">
        <v>428</v>
      </c>
      <c r="D63" t="s">
        <v>429</v>
      </c>
      <c r="E63" t="s">
        <v>336</v>
      </c>
      <c r="F63" s="96">
        <v>45748</v>
      </c>
      <c r="G63" s="97">
        <v>45765</v>
      </c>
      <c r="H63" t="s">
        <v>337</v>
      </c>
      <c r="M63" t="s">
        <v>206</v>
      </c>
      <c r="N63" t="s">
        <v>338</v>
      </c>
      <c r="O63">
        <v>26</v>
      </c>
      <c r="P63">
        <v>110</v>
      </c>
      <c r="Q63">
        <v>0</v>
      </c>
      <c r="R6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98"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f>IF(H63&lt;&gt;"created",0,IF(COUNTIFS($C$1:C62,$C63,$H$1:H62,"created")=0,1,0))</f>
        <v>0</v>
      </c>
      <c r="U63">
        <f t="shared" si="0"/>
        <v>0</v>
      </c>
      <c r="V63">
        <f t="shared" si="1"/>
        <v>0</v>
      </c>
    </row>
    <row r="64" spans="1:22" x14ac:dyDescent="0.35">
      <c r="A64" t="s">
        <v>516</v>
      </c>
      <c r="B64" t="s">
        <v>517</v>
      </c>
      <c r="C64" t="s">
        <v>518</v>
      </c>
      <c r="D64" t="s">
        <v>519</v>
      </c>
      <c r="E64" t="s">
        <v>343</v>
      </c>
      <c r="F64" s="96">
        <v>45748</v>
      </c>
      <c r="G64" s="97">
        <v>45775</v>
      </c>
      <c r="H64" t="s">
        <v>337</v>
      </c>
      <c r="M64" t="s">
        <v>206</v>
      </c>
      <c r="N64" t="s">
        <v>338</v>
      </c>
      <c r="O64">
        <v>20</v>
      </c>
      <c r="P64">
        <v>110</v>
      </c>
      <c r="Q64">
        <v>0</v>
      </c>
      <c r="R64"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98"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f>IF(H64&lt;&gt;"created",0,IF(COUNTIFS($C$1:C63,$C64,$H$1:H63,"created")=0,1,0))</f>
        <v>1</v>
      </c>
      <c r="U64">
        <f t="shared" si="0"/>
        <v>0</v>
      </c>
      <c r="V64">
        <f t="shared" si="1"/>
        <v>0</v>
      </c>
    </row>
    <row r="65" spans="1:22" x14ac:dyDescent="0.35">
      <c r="A65" t="s">
        <v>520</v>
      </c>
      <c r="B65" t="s">
        <v>350</v>
      </c>
      <c r="C65" t="s">
        <v>351</v>
      </c>
      <c r="D65" t="s">
        <v>243</v>
      </c>
      <c r="E65" t="s">
        <v>343</v>
      </c>
      <c r="F65" s="96">
        <v>45778</v>
      </c>
      <c r="G65" s="97">
        <v>45787</v>
      </c>
      <c r="H65" t="s">
        <v>501</v>
      </c>
      <c r="I65">
        <v>15</v>
      </c>
      <c r="J65">
        <v>18</v>
      </c>
      <c r="K65" t="s">
        <v>326</v>
      </c>
      <c r="L65" t="s">
        <v>521</v>
      </c>
      <c r="M65" t="s">
        <v>206</v>
      </c>
      <c r="N65" t="s">
        <v>338</v>
      </c>
      <c r="O65">
        <v>18</v>
      </c>
      <c r="P65">
        <v>110</v>
      </c>
      <c r="Q65">
        <v>0</v>
      </c>
      <c r="R65"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98"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f>IF(H65&lt;&gt;"created",0,IF(COUNTIFS($C$1:C64,$C65,$H$1:H64,"created")=0,1,0))</f>
        <v>0</v>
      </c>
      <c r="U65">
        <f t="shared" si="0"/>
        <v>0</v>
      </c>
      <c r="V65">
        <f t="shared" si="1"/>
        <v>0</v>
      </c>
    </row>
    <row r="66" spans="1:22" x14ac:dyDescent="0.35">
      <c r="A66" t="s">
        <v>522</v>
      </c>
      <c r="B66" t="s">
        <v>523</v>
      </c>
      <c r="C66" t="s">
        <v>524</v>
      </c>
      <c r="D66" t="s">
        <v>525</v>
      </c>
      <c r="E66" t="s">
        <v>377</v>
      </c>
      <c r="F66" s="96">
        <v>45778</v>
      </c>
      <c r="G66" s="97">
        <v>45789</v>
      </c>
      <c r="H66" t="s">
        <v>337</v>
      </c>
      <c r="M66" t="s">
        <v>203</v>
      </c>
      <c r="N66" t="s">
        <v>338</v>
      </c>
      <c r="O66">
        <v>18</v>
      </c>
      <c r="P66">
        <v>95</v>
      </c>
      <c r="Q66">
        <v>0</v>
      </c>
      <c r="R66"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98"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f>IF(H66&lt;&gt;"created",0,IF(COUNTIFS($C$1:C65,$C66,$H$1:H65,"created")=0,1,0))</f>
        <v>1</v>
      </c>
      <c r="U66">
        <f t="shared" si="0"/>
        <v>0</v>
      </c>
      <c r="V66">
        <f t="shared" si="1"/>
        <v>0</v>
      </c>
    </row>
    <row r="67" spans="1:22" x14ac:dyDescent="0.35">
      <c r="A67" t="s">
        <v>526</v>
      </c>
      <c r="B67" t="s">
        <v>527</v>
      </c>
      <c r="C67" t="s">
        <v>383</v>
      </c>
      <c r="D67" t="s">
        <v>233</v>
      </c>
      <c r="E67" t="s">
        <v>343</v>
      </c>
      <c r="F67" s="96">
        <v>45778</v>
      </c>
      <c r="G67" s="97">
        <v>45797</v>
      </c>
      <c r="H67" t="s">
        <v>337</v>
      </c>
      <c r="L67" t="s">
        <v>528</v>
      </c>
      <c r="M67" t="s">
        <v>203</v>
      </c>
      <c r="N67" t="s">
        <v>338</v>
      </c>
      <c r="O67">
        <v>12</v>
      </c>
      <c r="P67">
        <v>95</v>
      </c>
      <c r="Q67">
        <v>0</v>
      </c>
      <c r="R67"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98"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f>IF(H67&lt;&gt;"created",0,IF(COUNTIFS($C$1:C66,$C67,$H$1:H66,"created")=0,1,0))</f>
        <v>0</v>
      </c>
      <c r="U67">
        <f t="shared" ref="U67:U98" si="2">IF(H67&lt;&gt;"cancelled",0,IF(COUNTIFS($C$2:$C$98,$C67,$H$2:$H$98,"created",$F$2:$F$98,"&lt;="&amp;F67)-COUNTIFS($C$2:$C$98,$C67,$H$2:$H$98,"cancelled",$F$2:$F$98,"&lt;="&amp;F67)=0,1,0))</f>
        <v>0</v>
      </c>
      <c r="V67">
        <f t="shared" ref="V67:V98" si="3">IF(AND(H67="created",T67=0,COUNTIFS($C$2:$C$98,$C67,$H$2:$H$98,"cancelled",$F$2:$F$98,"&lt;"&amp;F67)&gt;0,COUNTIFS($C$2:$C$98,$C67,$H$2:$H$98,"created",$F$2:$F$98,"&lt;"&amp;F67)-COUNTIFS($C$2:$C$98,$C67,$H$2:$H$98,"cancelled",$F$2:$F$98,"&lt;"&amp;F67)=0),1,0)</f>
        <v>1</v>
      </c>
    </row>
    <row r="68" spans="1:22" x14ac:dyDescent="0.35">
      <c r="A68" t="s">
        <v>529</v>
      </c>
      <c r="B68" t="s">
        <v>530</v>
      </c>
      <c r="C68" t="s">
        <v>442</v>
      </c>
      <c r="D68" t="s">
        <v>443</v>
      </c>
      <c r="E68" t="s">
        <v>336</v>
      </c>
      <c r="F68" s="96">
        <v>45778</v>
      </c>
      <c r="G68" s="97">
        <v>45799</v>
      </c>
      <c r="H68" t="s">
        <v>337</v>
      </c>
      <c r="M68" t="s">
        <v>206</v>
      </c>
      <c r="N68" t="s">
        <v>338</v>
      </c>
      <c r="O68">
        <v>36</v>
      </c>
      <c r="P68">
        <v>110</v>
      </c>
      <c r="Q68">
        <v>0</v>
      </c>
      <c r="R68"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98"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f>IF(H68&lt;&gt;"created",0,IF(COUNTIFS($C$1:C67,$C68,$H$1:H67,"created")=0,1,0))</f>
        <v>0</v>
      </c>
      <c r="U68">
        <f t="shared" si="2"/>
        <v>0</v>
      </c>
      <c r="V68">
        <f t="shared" si="3"/>
        <v>0</v>
      </c>
    </row>
    <row r="69" spans="1:22" x14ac:dyDescent="0.35">
      <c r="A69" t="s">
        <v>531</v>
      </c>
      <c r="B69" t="s">
        <v>234</v>
      </c>
      <c r="C69" t="s">
        <v>425</v>
      </c>
      <c r="D69" t="s">
        <v>235</v>
      </c>
      <c r="E69" t="s">
        <v>343</v>
      </c>
      <c r="F69" s="96">
        <v>45778</v>
      </c>
      <c r="G69" s="97">
        <v>45803</v>
      </c>
      <c r="H69" t="s">
        <v>403</v>
      </c>
      <c r="I69" t="s">
        <v>404</v>
      </c>
      <c r="J69" t="s">
        <v>405</v>
      </c>
      <c r="K69" t="s">
        <v>406</v>
      </c>
      <c r="L69" t="s">
        <v>532</v>
      </c>
      <c r="M69" t="s">
        <v>203</v>
      </c>
      <c r="N69" t="s">
        <v>338</v>
      </c>
      <c r="O69">
        <v>25</v>
      </c>
      <c r="P69">
        <v>95</v>
      </c>
      <c r="Q69">
        <v>0</v>
      </c>
      <c r="R6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98"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f>IF(H69&lt;&gt;"created",0,IF(COUNTIFS($C$1:C68,$C69,$H$1:H68,"created")=0,1,0))</f>
        <v>0</v>
      </c>
      <c r="U69">
        <f t="shared" si="2"/>
        <v>0</v>
      </c>
      <c r="V69">
        <f t="shared" si="3"/>
        <v>0</v>
      </c>
    </row>
    <row r="70" spans="1:22" x14ac:dyDescent="0.35">
      <c r="A70" t="s">
        <v>533</v>
      </c>
      <c r="B70" t="s">
        <v>534</v>
      </c>
      <c r="C70" t="s">
        <v>535</v>
      </c>
      <c r="D70" t="s">
        <v>536</v>
      </c>
      <c r="E70" t="s">
        <v>336</v>
      </c>
      <c r="F70" s="96">
        <v>45778</v>
      </c>
      <c r="G70" s="97">
        <v>45803</v>
      </c>
      <c r="H70" t="s">
        <v>337</v>
      </c>
      <c r="M70" t="s">
        <v>207</v>
      </c>
      <c r="N70" t="s">
        <v>338</v>
      </c>
      <c r="O70">
        <v>35</v>
      </c>
      <c r="P70">
        <v>150</v>
      </c>
      <c r="Q70">
        <v>0</v>
      </c>
      <c r="R70"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98"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f>IF(H70&lt;&gt;"created",0,IF(COUNTIFS($C$1:C69,$C70,$H$1:H69,"created")=0,1,0))</f>
        <v>1</v>
      </c>
      <c r="U70">
        <f t="shared" si="2"/>
        <v>0</v>
      </c>
      <c r="V70">
        <f t="shared" si="3"/>
        <v>0</v>
      </c>
    </row>
    <row r="71" spans="1:22" x14ac:dyDescent="0.35">
      <c r="A71" t="s">
        <v>537</v>
      </c>
      <c r="B71" t="s">
        <v>409</v>
      </c>
      <c r="C71" t="s">
        <v>410</v>
      </c>
      <c r="D71" t="s">
        <v>411</v>
      </c>
      <c r="E71" t="s">
        <v>343</v>
      </c>
      <c r="F71" s="96">
        <v>45809</v>
      </c>
      <c r="G71" s="97">
        <v>45809</v>
      </c>
      <c r="H71" t="s">
        <v>501</v>
      </c>
      <c r="I71">
        <v>30</v>
      </c>
      <c r="J71">
        <v>35</v>
      </c>
      <c r="K71" t="s">
        <v>326</v>
      </c>
      <c r="L71" t="s">
        <v>538</v>
      </c>
      <c r="M71" t="s">
        <v>204</v>
      </c>
      <c r="N71" t="s">
        <v>338</v>
      </c>
      <c r="O71">
        <v>35</v>
      </c>
      <c r="P71">
        <v>180</v>
      </c>
      <c r="Q71">
        <v>0</v>
      </c>
      <c r="R71"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98"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f>IF(H71&lt;&gt;"created",0,IF(COUNTIFS($C$1:C70,$C71,$H$1:H70,"created")=0,1,0))</f>
        <v>0</v>
      </c>
      <c r="U71">
        <f t="shared" si="2"/>
        <v>0</v>
      </c>
      <c r="V71">
        <f t="shared" si="3"/>
        <v>0</v>
      </c>
    </row>
    <row r="72" spans="1:22" x14ac:dyDescent="0.35">
      <c r="A72" t="s">
        <v>539</v>
      </c>
      <c r="B72" t="s">
        <v>540</v>
      </c>
      <c r="C72" t="s">
        <v>455</v>
      </c>
      <c r="D72" t="s">
        <v>456</v>
      </c>
      <c r="E72" t="s">
        <v>343</v>
      </c>
      <c r="F72" s="96">
        <v>45809</v>
      </c>
      <c r="G72" s="97">
        <v>45813</v>
      </c>
      <c r="H72" t="s">
        <v>337</v>
      </c>
      <c r="M72" t="s">
        <v>204</v>
      </c>
      <c r="N72" t="s">
        <v>338</v>
      </c>
      <c r="O72">
        <v>31</v>
      </c>
      <c r="P72">
        <v>180</v>
      </c>
      <c r="Q72">
        <v>0</v>
      </c>
      <c r="R72"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98"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f>IF(H72&lt;&gt;"created",0,IF(COUNTIFS($C$1:C71,$C72,$H$1:H71,"created")=0,1,0))</f>
        <v>0</v>
      </c>
      <c r="U72">
        <f t="shared" si="2"/>
        <v>0</v>
      </c>
      <c r="V72">
        <f t="shared" si="3"/>
        <v>0</v>
      </c>
    </row>
    <row r="73" spans="1:22" x14ac:dyDescent="0.35">
      <c r="A73" t="s">
        <v>541</v>
      </c>
      <c r="B73" t="s">
        <v>542</v>
      </c>
      <c r="C73" t="s">
        <v>543</v>
      </c>
      <c r="D73" t="s">
        <v>544</v>
      </c>
      <c r="E73" t="s">
        <v>343</v>
      </c>
      <c r="F73" s="96">
        <v>45809</v>
      </c>
      <c r="G73" s="97">
        <v>45817</v>
      </c>
      <c r="H73" t="s">
        <v>337</v>
      </c>
      <c r="M73" t="s">
        <v>202</v>
      </c>
      <c r="N73" t="s">
        <v>338</v>
      </c>
      <c r="O73">
        <v>13</v>
      </c>
      <c r="P73">
        <v>45</v>
      </c>
      <c r="Q73">
        <v>0</v>
      </c>
      <c r="R7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98"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f>IF(H73&lt;&gt;"created",0,IF(COUNTIFS($C$1:C72,$C73,$H$1:H72,"created")=0,1,0))</f>
        <v>1</v>
      </c>
      <c r="U73">
        <f t="shared" si="2"/>
        <v>0</v>
      </c>
      <c r="V73">
        <f t="shared" si="3"/>
        <v>0</v>
      </c>
    </row>
    <row r="74" spans="1:22" x14ac:dyDescent="0.35">
      <c r="A74" t="s">
        <v>545</v>
      </c>
      <c r="B74" t="s">
        <v>236</v>
      </c>
      <c r="C74" t="s">
        <v>380</v>
      </c>
      <c r="D74" t="s">
        <v>237</v>
      </c>
      <c r="E74" t="s">
        <v>336</v>
      </c>
      <c r="F74" s="96">
        <v>45809</v>
      </c>
      <c r="G74" s="97">
        <v>45818</v>
      </c>
      <c r="H74" t="s">
        <v>403</v>
      </c>
      <c r="I74" t="s">
        <v>404</v>
      </c>
      <c r="J74" t="s">
        <v>403</v>
      </c>
      <c r="K74" t="s">
        <v>406</v>
      </c>
      <c r="L74" t="s">
        <v>546</v>
      </c>
      <c r="M74" t="s">
        <v>202</v>
      </c>
      <c r="N74" t="s">
        <v>338</v>
      </c>
      <c r="O74">
        <v>19</v>
      </c>
      <c r="P74">
        <v>45</v>
      </c>
      <c r="Q74">
        <v>0</v>
      </c>
      <c r="R74"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98"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f>IF(H74&lt;&gt;"created",0,IF(COUNTIFS($C$1:C73,$C74,$H$1:H73,"created")=0,1,0))</f>
        <v>0</v>
      </c>
      <c r="U74">
        <f t="shared" si="2"/>
        <v>0</v>
      </c>
      <c r="V74">
        <f t="shared" si="3"/>
        <v>0</v>
      </c>
    </row>
    <row r="75" spans="1:22" x14ac:dyDescent="0.35">
      <c r="A75" t="s">
        <v>547</v>
      </c>
      <c r="B75" t="s">
        <v>450</v>
      </c>
      <c r="C75" t="s">
        <v>451</v>
      </c>
      <c r="D75" t="s">
        <v>452</v>
      </c>
      <c r="E75" t="s">
        <v>336</v>
      </c>
      <c r="F75" s="96">
        <v>45809</v>
      </c>
      <c r="G75" s="97">
        <v>45823</v>
      </c>
      <c r="H75" t="s">
        <v>548</v>
      </c>
      <c r="I75" t="s">
        <v>202</v>
      </c>
      <c r="J75" t="s">
        <v>203</v>
      </c>
      <c r="K75" t="s">
        <v>304</v>
      </c>
      <c r="L75" t="s">
        <v>549</v>
      </c>
      <c r="M75" t="s">
        <v>203</v>
      </c>
      <c r="N75" t="s">
        <v>338</v>
      </c>
      <c r="O75">
        <v>16</v>
      </c>
      <c r="P75">
        <v>95</v>
      </c>
      <c r="Q75">
        <v>0</v>
      </c>
      <c r="R75"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98"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f>IF(H75&lt;&gt;"created",0,IF(COUNTIFS($C$1:C74,$C75,$H$1:H74,"created")=0,1,0))</f>
        <v>0</v>
      </c>
      <c r="U75">
        <f t="shared" si="2"/>
        <v>0</v>
      </c>
      <c r="V75">
        <f t="shared" si="3"/>
        <v>0</v>
      </c>
    </row>
    <row r="76" spans="1:22" x14ac:dyDescent="0.35">
      <c r="A76" t="s">
        <v>550</v>
      </c>
      <c r="B76" t="s">
        <v>551</v>
      </c>
      <c r="C76" t="s">
        <v>552</v>
      </c>
      <c r="D76" t="s">
        <v>553</v>
      </c>
      <c r="E76" t="s">
        <v>336</v>
      </c>
      <c r="F76" s="96">
        <v>45809</v>
      </c>
      <c r="G76" s="97">
        <v>45831</v>
      </c>
      <c r="H76" t="s">
        <v>337</v>
      </c>
      <c r="M76" t="s">
        <v>205</v>
      </c>
      <c r="N76" t="s">
        <v>338</v>
      </c>
      <c r="O76">
        <v>29</v>
      </c>
      <c r="P76">
        <v>85</v>
      </c>
      <c r="Q76">
        <v>0</v>
      </c>
      <c r="R76"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98"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f>IF(H76&lt;&gt;"created",0,IF(COUNTIFS($C$1:C75,$C76,$H$1:H75,"created")=0,1,0))</f>
        <v>1</v>
      </c>
      <c r="U76">
        <f t="shared" si="2"/>
        <v>0</v>
      </c>
      <c r="V76">
        <f t="shared" si="3"/>
        <v>0</v>
      </c>
    </row>
    <row r="77" spans="1:22" x14ac:dyDescent="0.35">
      <c r="A77" t="s">
        <v>554</v>
      </c>
      <c r="B77" t="s">
        <v>238</v>
      </c>
      <c r="C77" t="s">
        <v>433</v>
      </c>
      <c r="D77" t="s">
        <v>239</v>
      </c>
      <c r="E77" t="s">
        <v>336</v>
      </c>
      <c r="F77" s="96">
        <v>45809</v>
      </c>
      <c r="G77" s="97">
        <v>45833</v>
      </c>
      <c r="H77" t="s">
        <v>403</v>
      </c>
      <c r="I77" t="s">
        <v>404</v>
      </c>
      <c r="J77" t="s">
        <v>405</v>
      </c>
      <c r="K77" t="s">
        <v>406</v>
      </c>
      <c r="L77" t="s">
        <v>407</v>
      </c>
      <c r="M77" t="s">
        <v>202</v>
      </c>
      <c r="N77" t="s">
        <v>338</v>
      </c>
      <c r="O77">
        <v>10</v>
      </c>
      <c r="P77">
        <v>45</v>
      </c>
      <c r="Q77">
        <v>0</v>
      </c>
      <c r="R77"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98"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f>IF(H77&lt;&gt;"created",0,IF(COUNTIFS($C$1:C76,$C77,$H$1:H76,"created")=0,1,0))</f>
        <v>0</v>
      </c>
      <c r="U77">
        <f t="shared" si="2"/>
        <v>1</v>
      </c>
      <c r="V77">
        <f t="shared" si="3"/>
        <v>0</v>
      </c>
    </row>
    <row r="78" spans="1:22" x14ac:dyDescent="0.35">
      <c r="A78" t="s">
        <v>555</v>
      </c>
      <c r="B78" t="s">
        <v>431</v>
      </c>
      <c r="C78" t="s">
        <v>364</v>
      </c>
      <c r="D78" t="s">
        <v>231</v>
      </c>
      <c r="E78" t="s">
        <v>336</v>
      </c>
      <c r="F78" s="96">
        <v>45839</v>
      </c>
      <c r="G78" s="97">
        <v>45843</v>
      </c>
      <c r="H78" t="s">
        <v>458</v>
      </c>
      <c r="I78">
        <v>75</v>
      </c>
      <c r="J78">
        <v>85</v>
      </c>
      <c r="K78" t="s">
        <v>327</v>
      </c>
      <c r="L78" t="s">
        <v>459</v>
      </c>
      <c r="M78" t="s">
        <v>205</v>
      </c>
      <c r="N78" t="s">
        <v>338</v>
      </c>
      <c r="O78">
        <v>22</v>
      </c>
      <c r="P78">
        <v>85</v>
      </c>
      <c r="Q78">
        <v>0</v>
      </c>
      <c r="R78"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98"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f>IF(H78&lt;&gt;"created",0,IF(COUNTIFS($C$1:C77,$C78,$H$1:H77,"created")=0,1,0))</f>
        <v>0</v>
      </c>
      <c r="U78">
        <f t="shared" si="2"/>
        <v>0</v>
      </c>
      <c r="V78">
        <f t="shared" si="3"/>
        <v>0</v>
      </c>
    </row>
    <row r="79" spans="1:22" x14ac:dyDescent="0.35">
      <c r="A79" t="s">
        <v>556</v>
      </c>
      <c r="B79" t="s">
        <v>240</v>
      </c>
      <c r="C79" t="s">
        <v>416</v>
      </c>
      <c r="D79" t="s">
        <v>241</v>
      </c>
      <c r="E79" t="s">
        <v>377</v>
      </c>
      <c r="F79" s="96">
        <v>45839</v>
      </c>
      <c r="G79" s="97">
        <v>45858</v>
      </c>
      <c r="H79" t="s">
        <v>403</v>
      </c>
      <c r="I79" t="s">
        <v>404</v>
      </c>
      <c r="J79" t="s">
        <v>403</v>
      </c>
      <c r="K79" t="s">
        <v>406</v>
      </c>
      <c r="L79" t="s">
        <v>557</v>
      </c>
      <c r="M79" t="s">
        <v>206</v>
      </c>
      <c r="N79" t="s">
        <v>338</v>
      </c>
      <c r="O79">
        <v>16</v>
      </c>
      <c r="P79">
        <v>110</v>
      </c>
      <c r="Q79">
        <v>0</v>
      </c>
      <c r="R7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98"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f>IF(H79&lt;&gt;"created",0,IF(COUNTIFS($C$1:C78,$C79,$H$1:H78,"created")=0,1,0))</f>
        <v>0</v>
      </c>
      <c r="U79">
        <f t="shared" si="2"/>
        <v>0</v>
      </c>
      <c r="V79">
        <f t="shared" si="3"/>
        <v>0</v>
      </c>
    </row>
    <row r="80" spans="1:22" x14ac:dyDescent="0.35">
      <c r="A80" t="s">
        <v>558</v>
      </c>
      <c r="B80" t="s">
        <v>374</v>
      </c>
      <c r="C80" t="s">
        <v>375</v>
      </c>
      <c r="D80" t="s">
        <v>376</v>
      </c>
      <c r="E80" t="s">
        <v>377</v>
      </c>
      <c r="F80" s="96">
        <v>45839</v>
      </c>
      <c r="G80" s="97">
        <v>45860</v>
      </c>
      <c r="H80" t="s">
        <v>501</v>
      </c>
      <c r="I80">
        <v>14</v>
      </c>
      <c r="J80">
        <v>18</v>
      </c>
      <c r="K80" t="s">
        <v>326</v>
      </c>
      <c r="L80" t="s">
        <v>559</v>
      </c>
      <c r="M80" t="s">
        <v>206</v>
      </c>
      <c r="N80" t="s">
        <v>338</v>
      </c>
      <c r="O80">
        <v>18</v>
      </c>
      <c r="P80">
        <v>110</v>
      </c>
      <c r="Q80">
        <v>0</v>
      </c>
      <c r="R80"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98"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f>IF(H80&lt;&gt;"created",0,IF(COUNTIFS($C$1:C79,$C80,$H$1:H79,"created")=0,1,0))</f>
        <v>0</v>
      </c>
      <c r="U80">
        <f t="shared" si="2"/>
        <v>0</v>
      </c>
      <c r="V80">
        <f t="shared" si="3"/>
        <v>0</v>
      </c>
    </row>
    <row r="81" spans="1:22" x14ac:dyDescent="0.35">
      <c r="A81" t="s">
        <v>560</v>
      </c>
      <c r="B81" t="s">
        <v>471</v>
      </c>
      <c r="C81" t="s">
        <v>472</v>
      </c>
      <c r="D81" t="s">
        <v>473</v>
      </c>
      <c r="E81" t="s">
        <v>336</v>
      </c>
      <c r="F81" s="96">
        <v>45870</v>
      </c>
      <c r="G81" s="97">
        <v>45872</v>
      </c>
      <c r="H81" t="s">
        <v>458</v>
      </c>
      <c r="I81">
        <v>90</v>
      </c>
      <c r="J81">
        <v>85</v>
      </c>
      <c r="K81" t="s">
        <v>327</v>
      </c>
      <c r="L81" t="s">
        <v>561</v>
      </c>
      <c r="M81" t="s">
        <v>205</v>
      </c>
      <c r="N81" t="s">
        <v>338</v>
      </c>
      <c r="O81">
        <v>22</v>
      </c>
      <c r="P81">
        <v>85</v>
      </c>
      <c r="Q81">
        <v>0</v>
      </c>
      <c r="R81"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98"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f>IF(H81&lt;&gt;"created",0,IF(COUNTIFS($C$1:C80,$C81,$H$1:H80,"created")=0,1,0))</f>
        <v>0</v>
      </c>
      <c r="U81">
        <f t="shared" si="2"/>
        <v>0</v>
      </c>
      <c r="V81">
        <f t="shared" si="3"/>
        <v>0</v>
      </c>
    </row>
    <row r="82" spans="1:22" x14ac:dyDescent="0.35">
      <c r="A82" t="s">
        <v>562</v>
      </c>
      <c r="B82" t="s">
        <v>497</v>
      </c>
      <c r="C82" t="s">
        <v>498</v>
      </c>
      <c r="D82" t="s">
        <v>499</v>
      </c>
      <c r="E82" t="s">
        <v>343</v>
      </c>
      <c r="F82" s="96">
        <v>45870</v>
      </c>
      <c r="G82" s="97">
        <v>45881</v>
      </c>
      <c r="H82" t="s">
        <v>548</v>
      </c>
      <c r="I82" t="s">
        <v>203</v>
      </c>
      <c r="J82" t="s">
        <v>204</v>
      </c>
      <c r="K82" t="s">
        <v>304</v>
      </c>
      <c r="L82" t="s">
        <v>563</v>
      </c>
      <c r="M82" t="s">
        <v>204</v>
      </c>
      <c r="N82" t="s">
        <v>338</v>
      </c>
      <c r="O82">
        <v>26</v>
      </c>
      <c r="P82">
        <v>180</v>
      </c>
      <c r="Q82">
        <v>0</v>
      </c>
      <c r="R82"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98"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f>IF(H82&lt;&gt;"created",0,IF(COUNTIFS($C$1:C81,$C82,$H$1:H81,"created")=0,1,0))</f>
        <v>0</v>
      </c>
      <c r="U82">
        <f t="shared" si="2"/>
        <v>0</v>
      </c>
      <c r="V82">
        <f t="shared" si="3"/>
        <v>0</v>
      </c>
    </row>
    <row r="83" spans="1:22" x14ac:dyDescent="0.35">
      <c r="A83" t="s">
        <v>564</v>
      </c>
      <c r="B83" t="s">
        <v>399</v>
      </c>
      <c r="C83" t="s">
        <v>400</v>
      </c>
      <c r="D83" t="s">
        <v>401</v>
      </c>
      <c r="E83" t="s">
        <v>336</v>
      </c>
      <c r="F83" s="96">
        <v>45870</v>
      </c>
      <c r="G83" s="97">
        <v>45888</v>
      </c>
      <c r="H83" t="s">
        <v>489</v>
      </c>
      <c r="I83" t="s">
        <v>203</v>
      </c>
      <c r="J83" t="s">
        <v>202</v>
      </c>
      <c r="K83" t="s">
        <v>304</v>
      </c>
      <c r="L83" t="s">
        <v>565</v>
      </c>
      <c r="M83" t="s">
        <v>202</v>
      </c>
      <c r="N83" t="s">
        <v>338</v>
      </c>
      <c r="O83">
        <v>12</v>
      </c>
      <c r="P83">
        <v>45</v>
      </c>
      <c r="Q83">
        <v>0</v>
      </c>
      <c r="R8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98"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f>IF(H83&lt;&gt;"created",0,IF(COUNTIFS($C$1:C82,$C83,$H$1:H82,"created")=0,1,0))</f>
        <v>0</v>
      </c>
      <c r="U83">
        <f t="shared" si="2"/>
        <v>0</v>
      </c>
      <c r="V83">
        <f t="shared" si="3"/>
        <v>0</v>
      </c>
    </row>
    <row r="84" spans="1:22" x14ac:dyDescent="0.35">
      <c r="A84" t="s">
        <v>566</v>
      </c>
      <c r="B84" t="s">
        <v>427</v>
      </c>
      <c r="C84" t="s">
        <v>428</v>
      </c>
      <c r="D84" t="s">
        <v>429</v>
      </c>
      <c r="E84" t="s">
        <v>336</v>
      </c>
      <c r="F84" s="96">
        <v>45870</v>
      </c>
      <c r="G84" s="97">
        <v>45889</v>
      </c>
      <c r="H84" t="s">
        <v>501</v>
      </c>
      <c r="I84">
        <v>28</v>
      </c>
      <c r="J84">
        <v>33</v>
      </c>
      <c r="K84" t="s">
        <v>326</v>
      </c>
      <c r="L84" t="s">
        <v>567</v>
      </c>
      <c r="M84" t="s">
        <v>207</v>
      </c>
      <c r="N84" t="s">
        <v>338</v>
      </c>
      <c r="O84">
        <v>33</v>
      </c>
      <c r="P84">
        <v>150</v>
      </c>
      <c r="Q84">
        <v>0</v>
      </c>
      <c r="R84"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98"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f>IF(H84&lt;&gt;"created",0,IF(COUNTIFS($C$1:C83,$C84,$H$1:H83,"created")=0,1,0))</f>
        <v>0</v>
      </c>
      <c r="U84">
        <f t="shared" si="2"/>
        <v>0</v>
      </c>
      <c r="V84">
        <f t="shared" si="3"/>
        <v>0</v>
      </c>
    </row>
    <row r="85" spans="1:22" x14ac:dyDescent="0.35">
      <c r="A85" t="s">
        <v>568</v>
      </c>
      <c r="B85" t="s">
        <v>242</v>
      </c>
      <c r="C85" t="s">
        <v>351</v>
      </c>
      <c r="D85" t="s">
        <v>243</v>
      </c>
      <c r="E85" t="s">
        <v>343</v>
      </c>
      <c r="F85" s="96">
        <v>45870</v>
      </c>
      <c r="G85" s="97">
        <v>45899</v>
      </c>
      <c r="H85" t="s">
        <v>403</v>
      </c>
      <c r="I85" t="s">
        <v>404</v>
      </c>
      <c r="J85" t="s">
        <v>405</v>
      </c>
      <c r="K85" t="s">
        <v>406</v>
      </c>
      <c r="L85" t="s">
        <v>461</v>
      </c>
      <c r="M85" t="s">
        <v>204</v>
      </c>
      <c r="N85" t="s">
        <v>338</v>
      </c>
      <c r="O85">
        <v>26</v>
      </c>
      <c r="P85">
        <v>180</v>
      </c>
      <c r="Q85">
        <v>0</v>
      </c>
      <c r="R85"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98"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f>IF(H85&lt;&gt;"created",0,IF(COUNTIFS($C$1:C84,$C85,$H$1:H84,"created")=0,1,0))</f>
        <v>0</v>
      </c>
      <c r="U85">
        <f t="shared" si="2"/>
        <v>0</v>
      </c>
      <c r="V85">
        <f t="shared" si="3"/>
        <v>0</v>
      </c>
    </row>
    <row r="86" spans="1:22" x14ac:dyDescent="0.35">
      <c r="A86" t="s">
        <v>569</v>
      </c>
      <c r="B86" t="s">
        <v>479</v>
      </c>
      <c r="C86" t="s">
        <v>480</v>
      </c>
      <c r="D86" t="s">
        <v>481</v>
      </c>
      <c r="E86" t="s">
        <v>343</v>
      </c>
      <c r="F86" s="96">
        <v>45901</v>
      </c>
      <c r="G86" s="97">
        <v>45905</v>
      </c>
      <c r="H86" t="s">
        <v>548</v>
      </c>
      <c r="I86" t="s">
        <v>202</v>
      </c>
      <c r="J86" t="s">
        <v>203</v>
      </c>
      <c r="K86" t="s">
        <v>304</v>
      </c>
      <c r="L86" t="s">
        <v>570</v>
      </c>
      <c r="M86" t="s">
        <v>203</v>
      </c>
      <c r="N86" t="s">
        <v>338</v>
      </c>
      <c r="O86">
        <v>20</v>
      </c>
      <c r="P86">
        <v>95</v>
      </c>
      <c r="Q86">
        <v>0</v>
      </c>
      <c r="R86"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98"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f>IF(H86&lt;&gt;"created",0,IF(COUNTIFS($C$1:C85,$C86,$H$1:H85,"created")=0,1,0))</f>
        <v>0</v>
      </c>
      <c r="U86">
        <f t="shared" si="2"/>
        <v>0</v>
      </c>
      <c r="V86">
        <f t="shared" si="3"/>
        <v>0</v>
      </c>
    </row>
    <row r="87" spans="1:22" x14ac:dyDescent="0.35">
      <c r="A87" t="s">
        <v>571</v>
      </c>
      <c r="B87" t="s">
        <v>540</v>
      </c>
      <c r="C87" t="s">
        <v>455</v>
      </c>
      <c r="D87" t="s">
        <v>456</v>
      </c>
      <c r="E87" t="s">
        <v>343</v>
      </c>
      <c r="F87" s="96">
        <v>45901</v>
      </c>
      <c r="G87" s="97">
        <v>45910</v>
      </c>
      <c r="H87" t="s">
        <v>501</v>
      </c>
      <c r="I87">
        <v>26</v>
      </c>
      <c r="J87">
        <v>31</v>
      </c>
      <c r="K87" t="s">
        <v>326</v>
      </c>
      <c r="L87" t="s">
        <v>572</v>
      </c>
      <c r="M87" t="s">
        <v>204</v>
      </c>
      <c r="N87" t="s">
        <v>338</v>
      </c>
      <c r="O87">
        <v>31</v>
      </c>
      <c r="P87">
        <v>180</v>
      </c>
      <c r="Q87">
        <v>0</v>
      </c>
      <c r="R87"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98"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f>IF(H87&lt;&gt;"created",0,IF(COUNTIFS($C$1:C86,$C87,$H$1:H86,"created")=0,1,0))</f>
        <v>0</v>
      </c>
      <c r="U87">
        <f t="shared" si="2"/>
        <v>0</v>
      </c>
      <c r="V87">
        <f t="shared" si="3"/>
        <v>0</v>
      </c>
    </row>
    <row r="88" spans="1:22" x14ac:dyDescent="0.35">
      <c r="A88" t="s">
        <v>573</v>
      </c>
      <c r="B88" t="s">
        <v>504</v>
      </c>
      <c r="C88" t="s">
        <v>505</v>
      </c>
      <c r="D88" t="s">
        <v>506</v>
      </c>
      <c r="E88" t="s">
        <v>336</v>
      </c>
      <c r="F88" s="96">
        <v>45901</v>
      </c>
      <c r="G88" s="97">
        <v>45930</v>
      </c>
      <c r="H88" t="s">
        <v>458</v>
      </c>
      <c r="I88">
        <v>90</v>
      </c>
      <c r="J88">
        <v>85</v>
      </c>
      <c r="K88" t="s">
        <v>327</v>
      </c>
      <c r="L88" t="s">
        <v>574</v>
      </c>
      <c r="M88" t="s">
        <v>205</v>
      </c>
      <c r="N88" t="s">
        <v>338</v>
      </c>
      <c r="O88">
        <v>25</v>
      </c>
      <c r="P88">
        <v>85</v>
      </c>
      <c r="Q88">
        <v>0</v>
      </c>
      <c r="R88"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98"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f>IF(H88&lt;&gt;"created",0,IF(COUNTIFS($C$1:C87,$C88,$H$1:H87,"created")=0,1,0))</f>
        <v>0</v>
      </c>
      <c r="U88">
        <f t="shared" si="2"/>
        <v>0</v>
      </c>
      <c r="V88">
        <f t="shared" si="3"/>
        <v>0</v>
      </c>
    </row>
    <row r="89" spans="1:22" x14ac:dyDescent="0.35">
      <c r="A89" t="s">
        <v>575</v>
      </c>
      <c r="B89" t="s">
        <v>437</v>
      </c>
      <c r="C89" t="s">
        <v>438</v>
      </c>
      <c r="D89" t="s">
        <v>439</v>
      </c>
      <c r="E89" t="s">
        <v>343</v>
      </c>
      <c r="F89" s="96">
        <v>45931</v>
      </c>
      <c r="G89" s="97">
        <v>45935</v>
      </c>
      <c r="H89" t="s">
        <v>501</v>
      </c>
      <c r="I89">
        <v>26</v>
      </c>
      <c r="J89">
        <v>31</v>
      </c>
      <c r="K89" t="s">
        <v>326</v>
      </c>
      <c r="L89" t="s">
        <v>576</v>
      </c>
      <c r="M89" t="s">
        <v>205</v>
      </c>
      <c r="N89" t="s">
        <v>338</v>
      </c>
      <c r="O89">
        <v>31</v>
      </c>
      <c r="P89">
        <v>85</v>
      </c>
      <c r="Q89">
        <v>0</v>
      </c>
      <c r="R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98"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f>IF(H89&lt;&gt;"created",0,IF(COUNTIFS($C$1:C88,$C89,$H$1:H88,"created")=0,1,0))</f>
        <v>0</v>
      </c>
      <c r="U89">
        <f t="shared" si="2"/>
        <v>0</v>
      </c>
      <c r="V89">
        <f t="shared" si="3"/>
        <v>0</v>
      </c>
    </row>
    <row r="90" spans="1:22" x14ac:dyDescent="0.35">
      <c r="A90" t="s">
        <v>577</v>
      </c>
      <c r="B90" t="s">
        <v>578</v>
      </c>
      <c r="C90" t="s">
        <v>433</v>
      </c>
      <c r="D90" t="s">
        <v>239</v>
      </c>
      <c r="E90" t="s">
        <v>336</v>
      </c>
      <c r="F90" s="96">
        <v>45931</v>
      </c>
      <c r="G90" s="97">
        <v>45945</v>
      </c>
      <c r="H90" t="s">
        <v>337</v>
      </c>
      <c r="L90" t="s">
        <v>528</v>
      </c>
      <c r="M90" t="s">
        <v>205</v>
      </c>
      <c r="N90" t="s">
        <v>338</v>
      </c>
      <c r="O90">
        <v>11</v>
      </c>
      <c r="P90">
        <v>85</v>
      </c>
      <c r="Q90">
        <v>0</v>
      </c>
      <c r="R90"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98"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f>IF(H90&lt;&gt;"created",0,IF(COUNTIFS($C$1:C89,$C90,$H$1:H89,"created")=0,1,0))</f>
        <v>0</v>
      </c>
      <c r="U90">
        <f t="shared" si="2"/>
        <v>0</v>
      </c>
      <c r="V90">
        <f t="shared" si="3"/>
        <v>1</v>
      </c>
    </row>
    <row r="91" spans="1:22" x14ac:dyDescent="0.35">
      <c r="A91" t="s">
        <v>579</v>
      </c>
      <c r="B91" t="s">
        <v>523</v>
      </c>
      <c r="C91" t="s">
        <v>524</v>
      </c>
      <c r="D91" t="s">
        <v>525</v>
      </c>
      <c r="E91" t="s">
        <v>377</v>
      </c>
      <c r="F91" s="96">
        <v>45931</v>
      </c>
      <c r="G91" s="97">
        <v>45950</v>
      </c>
      <c r="H91" t="s">
        <v>548</v>
      </c>
      <c r="I91" t="s">
        <v>202</v>
      </c>
      <c r="J91" t="s">
        <v>203</v>
      </c>
      <c r="K91" t="s">
        <v>304</v>
      </c>
      <c r="L91" t="s">
        <v>580</v>
      </c>
      <c r="M91" t="s">
        <v>203</v>
      </c>
      <c r="N91" t="s">
        <v>338</v>
      </c>
      <c r="O91">
        <v>18</v>
      </c>
      <c r="P91">
        <v>95</v>
      </c>
      <c r="Q91">
        <v>0</v>
      </c>
      <c r="R91"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98"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f>IF(H91&lt;&gt;"created",0,IF(COUNTIFS($C$1:C90,$C91,$H$1:H90,"created")=0,1,0))</f>
        <v>0</v>
      </c>
      <c r="U91">
        <f t="shared" si="2"/>
        <v>0</v>
      </c>
      <c r="V91">
        <f t="shared" si="3"/>
        <v>0</v>
      </c>
    </row>
    <row r="92" spans="1:22" x14ac:dyDescent="0.35">
      <c r="A92" t="s">
        <v>581</v>
      </c>
      <c r="B92" t="s">
        <v>244</v>
      </c>
      <c r="C92" t="s">
        <v>391</v>
      </c>
      <c r="D92" t="s">
        <v>245</v>
      </c>
      <c r="E92" t="s">
        <v>343</v>
      </c>
      <c r="F92" s="96">
        <v>45962</v>
      </c>
      <c r="G92" s="97">
        <v>45962</v>
      </c>
      <c r="H92" t="s">
        <v>494</v>
      </c>
      <c r="I92">
        <v>0</v>
      </c>
      <c r="J92">
        <v>10</v>
      </c>
      <c r="K92" t="s">
        <v>328</v>
      </c>
      <c r="L92" t="s">
        <v>582</v>
      </c>
      <c r="M92" t="s">
        <v>203</v>
      </c>
      <c r="N92" t="s">
        <v>338</v>
      </c>
      <c r="O92">
        <v>19</v>
      </c>
      <c r="P92">
        <v>95</v>
      </c>
      <c r="Q92">
        <v>10</v>
      </c>
      <c r="R92"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98"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f>IF(H92&lt;&gt;"created",0,IF(COUNTIFS($C$1:C91,$C92,$H$1:H91,"created")=0,1,0))</f>
        <v>0</v>
      </c>
      <c r="U92">
        <f t="shared" si="2"/>
        <v>0</v>
      </c>
      <c r="V92">
        <f t="shared" si="3"/>
        <v>0</v>
      </c>
    </row>
    <row r="93" spans="1:22" x14ac:dyDescent="0.35">
      <c r="A93" t="s">
        <v>583</v>
      </c>
      <c r="B93" t="s">
        <v>551</v>
      </c>
      <c r="C93" t="s">
        <v>552</v>
      </c>
      <c r="D93" t="s">
        <v>553</v>
      </c>
      <c r="E93" t="s">
        <v>336</v>
      </c>
      <c r="F93" s="96">
        <v>45962</v>
      </c>
      <c r="G93" s="97">
        <v>45976</v>
      </c>
      <c r="H93" t="s">
        <v>501</v>
      </c>
      <c r="I93">
        <v>32</v>
      </c>
      <c r="J93">
        <v>29</v>
      </c>
      <c r="K93" t="s">
        <v>326</v>
      </c>
      <c r="L93" t="s">
        <v>584</v>
      </c>
      <c r="M93" t="s">
        <v>205</v>
      </c>
      <c r="N93" t="s">
        <v>338</v>
      </c>
      <c r="O93">
        <v>29</v>
      </c>
      <c r="P93">
        <v>85</v>
      </c>
      <c r="Q93">
        <v>0</v>
      </c>
      <c r="R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98"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f>IF(H93&lt;&gt;"created",0,IF(COUNTIFS($C$1:C92,$C93,$H$1:H92,"created")=0,1,0))</f>
        <v>0</v>
      </c>
      <c r="U93">
        <f t="shared" si="2"/>
        <v>0</v>
      </c>
      <c r="V93">
        <f t="shared" si="3"/>
        <v>0</v>
      </c>
    </row>
    <row r="94" spans="1:22" x14ac:dyDescent="0.35">
      <c r="A94" t="s">
        <v>585</v>
      </c>
      <c r="B94" t="s">
        <v>515</v>
      </c>
      <c r="C94" t="s">
        <v>428</v>
      </c>
      <c r="D94" t="s">
        <v>429</v>
      </c>
      <c r="E94" t="s">
        <v>336</v>
      </c>
      <c r="F94" s="96">
        <v>45992</v>
      </c>
      <c r="G94" s="97">
        <v>45999</v>
      </c>
      <c r="H94" t="s">
        <v>501</v>
      </c>
      <c r="I94">
        <v>22</v>
      </c>
      <c r="J94">
        <v>26</v>
      </c>
      <c r="K94" t="s">
        <v>326</v>
      </c>
      <c r="L94" t="s">
        <v>586</v>
      </c>
      <c r="M94" t="s">
        <v>206</v>
      </c>
      <c r="N94" t="s">
        <v>338</v>
      </c>
      <c r="O94">
        <v>26</v>
      </c>
      <c r="P94">
        <v>110</v>
      </c>
      <c r="Q94">
        <v>0</v>
      </c>
      <c r="R94"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98"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f>IF(H94&lt;&gt;"created",0,IF(COUNTIFS($C$1:C93,$C94,$H$1:H93,"created")=0,1,0))</f>
        <v>0</v>
      </c>
      <c r="U94">
        <f t="shared" si="2"/>
        <v>0</v>
      </c>
      <c r="V94">
        <f t="shared" si="3"/>
        <v>0</v>
      </c>
    </row>
    <row r="95" spans="1:22" x14ac:dyDescent="0.35">
      <c r="A95" t="s">
        <v>587</v>
      </c>
      <c r="B95" t="s">
        <v>246</v>
      </c>
      <c r="C95" t="s">
        <v>361</v>
      </c>
      <c r="D95" t="s">
        <v>247</v>
      </c>
      <c r="E95" t="s">
        <v>336</v>
      </c>
      <c r="F95" s="96">
        <v>45992</v>
      </c>
      <c r="G95" s="97">
        <v>46006</v>
      </c>
      <c r="H95" t="s">
        <v>494</v>
      </c>
      <c r="I95">
        <v>0</v>
      </c>
      <c r="J95">
        <v>12</v>
      </c>
      <c r="K95" t="s">
        <v>328</v>
      </c>
      <c r="L95" t="s">
        <v>588</v>
      </c>
      <c r="M95" t="s">
        <v>202</v>
      </c>
      <c r="N95" t="s">
        <v>338</v>
      </c>
      <c r="O95">
        <v>15</v>
      </c>
      <c r="P95">
        <v>45</v>
      </c>
      <c r="Q95">
        <v>12</v>
      </c>
      <c r="R95"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98"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f>IF(H95&lt;&gt;"created",0,IF(COUNTIFS($C$1:C94,$C95,$H$1:H94,"created")=0,1,0))</f>
        <v>0</v>
      </c>
      <c r="U95">
        <f t="shared" si="2"/>
        <v>0</v>
      </c>
      <c r="V95">
        <f t="shared" si="3"/>
        <v>0</v>
      </c>
    </row>
    <row r="96" spans="1:22" x14ac:dyDescent="0.35">
      <c r="A96" t="s">
        <v>589</v>
      </c>
      <c r="B96" t="s">
        <v>244</v>
      </c>
      <c r="C96" t="s">
        <v>391</v>
      </c>
      <c r="D96" t="s">
        <v>245</v>
      </c>
      <c r="E96" t="s">
        <v>343</v>
      </c>
      <c r="F96" s="96">
        <v>45992</v>
      </c>
      <c r="G96" s="97">
        <v>46021</v>
      </c>
      <c r="H96" t="s">
        <v>403</v>
      </c>
      <c r="I96" t="s">
        <v>404</v>
      </c>
      <c r="J96" t="s">
        <v>405</v>
      </c>
      <c r="K96" t="s">
        <v>406</v>
      </c>
      <c r="L96" t="s">
        <v>461</v>
      </c>
      <c r="M96" t="s">
        <v>203</v>
      </c>
      <c r="N96" t="s">
        <v>338</v>
      </c>
      <c r="O96">
        <v>19</v>
      </c>
      <c r="P96">
        <v>95</v>
      </c>
      <c r="Q96">
        <v>10</v>
      </c>
      <c r="R96"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98"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f>IF(H96&lt;&gt;"created",0,IF(COUNTIFS($C$1:C95,$C96,$H$1:H95,"created")=0,1,0))</f>
        <v>0</v>
      </c>
      <c r="U96">
        <f t="shared" si="2"/>
        <v>0</v>
      </c>
      <c r="V96">
        <f t="shared" si="3"/>
        <v>0</v>
      </c>
    </row>
    <row r="97" spans="1:22" x14ac:dyDescent="0.35">
      <c r="A97" t="s">
        <v>590</v>
      </c>
      <c r="B97" t="s">
        <v>591</v>
      </c>
      <c r="C97" t="s">
        <v>592</v>
      </c>
      <c r="D97" t="s">
        <v>593</v>
      </c>
      <c r="E97" t="s">
        <v>343</v>
      </c>
      <c r="F97" s="96">
        <v>46023</v>
      </c>
      <c r="G97" s="97">
        <v>46048</v>
      </c>
      <c r="H97" t="s">
        <v>337</v>
      </c>
      <c r="M97" t="s">
        <v>203</v>
      </c>
      <c r="N97" t="s">
        <v>338</v>
      </c>
      <c r="O97">
        <v>18</v>
      </c>
      <c r="P97">
        <v>95</v>
      </c>
      <c r="Q97">
        <v>0</v>
      </c>
      <c r="R97"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98"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f>IF(H97&lt;&gt;"created",0,IF(COUNTIFS($C$1:C96,$C97,$H$1:H96,"created")=0,1,0))</f>
        <v>1</v>
      </c>
      <c r="U97">
        <f t="shared" si="2"/>
        <v>0</v>
      </c>
      <c r="V97">
        <f t="shared" si="3"/>
        <v>0</v>
      </c>
    </row>
    <row r="98" spans="1:22" x14ac:dyDescent="0.35">
      <c r="A98" t="s">
        <v>594</v>
      </c>
      <c r="B98" t="s">
        <v>246</v>
      </c>
      <c r="C98" t="s">
        <v>361</v>
      </c>
      <c r="D98" t="s">
        <v>247</v>
      </c>
      <c r="E98" t="s">
        <v>336</v>
      </c>
      <c r="F98" s="96">
        <v>46054</v>
      </c>
      <c r="G98" s="97">
        <v>46073</v>
      </c>
      <c r="H98" t="s">
        <v>403</v>
      </c>
      <c r="I98" t="s">
        <v>404</v>
      </c>
      <c r="J98" t="s">
        <v>405</v>
      </c>
      <c r="K98" t="s">
        <v>406</v>
      </c>
      <c r="L98" t="s">
        <v>595</v>
      </c>
      <c r="M98" t="s">
        <v>202</v>
      </c>
      <c r="N98" t="s">
        <v>338</v>
      </c>
      <c r="O98">
        <v>15</v>
      </c>
      <c r="P98">
        <v>45</v>
      </c>
      <c r="Q98">
        <v>12</v>
      </c>
      <c r="R98"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98"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f>IF(H98&lt;&gt;"created",0,IF(COUNTIFS($C$1:C97,$C98,$H$1:H97,"created")=0,1,0))</f>
        <v>0</v>
      </c>
      <c r="U98">
        <f t="shared" si="2"/>
        <v>0</v>
      </c>
      <c r="V98">
        <f t="shared" si="3"/>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E1DF-5B5C-43E7-99AA-DD09013270A5}">
  <dimension ref="A1:H32"/>
  <sheetViews>
    <sheetView workbookViewId="0">
      <pane ySplit="1" topLeftCell="A2" activePane="bottomLeft" state="frozen"/>
      <selection pane="bottomLeft" activeCell="M26" sqref="M26"/>
    </sheetView>
  </sheetViews>
  <sheetFormatPr defaultRowHeight="14.5" x14ac:dyDescent="0.35"/>
  <cols>
    <col min="1" max="1" width="19.7265625" customWidth="1"/>
    <col min="2" max="2" width="12.1796875" bestFit="1" customWidth="1"/>
    <col min="3" max="3" width="12.26953125" bestFit="1" customWidth="1"/>
    <col min="4" max="4" width="10" customWidth="1"/>
    <col min="5" max="5" width="11.08984375" customWidth="1"/>
    <col min="6" max="6" width="10.26953125" bestFit="1" customWidth="1"/>
    <col min="7" max="7" width="11.26953125" bestFit="1" customWidth="1"/>
    <col min="8" max="8" width="12.1796875" bestFit="1" customWidth="1"/>
  </cols>
  <sheetData>
    <row r="1" spans="1:8" x14ac:dyDescent="0.35">
      <c r="A1" t="s">
        <v>154</v>
      </c>
    </row>
    <row r="2" spans="1:8" x14ac:dyDescent="0.35">
      <c r="A2" t="s">
        <v>155</v>
      </c>
      <c r="B2" t="s">
        <v>156</v>
      </c>
      <c r="C2" t="s">
        <v>157</v>
      </c>
      <c r="D2" t="s">
        <v>158</v>
      </c>
      <c r="E2" t="s">
        <v>159</v>
      </c>
      <c r="F2" t="s">
        <v>160</v>
      </c>
      <c r="G2" t="s">
        <v>161</v>
      </c>
      <c r="H2" t="s">
        <v>162</v>
      </c>
    </row>
    <row r="3" spans="1:8" x14ac:dyDescent="0.35">
      <c r="A3" s="37">
        <v>45292</v>
      </c>
      <c r="B3" s="38">
        <f>0</f>
        <v>0</v>
      </c>
      <c r="C3" s="39">
        <f>SUMIFS(Engine!$S$2:$S$98, Engine!$R$2:$R$98, "New", Engine!$F$2:$F$98, Waterfall!A3)</f>
        <v>5800</v>
      </c>
      <c r="D3" s="39">
        <f>SUMIFS(Engine!$S$2:$S$98, Engine!$R$2:$R$98, "Expansion", Engine!$F$2:$F$98, Waterfall!A3)</f>
        <v>0</v>
      </c>
      <c r="E3" s="38">
        <f>SUMIFS(Engine!$S$2:$S$98, Engine!$R$2:$R$98, "Contraction", Engine!$F$2:$F$98, Waterfall!A3)</f>
        <v>0</v>
      </c>
      <c r="F3" s="38">
        <f>SUMIFS(Engine!$S$2:$S$98, Engine!$R$2:$R$98, "Churned", Engine!$F$2:$F$98, Waterfall!A3)</f>
        <v>0</v>
      </c>
      <c r="G3" s="38">
        <f>C3+D3+E3+F3</f>
        <v>5800</v>
      </c>
      <c r="H3" s="38">
        <f>B3+G3</f>
        <v>5800</v>
      </c>
    </row>
    <row r="4" spans="1:8" x14ac:dyDescent="0.35">
      <c r="A4" s="37">
        <v>45323</v>
      </c>
      <c r="B4" s="38">
        <f>H3</f>
        <v>5800</v>
      </c>
      <c r="C4" s="39">
        <f>SUMIFS(Engine!$S$2:$S$98, Engine!$R$2:$R$98, "New", Engine!$F$2:$F$98, Waterfall!A4)</f>
        <v>8615</v>
      </c>
      <c r="D4" s="39">
        <f>SUMIFS(Engine!$S$2:$S$98, Engine!$R$2:$R$98, "Expansion", Engine!$F$2:$F$98, Waterfall!A4)</f>
        <v>0</v>
      </c>
      <c r="E4" s="38">
        <f>SUMIFS(Engine!$S$2:$S$98, Engine!$R$2:$R$98, "Contraction", Engine!$F$2:$F$98, Waterfall!A4)</f>
        <v>0</v>
      </c>
      <c r="F4" s="38">
        <f>SUMIFS(Engine!$S$2:$S$98, Engine!$R$2:$R$98, "Churned", Engine!$F$2:$F$98, Waterfall!A4)</f>
        <v>0</v>
      </c>
      <c r="G4" s="38">
        <f t="shared" ref="G4:G28" si="0">C4+D4+E4+F4</f>
        <v>8615</v>
      </c>
      <c r="H4" s="38">
        <f t="shared" ref="H4:H28" si="1">B4+G4</f>
        <v>14415</v>
      </c>
    </row>
    <row r="5" spans="1:8" x14ac:dyDescent="0.35">
      <c r="A5" s="37">
        <v>45352</v>
      </c>
      <c r="B5" s="38">
        <f t="shared" ref="B5:B28" si="2">H4</f>
        <v>14415</v>
      </c>
      <c r="C5" s="39">
        <f>SUMIFS(Engine!$S$2:$S$98, Engine!$R$2:$R$98, "New", Engine!$F$2:$F$98, Waterfall!A5)</f>
        <v>6075</v>
      </c>
      <c r="D5" s="39">
        <f>SUMIFS(Engine!$S$2:$S$98, Engine!$R$2:$R$98, "Expansion", Engine!$F$2:$F$98, Waterfall!A5)</f>
        <v>0</v>
      </c>
      <c r="E5" s="38">
        <f>SUMIFS(Engine!$S$2:$S$98, Engine!$R$2:$R$98, "Contraction", Engine!$F$2:$F$98, Waterfall!A5)</f>
        <v>0</v>
      </c>
      <c r="F5" s="38">
        <f>SUMIFS(Engine!$S$2:$S$98, Engine!$R$2:$R$98, "Churned", Engine!$F$2:$F$98, Waterfall!A5)</f>
        <v>0</v>
      </c>
      <c r="G5" s="38">
        <f t="shared" si="0"/>
        <v>6075</v>
      </c>
      <c r="H5" s="38">
        <f t="shared" si="1"/>
        <v>20490</v>
      </c>
    </row>
    <row r="6" spans="1:8" x14ac:dyDescent="0.35">
      <c r="A6" s="37">
        <v>45383</v>
      </c>
      <c r="B6" s="38">
        <f t="shared" si="2"/>
        <v>20490</v>
      </c>
      <c r="C6" s="39">
        <f>SUMIFS(Engine!$S$2:$S$98, Engine!$R$2:$R$98, "New", Engine!$F$2:$F$98, Waterfall!A6)</f>
        <v>9444</v>
      </c>
      <c r="D6" s="39">
        <f>SUMIFS(Engine!$S$2:$S$98, Engine!$R$2:$R$98, "Expansion", Engine!$F$2:$F$98, Waterfall!A6)</f>
        <v>0</v>
      </c>
      <c r="E6" s="38">
        <f>SUMIFS(Engine!$S$2:$S$98, Engine!$R$2:$R$98, "Contraction", Engine!$F$2:$F$98, Waterfall!A6)</f>
        <v>0</v>
      </c>
      <c r="F6" s="38">
        <f>SUMIFS(Engine!$S$2:$S$98, Engine!$R$2:$R$98, "Churned", Engine!$F$2:$F$98, Waterfall!A6)</f>
        <v>0</v>
      </c>
      <c r="G6" s="38">
        <f t="shared" si="0"/>
        <v>9444</v>
      </c>
      <c r="H6" s="38">
        <f t="shared" si="1"/>
        <v>29934</v>
      </c>
    </row>
    <row r="7" spans="1:8" x14ac:dyDescent="0.35">
      <c r="A7" s="37">
        <v>45413</v>
      </c>
      <c r="B7" s="38">
        <f t="shared" si="2"/>
        <v>29934</v>
      </c>
      <c r="C7" s="39">
        <f>SUMIFS(Engine!$S$2:$S$98, Engine!$R$2:$R$98, "New", Engine!$F$2:$F$98, Waterfall!A7)</f>
        <v>2565</v>
      </c>
      <c r="D7" s="39">
        <f>SUMIFS(Engine!$S$2:$S$98, Engine!$R$2:$R$98, "Expansion", Engine!$F$2:$F$98, Waterfall!A7)</f>
        <v>0</v>
      </c>
      <c r="E7" s="38">
        <f>SUMIFS(Engine!$S$2:$S$98, Engine!$R$2:$R$98, "Contraction", Engine!$F$2:$F$98, Waterfall!A7)</f>
        <v>0</v>
      </c>
      <c r="F7" s="38">
        <f>SUMIFS(Engine!$S$2:$S$98, Engine!$R$2:$R$98, "Churned", Engine!$F$2:$F$98, Waterfall!A7)</f>
        <v>0</v>
      </c>
      <c r="G7" s="38">
        <f t="shared" si="0"/>
        <v>2565</v>
      </c>
      <c r="H7" s="38">
        <f t="shared" si="1"/>
        <v>32499</v>
      </c>
    </row>
    <row r="8" spans="1:8" x14ac:dyDescent="0.35">
      <c r="A8" s="37">
        <v>45444</v>
      </c>
      <c r="B8" s="38">
        <f t="shared" si="2"/>
        <v>32499</v>
      </c>
      <c r="C8" s="39">
        <f>SUMIFS(Engine!$S$2:$S$98, Engine!$R$2:$R$98, "New", Engine!$F$2:$F$98, Waterfall!A8)</f>
        <v>3490</v>
      </c>
      <c r="D8" s="39">
        <f>SUMIFS(Engine!$S$2:$S$98, Engine!$R$2:$R$98, "Expansion", Engine!$F$2:$F$98, Waterfall!A8)</f>
        <v>0</v>
      </c>
      <c r="E8" s="38">
        <f>SUMIFS(Engine!$S$2:$S$98, Engine!$R$2:$R$98, "Contraction", Engine!$F$2:$F$98, Waterfall!A8)</f>
        <v>0</v>
      </c>
      <c r="F8" s="38">
        <f>SUMIFS(Engine!$S$2:$S$98, Engine!$R$2:$R$98, "Churned", Engine!$F$2:$F$98, Waterfall!A8)</f>
        <v>0</v>
      </c>
      <c r="G8" s="38">
        <f t="shared" si="0"/>
        <v>3490</v>
      </c>
      <c r="H8" s="38">
        <f t="shared" si="1"/>
        <v>35989</v>
      </c>
    </row>
    <row r="9" spans="1:8" x14ac:dyDescent="0.35">
      <c r="A9" s="37">
        <v>45474</v>
      </c>
      <c r="B9" s="38">
        <f t="shared" si="2"/>
        <v>35989</v>
      </c>
      <c r="C9" s="39">
        <f>SUMIFS(Engine!$S$2:$S$98, Engine!$R$2:$R$98, "New", Engine!$F$2:$F$98, Waterfall!A9)</f>
        <v>9364.5</v>
      </c>
      <c r="D9" s="39">
        <f>SUMIFS(Engine!$S$2:$S$98, Engine!$R$2:$R$98, "Expansion", Engine!$F$2:$F$98, Waterfall!A9)</f>
        <v>0</v>
      </c>
      <c r="E9" s="38">
        <f>SUMIFS(Engine!$S$2:$S$98, Engine!$R$2:$R$98, "Contraction", Engine!$F$2:$F$98, Waterfall!A9)</f>
        <v>0</v>
      </c>
      <c r="F9" s="38">
        <f>SUMIFS(Engine!$S$2:$S$98, Engine!$R$2:$R$98, "Churned", Engine!$F$2:$F$98, Waterfall!A9)</f>
        <v>0</v>
      </c>
      <c r="G9" s="38">
        <f t="shared" si="0"/>
        <v>9364.5</v>
      </c>
      <c r="H9" s="38">
        <f t="shared" si="1"/>
        <v>45353.5</v>
      </c>
    </row>
    <row r="10" spans="1:8" x14ac:dyDescent="0.35">
      <c r="A10" s="37">
        <v>45505</v>
      </c>
      <c r="B10" s="38">
        <f t="shared" si="2"/>
        <v>45353.5</v>
      </c>
      <c r="C10" s="39">
        <f>SUMIFS(Engine!$S$2:$S$98, Engine!$R$2:$R$98, "New", Engine!$F$2:$F$98, Waterfall!A10)</f>
        <v>6840</v>
      </c>
      <c r="D10" s="39">
        <f>SUMIFS(Engine!$S$2:$S$98, Engine!$R$2:$R$98, "Expansion", Engine!$F$2:$F$98, Waterfall!A10)</f>
        <v>0</v>
      </c>
      <c r="E10" s="38">
        <f>SUMIFS(Engine!$S$2:$S$98, Engine!$R$2:$R$98, "Contraction", Engine!$F$2:$F$98, Waterfall!A10)</f>
        <v>0</v>
      </c>
      <c r="F10" s="40">
        <f>SUMIFS(Engine!$S$2:$S$98, Engine!$R$2:$R$98, "Churned", Engine!$F$2:$F$98, Waterfall!A10)</f>
        <v>-1900</v>
      </c>
      <c r="G10" s="38">
        <f t="shared" si="0"/>
        <v>4940</v>
      </c>
      <c r="H10" s="38">
        <f t="shared" si="1"/>
        <v>50293.5</v>
      </c>
    </row>
    <row r="11" spans="1:8" x14ac:dyDescent="0.35">
      <c r="A11" s="37">
        <v>45536</v>
      </c>
      <c r="B11" s="38">
        <f t="shared" si="2"/>
        <v>50293.5</v>
      </c>
      <c r="C11" s="39">
        <f>SUMIFS(Engine!$S$2:$S$98, Engine!$R$2:$R$98, "New", Engine!$F$2:$F$98, Waterfall!A11)</f>
        <v>13415</v>
      </c>
      <c r="D11" s="39">
        <f>SUMIFS(Engine!$S$2:$S$98, Engine!$R$2:$R$98, "Expansion", Engine!$F$2:$F$98, Waterfall!A11)</f>
        <v>0</v>
      </c>
      <c r="E11" s="38">
        <f>SUMIFS(Engine!$S$2:$S$98, Engine!$R$2:$R$98, "Contraction", Engine!$F$2:$F$98, Waterfall!A11)</f>
        <v>0</v>
      </c>
      <c r="F11" s="38">
        <f>SUMIFS(Engine!$S$2:$S$98, Engine!$R$2:$R$98, "Churned", Engine!$F$2:$F$98, Waterfall!A11)</f>
        <v>0</v>
      </c>
      <c r="G11" s="38">
        <f t="shared" si="0"/>
        <v>13415</v>
      </c>
      <c r="H11" s="38">
        <f t="shared" si="1"/>
        <v>63708.5</v>
      </c>
    </row>
    <row r="12" spans="1:8" x14ac:dyDescent="0.35">
      <c r="A12" s="37">
        <v>45566</v>
      </c>
      <c r="B12" s="38">
        <f t="shared" si="2"/>
        <v>63708.5</v>
      </c>
      <c r="C12" s="39">
        <f>SUMIFS(Engine!$S$2:$S$98, Engine!$R$2:$R$98, "New", Engine!$F$2:$F$98, Waterfall!A12)</f>
        <v>10130</v>
      </c>
      <c r="D12" s="39">
        <f>SUMIFS(Engine!$S$2:$S$98, Engine!$R$2:$R$98, "Expansion", Engine!$F$2:$F$98, Waterfall!A12)</f>
        <v>0</v>
      </c>
      <c r="E12" s="38">
        <f>SUMIFS(Engine!$S$2:$S$98, Engine!$R$2:$R$98, "Contraction", Engine!$F$2:$F$98, Waterfall!A12)</f>
        <v>0</v>
      </c>
      <c r="F12" s="38">
        <f>SUMIFS(Engine!$S$2:$S$98, Engine!$R$2:$R$98, "Churned", Engine!$F$2:$F$98, Waterfall!A12)</f>
        <v>0</v>
      </c>
      <c r="G12" s="38">
        <f t="shared" si="0"/>
        <v>10130</v>
      </c>
      <c r="H12" s="38">
        <f t="shared" si="1"/>
        <v>73838.5</v>
      </c>
    </row>
    <row r="13" spans="1:8" x14ac:dyDescent="0.35">
      <c r="A13" s="37">
        <v>45597</v>
      </c>
      <c r="B13" s="38">
        <f t="shared" si="2"/>
        <v>73838.5</v>
      </c>
      <c r="C13" s="39">
        <f>SUMIFS(Engine!$S$2:$S$98, Engine!$R$2:$R$98, "New", Engine!$F$2:$F$98, Waterfall!A13)</f>
        <v>4955</v>
      </c>
      <c r="D13" s="39">
        <f>SUMIFS(Engine!$S$2:$S$98, Engine!$R$2:$R$98, "Expansion", Engine!$F$2:$F$98, Waterfall!A13)</f>
        <v>0</v>
      </c>
      <c r="E13" s="38">
        <f>SUMIFS(Engine!$S$2:$S$98, Engine!$R$2:$R$98, "Contraction", Engine!$F$2:$F$98, Waterfall!A13)</f>
        <v>0</v>
      </c>
      <c r="F13" s="40">
        <f>SUMIFS(Engine!$S$2:$S$98, Engine!$R$2:$R$98, "Churned", Engine!$F$2:$F$98, Waterfall!A13)</f>
        <v>-495</v>
      </c>
      <c r="G13" s="38">
        <f t="shared" si="0"/>
        <v>4460</v>
      </c>
      <c r="H13" s="38">
        <f t="shared" si="1"/>
        <v>78298.5</v>
      </c>
    </row>
    <row r="14" spans="1:8" x14ac:dyDescent="0.35">
      <c r="A14" s="37">
        <v>45627</v>
      </c>
      <c r="B14" s="38">
        <f t="shared" si="2"/>
        <v>78298.5</v>
      </c>
      <c r="C14" s="39">
        <f>SUMIFS(Engine!$S$2:$S$98, Engine!$R$2:$R$98, "New", Engine!$F$2:$F$98, Waterfall!A14)</f>
        <v>14915</v>
      </c>
      <c r="D14" s="39">
        <f>SUMIFS(Engine!$S$2:$S$98, Engine!$R$2:$R$98, "Expansion", Engine!$F$2:$F$98, Waterfall!A14)</f>
        <v>0</v>
      </c>
      <c r="E14" s="38">
        <f>SUMIFS(Engine!$S$2:$S$98, Engine!$R$2:$R$98, "Contraction", Engine!$F$2:$F$98, Waterfall!A14)</f>
        <v>0</v>
      </c>
      <c r="F14" s="40">
        <f>SUMIFS(Engine!$S$2:$S$98, Engine!$R$2:$R$98, "Churned", Engine!$F$2:$F$98, Waterfall!A14)</f>
        <v>-2090</v>
      </c>
      <c r="G14" s="38">
        <f t="shared" si="0"/>
        <v>12825</v>
      </c>
      <c r="H14" s="38">
        <f t="shared" si="1"/>
        <v>91123.5</v>
      </c>
    </row>
    <row r="15" spans="1:8" x14ac:dyDescent="0.35">
      <c r="A15" s="37">
        <v>45658</v>
      </c>
      <c r="B15" s="38">
        <f t="shared" si="2"/>
        <v>91123.5</v>
      </c>
      <c r="C15" s="39">
        <f>SUMIFS(Engine!$S$2:$S$98, Engine!$R$2:$R$98, "New", Engine!$F$2:$F$98, Waterfall!A15)</f>
        <v>9940.5</v>
      </c>
      <c r="D15" s="39">
        <f>SUMIFS(Engine!$S$2:$S$98, Engine!$R$2:$R$98, "Expansion", Engine!$F$2:$F$98, Waterfall!A15)</f>
        <v>140</v>
      </c>
      <c r="E15" s="38">
        <f>SUMIFS(Engine!$S$2:$S$98, Engine!$R$2:$R$98, "Contraction", Engine!$F$2:$F$98, Waterfall!A15)</f>
        <v>0</v>
      </c>
      <c r="F15" s="40">
        <f>SUMIFS(Engine!$S$2:$S$98, Engine!$R$2:$R$98, "Churned", Engine!$F$2:$F$98, Waterfall!A15)</f>
        <v>-450</v>
      </c>
      <c r="G15" s="38">
        <f t="shared" si="0"/>
        <v>9630.5</v>
      </c>
      <c r="H15" s="38">
        <f t="shared" si="1"/>
        <v>100754</v>
      </c>
    </row>
    <row r="16" spans="1:8" x14ac:dyDescent="0.35">
      <c r="A16" s="37">
        <v>45689</v>
      </c>
      <c r="B16" s="38">
        <f t="shared" si="2"/>
        <v>100754</v>
      </c>
      <c r="C16" s="39">
        <f>SUMIFS(Engine!$S$2:$S$98, Engine!$R$2:$R$98, "New", Engine!$F$2:$F$98, Waterfall!A16)</f>
        <v>7405</v>
      </c>
      <c r="D16" s="39">
        <f>SUMIFS(Engine!$S$2:$S$98, Engine!$R$2:$R$98, "Expansion", Engine!$F$2:$F$98, Waterfall!A16)</f>
        <v>0</v>
      </c>
      <c r="E16" s="38">
        <f>SUMIFS(Engine!$S$2:$S$98, Engine!$R$2:$R$98, "Contraction", Engine!$F$2:$F$98, Waterfall!A16)</f>
        <v>0</v>
      </c>
      <c r="F16" s="38">
        <f>SUMIFS(Engine!$S$2:$S$98, Engine!$R$2:$R$98, "Churned", Engine!$F$2:$F$98, Waterfall!A16)</f>
        <v>0</v>
      </c>
      <c r="G16" s="38">
        <f t="shared" si="0"/>
        <v>7405</v>
      </c>
      <c r="H16" s="38">
        <f t="shared" si="1"/>
        <v>108159</v>
      </c>
    </row>
    <row r="17" spans="1:8" x14ac:dyDescent="0.35">
      <c r="A17" s="37">
        <v>45717</v>
      </c>
      <c r="B17" s="38">
        <f t="shared" si="2"/>
        <v>108159</v>
      </c>
      <c r="C17" s="39">
        <f>SUMIFS(Engine!$S$2:$S$98, Engine!$R$2:$R$98, "New", Engine!$F$2:$F$98, Waterfall!A17)</f>
        <v>19390</v>
      </c>
      <c r="D17" s="39">
        <f>SUMIFS(Engine!$S$2:$S$98, Engine!$R$2:$R$98, "Expansion", Engine!$F$2:$F$98, Waterfall!A17)</f>
        <v>0</v>
      </c>
      <c r="E17" s="40">
        <f>SUMIFS(Engine!$S$2:$S$98, Engine!$R$2:$R$98, "Contraction", Engine!$F$2:$F$98, Waterfall!A17)</f>
        <v>-1009.5</v>
      </c>
      <c r="F17" s="38">
        <f>SUMIFS(Engine!$S$2:$S$98, Engine!$R$2:$R$98, "Churned", Engine!$F$2:$F$98, Waterfall!A17)</f>
        <v>0</v>
      </c>
      <c r="G17" s="38">
        <f t="shared" si="0"/>
        <v>18380.5</v>
      </c>
      <c r="H17" s="38">
        <f t="shared" si="1"/>
        <v>126539.5</v>
      </c>
    </row>
    <row r="18" spans="1:8" x14ac:dyDescent="0.35">
      <c r="A18" s="37">
        <v>45748</v>
      </c>
      <c r="B18" s="38">
        <f t="shared" si="2"/>
        <v>126539.5</v>
      </c>
      <c r="C18" s="39">
        <f>SUMIFS(Engine!$S$2:$S$98, Engine!$R$2:$R$98, "New", Engine!$F$2:$F$98, Waterfall!A18)</f>
        <v>5780</v>
      </c>
      <c r="D18" s="39">
        <f>SUMIFS(Engine!$S$2:$S$98, Engine!$R$2:$R$98, "Expansion", Engine!$F$2:$F$98, Waterfall!A18)</f>
        <v>755</v>
      </c>
      <c r="E18" s="38">
        <f>SUMIFS(Engine!$S$2:$S$98, Engine!$R$2:$R$98, "Contraction", Engine!$F$2:$F$98, Waterfall!A18)</f>
        <v>0</v>
      </c>
      <c r="F18" s="38">
        <f>SUMIFS(Engine!$S$2:$S$98, Engine!$R$2:$R$98, "Churned", Engine!$F$2:$F$98, Waterfall!A18)</f>
        <v>0</v>
      </c>
      <c r="G18" s="38">
        <f t="shared" si="0"/>
        <v>6535</v>
      </c>
      <c r="H18" s="38">
        <f t="shared" si="1"/>
        <v>133074.5</v>
      </c>
    </row>
    <row r="19" spans="1:8" x14ac:dyDescent="0.35">
      <c r="A19" s="37">
        <v>45778</v>
      </c>
      <c r="B19" s="38">
        <f t="shared" si="2"/>
        <v>133074.5</v>
      </c>
      <c r="C19" s="39">
        <f>SUMIFS(Engine!$S$2:$S$98, Engine!$R$2:$R$98, "New", Engine!$F$2:$F$98, Waterfall!A19)</f>
        <v>12060</v>
      </c>
      <c r="D19" s="39">
        <f>SUMIFS(Engine!$S$2:$S$98, Engine!$R$2:$R$98, "Expansion", Engine!$F$2:$F$98, Waterfall!A19)</f>
        <v>330</v>
      </c>
      <c r="E19" s="38">
        <f>SUMIFS(Engine!$S$2:$S$98, Engine!$R$2:$R$98, "Contraction", Engine!$F$2:$F$98, Waterfall!A19)</f>
        <v>0</v>
      </c>
      <c r="F19" s="40">
        <f>SUMIFS(Engine!$S$2:$S$98, Engine!$R$2:$R$98, "Churned", Engine!$F$2:$F$98, Waterfall!A19)</f>
        <v>-2375</v>
      </c>
      <c r="G19" s="38">
        <f t="shared" si="0"/>
        <v>10015</v>
      </c>
      <c r="H19" s="38">
        <f t="shared" si="1"/>
        <v>143089.5</v>
      </c>
    </row>
    <row r="20" spans="1:8" x14ac:dyDescent="0.35">
      <c r="A20" s="37">
        <v>45809</v>
      </c>
      <c r="B20" s="38">
        <f t="shared" si="2"/>
        <v>143089.5</v>
      </c>
      <c r="C20" s="39">
        <f>SUMIFS(Engine!$S$2:$S$98, Engine!$R$2:$R$98, "New", Engine!$F$2:$F$98, Waterfall!A20)</f>
        <v>8630</v>
      </c>
      <c r="D20" s="39">
        <f>SUMIFS(Engine!$S$2:$S$98, Engine!$R$2:$R$98, "Expansion", Engine!$F$2:$F$98, Waterfall!A20)</f>
        <v>1700</v>
      </c>
      <c r="E20" s="38">
        <f>SUMIFS(Engine!$S$2:$S$98, Engine!$R$2:$R$98, "Contraction", Engine!$F$2:$F$98, Waterfall!A20)</f>
        <v>0</v>
      </c>
      <c r="F20" s="40">
        <f>SUMIFS(Engine!$S$2:$S$98, Engine!$R$2:$R$98, "Churned", Engine!$F$2:$F$98, Waterfall!A20)</f>
        <v>-1305</v>
      </c>
      <c r="G20" s="38">
        <f t="shared" si="0"/>
        <v>9025</v>
      </c>
      <c r="H20" s="38">
        <f t="shared" si="1"/>
        <v>152114.5</v>
      </c>
    </row>
    <row r="21" spans="1:8" x14ac:dyDescent="0.35">
      <c r="A21" s="37">
        <v>45839</v>
      </c>
      <c r="B21" s="38">
        <f t="shared" si="2"/>
        <v>152114.5</v>
      </c>
      <c r="C21" s="39">
        <f>SUMIFS(Engine!$S$2:$S$98, Engine!$R$2:$R$98, "New", Engine!$F$2:$F$98, Waterfall!A21)</f>
        <v>0</v>
      </c>
      <c r="D21" s="39">
        <f>SUMIFS(Engine!$S$2:$S$98, Engine!$R$2:$R$98, "Expansion", Engine!$F$2:$F$98, Waterfall!A21)</f>
        <v>660</v>
      </c>
      <c r="E21" s="38">
        <f>SUMIFS(Engine!$S$2:$S$98, Engine!$R$2:$R$98, "Contraction", Engine!$F$2:$F$98, Waterfall!A21)</f>
        <v>0</v>
      </c>
      <c r="F21" s="40">
        <f>SUMIFS(Engine!$S$2:$S$98, Engine!$R$2:$R$98, "Churned", Engine!$F$2:$F$98, Waterfall!A21)</f>
        <v>-1760</v>
      </c>
      <c r="G21" s="38">
        <f t="shared" si="0"/>
        <v>-1100</v>
      </c>
      <c r="H21" s="38">
        <f t="shared" si="1"/>
        <v>151014.5</v>
      </c>
    </row>
    <row r="22" spans="1:8" x14ac:dyDescent="0.35">
      <c r="A22" s="37">
        <v>45870</v>
      </c>
      <c r="B22" s="38">
        <f t="shared" si="2"/>
        <v>151014.5</v>
      </c>
      <c r="C22" s="39">
        <f>SUMIFS(Engine!$S$2:$S$98, Engine!$R$2:$R$98, "New", Engine!$F$2:$F$98, Waterfall!A22)</f>
        <v>0</v>
      </c>
      <c r="D22" s="39">
        <f>SUMIFS(Engine!$S$2:$S$98, Engine!$R$2:$R$98, "Expansion", Engine!$F$2:$F$98, Waterfall!A22)</f>
        <v>2960</v>
      </c>
      <c r="E22" s="40">
        <f>SUMIFS(Engine!$S$2:$S$98, Engine!$R$2:$R$98, "Contraction", Engine!$F$2:$F$98, Waterfall!A22)</f>
        <v>-710</v>
      </c>
      <c r="F22" s="40">
        <f>SUMIFS(Engine!$S$2:$S$98, Engine!$R$2:$R$98, "Churned", Engine!$F$2:$F$98, Waterfall!A22)</f>
        <v>-4680</v>
      </c>
      <c r="G22" s="38">
        <f t="shared" si="0"/>
        <v>-2430</v>
      </c>
      <c r="H22" s="38">
        <f t="shared" si="1"/>
        <v>148584.5</v>
      </c>
    </row>
    <row r="23" spans="1:8" x14ac:dyDescent="0.35">
      <c r="A23" s="37">
        <v>45901</v>
      </c>
      <c r="B23" s="38">
        <f t="shared" si="2"/>
        <v>148584.5</v>
      </c>
      <c r="C23" s="39">
        <f>SUMIFS(Engine!$S$2:$S$98, Engine!$R$2:$R$98, "New", Engine!$F$2:$F$98, Waterfall!A23)</f>
        <v>0</v>
      </c>
      <c r="D23" s="39">
        <f>SUMIFS(Engine!$S$2:$S$98, Engine!$R$2:$R$98, "Expansion", Engine!$F$2:$F$98, Waterfall!A23)</f>
        <v>1900</v>
      </c>
      <c r="E23" s="40">
        <f>SUMIFS(Engine!$S$2:$S$98, Engine!$R$2:$R$98, "Contraction", Engine!$F$2:$F$98, Waterfall!A23)</f>
        <v>-125</v>
      </c>
      <c r="F23" s="38">
        <f>SUMIFS(Engine!$S$2:$S$98, Engine!$R$2:$R$98, "Churned", Engine!$F$2:$F$98, Waterfall!A23)</f>
        <v>0</v>
      </c>
      <c r="G23" s="38">
        <f t="shared" si="0"/>
        <v>1775</v>
      </c>
      <c r="H23" s="38">
        <f t="shared" si="1"/>
        <v>150359.5</v>
      </c>
    </row>
    <row r="24" spans="1:8" x14ac:dyDescent="0.35">
      <c r="A24" s="37">
        <v>45931</v>
      </c>
      <c r="B24" s="38">
        <f t="shared" si="2"/>
        <v>150359.5</v>
      </c>
      <c r="C24" s="39">
        <f>SUMIFS(Engine!$S$2:$S$98, Engine!$R$2:$R$98, "New", Engine!$F$2:$F$98, Waterfall!A24)</f>
        <v>935</v>
      </c>
      <c r="D24" s="39">
        <f>SUMIFS(Engine!$S$2:$S$98, Engine!$R$2:$R$98, "Expansion", Engine!$F$2:$F$98, Waterfall!A24)</f>
        <v>1325</v>
      </c>
      <c r="E24" s="38">
        <f>SUMIFS(Engine!$S$2:$S$98, Engine!$R$2:$R$98, "Contraction", Engine!$F$2:$F$98, Waterfall!A24)</f>
        <v>0</v>
      </c>
      <c r="F24" s="38">
        <f>SUMIFS(Engine!$S$2:$S$98, Engine!$R$2:$R$98, "Churned", Engine!$F$2:$F$98, Waterfall!A24)</f>
        <v>0</v>
      </c>
      <c r="G24" s="38">
        <f t="shared" si="0"/>
        <v>2260</v>
      </c>
      <c r="H24" s="38">
        <f t="shared" si="1"/>
        <v>152619.5</v>
      </c>
    </row>
    <row r="25" spans="1:8" x14ac:dyDescent="0.35">
      <c r="A25" s="37">
        <v>45962</v>
      </c>
      <c r="B25" s="38">
        <f t="shared" si="2"/>
        <v>152619.5</v>
      </c>
      <c r="C25" s="39">
        <f>SUMIFS(Engine!$S$2:$S$98, Engine!$R$2:$R$98, "New", Engine!$F$2:$F$98, Waterfall!A25)</f>
        <v>0</v>
      </c>
      <c r="D25" s="39">
        <f>SUMIFS(Engine!$S$2:$S$98, Engine!$R$2:$R$98, "Expansion", Engine!$F$2:$F$98, Waterfall!A25)</f>
        <v>0</v>
      </c>
      <c r="E25" s="40">
        <f>SUMIFS(Engine!$S$2:$S$98, Engine!$R$2:$R$98, "Contraction", Engine!$F$2:$F$98, Waterfall!A25)</f>
        <v>-435.5</v>
      </c>
      <c r="F25" s="38">
        <f>SUMIFS(Engine!$S$2:$S$98, Engine!$R$2:$R$98, "Churned", Engine!$F$2:$F$98, Waterfall!A25)</f>
        <v>0</v>
      </c>
      <c r="G25" s="40">
        <f t="shared" si="0"/>
        <v>-435.5</v>
      </c>
      <c r="H25" s="38">
        <f t="shared" si="1"/>
        <v>152184</v>
      </c>
    </row>
    <row r="26" spans="1:8" x14ac:dyDescent="0.35">
      <c r="A26" s="37">
        <v>45992</v>
      </c>
      <c r="B26" s="38">
        <f t="shared" si="2"/>
        <v>152184</v>
      </c>
      <c r="C26" s="39">
        <f>SUMIFS(Engine!$S$2:$S$98, Engine!$R$2:$R$98, "New", Engine!$F$2:$F$98, Waterfall!A26)</f>
        <v>0</v>
      </c>
      <c r="D26" s="39">
        <f>SUMIFS(Engine!$S$2:$S$98, Engine!$R$2:$R$98, "Expansion", Engine!$F$2:$F$98, Waterfall!A26)</f>
        <v>440</v>
      </c>
      <c r="E26" s="40">
        <f>SUMIFS(Engine!$S$2:$S$98, Engine!$R$2:$R$98, "Contraction", Engine!$F$2:$F$98, Waterfall!A26)</f>
        <v>-81</v>
      </c>
      <c r="F26" s="40">
        <f>SUMIFS(Engine!$S$2:$S$98, Engine!$R$2:$R$98, "Churned", Engine!$F$2:$F$98, Waterfall!A26)</f>
        <v>-1624.5</v>
      </c>
      <c r="G26" s="38">
        <f t="shared" si="0"/>
        <v>-1265.5</v>
      </c>
      <c r="H26" s="38">
        <f t="shared" si="1"/>
        <v>150918.5</v>
      </c>
    </row>
    <row r="27" spans="1:8" x14ac:dyDescent="0.35">
      <c r="A27" s="37">
        <v>46023</v>
      </c>
      <c r="B27" s="38">
        <f t="shared" si="2"/>
        <v>150918.5</v>
      </c>
      <c r="C27" s="39">
        <f>SUMIFS(Engine!$S$2:$S$98, Engine!$R$2:$R$98, "New", Engine!$F$2:$F$98, Waterfall!A27)</f>
        <v>1710</v>
      </c>
      <c r="D27" s="39">
        <f>SUMIFS(Engine!$S$2:$S$98, Engine!$R$2:$R$98, "Expansion", Engine!$F$2:$F$98, Waterfall!A27)</f>
        <v>0</v>
      </c>
      <c r="E27" s="38">
        <f>SUMIFS(Engine!$S$2:$S$98, Engine!$R$2:$R$98, "Contraction", Engine!$F$2:$F$98, Waterfall!A27)</f>
        <v>0</v>
      </c>
      <c r="F27" s="38">
        <f>SUMIFS(Engine!$S$2:$S$98, Engine!$R$2:$R$98, "Churned", Engine!$F$2:$F$98, Waterfall!A27)</f>
        <v>0</v>
      </c>
      <c r="G27" s="38">
        <f t="shared" si="0"/>
        <v>1710</v>
      </c>
      <c r="H27" s="38">
        <f t="shared" si="1"/>
        <v>152628.5</v>
      </c>
    </row>
    <row r="28" spans="1:8" x14ac:dyDescent="0.35">
      <c r="A28" s="37">
        <v>46054</v>
      </c>
      <c r="B28" s="38">
        <f t="shared" si="2"/>
        <v>152628.5</v>
      </c>
      <c r="C28" s="39">
        <f>SUMIFS(Engine!$S$2:$S$98, Engine!$R$2:$R$98, "New", Engine!$F$2:$F$98, Waterfall!A28)</f>
        <v>0</v>
      </c>
      <c r="D28" s="39">
        <f>SUMIFS(Engine!$S$2:$S$98, Engine!$R$2:$R$98, "Expansion", Engine!$F$2:$F$98, Waterfall!A28)</f>
        <v>0</v>
      </c>
      <c r="E28" s="38">
        <f>SUMIFS(Engine!$S$2:$S$98, Engine!$R$2:$R$98, "Contraction", Engine!$F$2:$F$98, Waterfall!A28)</f>
        <v>0</v>
      </c>
      <c r="F28" s="40">
        <f>SUMIFS(Engine!$S$2:$S$98, Engine!$R$2:$R$98, "Churned", Engine!$F$2:$F$98, Waterfall!A28)</f>
        <v>-594</v>
      </c>
      <c r="G28" s="38">
        <f t="shared" si="0"/>
        <v>-594</v>
      </c>
      <c r="H28" s="38">
        <f t="shared" si="1"/>
        <v>152034.5</v>
      </c>
    </row>
    <row r="30" spans="1:8" x14ac:dyDescent="0.35">
      <c r="A30" t="s">
        <v>163</v>
      </c>
      <c r="B30" s="38">
        <f>H28</f>
        <v>152034.5</v>
      </c>
    </row>
    <row r="31" spans="1:8" x14ac:dyDescent="0.35">
      <c r="A31" t="s">
        <v>164</v>
      </c>
      <c r="B31" s="38">
        <f>SUM(Engine!$S$2:$S$98)</f>
        <v>152034.5</v>
      </c>
    </row>
    <row r="32" spans="1:8" x14ac:dyDescent="0.35">
      <c r="A32" t="s">
        <v>165</v>
      </c>
      <c r="B32" s="38">
        <f>B30-B31</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1C1A-AA73-416E-A9F6-D8961CE20C9F}">
  <dimension ref="A1:AA37"/>
  <sheetViews>
    <sheetView workbookViewId="0">
      <selection activeCell="B35" sqref="B35"/>
    </sheetView>
  </sheetViews>
  <sheetFormatPr defaultRowHeight="14.5" x14ac:dyDescent="0.35"/>
  <cols>
    <col min="1" max="1" width="40" customWidth="1"/>
  </cols>
  <sheetData>
    <row r="1" spans="1:27" ht="15.5" x14ac:dyDescent="0.35">
      <c r="A1" s="41" t="s">
        <v>166</v>
      </c>
    </row>
    <row r="3" spans="1:27" x14ac:dyDescent="0.35">
      <c r="A3" s="42" t="s">
        <v>167</v>
      </c>
    </row>
    <row r="4" spans="1:27" x14ac:dyDescent="0.35">
      <c r="A4" s="42" t="s">
        <v>155</v>
      </c>
      <c r="B4" s="43">
        <f>Waterfall!A3</f>
        <v>45292</v>
      </c>
      <c r="C4" s="43">
        <f>Waterfall!A4</f>
        <v>45323</v>
      </c>
      <c r="D4" s="43">
        <f>Waterfall!A5</f>
        <v>45352</v>
      </c>
      <c r="E4" s="43">
        <f>Waterfall!A6</f>
        <v>45383</v>
      </c>
      <c r="F4" s="43">
        <f>Waterfall!A7</f>
        <v>45413</v>
      </c>
      <c r="G4" s="43">
        <f>Waterfall!A8</f>
        <v>45444</v>
      </c>
      <c r="H4" s="43">
        <f>Waterfall!A9</f>
        <v>45474</v>
      </c>
      <c r="I4" s="43">
        <f>Waterfall!A10</f>
        <v>45505</v>
      </c>
      <c r="J4" s="43">
        <f>Waterfall!A11</f>
        <v>45536</v>
      </c>
      <c r="K4" s="43">
        <f>Waterfall!A12</f>
        <v>45566</v>
      </c>
      <c r="L4" s="43">
        <f>Waterfall!A13</f>
        <v>45597</v>
      </c>
      <c r="M4" s="43">
        <f>Waterfall!A14</f>
        <v>45627</v>
      </c>
      <c r="N4" s="43">
        <f>Waterfall!A15</f>
        <v>45658</v>
      </c>
      <c r="O4" s="43">
        <f>Waterfall!A16</f>
        <v>45689</v>
      </c>
      <c r="P4" s="43">
        <f>Waterfall!A17</f>
        <v>45717</v>
      </c>
      <c r="Q4" s="43">
        <f>Waterfall!A18</f>
        <v>45748</v>
      </c>
      <c r="R4" s="43">
        <f>Waterfall!A19</f>
        <v>45778</v>
      </c>
      <c r="S4" s="43">
        <f>Waterfall!A20</f>
        <v>45809</v>
      </c>
      <c r="T4" s="43">
        <f>Waterfall!A21</f>
        <v>45839</v>
      </c>
      <c r="U4" s="43">
        <f>Waterfall!A22</f>
        <v>45870</v>
      </c>
      <c r="V4" s="43">
        <f>Waterfall!A23</f>
        <v>45901</v>
      </c>
      <c r="W4" s="43">
        <f>Waterfall!A24</f>
        <v>45931</v>
      </c>
      <c r="X4" s="43">
        <f>Waterfall!A25</f>
        <v>45962</v>
      </c>
      <c r="Y4" s="43">
        <f>Waterfall!A26</f>
        <v>45992</v>
      </c>
      <c r="Z4" s="43">
        <f>Waterfall!A27</f>
        <v>46023</v>
      </c>
      <c r="AA4" s="43">
        <f>Waterfall!A28</f>
        <v>46054</v>
      </c>
    </row>
    <row r="5" spans="1:27" x14ac:dyDescent="0.35">
      <c r="A5" s="42" t="s">
        <v>14</v>
      </c>
      <c r="B5" s="44">
        <f>Waterfall!B3</f>
        <v>0</v>
      </c>
      <c r="C5" s="44">
        <f>Waterfall!B4</f>
        <v>5800</v>
      </c>
      <c r="D5" s="44">
        <f>Waterfall!B5</f>
        <v>14415</v>
      </c>
      <c r="E5" s="44">
        <f>Waterfall!B6</f>
        <v>20490</v>
      </c>
      <c r="F5" s="44">
        <f>Waterfall!B7</f>
        <v>29934</v>
      </c>
      <c r="G5" s="44">
        <f>Waterfall!B8</f>
        <v>32499</v>
      </c>
      <c r="H5" s="44">
        <f>Waterfall!B9</f>
        <v>35989</v>
      </c>
      <c r="I5" s="44">
        <f>Waterfall!B10</f>
        <v>45353.5</v>
      </c>
      <c r="J5" s="44">
        <f>Waterfall!B11</f>
        <v>50293.5</v>
      </c>
      <c r="K5" s="44">
        <f>Waterfall!B12</f>
        <v>63708.5</v>
      </c>
      <c r="L5" s="44">
        <f>Waterfall!B13</f>
        <v>73838.5</v>
      </c>
      <c r="M5" s="44">
        <f>Waterfall!B14</f>
        <v>78298.5</v>
      </c>
      <c r="N5" s="44">
        <f>Waterfall!B15</f>
        <v>91123.5</v>
      </c>
      <c r="O5" s="44">
        <f>Waterfall!B16</f>
        <v>100754</v>
      </c>
      <c r="P5" s="44">
        <f>Waterfall!B17</f>
        <v>108159</v>
      </c>
      <c r="Q5" s="44">
        <f>Waterfall!B18</f>
        <v>126539.5</v>
      </c>
      <c r="R5" s="44">
        <f>Waterfall!B19</f>
        <v>133074.5</v>
      </c>
      <c r="S5" s="44">
        <f>Waterfall!B20</f>
        <v>143089.5</v>
      </c>
      <c r="T5" s="44">
        <f>Waterfall!B21</f>
        <v>152114.5</v>
      </c>
      <c r="U5" s="44">
        <f>Waterfall!B22</f>
        <v>151014.5</v>
      </c>
      <c r="V5" s="44">
        <f>Waterfall!B23</f>
        <v>148584.5</v>
      </c>
      <c r="W5" s="44">
        <f>Waterfall!B24</f>
        <v>150359.5</v>
      </c>
      <c r="X5" s="44">
        <f>Waterfall!B25</f>
        <v>152619.5</v>
      </c>
      <c r="Y5" s="44">
        <f>Waterfall!B26</f>
        <v>152184</v>
      </c>
      <c r="Z5" s="44">
        <f>Waterfall!B27</f>
        <v>150918.5</v>
      </c>
      <c r="AA5" s="44">
        <f>Waterfall!B28</f>
        <v>152628.5</v>
      </c>
    </row>
    <row r="6" spans="1:27" x14ac:dyDescent="0.35">
      <c r="A6" s="42" t="s">
        <v>168</v>
      </c>
      <c r="B6" s="28" t="str">
        <f>IF(Waterfall!B3=0,"-",1+(Waterfall!E3+Waterfall!F3)/Waterfall!B3)</f>
        <v>-</v>
      </c>
      <c r="C6" s="28">
        <f>IF(Waterfall!B4=0,"-",1+(Waterfall!E4+Waterfall!F4)/Waterfall!B4)</f>
        <v>1</v>
      </c>
      <c r="D6" s="28">
        <f>IF(Waterfall!B5=0,"-",1+(Waterfall!E5+Waterfall!F5)/Waterfall!B5)</f>
        <v>1</v>
      </c>
      <c r="E6" s="28">
        <f>IF(Waterfall!B6=0,"-",1+(Waterfall!E6+Waterfall!F6)/Waterfall!B6)</f>
        <v>1</v>
      </c>
      <c r="F6" s="28">
        <f>IF(Waterfall!B7=0,"-",1+(Waterfall!E7+Waterfall!F7)/Waterfall!B7)</f>
        <v>1</v>
      </c>
      <c r="G6" s="28">
        <f>IF(Waterfall!B8=0,"-",1+(Waterfall!E8+Waterfall!F8)/Waterfall!B8)</f>
        <v>1</v>
      </c>
      <c r="H6" s="28">
        <f>IF(Waterfall!B9=0,"-",1+(Waterfall!E9+Waterfall!F9)/Waterfall!B9)</f>
        <v>1</v>
      </c>
      <c r="I6" s="28">
        <f>IF(Waterfall!B10=0,"-",1+(Waterfall!E10+Waterfall!F10)/Waterfall!B10)</f>
        <v>0.95810687157551233</v>
      </c>
      <c r="J6" s="28">
        <f>IF(Waterfall!B11=0,"-",1+(Waterfall!E11+Waterfall!F11)/Waterfall!B11)</f>
        <v>1</v>
      </c>
      <c r="K6" s="28">
        <f>IF(Waterfall!B12=0,"-",1+(Waterfall!E12+Waterfall!F12)/Waterfall!B12)</f>
        <v>1</v>
      </c>
      <c r="L6" s="28">
        <f>IF(Waterfall!B13=0,"-",1+(Waterfall!E13+Waterfall!F13)/Waterfall!B13)</f>
        <v>0.99329618017700794</v>
      </c>
      <c r="M6" s="28">
        <f>IF(Waterfall!B14=0,"-",1+(Waterfall!E14+Waterfall!F14)/Waterfall!B14)</f>
        <v>0.9733072791943651</v>
      </c>
      <c r="N6" s="28">
        <f>IF(Waterfall!B15=0,"-",1+(Waterfall!E15+Waterfall!F15)/Waterfall!B15)</f>
        <v>0.99506164710530209</v>
      </c>
      <c r="O6" s="28">
        <f>IF(Waterfall!B16=0,"-",1+(Waterfall!E16+Waterfall!F16)/Waterfall!B16)</f>
        <v>1</v>
      </c>
      <c r="P6" s="28">
        <f>IF(Waterfall!B17=0,"-",1+(Waterfall!E17+Waterfall!F17)/Waterfall!B17)</f>
        <v>0.99066651873630485</v>
      </c>
      <c r="Q6" s="28">
        <f>IF(Waterfall!B18=0,"-",1+(Waterfall!E18+Waterfall!F18)/Waterfall!B18)</f>
        <v>1</v>
      </c>
      <c r="R6" s="28">
        <f>IF(Waterfall!B19=0,"-",1+(Waterfall!E19+Waterfall!F19)/Waterfall!B19)</f>
        <v>0.98215285422827059</v>
      </c>
      <c r="S6" s="28">
        <f>IF(Waterfall!B20=0,"-",1+(Waterfall!E20+Waterfall!F20)/Waterfall!B20)</f>
        <v>0.99087983395008017</v>
      </c>
      <c r="T6" s="28">
        <f>IF(Waterfall!B21=0,"-",1+(Waterfall!E21+Waterfall!F21)/Waterfall!B21)</f>
        <v>0.98842976836527752</v>
      </c>
      <c r="U6" s="28">
        <f>IF(Waterfall!B22=0,"-",1+(Waterfall!E22+Waterfall!F22)/Waterfall!B22)</f>
        <v>0.96430806313301043</v>
      </c>
      <c r="V6" s="28">
        <f>IF(Waterfall!B23=0,"-",1+(Waterfall!E23+Waterfall!F23)/Waterfall!B23)</f>
        <v>0.99915872786192372</v>
      </c>
      <c r="W6" s="28">
        <f>IF(Waterfall!B24=0,"-",1+(Waterfall!E24+Waterfall!F24)/Waterfall!B24)</f>
        <v>1</v>
      </c>
      <c r="X6" s="28">
        <f>IF(Waterfall!B25=0,"-",1+(Waterfall!E25+Waterfall!F25)/Waterfall!B25)</f>
        <v>0.99714649831771174</v>
      </c>
      <c r="Y6" s="28">
        <f>IF(Waterfall!B26=0,"-",1+(Waterfall!E26+Waterfall!F26)/Waterfall!B26)</f>
        <v>0.98879317142406564</v>
      </c>
      <c r="Z6" s="28">
        <f>IF(Waterfall!B27=0,"-",1+(Waterfall!E27+Waterfall!F27)/Waterfall!B27)</f>
        <v>1</v>
      </c>
      <c r="AA6" s="28">
        <f>IF(Waterfall!B28=0,"-",1+(Waterfall!E28+Waterfall!F28)/Waterfall!B28)</f>
        <v>0.99610819735501566</v>
      </c>
    </row>
    <row r="7" spans="1:27" x14ac:dyDescent="0.35">
      <c r="A7" s="42" t="s">
        <v>169</v>
      </c>
      <c r="B7" s="28" t="str">
        <f>IF(Waterfall!B3=0,"-",1+(Waterfall!D3+Waterfall!E3+Waterfall!F3)/Waterfall!B3)</f>
        <v>-</v>
      </c>
      <c r="C7" s="28">
        <f>IF(Waterfall!B4=0,"-",1+(Waterfall!D4+Waterfall!E4+Waterfall!F4)/Waterfall!B4)</f>
        <v>1</v>
      </c>
      <c r="D7" s="28">
        <f>IF(Waterfall!B5=0,"-",1+(Waterfall!D5+Waterfall!E5+Waterfall!F5)/Waterfall!B5)</f>
        <v>1</v>
      </c>
      <c r="E7" s="28">
        <f>IF(Waterfall!B6=0,"-",1+(Waterfall!D6+Waterfall!E6+Waterfall!F6)/Waterfall!B6)</f>
        <v>1</v>
      </c>
      <c r="F7" s="28">
        <f>IF(Waterfall!B7=0,"-",1+(Waterfall!D7+Waterfall!E7+Waterfall!F7)/Waterfall!B7)</f>
        <v>1</v>
      </c>
      <c r="G7" s="28">
        <f>IF(Waterfall!B8=0,"-",1+(Waterfall!D8+Waterfall!E8+Waterfall!F8)/Waterfall!B8)</f>
        <v>1</v>
      </c>
      <c r="H7" s="28">
        <f>IF(Waterfall!B9=0,"-",1+(Waterfall!D9+Waterfall!E9+Waterfall!F9)/Waterfall!B9)</f>
        <v>1</v>
      </c>
      <c r="I7" s="28">
        <f>IF(Waterfall!B10=0,"-",1+(Waterfall!D10+Waterfall!E10+Waterfall!F10)/Waterfall!B10)</f>
        <v>0.95810687157551233</v>
      </c>
      <c r="J7" s="28">
        <f>IF(Waterfall!B11=0,"-",1+(Waterfall!D11+Waterfall!E11+Waterfall!F11)/Waterfall!B11)</f>
        <v>1</v>
      </c>
      <c r="K7" s="28">
        <f>IF(Waterfall!B12=0,"-",1+(Waterfall!D12+Waterfall!E12+Waterfall!F12)/Waterfall!B12)</f>
        <v>1</v>
      </c>
      <c r="L7" s="28">
        <f>IF(Waterfall!B13=0,"-",1+(Waterfall!D13+Waterfall!E13+Waterfall!F13)/Waterfall!B13)</f>
        <v>0.99329618017700794</v>
      </c>
      <c r="M7" s="28">
        <f>IF(Waterfall!B14=0,"-",1+(Waterfall!D14+Waterfall!E14+Waterfall!F14)/Waterfall!B14)</f>
        <v>0.9733072791943651</v>
      </c>
      <c r="N7" s="28">
        <f>IF(Waterfall!B15=0,"-",1+(Waterfall!D15+Waterfall!E15+Waterfall!F15)/Waterfall!B15)</f>
        <v>0.99659802356143035</v>
      </c>
      <c r="O7" s="28">
        <f>IF(Waterfall!B16=0,"-",1+(Waterfall!D16+Waterfall!E16+Waterfall!F16)/Waterfall!B16)</f>
        <v>1</v>
      </c>
      <c r="P7" s="28">
        <f>IF(Waterfall!B17=0,"-",1+(Waterfall!D17+Waterfall!E17+Waterfall!F17)/Waterfall!B17)</f>
        <v>0.99066651873630485</v>
      </c>
      <c r="Q7" s="28">
        <f>IF(Waterfall!B18=0,"-",1+(Waterfall!D18+Waterfall!E18+Waterfall!F18)/Waterfall!B18)</f>
        <v>1.005966516384212</v>
      </c>
      <c r="R7" s="28">
        <f>IF(Waterfall!B19=0,"-",1+(Waterfall!D19+Waterfall!E19+Waterfall!F19)/Waterfall!B19)</f>
        <v>0.98463266816707939</v>
      </c>
      <c r="S7" s="28">
        <f>IF(Waterfall!B20=0,"-",1+(Waterfall!D20+Waterfall!E20+Waterfall!F20)/Waterfall!B20)</f>
        <v>1.0027605100304355</v>
      </c>
      <c r="T7" s="28">
        <f>IF(Waterfall!B21=0,"-",1+(Waterfall!D21+Waterfall!E21+Waterfall!F21)/Waterfall!B21)</f>
        <v>0.99276860522829846</v>
      </c>
      <c r="U7" s="28">
        <f>IF(Waterfall!B22=0,"-",1+(Waterfall!D22+Waterfall!E22+Waterfall!F22)/Waterfall!B22)</f>
        <v>0.98390882994679318</v>
      </c>
      <c r="V7" s="28">
        <f>IF(Waterfall!B23=0,"-",1+(Waterfall!D23+Waterfall!E23+Waterfall!F23)/Waterfall!B23)</f>
        <v>1.0119460643606837</v>
      </c>
      <c r="W7" s="28">
        <f>IF(Waterfall!B24=0,"-",1+(Waterfall!D24+Waterfall!E24+Waterfall!F24)/Waterfall!B24)</f>
        <v>1.0088122133952295</v>
      </c>
      <c r="X7" s="28">
        <f>IF(Waterfall!B25=0,"-",1+(Waterfall!D25+Waterfall!E25+Waterfall!F25)/Waterfall!B25)</f>
        <v>0.99714649831771174</v>
      </c>
      <c r="Y7" s="28">
        <f>IF(Waterfall!B26=0,"-",1+(Waterfall!D26+Waterfall!E26+Waterfall!F26)/Waterfall!B26)</f>
        <v>0.99168440834778948</v>
      </c>
      <c r="Z7" s="28">
        <f>IF(Waterfall!B27=0,"-",1+(Waterfall!D27+Waterfall!E27+Waterfall!F27)/Waterfall!B27)</f>
        <v>1</v>
      </c>
      <c r="AA7" s="28">
        <f>IF(Waterfall!B28=0,"-",1+(Waterfall!D28+Waterfall!E28+Waterfall!F28)/Waterfall!B28)</f>
        <v>0.99610819735501566</v>
      </c>
    </row>
    <row r="9" spans="1:27" x14ac:dyDescent="0.35">
      <c r="A9" s="42" t="s">
        <v>170</v>
      </c>
    </row>
    <row r="10" spans="1:27" x14ac:dyDescent="0.35">
      <c r="A10" s="42" t="s">
        <v>155</v>
      </c>
      <c r="B10" s="43">
        <f t="shared" ref="B10:AA10" si="0">B4</f>
        <v>45292</v>
      </c>
      <c r="C10" s="43">
        <f t="shared" si="0"/>
        <v>45323</v>
      </c>
      <c r="D10" s="43">
        <f t="shared" si="0"/>
        <v>45352</v>
      </c>
      <c r="E10" s="43">
        <f t="shared" si="0"/>
        <v>45383</v>
      </c>
      <c r="F10" s="43">
        <f t="shared" si="0"/>
        <v>45413</v>
      </c>
      <c r="G10" s="43">
        <f t="shared" si="0"/>
        <v>45444</v>
      </c>
      <c r="H10" s="43">
        <f t="shared" si="0"/>
        <v>45474</v>
      </c>
      <c r="I10" s="43">
        <f t="shared" si="0"/>
        <v>45505</v>
      </c>
      <c r="J10" s="43">
        <f t="shared" si="0"/>
        <v>45536</v>
      </c>
      <c r="K10" s="43">
        <f t="shared" si="0"/>
        <v>45566</v>
      </c>
      <c r="L10" s="43">
        <f t="shared" si="0"/>
        <v>45597</v>
      </c>
      <c r="M10" s="43">
        <f t="shared" si="0"/>
        <v>45627</v>
      </c>
      <c r="N10" s="43">
        <f t="shared" si="0"/>
        <v>45658</v>
      </c>
      <c r="O10" s="43">
        <f t="shared" si="0"/>
        <v>45689</v>
      </c>
      <c r="P10" s="43">
        <f t="shared" si="0"/>
        <v>45717</v>
      </c>
      <c r="Q10" s="43">
        <f t="shared" si="0"/>
        <v>45748</v>
      </c>
      <c r="R10" s="43">
        <f t="shared" si="0"/>
        <v>45778</v>
      </c>
      <c r="S10" s="43">
        <f t="shared" si="0"/>
        <v>45809</v>
      </c>
      <c r="T10" s="43">
        <f t="shared" si="0"/>
        <v>45839</v>
      </c>
      <c r="U10" s="43">
        <f t="shared" si="0"/>
        <v>45870</v>
      </c>
      <c r="V10" s="43">
        <f t="shared" si="0"/>
        <v>45901</v>
      </c>
      <c r="W10" s="43">
        <f t="shared" si="0"/>
        <v>45931</v>
      </c>
      <c r="X10" s="43">
        <f t="shared" si="0"/>
        <v>45962</v>
      </c>
      <c r="Y10" s="43">
        <f t="shared" si="0"/>
        <v>45992</v>
      </c>
      <c r="Z10" s="43">
        <f t="shared" si="0"/>
        <v>46023</v>
      </c>
      <c r="AA10" s="43">
        <f t="shared" si="0"/>
        <v>46054</v>
      </c>
    </row>
    <row r="11" spans="1:27" x14ac:dyDescent="0.35">
      <c r="A11" s="42" t="s">
        <v>171</v>
      </c>
      <c r="B11" s="28" t="str">
        <f>IF(Waterfall!B3=0,"-",-Waterfall!F3/Waterfall!B3)</f>
        <v>-</v>
      </c>
      <c r="C11" s="28">
        <f>IF(Waterfall!B4=0,"-",-Waterfall!F4/Waterfall!B4)</f>
        <v>0</v>
      </c>
      <c r="D11" s="28">
        <f>IF(Waterfall!B5=0,"-",-Waterfall!F5/Waterfall!B5)</f>
        <v>0</v>
      </c>
      <c r="E11" s="28">
        <f>IF(Waterfall!B6=0,"-",-Waterfall!F6/Waterfall!B6)</f>
        <v>0</v>
      </c>
      <c r="F11" s="28">
        <f>IF(Waterfall!B7=0,"-",-Waterfall!F7/Waterfall!B7)</f>
        <v>0</v>
      </c>
      <c r="G11" s="28">
        <f>IF(Waterfall!B8=0,"-",-Waterfall!F8/Waterfall!B8)</f>
        <v>0</v>
      </c>
      <c r="H11" s="28">
        <f>IF(Waterfall!B9=0,"-",-Waterfall!F9/Waterfall!B9)</f>
        <v>0</v>
      </c>
      <c r="I11" s="28">
        <f>IF(Waterfall!B10=0,"-",-Waterfall!F10/Waterfall!B10)</f>
        <v>4.1893128424487634E-2</v>
      </c>
      <c r="J11" s="28">
        <f>IF(Waterfall!B11=0,"-",-Waterfall!F11/Waterfall!B11)</f>
        <v>0</v>
      </c>
      <c r="K11" s="28">
        <f>IF(Waterfall!B12=0,"-",-Waterfall!F12/Waterfall!B12)</f>
        <v>0</v>
      </c>
      <c r="L11" s="28">
        <f>IF(Waterfall!B13=0,"-",-Waterfall!F13/Waterfall!B13)</f>
        <v>6.7038198229920709E-3</v>
      </c>
      <c r="M11" s="28">
        <f>IF(Waterfall!B14=0,"-",-Waterfall!F14/Waterfall!B14)</f>
        <v>2.6692720805634847E-2</v>
      </c>
      <c r="N11" s="28">
        <f>IF(Waterfall!B15=0,"-",-Waterfall!F15/Waterfall!B15)</f>
        <v>4.9383528946978549E-3</v>
      </c>
      <c r="O11" s="28">
        <f>IF(Waterfall!B16=0,"-",-Waterfall!F16/Waterfall!B16)</f>
        <v>0</v>
      </c>
      <c r="P11" s="28">
        <f>IF(Waterfall!B17=0,"-",-Waterfall!F17/Waterfall!B17)</f>
        <v>0</v>
      </c>
      <c r="Q11" s="28">
        <f>IF(Waterfall!B18=0,"-",-Waterfall!F18/Waterfall!B18)</f>
        <v>0</v>
      </c>
      <c r="R11" s="28">
        <f>IF(Waterfall!B19=0,"-",-Waterfall!F19/Waterfall!B19)</f>
        <v>1.784714577172937E-2</v>
      </c>
      <c r="S11" s="28">
        <f>IF(Waterfall!B20=0,"-",-Waterfall!F20/Waterfall!B20)</f>
        <v>9.1201660499198051E-3</v>
      </c>
      <c r="T11" s="28">
        <f>IF(Waterfall!B21=0,"-",-Waterfall!F21/Waterfall!B21)</f>
        <v>1.1570231634722528E-2</v>
      </c>
      <c r="U11" s="28">
        <f>IF(Waterfall!B22=0,"-",-Waterfall!F22/Waterfall!B22)</f>
        <v>3.0990401583953858E-2</v>
      </c>
      <c r="V11" s="28">
        <f>IF(Waterfall!B23=0,"-",-Waterfall!F23/Waterfall!B23)</f>
        <v>0</v>
      </c>
      <c r="W11" s="28">
        <f>IF(Waterfall!B24=0,"-",-Waterfall!F24/Waterfall!B24)</f>
        <v>0</v>
      </c>
      <c r="X11" s="28">
        <f>IF(Waterfall!B25=0,"-",-Waterfall!F25/Waterfall!B25)</f>
        <v>0</v>
      </c>
      <c r="Y11" s="28">
        <f>IF(Waterfall!B26=0,"-",-Waterfall!F26/Waterfall!B26)</f>
        <v>1.0674578142248857E-2</v>
      </c>
      <c r="Z11" s="28">
        <f>IF(Waterfall!B27=0,"-",-Waterfall!F27/Waterfall!B27)</f>
        <v>0</v>
      </c>
      <c r="AA11" s="28">
        <f>IF(Waterfall!B28=0,"-",-Waterfall!F28/Waterfall!B28)</f>
        <v>3.8918026449843903E-3</v>
      </c>
    </row>
    <row r="12" spans="1:27" x14ac:dyDescent="0.35">
      <c r="A12" s="42" t="s">
        <v>172</v>
      </c>
      <c r="B12" s="28" t="str">
        <f>IF(Waterfall!B3=0,"-",-(Waterfall!E3+Waterfall!F3)/Waterfall!B3)</f>
        <v>-</v>
      </c>
      <c r="C12" s="28">
        <f>IF(Waterfall!B4=0,"-",-(Waterfall!E4+Waterfall!F4)/Waterfall!B4)</f>
        <v>0</v>
      </c>
      <c r="D12" s="28">
        <f>IF(Waterfall!B5=0,"-",-(Waterfall!E5+Waterfall!F5)/Waterfall!B5)</f>
        <v>0</v>
      </c>
      <c r="E12" s="28">
        <f>IF(Waterfall!B6=0,"-",-(Waterfall!E6+Waterfall!F6)/Waterfall!B6)</f>
        <v>0</v>
      </c>
      <c r="F12" s="28">
        <f>IF(Waterfall!B7=0,"-",-(Waterfall!E7+Waterfall!F7)/Waterfall!B7)</f>
        <v>0</v>
      </c>
      <c r="G12" s="28">
        <f>IF(Waterfall!B8=0,"-",-(Waterfall!E8+Waterfall!F8)/Waterfall!B8)</f>
        <v>0</v>
      </c>
      <c r="H12" s="28">
        <f>IF(Waterfall!B9=0,"-",-(Waterfall!E9+Waterfall!F9)/Waterfall!B9)</f>
        <v>0</v>
      </c>
      <c r="I12" s="28">
        <f>IF(Waterfall!B10=0,"-",-(Waterfall!E10+Waterfall!F10)/Waterfall!B10)</f>
        <v>4.1893128424487634E-2</v>
      </c>
      <c r="J12" s="28">
        <f>IF(Waterfall!B11=0,"-",-(Waterfall!E11+Waterfall!F11)/Waterfall!B11)</f>
        <v>0</v>
      </c>
      <c r="K12" s="28">
        <f>IF(Waterfall!B12=0,"-",-(Waterfall!E12+Waterfall!F12)/Waterfall!B12)</f>
        <v>0</v>
      </c>
      <c r="L12" s="28">
        <f>IF(Waterfall!B13=0,"-",-(Waterfall!E13+Waterfall!F13)/Waterfall!B13)</f>
        <v>6.7038198229920709E-3</v>
      </c>
      <c r="M12" s="28">
        <f>IF(Waterfall!B14=0,"-",-(Waterfall!E14+Waterfall!F14)/Waterfall!B14)</f>
        <v>2.6692720805634847E-2</v>
      </c>
      <c r="N12" s="28">
        <f>IF(Waterfall!B15=0,"-",-(Waterfall!E15+Waterfall!F15)/Waterfall!B15)</f>
        <v>4.9383528946978549E-3</v>
      </c>
      <c r="O12" s="28">
        <f>IF(Waterfall!B16=0,"-",-(Waterfall!E16+Waterfall!F16)/Waterfall!B16)</f>
        <v>0</v>
      </c>
      <c r="P12" s="28">
        <f>IF(Waterfall!B17=0,"-",-(Waterfall!E17+Waterfall!F17)/Waterfall!B17)</f>
        <v>9.3334812636951155E-3</v>
      </c>
      <c r="Q12" s="28">
        <f>IF(Waterfall!B18=0,"-",-(Waterfall!E18+Waterfall!F18)/Waterfall!B18)</f>
        <v>0</v>
      </c>
      <c r="R12" s="28">
        <f>IF(Waterfall!B19=0,"-",-(Waterfall!E19+Waterfall!F19)/Waterfall!B19)</f>
        <v>1.784714577172937E-2</v>
      </c>
      <c r="S12" s="28">
        <f>IF(Waterfall!B20=0,"-",-(Waterfall!E20+Waterfall!F20)/Waterfall!B20)</f>
        <v>9.1201660499198051E-3</v>
      </c>
      <c r="T12" s="28">
        <f>IF(Waterfall!B21=0,"-",-(Waterfall!E21+Waterfall!F21)/Waterfall!B21)</f>
        <v>1.1570231634722528E-2</v>
      </c>
      <c r="U12" s="28">
        <f>IF(Waterfall!B22=0,"-",-(Waterfall!E22+Waterfall!F22)/Waterfall!B22)</f>
        <v>3.5691936866989592E-2</v>
      </c>
      <c r="V12" s="28">
        <f>IF(Waterfall!B23=0,"-",-(Waterfall!E23+Waterfall!F23)/Waterfall!B23)</f>
        <v>8.4127213807631352E-4</v>
      </c>
      <c r="W12" s="28">
        <f>IF(Waterfall!B24=0,"-",-(Waterfall!E24+Waterfall!F24)/Waterfall!B24)</f>
        <v>0</v>
      </c>
      <c r="X12" s="28">
        <f>IF(Waterfall!B25=0,"-",-(Waterfall!E25+Waterfall!F25)/Waterfall!B25)</f>
        <v>2.8535016822883053E-3</v>
      </c>
      <c r="Y12" s="28">
        <f>IF(Waterfall!B26=0,"-",-(Waterfall!E26+Waterfall!F26)/Waterfall!B26)</f>
        <v>1.1206828575934396E-2</v>
      </c>
      <c r="Z12" s="28">
        <f>IF(Waterfall!B27=0,"-",-(Waterfall!E27+Waterfall!F27)/Waterfall!B27)</f>
        <v>0</v>
      </c>
      <c r="AA12" s="28">
        <f>IF(Waterfall!B28=0,"-",-(Waterfall!E28+Waterfall!F28)/Waterfall!B28)</f>
        <v>3.8918026449843903E-3</v>
      </c>
    </row>
    <row r="14" spans="1:27" x14ac:dyDescent="0.35">
      <c r="A14" s="42" t="s">
        <v>173</v>
      </c>
    </row>
    <row r="15" spans="1:27" x14ac:dyDescent="0.35">
      <c r="A15" s="42" t="s">
        <v>155</v>
      </c>
      <c r="B15" s="43">
        <f t="shared" ref="B15:AA15" si="1">B4</f>
        <v>45292</v>
      </c>
      <c r="C15" s="43">
        <f t="shared" si="1"/>
        <v>45323</v>
      </c>
      <c r="D15" s="43">
        <f t="shared" si="1"/>
        <v>45352</v>
      </c>
      <c r="E15" s="43">
        <f t="shared" si="1"/>
        <v>45383</v>
      </c>
      <c r="F15" s="43">
        <f t="shared" si="1"/>
        <v>45413</v>
      </c>
      <c r="G15" s="43">
        <f t="shared" si="1"/>
        <v>45444</v>
      </c>
      <c r="H15" s="43">
        <f t="shared" si="1"/>
        <v>45474</v>
      </c>
      <c r="I15" s="43">
        <f t="shared" si="1"/>
        <v>45505</v>
      </c>
      <c r="J15" s="43">
        <f t="shared" si="1"/>
        <v>45536</v>
      </c>
      <c r="K15" s="43">
        <f t="shared" si="1"/>
        <v>45566</v>
      </c>
      <c r="L15" s="43">
        <f t="shared" si="1"/>
        <v>45597</v>
      </c>
      <c r="M15" s="43">
        <f t="shared" si="1"/>
        <v>45627</v>
      </c>
      <c r="N15" s="43">
        <f t="shared" si="1"/>
        <v>45658</v>
      </c>
      <c r="O15" s="43">
        <f t="shared" si="1"/>
        <v>45689</v>
      </c>
      <c r="P15" s="43">
        <f t="shared" si="1"/>
        <v>45717</v>
      </c>
      <c r="Q15" s="43">
        <f t="shared" si="1"/>
        <v>45748</v>
      </c>
      <c r="R15" s="43">
        <f t="shared" si="1"/>
        <v>45778</v>
      </c>
      <c r="S15" s="43">
        <f t="shared" si="1"/>
        <v>45809</v>
      </c>
      <c r="T15" s="43">
        <f t="shared" si="1"/>
        <v>45839</v>
      </c>
      <c r="U15" s="43">
        <f t="shared" si="1"/>
        <v>45870</v>
      </c>
      <c r="V15" s="43">
        <f t="shared" si="1"/>
        <v>45901</v>
      </c>
      <c r="W15" s="43">
        <f t="shared" si="1"/>
        <v>45931</v>
      </c>
      <c r="X15" s="43">
        <f t="shared" si="1"/>
        <v>45962</v>
      </c>
      <c r="Y15" s="43">
        <f t="shared" si="1"/>
        <v>45992</v>
      </c>
      <c r="Z15" s="43">
        <f t="shared" si="1"/>
        <v>46023</v>
      </c>
      <c r="AA15" s="43">
        <f t="shared" si="1"/>
        <v>46054</v>
      </c>
    </row>
    <row r="16" spans="1:27" x14ac:dyDescent="0.35">
      <c r="A16" s="42" t="s">
        <v>174</v>
      </c>
      <c r="B16" s="31">
        <v>0</v>
      </c>
      <c r="C16" s="31">
        <f>B16+COUNTIFS(Engine!$H$2:$H$98,"created",Engine!$F$2:$F$98,B15)-COUNTIFS(Engine!$H$2:$H$98,"cancelled",Engine!$F$2:$F$98,B15)</f>
        <v>2</v>
      </c>
      <c r="D16" s="31">
        <f>C16+COUNTIFS(Engine!$H$2:$H$98,"created",Engine!$F$2:$F$98,C15)-COUNTIFS(Engine!$H$2:$H$98,"cancelled",Engine!$F$2:$F$98,C15)</f>
        <v>5</v>
      </c>
      <c r="E16" s="31">
        <f>D16+COUNTIFS(Engine!$H$2:$H$98,"created",Engine!$F$2:$F$98,D15)-COUNTIFS(Engine!$H$2:$H$98,"cancelled",Engine!$F$2:$F$98,D15)</f>
        <v>7</v>
      </c>
      <c r="F16" s="31">
        <f>E16+COUNTIFS(Engine!$H$2:$H$98,"created",Engine!$F$2:$F$98,E15)-COUNTIFS(Engine!$H$2:$H$98,"cancelled",Engine!$F$2:$F$98,E15)</f>
        <v>11</v>
      </c>
      <c r="G16" s="31">
        <f>F16+COUNTIFS(Engine!$H$2:$H$98,"created",Engine!$F$2:$F$98,F15)-COUNTIFS(Engine!$H$2:$H$98,"cancelled",Engine!$F$2:$F$98,F15)</f>
        <v>13</v>
      </c>
      <c r="H16" s="31">
        <f>G16+COUNTIFS(Engine!$H$2:$H$98,"created",Engine!$F$2:$F$98,G15)-COUNTIFS(Engine!$H$2:$H$98,"cancelled",Engine!$F$2:$F$98,G15)</f>
        <v>16</v>
      </c>
      <c r="I16" s="31">
        <f>H16+COUNTIFS(Engine!$H$2:$H$98,"created",Engine!$F$2:$F$98,H15)-COUNTIFS(Engine!$H$2:$H$98,"cancelled",Engine!$F$2:$F$98,H15)</f>
        <v>20</v>
      </c>
      <c r="J16" s="31">
        <f>I16+COUNTIFS(Engine!$H$2:$H$98,"created",Engine!$F$2:$F$98,I15)-COUNTIFS(Engine!$H$2:$H$98,"cancelled",Engine!$F$2:$F$98,I15)</f>
        <v>21</v>
      </c>
      <c r="K16" s="31">
        <f>J16+COUNTIFS(Engine!$H$2:$H$98,"created",Engine!$F$2:$F$98,J15)-COUNTIFS(Engine!$H$2:$H$98,"cancelled",Engine!$F$2:$F$98,J15)</f>
        <v>26</v>
      </c>
      <c r="L16" s="31">
        <f>K16+COUNTIFS(Engine!$H$2:$H$98,"created",Engine!$F$2:$F$98,K15)-COUNTIFS(Engine!$H$2:$H$98,"cancelled",Engine!$F$2:$F$98,K15)</f>
        <v>29</v>
      </c>
      <c r="M16" s="31">
        <f>L16+COUNTIFS(Engine!$H$2:$H$98,"created",Engine!$F$2:$F$98,L15)-COUNTIFS(Engine!$H$2:$H$98,"cancelled",Engine!$F$2:$F$98,L15)</f>
        <v>31</v>
      </c>
      <c r="N16" s="31">
        <f>M16+COUNTIFS(Engine!$H$2:$H$98,"created",Engine!$F$2:$F$98,M15)-COUNTIFS(Engine!$H$2:$H$98,"cancelled",Engine!$F$2:$F$98,M15)</f>
        <v>34</v>
      </c>
      <c r="O16" s="31">
        <f>N16+COUNTIFS(Engine!$H$2:$H$98,"created",Engine!$F$2:$F$98,N15)-COUNTIFS(Engine!$H$2:$H$98,"cancelled",Engine!$F$2:$F$98,N15)</f>
        <v>37</v>
      </c>
      <c r="P16" s="31">
        <f>O16+COUNTIFS(Engine!$H$2:$H$98,"created",Engine!$F$2:$F$98,O15)-COUNTIFS(Engine!$H$2:$H$98,"cancelled",Engine!$F$2:$F$98,O15)</f>
        <v>41</v>
      </c>
      <c r="Q16" s="31">
        <f>P16+COUNTIFS(Engine!$H$2:$H$98,"created",Engine!$F$2:$F$98,P15)-COUNTIFS(Engine!$H$2:$H$98,"cancelled",Engine!$F$2:$F$98,P15)</f>
        <v>46</v>
      </c>
      <c r="R16" s="31">
        <f>Q16+COUNTIFS(Engine!$H$2:$H$98,"created",Engine!$F$2:$F$98,Q15)-COUNTIFS(Engine!$H$2:$H$98,"cancelled",Engine!$F$2:$F$98,Q15)</f>
        <v>49</v>
      </c>
      <c r="S16" s="31">
        <f>R16+COUNTIFS(Engine!$H$2:$H$98,"created",Engine!$F$2:$F$98,R15)-COUNTIFS(Engine!$H$2:$H$98,"cancelled",Engine!$F$2:$F$98,R15)</f>
        <v>52</v>
      </c>
      <c r="T16" s="31">
        <f>S16+COUNTIFS(Engine!$H$2:$H$98,"created",Engine!$F$2:$F$98,S15)-COUNTIFS(Engine!$H$2:$H$98,"cancelled",Engine!$F$2:$F$98,S15)</f>
        <v>53</v>
      </c>
      <c r="U16" s="31">
        <f>T16+COUNTIFS(Engine!$H$2:$H$98,"created",Engine!$F$2:$F$98,T15)-COUNTIFS(Engine!$H$2:$H$98,"cancelled",Engine!$F$2:$F$98,T15)</f>
        <v>52</v>
      </c>
      <c r="V16" s="31">
        <f>U16+COUNTIFS(Engine!$H$2:$H$98,"created",Engine!$F$2:$F$98,U15)-COUNTIFS(Engine!$H$2:$H$98,"cancelled",Engine!$F$2:$F$98,U15)</f>
        <v>51</v>
      </c>
      <c r="W16" s="31">
        <f>V16+COUNTIFS(Engine!$H$2:$H$98,"created",Engine!$F$2:$F$98,V15)-COUNTIFS(Engine!$H$2:$H$98,"cancelled",Engine!$F$2:$F$98,V15)</f>
        <v>51</v>
      </c>
      <c r="X16" s="31">
        <f>W16+COUNTIFS(Engine!$H$2:$H$98,"created",Engine!$F$2:$F$98,W15)-COUNTIFS(Engine!$H$2:$H$98,"cancelled",Engine!$F$2:$F$98,W15)</f>
        <v>52</v>
      </c>
      <c r="Y16" s="31">
        <f>X16+COUNTIFS(Engine!$H$2:$H$98,"created",Engine!$F$2:$F$98,X15)-COUNTIFS(Engine!$H$2:$H$98,"cancelled",Engine!$F$2:$F$98,X15)</f>
        <v>52</v>
      </c>
      <c r="Z16" s="31">
        <f>Y16+COUNTIFS(Engine!$H$2:$H$98,"created",Engine!$F$2:$F$98,Y15)-COUNTIFS(Engine!$H$2:$H$98,"cancelled",Engine!$F$2:$F$98,Y15)</f>
        <v>51</v>
      </c>
      <c r="AA16" s="31">
        <f>Z16+COUNTIFS(Engine!$H$2:$H$98,"created",Engine!$F$2:$F$98,Z15)-COUNTIFS(Engine!$H$2:$H$98,"cancelled",Engine!$F$2:$F$98,Z15)</f>
        <v>52</v>
      </c>
    </row>
    <row r="17" spans="1:27" x14ac:dyDescent="0.35">
      <c r="A17" s="42" t="s">
        <v>175</v>
      </c>
      <c r="B17" s="31">
        <f>COUNTIFS(Engine!$H$2:$H$98,"cancelled",Engine!$F$2:$F$98,B15)</f>
        <v>0</v>
      </c>
      <c r="C17" s="31">
        <f>COUNTIFS(Engine!$H$2:$H$98,"cancelled",Engine!$F$2:$F$98,C15)</f>
        <v>0</v>
      </c>
      <c r="D17" s="31">
        <f>COUNTIFS(Engine!$H$2:$H$98,"cancelled",Engine!$F$2:$F$98,D15)</f>
        <v>0</v>
      </c>
      <c r="E17" s="31">
        <f>COUNTIFS(Engine!$H$2:$H$98,"cancelled",Engine!$F$2:$F$98,E15)</f>
        <v>0</v>
      </c>
      <c r="F17" s="31">
        <f>COUNTIFS(Engine!$H$2:$H$98,"cancelled",Engine!$F$2:$F$98,F15)</f>
        <v>0</v>
      </c>
      <c r="G17" s="31">
        <f>COUNTIFS(Engine!$H$2:$H$98,"cancelled",Engine!$F$2:$F$98,G15)</f>
        <v>0</v>
      </c>
      <c r="H17" s="31">
        <f>COUNTIFS(Engine!$H$2:$H$98,"cancelled",Engine!$F$2:$F$98,H15)</f>
        <v>0</v>
      </c>
      <c r="I17" s="31">
        <f>COUNTIFS(Engine!$H$2:$H$98,"cancelled",Engine!$F$2:$F$98,I15)</f>
        <v>1</v>
      </c>
      <c r="J17" s="31">
        <f>COUNTIFS(Engine!$H$2:$H$98,"cancelled",Engine!$F$2:$F$98,J15)</f>
        <v>0</v>
      </c>
      <c r="K17" s="31">
        <f>COUNTIFS(Engine!$H$2:$H$98,"cancelled",Engine!$F$2:$F$98,K15)</f>
        <v>0</v>
      </c>
      <c r="L17" s="31">
        <f>COUNTIFS(Engine!$H$2:$H$98,"cancelled",Engine!$F$2:$F$98,L15)</f>
        <v>1</v>
      </c>
      <c r="M17" s="31">
        <f>COUNTIFS(Engine!$H$2:$H$98,"cancelled",Engine!$F$2:$F$98,M15)</f>
        <v>1</v>
      </c>
      <c r="N17" s="31">
        <f>COUNTIFS(Engine!$H$2:$H$98,"cancelled",Engine!$F$2:$F$98,N15)</f>
        <v>1</v>
      </c>
      <c r="O17" s="31">
        <f>COUNTIFS(Engine!$H$2:$H$98,"cancelled",Engine!$F$2:$F$98,O15)</f>
        <v>0</v>
      </c>
      <c r="P17" s="31">
        <f>COUNTIFS(Engine!$H$2:$H$98,"cancelled",Engine!$F$2:$F$98,P15)</f>
        <v>0</v>
      </c>
      <c r="Q17" s="31">
        <f>COUNTIFS(Engine!$H$2:$H$98,"cancelled",Engine!$F$2:$F$98,Q15)</f>
        <v>0</v>
      </c>
      <c r="R17" s="31">
        <f>COUNTIFS(Engine!$H$2:$H$98,"cancelled",Engine!$F$2:$F$98,R15)</f>
        <v>1</v>
      </c>
      <c r="S17" s="31">
        <f>COUNTIFS(Engine!$H$2:$H$98,"cancelled",Engine!$F$2:$F$98,S15)</f>
        <v>2</v>
      </c>
      <c r="T17" s="31">
        <f>COUNTIFS(Engine!$H$2:$H$98,"cancelled",Engine!$F$2:$F$98,T15)</f>
        <v>1</v>
      </c>
      <c r="U17" s="31">
        <f>COUNTIFS(Engine!$H$2:$H$98,"cancelled",Engine!$F$2:$F$98,U15)</f>
        <v>1</v>
      </c>
      <c r="V17" s="31">
        <f>COUNTIFS(Engine!$H$2:$H$98,"cancelled",Engine!$F$2:$F$98,V15)</f>
        <v>0</v>
      </c>
      <c r="W17" s="31">
        <f>COUNTIFS(Engine!$H$2:$H$98,"cancelled",Engine!$F$2:$F$98,W15)</f>
        <v>0</v>
      </c>
      <c r="X17" s="31">
        <f>COUNTIFS(Engine!$H$2:$H$98,"cancelled",Engine!$F$2:$F$98,X15)</f>
        <v>0</v>
      </c>
      <c r="Y17" s="31">
        <f>COUNTIFS(Engine!$H$2:$H$98,"cancelled",Engine!$F$2:$F$98,Y15)</f>
        <v>1</v>
      </c>
      <c r="Z17" s="31">
        <f>COUNTIFS(Engine!$H$2:$H$98,"cancelled",Engine!$F$2:$F$98,Z15)</f>
        <v>0</v>
      </c>
      <c r="AA17" s="31">
        <f>COUNTIFS(Engine!$H$2:$H$98,"cancelled",Engine!$F$2:$F$98,AA15)</f>
        <v>1</v>
      </c>
    </row>
    <row r="18" spans="1:27" x14ac:dyDescent="0.35">
      <c r="A18" s="42" t="s">
        <v>176</v>
      </c>
      <c r="B18" s="28" t="str">
        <f t="shared" ref="B18:AA18" si="2">IF(B16=0,"-",B17/B16)</f>
        <v>-</v>
      </c>
      <c r="C18" s="28">
        <f t="shared" si="2"/>
        <v>0</v>
      </c>
      <c r="D18" s="28">
        <f t="shared" si="2"/>
        <v>0</v>
      </c>
      <c r="E18" s="28">
        <f t="shared" si="2"/>
        <v>0</v>
      </c>
      <c r="F18" s="28">
        <f t="shared" si="2"/>
        <v>0</v>
      </c>
      <c r="G18" s="28">
        <f t="shared" si="2"/>
        <v>0</v>
      </c>
      <c r="H18" s="28">
        <f t="shared" si="2"/>
        <v>0</v>
      </c>
      <c r="I18" s="28">
        <f t="shared" si="2"/>
        <v>0.05</v>
      </c>
      <c r="J18" s="28">
        <f t="shared" si="2"/>
        <v>0</v>
      </c>
      <c r="K18" s="28">
        <f t="shared" si="2"/>
        <v>0</v>
      </c>
      <c r="L18" s="28">
        <f t="shared" si="2"/>
        <v>3.4482758620689655E-2</v>
      </c>
      <c r="M18" s="28">
        <f t="shared" si="2"/>
        <v>3.2258064516129031E-2</v>
      </c>
      <c r="N18" s="28">
        <f t="shared" si="2"/>
        <v>2.9411764705882353E-2</v>
      </c>
      <c r="O18" s="28">
        <f t="shared" si="2"/>
        <v>0</v>
      </c>
      <c r="P18" s="28">
        <f t="shared" si="2"/>
        <v>0</v>
      </c>
      <c r="Q18" s="28">
        <f t="shared" si="2"/>
        <v>0</v>
      </c>
      <c r="R18" s="28">
        <f t="shared" si="2"/>
        <v>2.0408163265306121E-2</v>
      </c>
      <c r="S18" s="28">
        <f t="shared" si="2"/>
        <v>3.8461538461538464E-2</v>
      </c>
      <c r="T18" s="28">
        <f t="shared" si="2"/>
        <v>1.8867924528301886E-2</v>
      </c>
      <c r="U18" s="28">
        <f t="shared" si="2"/>
        <v>1.9230769230769232E-2</v>
      </c>
      <c r="V18" s="28">
        <f t="shared" si="2"/>
        <v>0</v>
      </c>
      <c r="W18" s="28">
        <f t="shared" si="2"/>
        <v>0</v>
      </c>
      <c r="X18" s="28">
        <f t="shared" si="2"/>
        <v>0</v>
      </c>
      <c r="Y18" s="28">
        <f t="shared" si="2"/>
        <v>1.9230769230769232E-2</v>
      </c>
      <c r="Z18" s="28">
        <f t="shared" si="2"/>
        <v>0</v>
      </c>
      <c r="AA18" s="28">
        <f t="shared" si="2"/>
        <v>1.9230769230769232E-2</v>
      </c>
    </row>
    <row r="19" spans="1:27" x14ac:dyDescent="0.35">
      <c r="A19" s="45" t="s">
        <v>177</v>
      </c>
      <c r="B19" s="46">
        <f>0</f>
        <v>0</v>
      </c>
      <c r="C19" s="46">
        <f>COUNTIFS(Engine!$T$2:$T$98,1,Engine!$F$2:$F$98,"&lt;="&amp;B15)+COUNTIFS(Engine!$V$2:$V$98,1,Engine!$F$2:$F$98,"&lt;="&amp;B15)-COUNTIFS(Engine!$U$2:$U$98,1,Engine!$F$2:$F$98,"&lt;="&amp;B15)</f>
        <v>2</v>
      </c>
      <c r="D19" s="46">
        <f>COUNTIFS(Engine!$T$2:$T$98,1,Engine!$F$2:$F$98,"&lt;="&amp;C15)+COUNTIFS(Engine!$V$2:$V$98,1,Engine!$F$2:$F$98,"&lt;="&amp;C15)-COUNTIFS(Engine!$U$2:$U$98,1,Engine!$F$2:$F$98,"&lt;="&amp;C15)</f>
        <v>4</v>
      </c>
      <c r="E19" s="46">
        <f>COUNTIFS(Engine!$T$2:$T$98,1,Engine!$F$2:$F$98,"&lt;="&amp;D15)+COUNTIFS(Engine!$V$2:$V$98,1,Engine!$F$2:$F$98,"&lt;="&amp;D15)-COUNTIFS(Engine!$U$2:$U$98,1,Engine!$F$2:$F$98,"&lt;="&amp;D15)</f>
        <v>6</v>
      </c>
      <c r="F19" s="46">
        <f>COUNTIFS(Engine!$T$2:$T$98,1,Engine!$F$2:$F$98,"&lt;="&amp;E15)+COUNTIFS(Engine!$V$2:$V$98,1,Engine!$F$2:$F$98,"&lt;="&amp;E15)-COUNTIFS(Engine!$U$2:$U$98,1,Engine!$F$2:$F$98,"&lt;="&amp;E15)</f>
        <v>9</v>
      </c>
      <c r="G19" s="46">
        <f>COUNTIFS(Engine!$T$2:$T$98,1,Engine!$F$2:$F$98,"&lt;="&amp;F15)+COUNTIFS(Engine!$V$2:$V$98,1,Engine!$F$2:$F$98,"&lt;="&amp;F15)-COUNTIFS(Engine!$U$2:$U$98,1,Engine!$F$2:$F$98,"&lt;="&amp;F15)</f>
        <v>11</v>
      </c>
      <c r="H19" s="46">
        <f>COUNTIFS(Engine!$T$2:$T$98,1,Engine!$F$2:$F$98,"&lt;="&amp;G15)+COUNTIFS(Engine!$V$2:$V$98,1,Engine!$F$2:$F$98,"&lt;="&amp;G15)-COUNTIFS(Engine!$U$2:$U$98,1,Engine!$F$2:$F$98,"&lt;="&amp;G15)</f>
        <v>13</v>
      </c>
      <c r="I19" s="46">
        <f>COUNTIFS(Engine!$T$2:$T$98,1,Engine!$F$2:$F$98,"&lt;="&amp;H15)+COUNTIFS(Engine!$V$2:$V$98,1,Engine!$F$2:$F$98,"&lt;="&amp;H15)-COUNTIFS(Engine!$U$2:$U$98,1,Engine!$F$2:$F$98,"&lt;="&amp;H15)</f>
        <v>15</v>
      </c>
      <c r="J19" s="46">
        <f>COUNTIFS(Engine!$T$2:$T$98,1,Engine!$F$2:$F$98,"&lt;="&amp;I15)+COUNTIFS(Engine!$V$2:$V$98,1,Engine!$F$2:$F$98,"&lt;="&amp;I15)-COUNTIFS(Engine!$U$2:$U$98,1,Engine!$F$2:$F$98,"&lt;="&amp;I15)</f>
        <v>17</v>
      </c>
      <c r="K19" s="46">
        <f>COUNTIFS(Engine!$T$2:$T$98,1,Engine!$F$2:$F$98,"&lt;="&amp;J15)+COUNTIFS(Engine!$V$2:$V$98,1,Engine!$F$2:$F$98,"&lt;="&amp;J15)-COUNTIFS(Engine!$U$2:$U$98,1,Engine!$F$2:$F$98,"&lt;="&amp;J15)</f>
        <v>20</v>
      </c>
      <c r="L19" s="46">
        <f>COUNTIFS(Engine!$T$2:$T$98,1,Engine!$F$2:$F$98,"&lt;="&amp;K15)+COUNTIFS(Engine!$V$2:$V$98,1,Engine!$F$2:$F$98,"&lt;="&amp;K15)-COUNTIFS(Engine!$U$2:$U$98,1,Engine!$F$2:$F$98,"&lt;="&amp;K15)</f>
        <v>22</v>
      </c>
      <c r="M19" s="46">
        <f>COUNTIFS(Engine!$T$2:$T$98,1,Engine!$F$2:$F$98,"&lt;="&amp;L15)+COUNTIFS(Engine!$V$2:$V$98,1,Engine!$F$2:$F$98,"&lt;="&amp;L15)-COUNTIFS(Engine!$U$2:$U$98,1,Engine!$F$2:$F$98,"&lt;="&amp;L15)</f>
        <v>23</v>
      </c>
      <c r="N19" s="46">
        <f>COUNTIFS(Engine!$T$2:$T$98,1,Engine!$F$2:$F$98,"&lt;="&amp;M15)+COUNTIFS(Engine!$V$2:$V$98,1,Engine!$F$2:$F$98,"&lt;="&amp;M15)-COUNTIFS(Engine!$U$2:$U$98,1,Engine!$F$2:$F$98,"&lt;="&amp;M15)</f>
        <v>25</v>
      </c>
      <c r="O19" s="46">
        <f>COUNTIFS(Engine!$T$2:$T$98,1,Engine!$F$2:$F$98,"&lt;="&amp;N15)+COUNTIFS(Engine!$V$2:$V$98,1,Engine!$F$2:$F$98,"&lt;="&amp;N15)-COUNTIFS(Engine!$U$2:$U$98,1,Engine!$F$2:$F$98,"&lt;="&amp;N15)</f>
        <v>26</v>
      </c>
      <c r="P19" s="46">
        <f>COUNTIFS(Engine!$T$2:$T$98,1,Engine!$F$2:$F$98,"&lt;="&amp;O15)+COUNTIFS(Engine!$V$2:$V$98,1,Engine!$F$2:$F$98,"&lt;="&amp;O15)-COUNTIFS(Engine!$U$2:$U$98,1,Engine!$F$2:$F$98,"&lt;="&amp;O15)</f>
        <v>28</v>
      </c>
      <c r="Q19" s="46">
        <f>COUNTIFS(Engine!$T$2:$T$98,1,Engine!$F$2:$F$98,"&lt;="&amp;P15)+COUNTIFS(Engine!$V$2:$V$98,1,Engine!$F$2:$F$98,"&lt;="&amp;P15)-COUNTIFS(Engine!$U$2:$U$98,1,Engine!$F$2:$F$98,"&lt;="&amp;P15)</f>
        <v>31</v>
      </c>
      <c r="R19" s="46">
        <f>COUNTIFS(Engine!$T$2:$T$98,1,Engine!$F$2:$F$98,"&lt;="&amp;Q15)+COUNTIFS(Engine!$V$2:$V$98,1,Engine!$F$2:$F$98,"&lt;="&amp;Q15)-COUNTIFS(Engine!$U$2:$U$98,1,Engine!$F$2:$F$98,"&lt;="&amp;Q15)</f>
        <v>33</v>
      </c>
      <c r="S19" s="46">
        <f>COUNTIFS(Engine!$T$2:$T$98,1,Engine!$F$2:$F$98,"&lt;="&amp;R15)+COUNTIFS(Engine!$V$2:$V$98,1,Engine!$F$2:$F$98,"&lt;="&amp;R15)-COUNTIFS(Engine!$U$2:$U$98,1,Engine!$F$2:$F$98,"&lt;="&amp;R15)</f>
        <v>36</v>
      </c>
      <c r="T19" s="46">
        <f>COUNTIFS(Engine!$T$2:$T$98,1,Engine!$F$2:$F$98,"&lt;="&amp;S15)+COUNTIFS(Engine!$V$2:$V$98,1,Engine!$F$2:$F$98,"&lt;="&amp;S15)-COUNTIFS(Engine!$U$2:$U$98,1,Engine!$F$2:$F$98,"&lt;="&amp;S15)</f>
        <v>37</v>
      </c>
      <c r="U19" s="46">
        <f>COUNTIFS(Engine!$T$2:$T$98,1,Engine!$F$2:$F$98,"&lt;="&amp;T15)+COUNTIFS(Engine!$V$2:$V$98,1,Engine!$F$2:$F$98,"&lt;="&amp;T15)-COUNTIFS(Engine!$U$2:$U$98,1,Engine!$F$2:$F$98,"&lt;="&amp;T15)</f>
        <v>37</v>
      </c>
      <c r="V19" s="46">
        <f>COUNTIFS(Engine!$T$2:$T$98,1,Engine!$F$2:$F$98,"&lt;="&amp;U15)+COUNTIFS(Engine!$V$2:$V$98,1,Engine!$F$2:$F$98,"&lt;="&amp;U15)-COUNTIFS(Engine!$U$2:$U$98,1,Engine!$F$2:$F$98,"&lt;="&amp;U15)</f>
        <v>37</v>
      </c>
      <c r="W19" s="46">
        <f>COUNTIFS(Engine!$T$2:$T$98,1,Engine!$F$2:$F$98,"&lt;="&amp;V15)+COUNTIFS(Engine!$V$2:$V$98,1,Engine!$F$2:$F$98,"&lt;="&amp;V15)-COUNTIFS(Engine!$U$2:$U$98,1,Engine!$F$2:$F$98,"&lt;="&amp;V15)</f>
        <v>37</v>
      </c>
      <c r="X19" s="46">
        <f>COUNTIFS(Engine!$T$2:$T$98,1,Engine!$F$2:$F$98,"&lt;="&amp;W15)+COUNTIFS(Engine!$V$2:$V$98,1,Engine!$F$2:$F$98,"&lt;="&amp;W15)-COUNTIFS(Engine!$U$2:$U$98,1,Engine!$F$2:$F$98,"&lt;="&amp;W15)</f>
        <v>38</v>
      </c>
      <c r="Y19" s="46">
        <f>COUNTIFS(Engine!$T$2:$T$98,1,Engine!$F$2:$F$98,"&lt;="&amp;X15)+COUNTIFS(Engine!$V$2:$V$98,1,Engine!$F$2:$F$98,"&lt;="&amp;X15)-COUNTIFS(Engine!$U$2:$U$98,1,Engine!$F$2:$F$98,"&lt;="&amp;X15)</f>
        <v>38</v>
      </c>
      <c r="Z19" s="46">
        <f>COUNTIFS(Engine!$T$2:$T$98,1,Engine!$F$2:$F$98,"&lt;="&amp;Y15)+COUNTIFS(Engine!$V$2:$V$98,1,Engine!$F$2:$F$98,"&lt;="&amp;Y15)-COUNTIFS(Engine!$U$2:$U$98,1,Engine!$F$2:$F$98,"&lt;="&amp;Y15)</f>
        <v>38</v>
      </c>
      <c r="AA19" s="46">
        <f>COUNTIFS(Engine!$T$2:$T$98,1,Engine!$F$2:$F$98,"&lt;="&amp;Z15)+COUNTIFS(Engine!$V$2:$V$98,1,Engine!$F$2:$F$98,"&lt;="&amp;Z15)-COUNTIFS(Engine!$U$2:$U$98,1,Engine!$F$2:$F$98,"&lt;="&amp;Z15)</f>
        <v>39</v>
      </c>
    </row>
    <row r="20" spans="1:27" x14ac:dyDescent="0.35">
      <c r="A20" s="45" t="s">
        <v>178</v>
      </c>
      <c r="B20" s="46">
        <f>COUNTIFS(Engine!$U$2:$U$98,1,Engine!$F$2:$F$98,B15)</f>
        <v>0</v>
      </c>
      <c r="C20" s="46">
        <f>COUNTIFS(Engine!$U$2:$U$98,1,Engine!$F$2:$F$98,C15)</f>
        <v>0</v>
      </c>
      <c r="D20" s="46">
        <f>COUNTIFS(Engine!$U$2:$U$98,1,Engine!$F$2:$F$98,D15)</f>
        <v>0</v>
      </c>
      <c r="E20" s="46">
        <f>COUNTIFS(Engine!$U$2:$U$98,1,Engine!$F$2:$F$98,E15)</f>
        <v>0</v>
      </c>
      <c r="F20" s="46">
        <f>COUNTIFS(Engine!$U$2:$U$98,1,Engine!$F$2:$F$98,F15)</f>
        <v>0</v>
      </c>
      <c r="G20" s="46">
        <f>COUNTIFS(Engine!$U$2:$U$98,1,Engine!$F$2:$F$98,G15)</f>
        <v>0</v>
      </c>
      <c r="H20" s="46">
        <f>COUNTIFS(Engine!$U$2:$U$98,1,Engine!$F$2:$F$98,H15)</f>
        <v>0</v>
      </c>
      <c r="I20" s="46">
        <f>COUNTIFS(Engine!$U$2:$U$98,1,Engine!$F$2:$F$98,I15)</f>
        <v>0</v>
      </c>
      <c r="J20" s="46">
        <f>COUNTIFS(Engine!$U$2:$U$98,1,Engine!$F$2:$F$98,J15)</f>
        <v>0</v>
      </c>
      <c r="K20" s="46">
        <f>COUNTIFS(Engine!$U$2:$U$98,1,Engine!$F$2:$F$98,K15)</f>
        <v>0</v>
      </c>
      <c r="L20" s="46">
        <f>COUNTIFS(Engine!$U$2:$U$98,1,Engine!$F$2:$F$98,L15)</f>
        <v>1</v>
      </c>
      <c r="M20" s="46">
        <f>COUNTIFS(Engine!$U$2:$U$98,1,Engine!$F$2:$F$98,M15)</f>
        <v>0</v>
      </c>
      <c r="N20" s="46">
        <f>COUNTIFS(Engine!$U$2:$U$98,1,Engine!$F$2:$F$98,N15)</f>
        <v>1</v>
      </c>
      <c r="O20" s="46">
        <f>COUNTIFS(Engine!$U$2:$U$98,1,Engine!$F$2:$F$98,O15)</f>
        <v>0</v>
      </c>
      <c r="P20" s="46">
        <f>COUNTIFS(Engine!$U$2:$U$98,1,Engine!$F$2:$F$98,P15)</f>
        <v>0</v>
      </c>
      <c r="Q20" s="46">
        <f>COUNTIFS(Engine!$U$2:$U$98,1,Engine!$F$2:$F$98,Q15)</f>
        <v>0</v>
      </c>
      <c r="R20" s="46">
        <f>COUNTIFS(Engine!$U$2:$U$98,1,Engine!$F$2:$F$98,R15)</f>
        <v>0</v>
      </c>
      <c r="S20" s="46">
        <f>COUNTIFS(Engine!$U$2:$U$98,1,Engine!$F$2:$F$98,S15)</f>
        <v>1</v>
      </c>
      <c r="T20" s="46">
        <f>COUNTIFS(Engine!$U$2:$U$98,1,Engine!$F$2:$F$98,T15)</f>
        <v>0</v>
      </c>
      <c r="U20" s="46">
        <f>COUNTIFS(Engine!$U$2:$U$98,1,Engine!$F$2:$F$98,U15)</f>
        <v>0</v>
      </c>
      <c r="V20" s="46">
        <f>COUNTIFS(Engine!$U$2:$U$98,1,Engine!$F$2:$F$98,V15)</f>
        <v>0</v>
      </c>
      <c r="W20" s="46">
        <f>COUNTIFS(Engine!$U$2:$U$98,1,Engine!$F$2:$F$98,W15)</f>
        <v>0</v>
      </c>
      <c r="X20" s="46">
        <f>COUNTIFS(Engine!$U$2:$U$98,1,Engine!$F$2:$F$98,X15)</f>
        <v>0</v>
      </c>
      <c r="Y20" s="46">
        <f>COUNTIFS(Engine!$U$2:$U$98,1,Engine!$F$2:$F$98,Y15)</f>
        <v>0</v>
      </c>
      <c r="Z20" s="46">
        <f>COUNTIFS(Engine!$U$2:$U$98,1,Engine!$F$2:$F$98,Z15)</f>
        <v>0</v>
      </c>
      <c r="AA20" s="46">
        <f>COUNTIFS(Engine!$U$2:$U$98,1,Engine!$F$2:$F$98,AA15)</f>
        <v>0</v>
      </c>
    </row>
    <row r="21" spans="1:27" x14ac:dyDescent="0.35">
      <c r="A21" s="45" t="s">
        <v>179</v>
      </c>
      <c r="B21" s="47" t="str">
        <f t="shared" ref="B21:AA21" si="3">IF(B19=0,"-",B20/B19)</f>
        <v>-</v>
      </c>
      <c r="C21" s="47">
        <f t="shared" si="3"/>
        <v>0</v>
      </c>
      <c r="D21" s="47">
        <f t="shared" si="3"/>
        <v>0</v>
      </c>
      <c r="E21" s="47">
        <f t="shared" si="3"/>
        <v>0</v>
      </c>
      <c r="F21" s="47">
        <f t="shared" si="3"/>
        <v>0</v>
      </c>
      <c r="G21" s="47">
        <f t="shared" si="3"/>
        <v>0</v>
      </c>
      <c r="H21" s="47">
        <f t="shared" si="3"/>
        <v>0</v>
      </c>
      <c r="I21" s="47">
        <f t="shared" si="3"/>
        <v>0</v>
      </c>
      <c r="J21" s="47">
        <f t="shared" si="3"/>
        <v>0</v>
      </c>
      <c r="K21" s="47">
        <f t="shared" si="3"/>
        <v>0</v>
      </c>
      <c r="L21" s="47">
        <f t="shared" si="3"/>
        <v>4.5454545454545456E-2</v>
      </c>
      <c r="M21" s="47">
        <f t="shared" si="3"/>
        <v>0</v>
      </c>
      <c r="N21" s="47">
        <f t="shared" si="3"/>
        <v>0.04</v>
      </c>
      <c r="O21" s="47">
        <f t="shared" si="3"/>
        <v>0</v>
      </c>
      <c r="P21" s="47">
        <f t="shared" si="3"/>
        <v>0</v>
      </c>
      <c r="Q21" s="47">
        <f t="shared" si="3"/>
        <v>0</v>
      </c>
      <c r="R21" s="47">
        <f t="shared" si="3"/>
        <v>0</v>
      </c>
      <c r="S21" s="47">
        <f t="shared" si="3"/>
        <v>2.7777777777777776E-2</v>
      </c>
      <c r="T21" s="47">
        <f t="shared" si="3"/>
        <v>0</v>
      </c>
      <c r="U21" s="47">
        <f t="shared" si="3"/>
        <v>0</v>
      </c>
      <c r="V21" s="47">
        <f t="shared" si="3"/>
        <v>0</v>
      </c>
      <c r="W21" s="47">
        <f t="shared" si="3"/>
        <v>0</v>
      </c>
      <c r="X21" s="47">
        <f t="shared" si="3"/>
        <v>0</v>
      </c>
      <c r="Y21" s="47">
        <f t="shared" si="3"/>
        <v>0</v>
      </c>
      <c r="Z21" s="47">
        <f t="shared" si="3"/>
        <v>0</v>
      </c>
      <c r="AA21" s="47">
        <f t="shared" si="3"/>
        <v>0</v>
      </c>
    </row>
    <row r="23" spans="1:27" x14ac:dyDescent="0.35">
      <c r="A23" s="42" t="s">
        <v>180</v>
      </c>
    </row>
    <row r="24" spans="1:27" x14ac:dyDescent="0.35">
      <c r="A24" s="42" t="s">
        <v>155</v>
      </c>
      <c r="B24" s="43">
        <f t="shared" ref="B24:AA24" si="4">B4</f>
        <v>45292</v>
      </c>
      <c r="C24" s="43">
        <f t="shared" si="4"/>
        <v>45323</v>
      </c>
      <c r="D24" s="43">
        <f t="shared" si="4"/>
        <v>45352</v>
      </c>
      <c r="E24" s="43">
        <f t="shared" si="4"/>
        <v>45383</v>
      </c>
      <c r="F24" s="43">
        <f t="shared" si="4"/>
        <v>45413</v>
      </c>
      <c r="G24" s="43">
        <f t="shared" si="4"/>
        <v>45444</v>
      </c>
      <c r="H24" s="43">
        <f t="shared" si="4"/>
        <v>45474</v>
      </c>
      <c r="I24" s="43">
        <f t="shared" si="4"/>
        <v>45505</v>
      </c>
      <c r="J24" s="43">
        <f t="shared" si="4"/>
        <v>45536</v>
      </c>
      <c r="K24" s="43">
        <f t="shared" si="4"/>
        <v>45566</v>
      </c>
      <c r="L24" s="43">
        <f t="shared" si="4"/>
        <v>45597</v>
      </c>
      <c r="M24" s="43">
        <f t="shared" si="4"/>
        <v>45627</v>
      </c>
      <c r="N24" s="43">
        <f t="shared" si="4"/>
        <v>45658</v>
      </c>
      <c r="O24" s="43">
        <f t="shared" si="4"/>
        <v>45689</v>
      </c>
      <c r="P24" s="43">
        <f t="shared" si="4"/>
        <v>45717</v>
      </c>
      <c r="Q24" s="43">
        <f t="shared" si="4"/>
        <v>45748</v>
      </c>
      <c r="R24" s="43">
        <f t="shared" si="4"/>
        <v>45778</v>
      </c>
      <c r="S24" s="43">
        <f t="shared" si="4"/>
        <v>45809</v>
      </c>
      <c r="T24" s="43">
        <f t="shared" si="4"/>
        <v>45839</v>
      </c>
      <c r="U24" s="43">
        <f t="shared" si="4"/>
        <v>45870</v>
      </c>
      <c r="V24" s="43">
        <f t="shared" si="4"/>
        <v>45901</v>
      </c>
      <c r="W24" s="43">
        <f t="shared" si="4"/>
        <v>45931</v>
      </c>
      <c r="X24" s="43">
        <f t="shared" si="4"/>
        <v>45962</v>
      </c>
      <c r="Y24" s="43">
        <f t="shared" si="4"/>
        <v>45992</v>
      </c>
      <c r="Z24" s="43">
        <f t="shared" si="4"/>
        <v>46023</v>
      </c>
      <c r="AA24" s="43">
        <f t="shared" si="4"/>
        <v>46054</v>
      </c>
    </row>
    <row r="25" spans="1:27" x14ac:dyDescent="0.35">
      <c r="A25" s="42" t="s">
        <v>181</v>
      </c>
      <c r="B25" s="28" t="str">
        <f>IFERROR(AVERAGEIF(B6:B6,"&gt;0"),"-")</f>
        <v>-</v>
      </c>
      <c r="C25" s="28">
        <f>IFERROR(AVERAGEIF(B6:C6,"&gt;0"),"-")</f>
        <v>1</v>
      </c>
      <c r="D25" s="28">
        <f>IFERROR(AVERAGEIF(B6:D6,"&gt;0"),"-")</f>
        <v>1</v>
      </c>
      <c r="E25" s="28">
        <f t="shared" ref="E25:AA26" si="5">AVERAGEIF(C6:E6,"&gt;0")</f>
        <v>1</v>
      </c>
      <c r="F25" s="28">
        <f t="shared" si="5"/>
        <v>1</v>
      </c>
      <c r="G25" s="28">
        <f t="shared" si="5"/>
        <v>1</v>
      </c>
      <c r="H25" s="28">
        <f t="shared" si="5"/>
        <v>1</v>
      </c>
      <c r="I25" s="28">
        <f t="shared" si="5"/>
        <v>0.98603562385850407</v>
      </c>
      <c r="J25" s="28">
        <f t="shared" si="5"/>
        <v>0.98603562385850407</v>
      </c>
      <c r="K25" s="28">
        <f t="shared" si="5"/>
        <v>0.98603562385850407</v>
      </c>
      <c r="L25" s="28">
        <f t="shared" si="5"/>
        <v>0.99776539339233594</v>
      </c>
      <c r="M25" s="28">
        <f t="shared" si="5"/>
        <v>0.98886781979045768</v>
      </c>
      <c r="N25" s="28">
        <f t="shared" si="5"/>
        <v>0.98722170215889171</v>
      </c>
      <c r="O25" s="28">
        <f t="shared" si="5"/>
        <v>0.98945630876655566</v>
      </c>
      <c r="P25" s="28">
        <f t="shared" si="5"/>
        <v>0.99524272194720231</v>
      </c>
      <c r="Q25" s="28">
        <f t="shared" si="5"/>
        <v>0.99688883957876817</v>
      </c>
      <c r="R25" s="28">
        <f t="shared" si="5"/>
        <v>0.99093979098819185</v>
      </c>
      <c r="S25" s="28">
        <f t="shared" si="5"/>
        <v>0.99101089605945025</v>
      </c>
      <c r="T25" s="28">
        <f t="shared" si="5"/>
        <v>0.98715415218120939</v>
      </c>
      <c r="U25" s="28">
        <f t="shared" si="5"/>
        <v>0.98120588848278933</v>
      </c>
      <c r="V25" s="28">
        <f t="shared" si="5"/>
        <v>0.98396551978673719</v>
      </c>
      <c r="W25" s="28">
        <f t="shared" si="5"/>
        <v>0.98782226366497794</v>
      </c>
      <c r="X25" s="28">
        <f t="shared" si="5"/>
        <v>0.99876840872654515</v>
      </c>
      <c r="Y25" s="28">
        <f t="shared" si="5"/>
        <v>0.99531322324725924</v>
      </c>
      <c r="Z25" s="28">
        <f t="shared" si="5"/>
        <v>0.99531322324725913</v>
      </c>
      <c r="AA25" s="28">
        <f t="shared" si="5"/>
        <v>0.99496712292636047</v>
      </c>
    </row>
    <row r="26" spans="1:27" x14ac:dyDescent="0.35">
      <c r="A26" s="42" t="s">
        <v>182</v>
      </c>
      <c r="B26" s="28" t="str">
        <f>IFERROR(AVERAGEIF(B7:B7,"&gt;0"),"-")</f>
        <v>-</v>
      </c>
      <c r="C26" s="28">
        <f>IFERROR(AVERAGEIF(B7:C7,"&gt;0"),"-")</f>
        <v>1</v>
      </c>
      <c r="D26" s="28">
        <f>IFERROR(AVERAGEIF(B7:D7,"&gt;0"),"-")</f>
        <v>1</v>
      </c>
      <c r="E26" s="28">
        <f t="shared" si="5"/>
        <v>1</v>
      </c>
      <c r="F26" s="28">
        <f t="shared" si="5"/>
        <v>1</v>
      </c>
      <c r="G26" s="28">
        <f t="shared" si="5"/>
        <v>1</v>
      </c>
      <c r="H26" s="28">
        <f t="shared" si="5"/>
        <v>1</v>
      </c>
      <c r="I26" s="28">
        <f t="shared" si="5"/>
        <v>0.98603562385850407</v>
      </c>
      <c r="J26" s="28">
        <f t="shared" si="5"/>
        <v>0.98603562385850407</v>
      </c>
      <c r="K26" s="28">
        <f t="shared" si="5"/>
        <v>0.98603562385850407</v>
      </c>
      <c r="L26" s="28">
        <f t="shared" si="5"/>
        <v>0.99776539339233594</v>
      </c>
      <c r="M26" s="28">
        <f t="shared" si="5"/>
        <v>0.98886781979045768</v>
      </c>
      <c r="N26" s="28">
        <f t="shared" si="5"/>
        <v>0.98773382764426776</v>
      </c>
      <c r="O26" s="28">
        <f t="shared" si="5"/>
        <v>0.98996843425193182</v>
      </c>
      <c r="P26" s="28">
        <f t="shared" si="5"/>
        <v>0.99575484743257847</v>
      </c>
      <c r="Q26" s="28">
        <f t="shared" si="5"/>
        <v>0.99887767837350561</v>
      </c>
      <c r="R26" s="28">
        <f t="shared" si="5"/>
        <v>0.99375523442919877</v>
      </c>
      <c r="S26" s="28">
        <f t="shared" si="5"/>
        <v>0.99778656486057571</v>
      </c>
      <c r="T26" s="28">
        <f t="shared" si="5"/>
        <v>0.99338726114193776</v>
      </c>
      <c r="U26" s="28">
        <f t="shared" si="5"/>
        <v>0.99314598173517565</v>
      </c>
      <c r="V26" s="28">
        <f t="shared" si="5"/>
        <v>0.99620783317859163</v>
      </c>
      <c r="W26" s="28">
        <f t="shared" si="5"/>
        <v>1.001555702567569</v>
      </c>
      <c r="X26" s="28">
        <f t="shared" si="5"/>
        <v>1.0059682586912084</v>
      </c>
      <c r="Y26" s="28">
        <f t="shared" si="5"/>
        <v>0.99921437335357688</v>
      </c>
      <c r="Z26" s="28">
        <f t="shared" si="5"/>
        <v>0.99627696888850037</v>
      </c>
      <c r="AA26" s="28">
        <f t="shared" si="5"/>
        <v>0.99593086856760171</v>
      </c>
    </row>
    <row r="27" spans="1:27" x14ac:dyDescent="0.35">
      <c r="A27" s="42" t="s">
        <v>183</v>
      </c>
      <c r="B27" s="28" t="str">
        <f>IFERROR(AVERAGE(B21),"-")</f>
        <v>-</v>
      </c>
      <c r="C27" s="28">
        <f>IFERROR(AVERAGE(B21:C21),"-")</f>
        <v>0</v>
      </c>
      <c r="D27" s="28">
        <f>IFERROR(AVERAGE(B21:D21),"-")</f>
        <v>0</v>
      </c>
      <c r="E27" s="28">
        <f t="shared" ref="E27:AA27" si="6">AVERAGE(C21:E21)</f>
        <v>0</v>
      </c>
      <c r="F27" s="28">
        <f t="shared" si="6"/>
        <v>0</v>
      </c>
      <c r="G27" s="28">
        <f t="shared" si="6"/>
        <v>0</v>
      </c>
      <c r="H27" s="28">
        <f t="shared" si="6"/>
        <v>0</v>
      </c>
      <c r="I27" s="28">
        <f t="shared" si="6"/>
        <v>0</v>
      </c>
      <c r="J27" s="28">
        <f t="shared" si="6"/>
        <v>0</v>
      </c>
      <c r="K27" s="28">
        <f t="shared" si="6"/>
        <v>0</v>
      </c>
      <c r="L27" s="28">
        <f t="shared" si="6"/>
        <v>1.5151515151515152E-2</v>
      </c>
      <c r="M27" s="28">
        <f t="shared" si="6"/>
        <v>1.5151515151515152E-2</v>
      </c>
      <c r="N27" s="28">
        <f t="shared" si="6"/>
        <v>2.8484848484848484E-2</v>
      </c>
      <c r="O27" s="28">
        <f t="shared" si="6"/>
        <v>1.3333333333333334E-2</v>
      </c>
      <c r="P27" s="28">
        <f t="shared" si="6"/>
        <v>1.3333333333333334E-2</v>
      </c>
      <c r="Q27" s="28">
        <f t="shared" si="6"/>
        <v>0</v>
      </c>
      <c r="R27" s="28">
        <f t="shared" si="6"/>
        <v>0</v>
      </c>
      <c r="S27" s="28">
        <f t="shared" si="6"/>
        <v>9.2592592592592587E-3</v>
      </c>
      <c r="T27" s="28">
        <f t="shared" si="6"/>
        <v>9.2592592592592587E-3</v>
      </c>
      <c r="U27" s="28">
        <f t="shared" si="6"/>
        <v>9.2592592592592587E-3</v>
      </c>
      <c r="V27" s="28">
        <f t="shared" si="6"/>
        <v>0</v>
      </c>
      <c r="W27" s="28">
        <f t="shared" si="6"/>
        <v>0</v>
      </c>
      <c r="X27" s="28">
        <f t="shared" si="6"/>
        <v>0</v>
      </c>
      <c r="Y27" s="28">
        <f t="shared" si="6"/>
        <v>0</v>
      </c>
      <c r="Z27" s="28">
        <f t="shared" si="6"/>
        <v>0</v>
      </c>
      <c r="AA27" s="28">
        <f t="shared" si="6"/>
        <v>0</v>
      </c>
    </row>
    <row r="28" spans="1:27" x14ac:dyDescent="0.35">
      <c r="A28" s="42"/>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1:27" x14ac:dyDescent="0.35">
      <c r="A29" s="42" t="s">
        <v>184</v>
      </c>
      <c r="B29" s="28" t="str">
        <f>IFERROR(AVERAGEIF(B6:B6,"&gt;0"),"-")</f>
        <v>-</v>
      </c>
      <c r="C29" s="28">
        <f>IFERROR(AVERAGEIF(B6:C6,"&gt;0"),"-")</f>
        <v>1</v>
      </c>
      <c r="D29" s="28">
        <f>IFERROR(AVERAGEIF(B6:D6,"&gt;0"),"-")</f>
        <v>1</v>
      </c>
      <c r="E29" s="28">
        <f>AVERAGEIF(B6:E6,"&gt;0")</f>
        <v>1</v>
      </c>
      <c r="F29" s="28">
        <f>AVERAGEIF(B6:F6,"&gt;0")</f>
        <v>1</v>
      </c>
      <c r="G29" s="28">
        <f>AVERAGEIF(B6:G6,"&gt;0")</f>
        <v>1</v>
      </c>
      <c r="H29" s="28">
        <f>AVERAGEIF(B6:H6,"&gt;0")</f>
        <v>1</v>
      </c>
      <c r="I29" s="28">
        <f>AVERAGEIF(B6:I6,"&gt;0")</f>
        <v>0.99401526736793033</v>
      </c>
      <c r="J29" s="28">
        <f>AVERAGEIF(B6:J6,"&gt;0")</f>
        <v>0.99476335894693901</v>
      </c>
      <c r="K29" s="28">
        <f>AVERAGEIF(B6:K6,"&gt;0")</f>
        <v>0.99534520795283477</v>
      </c>
      <c r="L29" s="28">
        <f>AVERAGEIF(B6:L6,"&gt;0")</f>
        <v>0.99514030517525209</v>
      </c>
      <c r="M29" s="28">
        <f t="shared" ref="M29:AA30" si="7">AVERAGEIF(B6:M6,"&gt;0")</f>
        <v>0.99315548463153513</v>
      </c>
      <c r="N29" s="28">
        <f t="shared" si="7"/>
        <v>0.99331433150434911</v>
      </c>
      <c r="O29" s="28">
        <f t="shared" si="7"/>
        <v>0.993314331504349</v>
      </c>
      <c r="P29" s="28">
        <f t="shared" si="7"/>
        <v>0.99253654139904102</v>
      </c>
      <c r="Q29" s="28">
        <f t="shared" si="7"/>
        <v>0.99253654139904102</v>
      </c>
      <c r="R29" s="28">
        <f t="shared" si="7"/>
        <v>0.99104927925139696</v>
      </c>
      <c r="S29" s="28">
        <f t="shared" si="7"/>
        <v>0.99028926541390361</v>
      </c>
      <c r="T29" s="28">
        <f t="shared" si="7"/>
        <v>0.98932507944434345</v>
      </c>
      <c r="U29" s="28">
        <f t="shared" si="7"/>
        <v>0.98984184540746822</v>
      </c>
      <c r="V29" s="28">
        <f t="shared" si="7"/>
        <v>0.98977173939596186</v>
      </c>
      <c r="W29" s="28">
        <f t="shared" si="7"/>
        <v>0.98977173939596186</v>
      </c>
      <c r="X29" s="28">
        <f t="shared" si="7"/>
        <v>0.99009259924102044</v>
      </c>
      <c r="Y29" s="28">
        <f t="shared" si="7"/>
        <v>0.99138309026016225</v>
      </c>
      <c r="Z29" s="28">
        <f t="shared" si="7"/>
        <v>0.99179461966805371</v>
      </c>
      <c r="AA29" s="28">
        <f t="shared" si="7"/>
        <v>0.99147030278097181</v>
      </c>
    </row>
    <row r="30" spans="1:27" x14ac:dyDescent="0.35">
      <c r="A30" s="42" t="s">
        <v>185</v>
      </c>
      <c r="B30" s="28" t="str">
        <f>IFERROR(AVERAGEIF(B7:B7,"&gt;0"),"-")</f>
        <v>-</v>
      </c>
      <c r="C30" s="28">
        <f>IFERROR(AVERAGEIF(B7:C7,"&gt;0"),"-")</f>
        <v>1</v>
      </c>
      <c r="D30" s="28">
        <f>IFERROR(AVERAGEIF(B7:D7,"&gt;0"),"-")</f>
        <v>1</v>
      </c>
      <c r="E30" s="28">
        <f>AVERAGEIF(B7:E7,"&gt;0")</f>
        <v>1</v>
      </c>
      <c r="F30" s="28">
        <f>AVERAGEIF(B7:F7,"&gt;0")</f>
        <v>1</v>
      </c>
      <c r="G30" s="28">
        <f>AVERAGEIF(B7:G7,"&gt;0")</f>
        <v>1</v>
      </c>
      <c r="H30" s="28">
        <f>AVERAGEIF(B7:H7,"&gt;0")</f>
        <v>1</v>
      </c>
      <c r="I30" s="28">
        <f>AVERAGEIF(B7:I7,"&gt;0")</f>
        <v>0.99401526736793033</v>
      </c>
      <c r="J30" s="28">
        <f>AVERAGEIF(B7:J7,"&gt;0")</f>
        <v>0.99476335894693901</v>
      </c>
      <c r="K30" s="28">
        <f>AVERAGEIF(B7:K7,"&gt;0")</f>
        <v>0.99534520795283477</v>
      </c>
      <c r="L30" s="28">
        <f>AVERAGEIF(B7:L7,"&gt;0")</f>
        <v>0.99514030517525209</v>
      </c>
      <c r="M30" s="28">
        <f t="shared" si="7"/>
        <v>0.99315548463153513</v>
      </c>
      <c r="N30" s="28">
        <f t="shared" si="7"/>
        <v>0.9934423628756931</v>
      </c>
      <c r="O30" s="28">
        <f t="shared" si="7"/>
        <v>0.99344236287569299</v>
      </c>
      <c r="P30" s="28">
        <f t="shared" si="7"/>
        <v>0.992664572770385</v>
      </c>
      <c r="Q30" s="28">
        <f t="shared" si="7"/>
        <v>0.99316178246906939</v>
      </c>
      <c r="R30" s="28">
        <f t="shared" si="7"/>
        <v>0.99188117148299282</v>
      </c>
      <c r="S30" s="28">
        <f t="shared" si="7"/>
        <v>0.99211121398552915</v>
      </c>
      <c r="T30" s="28">
        <f t="shared" si="7"/>
        <v>0.99150859775455391</v>
      </c>
      <c r="U30" s="28">
        <f t="shared" si="7"/>
        <v>0.99365876095216066</v>
      </c>
      <c r="V30" s="28">
        <f t="shared" si="7"/>
        <v>0.99465426631555098</v>
      </c>
      <c r="W30" s="28">
        <f t="shared" si="7"/>
        <v>0.99538861743182006</v>
      </c>
      <c r="X30" s="28">
        <f t="shared" si="7"/>
        <v>0.99570947727687853</v>
      </c>
      <c r="Y30" s="28">
        <f t="shared" si="7"/>
        <v>0.99724090470633053</v>
      </c>
      <c r="Z30" s="28">
        <f t="shared" si="7"/>
        <v>0.99752440274287812</v>
      </c>
      <c r="AA30" s="28">
        <f t="shared" si="7"/>
        <v>0.99720008585579611</v>
      </c>
    </row>
    <row r="31" spans="1:27" x14ac:dyDescent="0.35">
      <c r="A31" s="42" t="s">
        <v>186</v>
      </c>
      <c r="B31" s="28" t="str">
        <f>IFERROR(AVERAGE(B21),"-")</f>
        <v>-</v>
      </c>
      <c r="C31" s="28">
        <f>IFERROR(AVERAGE(B21:C21),"-")</f>
        <v>0</v>
      </c>
      <c r="D31" s="28">
        <f>IFERROR(AVERAGE(B21:D21),"-")</f>
        <v>0</v>
      </c>
      <c r="E31" s="28">
        <f>AVERAGE(B21:E21)</f>
        <v>0</v>
      </c>
      <c r="F31" s="28">
        <f>AVERAGE(B21:F21)</f>
        <v>0</v>
      </c>
      <c r="G31" s="28">
        <f>AVERAGE(B21:G21)</f>
        <v>0</v>
      </c>
      <c r="H31" s="28">
        <f>AVERAGE(B21:H21)</f>
        <v>0</v>
      </c>
      <c r="I31" s="28">
        <f>AVERAGE(B21:I21)</f>
        <v>0</v>
      </c>
      <c r="J31" s="28">
        <f>AVERAGE(B21:J21)</f>
        <v>0</v>
      </c>
      <c r="K31" s="28">
        <f>AVERAGE(B21:K21)</f>
        <v>0</v>
      </c>
      <c r="L31" s="28">
        <f>AVERAGE(B21:L21)</f>
        <v>4.5454545454545452E-3</v>
      </c>
      <c r="M31" s="28">
        <f t="shared" ref="M31:AA31" si="8">AVERAGE(B21:M21)</f>
        <v>4.1322314049586778E-3</v>
      </c>
      <c r="N31" s="28">
        <f t="shared" si="8"/>
        <v>7.1212121212121211E-3</v>
      </c>
      <c r="O31" s="28">
        <f t="shared" si="8"/>
        <v>7.1212121212121211E-3</v>
      </c>
      <c r="P31" s="28">
        <f t="shared" si="8"/>
        <v>7.1212121212121211E-3</v>
      </c>
      <c r="Q31" s="28">
        <f t="shared" si="8"/>
        <v>7.1212121212121211E-3</v>
      </c>
      <c r="R31" s="28">
        <f t="shared" si="8"/>
        <v>7.1212121212121211E-3</v>
      </c>
      <c r="S31" s="28">
        <f t="shared" si="8"/>
        <v>9.4360269360269349E-3</v>
      </c>
      <c r="T31" s="28">
        <f t="shared" si="8"/>
        <v>9.4360269360269349E-3</v>
      </c>
      <c r="U31" s="28">
        <f t="shared" si="8"/>
        <v>9.4360269360269349E-3</v>
      </c>
      <c r="V31" s="28">
        <f t="shared" si="8"/>
        <v>9.4360269360269349E-3</v>
      </c>
      <c r="W31" s="28">
        <f t="shared" si="8"/>
        <v>9.4360269360269349E-3</v>
      </c>
      <c r="X31" s="28">
        <f t="shared" si="8"/>
        <v>5.6481481481481478E-3</v>
      </c>
      <c r="Y31" s="28">
        <f t="shared" si="8"/>
        <v>5.6481481481481478E-3</v>
      </c>
      <c r="Z31" s="28">
        <f t="shared" si="8"/>
        <v>2.3148148148148147E-3</v>
      </c>
      <c r="AA31" s="28">
        <f t="shared" si="8"/>
        <v>2.3148148148148147E-3</v>
      </c>
    </row>
    <row r="32" spans="1:27" ht="20" customHeight="1" x14ac:dyDescent="0.35"/>
    <row r="33" spans="1:27" x14ac:dyDescent="0.35">
      <c r="A33" s="42" t="s">
        <v>187</v>
      </c>
    </row>
    <row r="34" spans="1:27" ht="80" customHeight="1" x14ac:dyDescent="0.35">
      <c r="A34" s="127" t="s">
        <v>188</v>
      </c>
      <c r="B34" s="128"/>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c r="AA34" s="128"/>
    </row>
    <row r="35" spans="1:27" ht="15" customHeight="1" x14ac:dyDescent="0.35"/>
    <row r="36" spans="1:27" x14ac:dyDescent="0.35">
      <c r="A36" s="42" t="s">
        <v>189</v>
      </c>
    </row>
    <row r="37" spans="1:27" ht="95" customHeight="1" x14ac:dyDescent="0.35">
      <c r="A37" s="127" t="s">
        <v>190</v>
      </c>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c r="AA37" s="128"/>
    </row>
  </sheetData>
  <mergeCells count="2">
    <mergeCell ref="A34:AA34"/>
    <mergeCell ref="A37:AA37"/>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C7D5-ABE4-462E-B355-560F0DC098E1}">
  <dimension ref="A1:J105"/>
  <sheetViews>
    <sheetView workbookViewId="0">
      <pane xSplit="1" topLeftCell="B1" activePane="topRight" state="frozen"/>
      <selection pane="topRight" activeCell="D10" sqref="D10"/>
    </sheetView>
  </sheetViews>
  <sheetFormatPr defaultRowHeight="14.5" x14ac:dyDescent="0.35"/>
  <cols>
    <col min="1" max="1" width="50.90625" customWidth="1"/>
    <col min="2" max="2" width="24.36328125" bestFit="1" customWidth="1"/>
    <col min="3" max="3" width="21.81640625" customWidth="1"/>
    <col min="4" max="4" width="25.453125" customWidth="1"/>
    <col min="5" max="5" width="21.81640625" customWidth="1"/>
    <col min="6" max="6" width="25.453125" customWidth="1"/>
    <col min="7" max="7" width="16.453125" customWidth="1"/>
    <col min="9" max="10" width="18.1796875" customWidth="1"/>
  </cols>
  <sheetData>
    <row r="1" spans="1:4" ht="18.5" x14ac:dyDescent="0.45">
      <c r="A1" s="48" t="s">
        <v>191</v>
      </c>
    </row>
    <row r="3" spans="1:4" x14ac:dyDescent="0.35">
      <c r="A3" s="49" t="s">
        <v>192</v>
      </c>
      <c r="B3" s="50"/>
    </row>
    <row r="4" spans="1:4" x14ac:dyDescent="0.35">
      <c r="A4" s="51" t="s">
        <v>193</v>
      </c>
      <c r="B4" s="52">
        <f>COUNTA(_xlfn.UNIQUE(Table1[customer_id]))</f>
        <v>40</v>
      </c>
      <c r="C4" s="52"/>
    </row>
    <row r="5" spans="1:4" x14ac:dyDescent="0.35">
      <c r="A5" s="51" t="s">
        <v>194</v>
      </c>
      <c r="B5" s="52">
        <f>COUNTA(Table1[subscription_id])</f>
        <v>97</v>
      </c>
      <c r="C5" s="52"/>
    </row>
    <row r="6" spans="1:4" x14ac:dyDescent="0.35">
      <c r="A6" s="51" t="s">
        <v>195</v>
      </c>
      <c r="B6" s="53">
        <f>SUM(C12:C17)</f>
        <v>144185.5</v>
      </c>
      <c r="C6" s="53"/>
    </row>
    <row r="7" spans="1:4" x14ac:dyDescent="0.35">
      <c r="A7" s="51" t="s">
        <v>196</v>
      </c>
      <c r="B7" s="53">
        <f>B6/B4</f>
        <v>3604.6374999999998</v>
      </c>
      <c r="C7" s="53"/>
    </row>
    <row r="8" spans="1:4" x14ac:dyDescent="0.35">
      <c r="A8" s="51" t="s">
        <v>197</v>
      </c>
      <c r="B8" s="53">
        <f>B6/B5</f>
        <v>1486.4484536082475</v>
      </c>
      <c r="C8" s="53"/>
    </row>
    <row r="10" spans="1:4" x14ac:dyDescent="0.35">
      <c r="A10" s="51" t="s">
        <v>198</v>
      </c>
    </row>
    <row r="11" spans="1:4" x14ac:dyDescent="0.35">
      <c r="A11" s="51" t="s">
        <v>199</v>
      </c>
      <c r="B11" s="51" t="s">
        <v>200</v>
      </c>
      <c r="C11" s="51" t="s">
        <v>195</v>
      </c>
      <c r="D11" s="51" t="s">
        <v>201</v>
      </c>
    </row>
    <row r="12" spans="1:4" x14ac:dyDescent="0.35">
      <c r="A12" s="54" t="s">
        <v>202</v>
      </c>
      <c r="B12" s="55">
        <v>5</v>
      </c>
      <c r="C12" s="39">
        <v>3105</v>
      </c>
      <c r="D12" s="38">
        <f>C12/B12</f>
        <v>621</v>
      </c>
    </row>
    <row r="13" spans="1:4" x14ac:dyDescent="0.35">
      <c r="A13" s="54" t="s">
        <v>203</v>
      </c>
      <c r="B13" s="55">
        <v>8</v>
      </c>
      <c r="C13" s="39">
        <v>15475.5</v>
      </c>
      <c r="D13" s="38">
        <f t="shared" ref="D13:D18" si="0">C13/B13</f>
        <v>1934.4375</v>
      </c>
    </row>
    <row r="14" spans="1:4" x14ac:dyDescent="0.35">
      <c r="A14" s="54" t="s">
        <v>204</v>
      </c>
      <c r="B14" s="55">
        <v>6</v>
      </c>
      <c r="C14" s="39">
        <v>32580</v>
      </c>
      <c r="D14" s="38">
        <f t="shared" si="0"/>
        <v>5430</v>
      </c>
    </row>
    <row r="15" spans="1:4" x14ac:dyDescent="0.35">
      <c r="A15" s="54" t="s">
        <v>205</v>
      </c>
      <c r="B15" s="55">
        <v>14</v>
      </c>
      <c r="C15" s="39">
        <v>29325</v>
      </c>
      <c r="D15" s="38">
        <f t="shared" si="0"/>
        <v>2094.6428571428573</v>
      </c>
    </row>
    <row r="16" spans="1:4" x14ac:dyDescent="0.35">
      <c r="A16" s="54" t="s">
        <v>206</v>
      </c>
      <c r="B16" s="55">
        <v>11</v>
      </c>
      <c r="C16" s="39">
        <v>26950</v>
      </c>
      <c r="D16" s="38">
        <f t="shared" si="0"/>
        <v>2450</v>
      </c>
    </row>
    <row r="17" spans="1:6" x14ac:dyDescent="0.35">
      <c r="A17" s="54" t="s">
        <v>207</v>
      </c>
      <c r="B17" s="55">
        <v>7</v>
      </c>
      <c r="C17" s="39">
        <v>36750</v>
      </c>
      <c r="D17" s="38">
        <f t="shared" si="0"/>
        <v>5250</v>
      </c>
    </row>
    <row r="18" spans="1:6" x14ac:dyDescent="0.35">
      <c r="A18" s="51" t="s">
        <v>208</v>
      </c>
      <c r="B18" s="56">
        <v>51</v>
      </c>
      <c r="C18" s="57">
        <v>144185.5</v>
      </c>
      <c r="D18" s="38">
        <f t="shared" si="0"/>
        <v>2827.1666666666665</v>
      </c>
    </row>
    <row r="20" spans="1:6" x14ac:dyDescent="0.35">
      <c r="A20" s="49" t="s">
        <v>209</v>
      </c>
      <c r="B20" s="50"/>
      <c r="C20" s="50"/>
      <c r="D20" s="50"/>
    </row>
    <row r="21" spans="1:6" x14ac:dyDescent="0.35">
      <c r="A21" s="51" t="s">
        <v>210</v>
      </c>
      <c r="B21" s="53" cm="1">
        <f t="array" ref="B21">SUMPRODUCT(E28:E33,C28:C33/B28:B33)</f>
        <v>43255.65</v>
      </c>
    </row>
    <row r="22" spans="1:6" x14ac:dyDescent="0.35">
      <c r="A22" s="51" t="s">
        <v>211</v>
      </c>
      <c r="B22" s="53">
        <f>B6-B21</f>
        <v>100929.85</v>
      </c>
    </row>
    <row r="23" spans="1:6" x14ac:dyDescent="0.35">
      <c r="A23" s="51" t="s">
        <v>212</v>
      </c>
      <c r="B23" s="58">
        <f>B22/B6</f>
        <v>0.70000000000000007</v>
      </c>
    </row>
    <row r="24" spans="1:6" x14ac:dyDescent="0.35">
      <c r="A24" s="51" t="s">
        <v>213</v>
      </c>
      <c r="B24" s="53">
        <f>B22/B4</f>
        <v>2523.2462500000001</v>
      </c>
    </row>
    <row r="26" spans="1:6" x14ac:dyDescent="0.35">
      <c r="A26" s="51" t="s">
        <v>214</v>
      </c>
    </row>
    <row r="27" spans="1:6" x14ac:dyDescent="0.35">
      <c r="A27" s="51" t="s">
        <v>199</v>
      </c>
      <c r="B27" s="51" t="s">
        <v>215</v>
      </c>
      <c r="C27" s="51" t="s">
        <v>216</v>
      </c>
      <c r="D27" s="51" t="s">
        <v>44</v>
      </c>
      <c r="E27" s="51" t="s">
        <v>195</v>
      </c>
      <c r="F27" s="51" t="s">
        <v>210</v>
      </c>
    </row>
    <row r="28" spans="1:6" x14ac:dyDescent="0.35">
      <c r="A28" s="54" t="s">
        <v>202</v>
      </c>
      <c r="B28" s="59">
        <f>Ref!B2</f>
        <v>45</v>
      </c>
      <c r="C28" s="59">
        <f>Ref!C2</f>
        <v>13.5</v>
      </c>
      <c r="D28" s="60">
        <f>Ref!D2</f>
        <v>0.7</v>
      </c>
      <c r="E28" s="59">
        <f t="shared" ref="E28:E33" si="1">C12</f>
        <v>3105</v>
      </c>
      <c r="F28" s="59">
        <f t="shared" ref="F28:F33" si="2">E28*C28/B28</f>
        <v>931.5</v>
      </c>
    </row>
    <row r="29" spans="1:6" x14ac:dyDescent="0.35">
      <c r="A29" s="54" t="s">
        <v>203</v>
      </c>
      <c r="B29" s="59">
        <f>Ref!B3</f>
        <v>95</v>
      </c>
      <c r="C29" s="59">
        <f>Ref!C3</f>
        <v>28.5</v>
      </c>
      <c r="D29" s="60">
        <f>Ref!D3</f>
        <v>0.7</v>
      </c>
      <c r="E29" s="59">
        <f t="shared" si="1"/>
        <v>15475.5</v>
      </c>
      <c r="F29" s="59">
        <f t="shared" si="2"/>
        <v>4642.6499999999996</v>
      </c>
    </row>
    <row r="30" spans="1:6" x14ac:dyDescent="0.35">
      <c r="A30" s="54" t="s">
        <v>204</v>
      </c>
      <c r="B30" s="59">
        <f>Ref!B4</f>
        <v>180</v>
      </c>
      <c r="C30" s="59">
        <f>Ref!C4</f>
        <v>54</v>
      </c>
      <c r="D30" s="60">
        <f>Ref!D4</f>
        <v>0.7</v>
      </c>
      <c r="E30" s="59">
        <f t="shared" si="1"/>
        <v>32580</v>
      </c>
      <c r="F30" s="59">
        <f t="shared" si="2"/>
        <v>9774</v>
      </c>
    </row>
    <row r="31" spans="1:6" x14ac:dyDescent="0.35">
      <c r="A31" s="54" t="s">
        <v>205</v>
      </c>
      <c r="B31" s="59">
        <f>Ref!B5</f>
        <v>85</v>
      </c>
      <c r="C31" s="59">
        <f>Ref!C5</f>
        <v>25.5</v>
      </c>
      <c r="D31" s="60">
        <f>Ref!D5</f>
        <v>0.7</v>
      </c>
      <c r="E31" s="59">
        <f t="shared" si="1"/>
        <v>29325</v>
      </c>
      <c r="F31" s="59">
        <f t="shared" si="2"/>
        <v>8797.5</v>
      </c>
    </row>
    <row r="32" spans="1:6" x14ac:dyDescent="0.35">
      <c r="A32" s="54" t="s">
        <v>206</v>
      </c>
      <c r="B32" s="59">
        <f>Ref!B6</f>
        <v>110</v>
      </c>
      <c r="C32" s="59">
        <f>Ref!C6</f>
        <v>33</v>
      </c>
      <c r="D32" s="60">
        <f>Ref!D6</f>
        <v>0.7</v>
      </c>
      <c r="E32" s="59">
        <f t="shared" si="1"/>
        <v>26950</v>
      </c>
      <c r="F32" s="59">
        <f t="shared" si="2"/>
        <v>8085</v>
      </c>
    </row>
    <row r="33" spans="1:6" x14ac:dyDescent="0.35">
      <c r="A33" s="54" t="s">
        <v>207</v>
      </c>
      <c r="B33" s="59">
        <f>Ref!B7</f>
        <v>150</v>
      </c>
      <c r="C33" s="59">
        <f>Ref!C7</f>
        <v>45</v>
      </c>
      <c r="D33" s="60">
        <f>Ref!D7</f>
        <v>0.7</v>
      </c>
      <c r="E33" s="59">
        <f t="shared" si="1"/>
        <v>36750</v>
      </c>
      <c r="F33" s="59">
        <f t="shared" si="2"/>
        <v>11025</v>
      </c>
    </row>
    <row r="35" spans="1:6" x14ac:dyDescent="0.35">
      <c r="A35" s="61" t="s">
        <v>217</v>
      </c>
      <c r="B35" s="61"/>
    </row>
    <row r="36" spans="1:6" x14ac:dyDescent="0.35">
      <c r="A36" s="62" t="s">
        <v>218</v>
      </c>
    </row>
    <row r="37" spans="1:6" x14ac:dyDescent="0.35">
      <c r="A37" s="62" t="s">
        <v>219</v>
      </c>
      <c r="B37" s="63">
        <f>1-Retention!AA29</f>
        <v>8.5296972190281872E-3</v>
      </c>
    </row>
    <row r="38" spans="1:6" x14ac:dyDescent="0.35">
      <c r="A38" s="62" t="s">
        <v>220</v>
      </c>
      <c r="B38" s="64">
        <f>1/B37</f>
        <v>117.23745571755862</v>
      </c>
    </row>
    <row r="40" spans="1:6" x14ac:dyDescent="0.35">
      <c r="A40" s="62" t="s">
        <v>221</v>
      </c>
    </row>
    <row r="41" spans="1:6" x14ac:dyDescent="0.35">
      <c r="A41" s="42" t="s">
        <v>222</v>
      </c>
      <c r="B41" s="42" t="s">
        <v>223</v>
      </c>
      <c r="C41" s="42" t="s">
        <v>224</v>
      </c>
      <c r="D41" s="42" t="s">
        <v>225</v>
      </c>
    </row>
    <row r="42" spans="1:6" x14ac:dyDescent="0.35">
      <c r="A42" s="65" t="s">
        <v>226</v>
      </c>
      <c r="B42" s="65" t="s">
        <v>227</v>
      </c>
      <c r="C42" s="64" cm="1">
        <f t="array" ref="C42">(INDEX(Table1[event_date],MATCH(1,(Table1[subscription_id]="SUB001")*(Table1[event_type]="cancelled"),0))-INDEX(Table1[event_date],MATCH(1,(Table1[subscription_id]="SUB001")*(Table1[event_type]="created"),0)))/30.44</f>
        <v>7.6215505913272006</v>
      </c>
      <c r="D42" s="66" cm="1">
        <f t="array" ref="D42">-INDEX(Table1[mrr_delta],MATCH(1,(Table1[subscription_id]="SUB001")*(Table1[event_type]="cancelled"),0))</f>
        <v>1900</v>
      </c>
    </row>
    <row r="43" spans="1:6" x14ac:dyDescent="0.35">
      <c r="A43" s="65" t="s">
        <v>228</v>
      </c>
      <c r="B43" s="65" t="s">
        <v>229</v>
      </c>
      <c r="C43" s="64" cm="1">
        <f t="array" ref="C43">(INDEX(Table1[event_date],MATCH(1,(Table1[subscription_id]="SUB005")*(Table1[event_type]="cancelled"),0))-INDEX(Table1[event_date],MATCH(1,(Table1[subscription_id]="SUB005")*(Table1[event_type]="created"),0)))/30.44</f>
        <v>8.5742444152431005</v>
      </c>
      <c r="D43" s="66" cm="1">
        <f t="array" ref="D43">-INDEX(Table1[mrr_delta],MATCH(1,(Table1[subscription_id]="SUB005")*(Table1[event_type]="cancelled"),0))</f>
        <v>495</v>
      </c>
    </row>
    <row r="44" spans="1:6" x14ac:dyDescent="0.35">
      <c r="A44" s="65" t="s">
        <v>230</v>
      </c>
      <c r="B44" s="65" t="s">
        <v>231</v>
      </c>
      <c r="C44" s="64" cm="1">
        <f t="array" ref="C44">(INDEX(Table1[event_date],MATCH(1,(Table1[subscription_id]="SUB008")*(Table1[event_type]="cancelled"),0))-INDEX(Table1[event_date],MATCH(1,(Table1[subscription_id]="SUB008")*(Table1[event_type]="created"),0)))/30.44</f>
        <v>8.2457293035479626</v>
      </c>
      <c r="D44" s="66" cm="1">
        <f t="array" ref="D44">-INDEX(Table1[mrr_delta],MATCH(1,(Table1[subscription_id]="SUB008")*(Table1[event_type]="cancelled"),0))</f>
        <v>2090</v>
      </c>
    </row>
    <row r="45" spans="1:6" x14ac:dyDescent="0.35">
      <c r="A45" s="65" t="s">
        <v>232</v>
      </c>
      <c r="B45" s="65" t="s">
        <v>233</v>
      </c>
      <c r="C45" s="64" cm="1">
        <f t="array" ref="C45">(INDEX(Table1[event_date],MATCH(1,(Table1[subscription_id]="SUB013")*(Table1[event_type]="cancelled"),0))-INDEX(Table1[event_date],MATCH(1,(Table1[subscription_id]="SUB013")*(Table1[event_type]="created"),0)))/30.44</f>
        <v>6.7345597897503282</v>
      </c>
      <c r="D45" s="66" cm="1">
        <f t="array" ref="D45">-INDEX(Table1[mrr_delta],MATCH(1,(Table1[subscription_id]="SUB013")*(Table1[event_type]="cancelled"),0))</f>
        <v>450</v>
      </c>
    </row>
    <row r="46" spans="1:6" x14ac:dyDescent="0.35">
      <c r="A46" s="65" t="s">
        <v>234</v>
      </c>
      <c r="B46" s="65" t="s">
        <v>235</v>
      </c>
      <c r="C46" s="64" cm="1">
        <f t="array" ref="C46">(INDEX(Table1[event_date],MATCH(1,(Table1[subscription_id]="SUB021")*(Table1[event_type]="cancelled"),0))-INDEX(Table1[event_date],MATCH(1,(Table1[subscription_id]="SUB021")*(Table1[event_type]="created"),0)))/30.44</f>
        <v>7.3587385019710903</v>
      </c>
      <c r="D46" s="66" cm="1">
        <f t="array" ref="D46">-INDEX(Table1[mrr_delta],MATCH(1,(Table1[subscription_id]="SUB021")*(Table1[event_type]="cancelled"),0))</f>
        <v>2375</v>
      </c>
    </row>
    <row r="47" spans="1:6" x14ac:dyDescent="0.35">
      <c r="A47" s="65" t="s">
        <v>236</v>
      </c>
      <c r="B47" s="65" t="s">
        <v>237</v>
      </c>
      <c r="C47" s="64" cm="1">
        <f t="array" ref="C47">(INDEX(Table1[event_date],MATCH(1,(Table1[subscription_id]="SUB049")*(Table1[event_type]="cancelled"),0))-INDEX(Table1[event_date],MATCH(1,(Table1[subscription_id]="SUB049")*(Table1[event_type]="created"),0)))/30.44</f>
        <v>11.990801576872535</v>
      </c>
      <c r="D47" s="66" cm="1">
        <f t="array" ref="D47">-INDEX(Table1[mrr_delta],MATCH(1,(Table1[subscription_id]="SUB049")*(Table1[event_type]="cancelled"),0))</f>
        <v>855</v>
      </c>
    </row>
    <row r="48" spans="1:6" x14ac:dyDescent="0.35">
      <c r="A48" s="65" t="s">
        <v>238</v>
      </c>
      <c r="B48" s="65" t="s">
        <v>239</v>
      </c>
      <c r="C48" s="64" cm="1">
        <f t="array" ref="C48">(INDEX(Table1[event_date],MATCH(1,(Table1[subscription_id]="SUB023")*(Table1[event_type]="cancelled"),0))-INDEX(Table1[event_date],MATCH(1,(Table1[subscription_id]="SUB023")*(Table1[event_type]="created"),0)))/30.44</f>
        <v>7.4244415243101178</v>
      </c>
      <c r="D48" s="66" cm="1">
        <f t="array" ref="D48">-INDEX(Table1[mrr_delta],MATCH(1,(Table1[subscription_id]="SUB023")*(Table1[event_type]="cancelled"),0))</f>
        <v>450</v>
      </c>
    </row>
    <row r="49" spans="1:10" x14ac:dyDescent="0.35">
      <c r="A49" s="65" t="s">
        <v>240</v>
      </c>
      <c r="B49" s="65" t="s">
        <v>241</v>
      </c>
      <c r="C49" s="64" cm="1">
        <f t="array" ref="C49">(INDEX(Table1[event_date],MATCH(1,(Table1[subscription_id]="SUB060")*(Table1[event_type]="cancelled"),0))-INDEX(Table1[event_date],MATCH(1,(Table1[subscription_id]="SUB060")*(Table1[event_type]="created"),0)))/30.44</f>
        <v>10.085413929040735</v>
      </c>
      <c r="D49" s="66" cm="1">
        <f t="array" ref="D49">-INDEX(Table1[mrr_delta],MATCH(1,(Table1[subscription_id]="SUB060")*(Table1[event_type]="cancelled"),0))</f>
        <v>1760</v>
      </c>
    </row>
    <row r="50" spans="1:10" x14ac:dyDescent="0.35">
      <c r="A50" s="65" t="s">
        <v>242</v>
      </c>
      <c r="B50" s="65" t="s">
        <v>243</v>
      </c>
      <c r="C50" s="64" cm="1">
        <f t="array" ref="C50">(INDEX(Table1[event_date],MATCH(1,(Table1[subscription_id]="SUB055")*(Table1[event_type]="cancelled"),0))-INDEX(Table1[event_date],MATCH(1,(Table1[subscription_id]="SUB055")*(Table1[event_type]="created"),0)))/30.44</f>
        <v>18.331143232588698</v>
      </c>
      <c r="D50" s="66" cm="1">
        <f t="array" ref="D50">-INDEX(Table1[mrr_delta],MATCH(1,(Table1[subscription_id]="SUB055")*(Table1[event_type]="cancelled"),0))</f>
        <v>4680</v>
      </c>
    </row>
    <row r="51" spans="1:10" x14ac:dyDescent="0.35">
      <c r="A51" s="65" t="s">
        <v>244</v>
      </c>
      <c r="B51" s="65" t="s">
        <v>245</v>
      </c>
      <c r="C51" s="64" cm="1">
        <f t="array" ref="C51">(INDEX(Table1[event_date],MATCH(1,(Table1[subscription_id]="SUB015")*(Table1[event_type]="cancelled"),0))-INDEX(Table1[event_date],MATCH(1,(Table1[subscription_id]="SUB015")*(Table1[event_type]="created"),0)))/30.44</f>
        <v>17.279894875164256</v>
      </c>
      <c r="D51" s="66" cm="1">
        <f t="array" ref="D51">-INDEX(Table1[mrr_delta],MATCH(1,(Table1[subscription_id]="SUB015")*(Table1[event_type]="cancelled"),0))</f>
        <v>1624.5</v>
      </c>
    </row>
    <row r="52" spans="1:10" x14ac:dyDescent="0.35">
      <c r="A52" s="65" t="s">
        <v>246</v>
      </c>
      <c r="B52" s="65" t="s">
        <v>247</v>
      </c>
      <c r="C52" s="64" cm="1">
        <f t="array" ref="C52">(INDEX(Table1[event_date],MATCH(1,(Table1[subscription_id]="SUB050")*(Table1[event_type]="cancelled"),0))-INDEX(Table1[event_date],MATCH(1,(Table1[subscription_id]="SUB050")*(Table1[event_type]="created"),0)))/30.44</f>
        <v>22.667542706964518</v>
      </c>
      <c r="D52" s="66" cm="1">
        <f t="array" ref="D52">-INDEX(Table1[mrr_delta],MATCH(1,(Table1[subscription_id]="SUB050")*(Table1[event_type]="cancelled"),0))</f>
        <v>594</v>
      </c>
    </row>
    <row r="53" spans="1:10" x14ac:dyDescent="0.35">
      <c r="A53" s="62" t="s">
        <v>248</v>
      </c>
      <c r="C53" s="64">
        <f>AVERAGE(C42:C52)</f>
        <v>11.483096404252779</v>
      </c>
      <c r="D53" s="66">
        <f>AVERAGE(D42:D52)</f>
        <v>1570.3181818181818</v>
      </c>
    </row>
    <row r="54" spans="1:10" x14ac:dyDescent="0.35">
      <c r="A54" s="62" t="s">
        <v>249</v>
      </c>
      <c r="C54" s="64">
        <f>MEDIAN(C42:C52)</f>
        <v>8.5742444152431005</v>
      </c>
      <c r="D54" s="66">
        <f>MEDIAN(D42:D52)</f>
        <v>1624.5</v>
      </c>
    </row>
    <row r="56" spans="1:10" x14ac:dyDescent="0.35">
      <c r="A56" s="62" t="s">
        <v>250</v>
      </c>
    </row>
    <row r="57" spans="1:10" x14ac:dyDescent="0.35">
      <c r="A57" s="62" t="s">
        <v>251</v>
      </c>
      <c r="B57" s="66">
        <f>B7/B37</f>
        <v>422598.52928410121</v>
      </c>
    </row>
    <row r="58" spans="1:10" x14ac:dyDescent="0.35">
      <c r="A58" s="67" t="s">
        <v>252</v>
      </c>
      <c r="B58" s="68">
        <f>B7*B23/B37</f>
        <v>295818.97049887088</v>
      </c>
    </row>
    <row r="59" spans="1:10" x14ac:dyDescent="0.35">
      <c r="A59" s="62" t="s">
        <v>253</v>
      </c>
      <c r="B59" s="66">
        <f>B7*C53*B23</f>
        <v>28974.679940419308</v>
      </c>
    </row>
    <row r="61" spans="1:10" x14ac:dyDescent="0.35">
      <c r="A61" s="62" t="s">
        <v>254</v>
      </c>
    </row>
    <row r="62" spans="1:10" ht="195.5" x14ac:dyDescent="0.35">
      <c r="A62" s="69" t="s">
        <v>255</v>
      </c>
    </row>
    <row r="64" spans="1:10" x14ac:dyDescent="0.35">
      <c r="A64" s="129" t="s">
        <v>256</v>
      </c>
      <c r="B64" s="129"/>
      <c r="C64" s="129"/>
      <c r="D64" s="129"/>
      <c r="E64" s="129"/>
      <c r="F64" s="129"/>
      <c r="G64" s="129"/>
      <c r="H64" s="129"/>
      <c r="I64" s="129"/>
      <c r="J64" s="129"/>
    </row>
    <row r="65" spans="1:10" x14ac:dyDescent="0.35">
      <c r="A65" s="62" t="s">
        <v>257</v>
      </c>
    </row>
    <row r="66" spans="1:10" x14ac:dyDescent="0.35">
      <c r="A66" s="70" t="s">
        <v>155</v>
      </c>
      <c r="B66" s="70" t="s">
        <v>258</v>
      </c>
      <c r="C66" s="70" t="s">
        <v>259</v>
      </c>
      <c r="D66" s="70" t="s">
        <v>260</v>
      </c>
      <c r="E66" s="70" t="s">
        <v>261</v>
      </c>
      <c r="F66" s="70" t="s">
        <v>262</v>
      </c>
      <c r="G66" s="70" t="s">
        <v>263</v>
      </c>
      <c r="H66" s="70" t="s">
        <v>264</v>
      </c>
      <c r="I66" s="70" t="s">
        <v>265</v>
      </c>
      <c r="J66" s="70" t="s">
        <v>266</v>
      </c>
    </row>
    <row r="67" spans="1:10" x14ac:dyDescent="0.35">
      <c r="A67" s="71" t="s">
        <v>267</v>
      </c>
      <c r="B67" s="72">
        <v>11500</v>
      </c>
      <c r="C67" s="72">
        <v>7200</v>
      </c>
      <c r="D67" s="72">
        <v>4200</v>
      </c>
      <c r="E67" s="72">
        <v>2100</v>
      </c>
      <c r="F67" s="72">
        <v>1800</v>
      </c>
      <c r="G67" s="72">
        <v>1050</v>
      </c>
      <c r="H67" s="72">
        <v>0</v>
      </c>
      <c r="I67" s="72">
        <v>27850</v>
      </c>
      <c r="J67" s="73">
        <v>2</v>
      </c>
    </row>
    <row r="68" spans="1:10" x14ac:dyDescent="0.35">
      <c r="A68" s="71" t="s">
        <v>268</v>
      </c>
      <c r="B68" s="72">
        <v>11500</v>
      </c>
      <c r="C68" s="72">
        <v>7200</v>
      </c>
      <c r="D68" s="72">
        <v>4500</v>
      </c>
      <c r="E68" s="72">
        <v>2100</v>
      </c>
      <c r="F68" s="72">
        <v>1600</v>
      </c>
      <c r="G68" s="72">
        <v>1050</v>
      </c>
      <c r="H68" s="72">
        <v>0</v>
      </c>
      <c r="I68" s="72">
        <v>27950</v>
      </c>
      <c r="J68" s="73">
        <v>2</v>
      </c>
    </row>
    <row r="69" spans="1:10" x14ac:dyDescent="0.35">
      <c r="A69" s="71" t="s">
        <v>269</v>
      </c>
      <c r="B69" s="72">
        <v>11500</v>
      </c>
      <c r="C69" s="72">
        <v>7200</v>
      </c>
      <c r="D69" s="72">
        <v>5100</v>
      </c>
      <c r="E69" s="72">
        <v>2400</v>
      </c>
      <c r="F69" s="72">
        <v>2400</v>
      </c>
      <c r="G69" s="72">
        <v>1050</v>
      </c>
      <c r="H69" s="72">
        <v>2800</v>
      </c>
      <c r="I69" s="72">
        <v>32450</v>
      </c>
      <c r="J69" s="73">
        <v>3</v>
      </c>
    </row>
    <row r="70" spans="1:10" x14ac:dyDescent="0.35">
      <c r="A70" s="71" t="s">
        <v>270</v>
      </c>
      <c r="B70" s="72">
        <v>11500</v>
      </c>
      <c r="C70" s="72">
        <v>7200</v>
      </c>
      <c r="D70" s="72">
        <v>4800</v>
      </c>
      <c r="E70" s="72">
        <v>2100</v>
      </c>
      <c r="F70" s="72">
        <v>1500</v>
      </c>
      <c r="G70" s="72">
        <v>1050</v>
      </c>
      <c r="H70" s="72">
        <v>0</v>
      </c>
      <c r="I70" s="72">
        <v>28150</v>
      </c>
      <c r="J70" s="73">
        <v>2</v>
      </c>
    </row>
    <row r="71" spans="1:10" x14ac:dyDescent="0.35">
      <c r="A71" s="71" t="s">
        <v>271</v>
      </c>
      <c r="B71" s="72">
        <v>11500</v>
      </c>
      <c r="C71" s="72">
        <v>7200</v>
      </c>
      <c r="D71" s="72">
        <v>4600</v>
      </c>
      <c r="E71" s="72">
        <v>2100</v>
      </c>
      <c r="F71" s="72">
        <v>1200</v>
      </c>
      <c r="G71" s="72">
        <v>1050</v>
      </c>
      <c r="H71" s="72">
        <v>0</v>
      </c>
      <c r="I71" s="72">
        <v>27650</v>
      </c>
      <c r="J71" s="73">
        <v>2</v>
      </c>
    </row>
    <row r="72" spans="1:10" x14ac:dyDescent="0.35">
      <c r="A72" s="71" t="s">
        <v>272</v>
      </c>
      <c r="B72" s="72">
        <v>11500</v>
      </c>
      <c r="C72" s="72">
        <v>7200</v>
      </c>
      <c r="D72" s="72">
        <v>5000</v>
      </c>
      <c r="E72" s="72">
        <v>2400</v>
      </c>
      <c r="F72" s="72">
        <v>1400</v>
      </c>
      <c r="G72" s="72">
        <v>1050</v>
      </c>
      <c r="H72" s="72">
        <v>3200</v>
      </c>
      <c r="I72" s="72">
        <v>31750</v>
      </c>
      <c r="J72" s="73">
        <v>2</v>
      </c>
    </row>
    <row r="73" spans="1:10" x14ac:dyDescent="0.35">
      <c r="A73" s="71" t="s">
        <v>273</v>
      </c>
      <c r="B73" s="72">
        <v>11500</v>
      </c>
      <c r="C73" s="72">
        <v>7200</v>
      </c>
      <c r="D73" s="72">
        <v>6500</v>
      </c>
      <c r="E73" s="72">
        <v>2400</v>
      </c>
      <c r="F73" s="72">
        <v>0</v>
      </c>
      <c r="G73" s="72">
        <v>1050</v>
      </c>
      <c r="H73" s="72">
        <v>0</v>
      </c>
      <c r="I73" s="72">
        <v>28650</v>
      </c>
      <c r="J73" s="73">
        <v>0</v>
      </c>
    </row>
    <row r="74" spans="1:10" x14ac:dyDescent="0.35">
      <c r="A74" s="71" t="s">
        <v>274</v>
      </c>
      <c r="B74" s="72">
        <v>11500</v>
      </c>
      <c r="C74" s="72">
        <v>7200</v>
      </c>
      <c r="D74" s="72">
        <v>7200</v>
      </c>
      <c r="E74" s="72">
        <v>2400</v>
      </c>
      <c r="F74" s="72">
        <v>0</v>
      </c>
      <c r="G74" s="72">
        <v>1050</v>
      </c>
      <c r="H74" s="72">
        <v>0</v>
      </c>
      <c r="I74" s="72">
        <v>29350</v>
      </c>
      <c r="J74" s="73">
        <v>0</v>
      </c>
    </row>
    <row r="75" spans="1:10" x14ac:dyDescent="0.35">
      <c r="A75" s="71" t="s">
        <v>275</v>
      </c>
      <c r="B75" s="72">
        <v>11500</v>
      </c>
      <c r="C75" s="72">
        <v>7200</v>
      </c>
      <c r="D75" s="72">
        <v>6800</v>
      </c>
      <c r="E75" s="72">
        <v>2400</v>
      </c>
      <c r="F75" s="72">
        <v>0</v>
      </c>
      <c r="G75" s="72">
        <v>1050</v>
      </c>
      <c r="H75" s="72">
        <v>4500</v>
      </c>
      <c r="I75" s="72">
        <v>33450</v>
      </c>
      <c r="J75" s="73">
        <v>0</v>
      </c>
    </row>
    <row r="76" spans="1:10" x14ac:dyDescent="0.35">
      <c r="A76" s="71" t="s">
        <v>276</v>
      </c>
      <c r="B76" s="72">
        <v>11500</v>
      </c>
      <c r="C76" s="72">
        <v>7200</v>
      </c>
      <c r="D76" s="72">
        <v>3500</v>
      </c>
      <c r="E76" s="72">
        <v>1800</v>
      </c>
      <c r="F76" s="72">
        <v>0</v>
      </c>
      <c r="G76" s="72">
        <v>1050</v>
      </c>
      <c r="H76" s="72">
        <v>0</v>
      </c>
      <c r="I76" s="72">
        <v>25050</v>
      </c>
      <c r="J76" s="73">
        <v>0</v>
      </c>
    </row>
    <row r="77" spans="1:10" x14ac:dyDescent="0.35">
      <c r="A77" s="71" t="s">
        <v>277</v>
      </c>
      <c r="B77" s="72">
        <v>11500</v>
      </c>
      <c r="C77" s="72">
        <v>7200</v>
      </c>
      <c r="D77" s="72">
        <v>3200</v>
      </c>
      <c r="E77" s="72">
        <v>1800</v>
      </c>
      <c r="F77" s="72">
        <v>0</v>
      </c>
      <c r="G77" s="72">
        <v>1050</v>
      </c>
      <c r="H77" s="72">
        <v>0</v>
      </c>
      <c r="I77" s="72">
        <v>24750</v>
      </c>
      <c r="J77" s="73">
        <v>0</v>
      </c>
    </row>
    <row r="78" spans="1:10" x14ac:dyDescent="0.35">
      <c r="A78" s="71" t="s">
        <v>278</v>
      </c>
      <c r="B78" s="72">
        <v>11500</v>
      </c>
      <c r="C78" s="72">
        <v>7200</v>
      </c>
      <c r="D78" s="72">
        <v>2800</v>
      </c>
      <c r="E78" s="72">
        <v>1800</v>
      </c>
      <c r="F78" s="72">
        <v>0</v>
      </c>
      <c r="G78" s="72">
        <v>1050</v>
      </c>
      <c r="H78" s="72">
        <v>0</v>
      </c>
      <c r="I78" s="72">
        <v>24350</v>
      </c>
      <c r="J78" s="73">
        <v>0</v>
      </c>
    </row>
    <row r="79" spans="1:10" x14ac:dyDescent="0.35">
      <c r="A79" s="71" t="s">
        <v>279</v>
      </c>
      <c r="B79" s="72">
        <v>11500</v>
      </c>
      <c r="C79" s="72">
        <v>7200</v>
      </c>
      <c r="D79" s="72">
        <v>3500</v>
      </c>
      <c r="E79" s="72">
        <v>2100</v>
      </c>
      <c r="F79" s="72">
        <v>800</v>
      </c>
      <c r="G79" s="72">
        <v>1050</v>
      </c>
      <c r="H79" s="72">
        <v>0</v>
      </c>
      <c r="I79" s="72">
        <v>26150</v>
      </c>
      <c r="J79" s="73">
        <v>1</v>
      </c>
    </row>
    <row r="80" spans="1:10" x14ac:dyDescent="0.35">
      <c r="A80" s="71" t="s">
        <v>280</v>
      </c>
      <c r="B80" s="72">
        <v>11500</v>
      </c>
      <c r="C80" s="72">
        <v>7200</v>
      </c>
      <c r="D80" s="72">
        <v>3800</v>
      </c>
      <c r="E80" s="72">
        <v>2100</v>
      </c>
      <c r="F80" s="72">
        <v>0</v>
      </c>
      <c r="G80" s="72">
        <v>1050</v>
      </c>
      <c r="H80" s="72">
        <v>0</v>
      </c>
      <c r="I80" s="72">
        <v>25650</v>
      </c>
      <c r="J80" s="73">
        <v>0</v>
      </c>
    </row>
    <row r="81" spans="1:10" x14ac:dyDescent="0.35">
      <c r="A81" s="74" t="s">
        <v>208</v>
      </c>
      <c r="B81" s="75">
        <f>SUM(SMSpend[Sales Comp])</f>
        <v>161000</v>
      </c>
      <c r="C81" s="75">
        <f>SUM(SMSpend[Marketing Comp])</f>
        <v>100800</v>
      </c>
      <c r="D81" s="75">
        <f>SUM(SMSpend[Paid Ads])</f>
        <v>65500</v>
      </c>
      <c r="E81" s="75">
        <f>SUM(SMSpend[Content &amp; SEO])</f>
        <v>30000</v>
      </c>
      <c r="F81" s="75">
        <f>SUM(SMSpend[Partner Commissions])</f>
        <v>10700</v>
      </c>
      <c r="G81" s="75">
        <f>SUM(SMSpend[Tools &amp; Software])</f>
        <v>14700</v>
      </c>
      <c r="H81" s="75">
        <f>SUM(SMSpend[Events])</f>
        <v>10500</v>
      </c>
      <c r="I81" s="75">
        <f>SUM(SMSpend[Total S&amp;M])</f>
        <v>393200</v>
      </c>
      <c r="J81" s="76">
        <f>SUM(SMSpend[New Customers])</f>
        <v>14</v>
      </c>
    </row>
    <row r="83" spans="1:10" x14ac:dyDescent="0.35">
      <c r="A83" s="74" t="s">
        <v>281</v>
      </c>
    </row>
    <row r="84" spans="1:10" x14ac:dyDescent="0.35">
      <c r="A84" s="42" t="s">
        <v>282</v>
      </c>
      <c r="B84" s="42" t="s">
        <v>283</v>
      </c>
      <c r="C84" s="42" t="s">
        <v>284</v>
      </c>
    </row>
    <row r="85" spans="1:10" x14ac:dyDescent="0.35">
      <c r="A85" s="62" t="s">
        <v>285</v>
      </c>
      <c r="B85" s="66" cm="1">
        <f t="array" ref="B85">SUMPRODUCT((SMSpend[Month]&gt;="2025-01")*(SMSpend[Month]&lt;="2025-06")*SMSpend[Total S&amp;M])/SUMPRODUCT((SMSpend[Month]&gt;="2025-01")*(SMSpend[Month]&lt;="2025-06")*SMSpend[New Customers])</f>
        <v>13523.076923076924</v>
      </c>
      <c r="C85" s="65" t="s">
        <v>286</v>
      </c>
    </row>
    <row r="86" spans="1:10" x14ac:dyDescent="0.35">
      <c r="A86" s="77" t="s">
        <v>287</v>
      </c>
      <c r="B86" s="78" t="str" cm="1">
        <f t="array" ref="B86">IF(SUMPRODUCT((SMSpend[Month]&gt;="2025-07")*(SMSpend[Month]&lt;="2025-12")*SMSpend[New Customers])=0,"N/A",SUMPRODUCT((SMSpend[Month]&gt;="2025-07")*(SMSpend[Month]&lt;="2025-12")*SMSpend[Total S&amp;M])/SUMPRODUCT((SMSpend[Month]&gt;="2025-07")*(SMSpend[Month]&lt;="2025-12")*SMSpend[New Customers]))</f>
        <v>N/A</v>
      </c>
      <c r="C86" s="79" t="str" cm="1">
        <f t="array" ref="C86">"S&amp;M: "&amp;TEXT(SUMPRODUCT((SMSpend[Month]&gt;="2025-07")*(SMSpend[Month]&lt;="2025-12")*SMSpend[Total S&amp;M]),"$#,##0")&amp;" | Customers: "&amp;SUMPRODUCT((SMSpend[Month]&gt;="2025-07")*(SMSpend[Month]&lt;="2025-12")*SMSpend[New Customers])</f>
        <v>S&amp;M: $165,600 | Customers: 0</v>
      </c>
    </row>
    <row r="87" spans="1:10" x14ac:dyDescent="0.35">
      <c r="A87" s="62" t="s">
        <v>288</v>
      </c>
      <c r="B87" s="66" cm="1">
        <f t="array" ref="B87">SUMPRODUCT((SMSpend[Month]&gt;="2025-01")*(SMSpend[Month]&lt;="2025-12")*SMSpend[Total S&amp;M])/SUMPRODUCT((SMSpend[Month]&gt;="2025-01")*(SMSpend[Month]&lt;="2025-12")*SMSpend[New Customers])</f>
        <v>26261.538461538461</v>
      </c>
      <c r="C87" s="65" t="s">
        <v>286</v>
      </c>
    </row>
    <row r="88" spans="1:10" x14ac:dyDescent="0.35">
      <c r="A88" s="62" t="s">
        <v>289</v>
      </c>
      <c r="B88" s="66" cm="1">
        <f t="array" ref="B88">IF(SUMPRODUCT((SMSpend[Month]&gt;="2026-01")*(SMSpend[Month]&lt;="2026-02")*SMSpend[New Customers])=0,"N/A",SUMPRODUCT((SMSpend[Month]&gt;="2026-01")*(SMSpend[Month]&lt;="2026-02")*SMSpend[Total S&amp;M])/SUMPRODUCT((SMSpend[Month]&gt;="2026-01")*(SMSpend[Month]&lt;="2026-02")*SMSpend[New Customers]))</f>
        <v>51800</v>
      </c>
      <c r="C88" s="65" t="s">
        <v>286</v>
      </c>
    </row>
    <row r="89" spans="1:10" x14ac:dyDescent="0.35">
      <c r="A89" s="62" t="s">
        <v>290</v>
      </c>
      <c r="B89" s="66" cm="1">
        <f t="array" ref="B89">SUMPRODUCT((SMSpend[Month]&gt;="2025-03")*(SMSpend[Month]&lt;="2026-02")*SMSpend[Total S&amp;M])/SUMPRODUCT((SMSpend[Month]&gt;="2025-03")*(SMSpend[Month]&lt;="2026-02")*SMSpend[New Customers])</f>
        <v>33740</v>
      </c>
      <c r="C89" s="65" t="s">
        <v>286</v>
      </c>
    </row>
    <row r="91" spans="1:10" x14ac:dyDescent="0.35">
      <c r="A91" s="62" t="s">
        <v>291</v>
      </c>
    </row>
    <row r="92" spans="1:10" x14ac:dyDescent="0.35">
      <c r="A92" s="42" t="s">
        <v>4</v>
      </c>
      <c r="B92" s="42" t="s">
        <v>283</v>
      </c>
      <c r="C92" s="42" t="s">
        <v>284</v>
      </c>
    </row>
    <row r="93" spans="1:10" x14ac:dyDescent="0.35">
      <c r="A93" s="67" t="s">
        <v>292</v>
      </c>
      <c r="B93" s="80">
        <f>B58/B85</f>
        <v>21.875122960667358</v>
      </c>
      <c r="C93" s="81" t="s">
        <v>293</v>
      </c>
    </row>
    <row r="94" spans="1:10" x14ac:dyDescent="0.35">
      <c r="A94" s="62" t="s">
        <v>294</v>
      </c>
      <c r="B94" s="82">
        <f>B58/B89</f>
        <v>8.7676043419938026</v>
      </c>
      <c r="C94" s="65" t="s">
        <v>293</v>
      </c>
    </row>
    <row r="95" spans="1:10" x14ac:dyDescent="0.35">
      <c r="A95" s="67" t="s">
        <v>295</v>
      </c>
      <c r="B95" s="83">
        <f>B85/B24</f>
        <v>5.3593964216044796</v>
      </c>
      <c r="C95" s="81" t="s">
        <v>296</v>
      </c>
    </row>
    <row r="96" spans="1:10" x14ac:dyDescent="0.35">
      <c r="A96" s="62" t="s">
        <v>297</v>
      </c>
      <c r="B96" s="84">
        <f>B89/B24</f>
        <v>13.371663586144237</v>
      </c>
      <c r="C96" s="65" t="s">
        <v>296</v>
      </c>
    </row>
    <row r="98" spans="1:1" x14ac:dyDescent="0.35">
      <c r="A98" s="62" t="s">
        <v>298</v>
      </c>
    </row>
    <row r="99" spans="1:1" ht="39.5" x14ac:dyDescent="0.35">
      <c r="A99" s="69" t="s">
        <v>299</v>
      </c>
    </row>
    <row r="101" spans="1:1" x14ac:dyDescent="0.35">
      <c r="A101" s="62" t="s">
        <v>300</v>
      </c>
    </row>
    <row r="102" spans="1:1" ht="182.5" x14ac:dyDescent="0.35">
      <c r="A102" s="85" t="s">
        <v>301</v>
      </c>
    </row>
    <row r="104" spans="1:1" x14ac:dyDescent="0.35">
      <c r="A104" s="62" t="s">
        <v>302</v>
      </c>
    </row>
    <row r="105" spans="1:1" ht="221.5" x14ac:dyDescent="0.35">
      <c r="A105" s="85" t="s">
        <v>303</v>
      </c>
    </row>
  </sheetData>
  <mergeCells count="1">
    <mergeCell ref="A64:J6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C285-D3C6-4E27-BA9F-6201C7B9568E}">
  <dimension ref="A1:D7"/>
  <sheetViews>
    <sheetView workbookViewId="0">
      <selection activeCell="G5" sqref="G5"/>
    </sheetView>
  </sheetViews>
  <sheetFormatPr defaultRowHeight="14.5" x14ac:dyDescent="0.35"/>
  <cols>
    <col min="1" max="1" width="17" bestFit="1" customWidth="1"/>
    <col min="2" max="2" width="14.81640625" customWidth="1"/>
    <col min="3" max="4" width="18.1796875" customWidth="1"/>
  </cols>
  <sheetData>
    <row r="1" spans="1:4" x14ac:dyDescent="0.35">
      <c r="A1" t="s">
        <v>304</v>
      </c>
      <c r="B1" t="s">
        <v>305</v>
      </c>
      <c r="C1" t="s">
        <v>306</v>
      </c>
      <c r="D1" t="s">
        <v>307</v>
      </c>
    </row>
    <row r="2" spans="1:4" x14ac:dyDescent="0.35">
      <c r="A2" t="s">
        <v>202</v>
      </c>
      <c r="B2">
        <v>45</v>
      </c>
      <c r="C2" s="86">
        <v>13.5</v>
      </c>
      <c r="D2" s="87">
        <v>0.7</v>
      </c>
    </row>
    <row r="3" spans="1:4" x14ac:dyDescent="0.35">
      <c r="A3" t="s">
        <v>203</v>
      </c>
      <c r="B3">
        <v>95</v>
      </c>
      <c r="C3" s="86">
        <v>28.5</v>
      </c>
      <c r="D3" s="87">
        <v>0.7</v>
      </c>
    </row>
    <row r="4" spans="1:4" x14ac:dyDescent="0.35">
      <c r="A4" t="s">
        <v>204</v>
      </c>
      <c r="B4">
        <v>180</v>
      </c>
      <c r="C4" s="86">
        <v>54</v>
      </c>
      <c r="D4" s="87">
        <v>0.7</v>
      </c>
    </row>
    <row r="5" spans="1:4" x14ac:dyDescent="0.35">
      <c r="A5" t="s">
        <v>205</v>
      </c>
      <c r="B5">
        <v>85</v>
      </c>
      <c r="C5" s="86">
        <v>25.5</v>
      </c>
      <c r="D5" s="87">
        <v>0.7</v>
      </c>
    </row>
    <row r="6" spans="1:4" x14ac:dyDescent="0.35">
      <c r="A6" t="s">
        <v>206</v>
      </c>
      <c r="B6">
        <v>110</v>
      </c>
      <c r="C6" s="86">
        <v>33</v>
      </c>
      <c r="D6" s="87">
        <v>0.7</v>
      </c>
    </row>
    <row r="7" spans="1:4" x14ac:dyDescent="0.35">
      <c r="A7" t="s">
        <v>207</v>
      </c>
      <c r="B7">
        <v>150</v>
      </c>
      <c r="C7" s="86">
        <v>45</v>
      </c>
      <c r="D7" s="87">
        <v>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Historical Baseline</vt:lpstr>
      <vt:lpstr>Forecast Assumptions</vt:lpstr>
      <vt:lpstr>2026 Forecast</vt:lpstr>
      <vt:lpstr>Jan 2026 A vs F </vt:lpstr>
      <vt:lpstr>KPI Tracker</vt:lpstr>
      <vt:lpstr>Waterfall Data</vt:lpstr>
      <vt:lpstr>Engine</vt:lpstr>
      <vt:lpstr>Waterfall</vt:lpstr>
      <vt:lpstr>Retention</vt:lpstr>
      <vt:lpstr>Unit Economics</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2026-04-07T22:51:25Z</dcterms:modified>
</cp:coreProperties>
</file>