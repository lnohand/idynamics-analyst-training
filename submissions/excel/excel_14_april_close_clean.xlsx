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6.xml" ContentType="application/vnd.openxmlformats-officedocument.spreadsheetml.table+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comments/comment2.xml" ContentType="application/vnd.openxmlformats-officedocument.spreadsheetml.comments+xml"/>
  <Override PartName="/xl/worksheets/sheet20.xml" ContentType="application/vnd.openxmlformats-officedocument.spreadsheetml.worksheet+xml"/>
  <Override PartName="/xl/tables/table10.xml" ContentType="application/vnd.openxmlformats-officedocument.spreadsheetml.table+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ice-Volume Bridge" sheetId="1" state="visible" r:id="rId1"/>
    <sheet name="billing_jan_2026" sheetId="2" state="visible" r:id="rId2"/>
    <sheet name="billing_feb_2026" sheetId="3" state="visible" r:id="rId3"/>
    <sheet name="bank_statement_jan_2026" sheetId="4" state="visible" r:id="rId4"/>
    <sheet name="bank_statement_feb_2026" sheetId="5" state="visible" r:id="rId5"/>
    <sheet name="Actuals" sheetId="6" state="visible" r:id="rId6"/>
    <sheet name="Billing Reconciliation" sheetId="7" state="visible" r:id="rId7"/>
    <sheet name="Historical Baseline" sheetId="8" state="visible" r:id="rId8"/>
    <sheet name="Forecast Assumptions" sheetId="9" state="visible" r:id="rId9"/>
    <sheet name="Jan 2026 A vs F " sheetId="10" state="visible" r:id="rId10"/>
    <sheet name="Feb 2026 A vs F" sheetId="11" state="visible" r:id="rId11"/>
    <sheet name="Mar 2026 A vs F" sheetId="12" state="visible" r:id="rId12"/>
    <sheet name="Apr 2026 A vs F " sheetId="13" state="visible" r:id="rId13"/>
    <sheet name="2026 Forecast" sheetId="14" state="visible" r:id="rId14"/>
    <sheet name="KPI Tracker" sheetId="15" state="visible" r:id="rId15"/>
    <sheet name="Waterfall Data" sheetId="16" state="visible" r:id="rId16"/>
    <sheet name="Engine" sheetId="17" state="visible" r:id="rId17"/>
    <sheet name="Waterfall" sheetId="18" state="visible" r:id="rId18"/>
    <sheet name="Retention" sheetId="19" state="visible" r:id="rId19"/>
    <sheet name="Unit Economics" sheetId="20" state="visible" r:id="rId20"/>
    <sheet name="Ref" sheetId="21" state="visible" r:id="rId21"/>
    <sheet name="Assumptions" sheetId="22" state="visible" r:id="rId22"/>
    <sheet name="Monthly Forecast" sheetId="23" state="visible" r:id="rId23"/>
  </sheets>
  <definedNames>
    <definedName name="_xlnm._FilterDatabase" localSheetId="1" hidden="1">'billing_jan_2026'!$A$1:$S$48</definedName>
    <definedName name="_xlnm._FilterDatabase" localSheetId="2" hidden="1">'billing_feb_2026'!$A$1:$S$49</definedName>
  </definedNames>
  <calcPr calcId="124519" fullCalcOnLoad="1"/>
</workbook>
</file>

<file path=xl/styles.xml><?xml version="1.0" encoding="utf-8"?>
<styleSheet xmlns="http://schemas.openxmlformats.org/spreadsheetml/2006/main">
  <numFmts count="22">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mmm yyyy"/>
    <numFmt numFmtId="178" formatCode="mm/dd/yyyy"/>
    <numFmt numFmtId="179" formatCode="0.0"/>
    <numFmt numFmtId="180" formatCode="0.00&quot;x&quot;"/>
    <numFmt numFmtId="181" formatCode="yyyy-mm-dd h:mm:ss"/>
    <numFmt numFmtId="182" formatCode="yyyy/mm"/>
    <numFmt numFmtId="183" formatCode="_(&quot;$&quot;* #,##0_);_(&quot;$&quot;* \(#,##0\);_(&quot;$&quot;* &quot;-&quot;??_);_(@_)"/>
    <numFmt numFmtId="184" formatCode="0.0\x"/>
    <numFmt numFmtId="185" formatCode="0.0&quot; months&quot;"/>
  </numFmts>
  <fonts count="43">
    <font>
      <name val="Calibri"/>
      <color theme="1"/>
      <sz val="11"/>
      <scheme val="minor"/>
    </font>
    <font>
      <name val="Calibri"/>
      <color theme="1"/>
      <scheme val="minor"/>
    </font>
    <font>
      <name val="Calibri"/>
      <b val="1"/>
      <color theme="1"/>
      <scheme val="minor"/>
    </font>
    <font>
      <name val="Calibri"/>
      <color rgb="FFFFFFFF"/>
      <scheme val="minor"/>
    </font>
    <font>
      <name val="Calibri"/>
      <color theme="1"/>
      <sz val="11"/>
    </font>
    <font>
      <name val="Calibri"/>
      <b val="1"/>
      <color rgb="FFFFFFFF"/>
      <sz val="11"/>
    </font>
    <font>
      <name val="Calibri"/>
      <color rgb="FF0000FF"/>
      <sz val="11"/>
    </font>
    <font>
      <name val="Calibri"/>
      <color rgb="FF000000"/>
      <sz val="11"/>
    </font>
    <font>
      <name val="Calibri"/>
      <b val="1"/>
      <color theme="1"/>
      <sz val="11"/>
    </font>
    <font>
      <name val="Calibri"/>
      <b val="1"/>
      <color rgb="FF000000"/>
      <sz val="11"/>
    </font>
    <font>
      <name val="Calibri"/>
      <color rgb="FFFFFFFF"/>
      <sz val="11"/>
    </font>
    <font>
      <name val="Arial"/>
      <b val="1"/>
      <color rgb="FF1F3864"/>
      <sz val="13"/>
    </font>
    <font>
      <name val="Arial"/>
      <i val="1"/>
      <color rgb="FF666666"/>
      <sz val="9"/>
    </font>
    <font>
      <name val="Arial"/>
      <b val="1"/>
      <color rgb="FF1F3864"/>
      <sz val="10"/>
    </font>
    <font>
      <name val="Arial"/>
      <b val="1"/>
      <color rgb="FFFFFFFF"/>
      <sz val="10"/>
    </font>
    <font>
      <name val="Arial"/>
      <b val="1"/>
      <color theme="1"/>
      <sz val="10"/>
    </font>
    <font>
      <name val="Arial"/>
      <color theme="1"/>
      <sz val="10"/>
    </font>
    <font>
      <name val="Calibri"/>
      <i val="1"/>
      <color theme="1"/>
      <sz val="9"/>
    </font>
    <font/>
    <font>
      <name val="Arial"/>
      <color rgb="FFC00000"/>
      <sz val="10"/>
    </font>
    <font>
      <name val="Arial"/>
      <color rgb="FF0000FF"/>
      <sz val="10"/>
    </font>
    <font>
      <name val="Arial"/>
      <b val="1"/>
      <i val="1"/>
      <color rgb="FFC00000"/>
      <sz val="9"/>
    </font>
    <font>
      <name val="Calibri"/>
      <b val="1"/>
      <color theme="1"/>
      <sz val="13"/>
    </font>
    <font>
      <name val="Calibri"/>
      <i val="1"/>
      <color theme="1"/>
      <sz val="11"/>
    </font>
    <font>
      <name val="Calibri"/>
      <b val="1"/>
      <i val="1"/>
      <color theme="1"/>
      <sz val="13"/>
    </font>
    <font>
      <name val="Calibri"/>
      <b val="1"/>
      <color theme="1"/>
      <sz val="10"/>
    </font>
    <font>
      <name val="Arial"/>
      <b val="1"/>
      <i val="1"/>
      <color rgb="FF666666"/>
      <sz val="9"/>
    </font>
    <font>
      <name val="Calibri"/>
      <i val="1"/>
      <color rgb="FF666666"/>
      <sz val="11"/>
    </font>
    <font>
      <name val="Arial"/>
      <b val="1"/>
      <i val="1"/>
      <color rgb="FFFFFFFF"/>
      <sz val="10"/>
    </font>
    <font>
      <name val="Arial"/>
      <b val="1"/>
      <color rgb="FF0000FF"/>
      <sz val="10"/>
    </font>
    <font>
      <name val="Arial"/>
      <i val="1"/>
      <color theme="1"/>
      <sz val="10"/>
    </font>
    <font>
      <name val="Arial"/>
      <color rgb="FF000000"/>
      <sz val="10"/>
    </font>
    <font>
      <name val="Calibri"/>
      <b val="1"/>
      <color rgb="FF1F3864"/>
      <sz val="11"/>
    </font>
    <font>
      <name val="Arial"/>
      <b val="1"/>
      <color rgb="FF000000"/>
      <sz val="10"/>
    </font>
    <font>
      <name val="Arial"/>
      <b val="1"/>
      <color rgb="FF808080"/>
      <sz val="9"/>
    </font>
    <font>
      <name val="Arial"/>
      <i val="1"/>
      <color rgb="FFFF0000"/>
      <sz val="9"/>
    </font>
    <font>
      <name val="Calibri"/>
      <b val="1"/>
      <color theme="1"/>
      <sz val="14"/>
    </font>
    <font>
      <name val="Calibri"/>
      <color rgb="FFFF0000"/>
      <sz val="11"/>
    </font>
    <font>
      <name val="Calibri"/>
      <b val="1"/>
      <color theme="1"/>
      <sz val="12"/>
    </font>
    <font>
      <name val="Calibri"/>
      <color rgb="FF333333"/>
      <sz val="10"/>
    </font>
    <font>
      <name val="Calibri"/>
      <b val="1"/>
      <color rgb="FF000000"/>
      <sz val="14"/>
    </font>
    <font>
      <name val="Calibri"/>
      <b val="1"/>
      <color rgb="FF333333"/>
      <sz val="10"/>
    </font>
    <font>
      <name val="Calibri"/>
      <color theme="0"/>
      <sz val="11"/>
    </font>
  </fonts>
  <fills count="18">
    <fill>
      <patternFill/>
    </fill>
    <fill>
      <patternFill patternType="lightGray"/>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21">
    <border/>
    <border>
      <left/>
      <right/>
      <top/>
      <bottom/>
    </border>
    <border>
      <bottom style="thin">
        <color rgb="FF1F3864"/>
      </bottom>
    </border>
    <border>
      <left/>
      <right/>
      <top/>
      <bottom style="thin">
        <color rgb="FF1F3864"/>
      </bottom>
    </border>
    <border>
      <top style="thin">
        <color rgb="FF000000"/>
      </top>
      <bottom style="double">
        <color rgb="FF000000"/>
      </bottom>
    </border>
    <border>
      <left/>
      <right/>
      <top style="thin">
        <color rgb="FF000000"/>
      </top>
      <bottom style="double">
        <color rgb="FF000000"/>
      </bottom>
    </border>
    <border>
      <left/>
      <top/>
      <bottom/>
    </border>
    <border>
      <top/>
      <bottom/>
    </border>
    <border>
      <right/>
      <top/>
      <bottom/>
    </border>
    <border>
      <top style="thin">
        <color rgb="FF000000"/>
      </top>
    </border>
    <border>
      <top style="double">
        <color rgb="FF000000"/>
      </top>
    </border>
    <border>
      <left/>
      <right/>
      <top style="double">
        <color rgb="FF000000"/>
      </top>
      <bottom/>
    </border>
    <border>
      <top style="double">
        <color rgb="FF000000"/>
      </top>
      <bottom style="double">
        <color rgb="FF000000"/>
      </bottom>
    </border>
    <border>
      <left style="thin">
        <color rgb="FFFFFFFF"/>
      </left>
      <right/>
      <top style="medium">
        <color rgb="FFFFFFFF"/>
      </top>
      <bottom style="thin">
        <color rgb="FFFFFFFF"/>
      </bottom>
    </border>
    <border>
      <left style="thin">
        <color rgb="FFFFFFFF"/>
      </left>
      <right style="thin">
        <color rgb="FFFFFFFF"/>
      </right>
      <top style="medium">
        <color rgb="FFFFFFFF"/>
      </top>
      <bottom style="thin">
        <color rgb="FFFFFFFF"/>
      </bottom>
    </border>
    <border>
      <left style="thin">
        <color rgb="FFFFFFFF"/>
      </left>
      <right/>
      <top/>
      <bottom/>
    </border>
    <border>
      <left style="thin">
        <color rgb="FFFFFFFF"/>
      </left>
      <right style="thin">
        <color rgb="FFFFFFFF"/>
      </right>
      <top/>
      <bottom/>
    </border>
    <border>
      <left style="thin">
        <color rgb="FFFFFFFF"/>
      </left>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style="thin">
        <color rgb="FFFFFFFF"/>
      </bottom>
    </border>
    <border>
      <left style="thin">
        <color rgb="FFFFFFFF"/>
      </left>
      <right style="thin">
        <color rgb="FFFFFFFF"/>
      </right>
      <top style="thin">
        <color rgb="FFFFFFFF"/>
      </top>
      <bottom style="thin">
        <color rgb="FFFFFFFF"/>
      </bottom>
    </border>
  </borders>
  <cellStyleXfs count="1">
    <xf numFmtId="0" fontId="0" fillId="0" borderId="0"/>
  </cellStyleXfs>
  <cellXfs count="284">
    <xf numFmtId="0" fontId="0" fillId="0" borderId="0" applyAlignment="1" pivotButton="0" quotePrefix="0" xfId="0">
      <alignment vertical="bottom"/>
    </xf>
    <xf numFmtId="0" fontId="1" fillId="0" borderId="0" pivotButton="0" quotePrefix="0" xfId="0"/>
    <xf numFmtId="164" fontId="1" fillId="0" borderId="0" pivotButton="0" quotePrefix="0" xfId="0"/>
    <xf numFmtId="0" fontId="1" fillId="0" borderId="0" applyAlignment="1" pivotButton="0" quotePrefix="0" xfId="0">
      <alignment horizontal="right"/>
    </xf>
    <xf numFmtId="164" fontId="1"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1" fillId="3" borderId="0" pivotButton="0" quotePrefix="0" xfId="0"/>
    <xf numFmtId="14" fontId="4" fillId="3" borderId="0" pivotButton="0" quotePrefix="0" xfId="0"/>
    <xf numFmtId="0" fontId="1" fillId="4" borderId="0" pivotButton="0" quotePrefix="0" xfId="0"/>
    <xf numFmtId="14" fontId="4" fillId="4" borderId="0" pivotButton="0" quotePrefix="0" xfId="0"/>
    <xf numFmtId="4" fontId="4" fillId="0" borderId="0" pivotButton="0" quotePrefix="0" xfId="0"/>
    <xf numFmtId="0" fontId="3" fillId="0" borderId="0" pivotButton="0" quotePrefix="0" xfId="0"/>
    <xf numFmtId="14" fontId="4" fillId="0" borderId="0" pivotButton="0" quotePrefix="0" xfId="0"/>
    <xf numFmtId="0" fontId="1" fillId="0" borderId="0" pivotButton="0" quotePrefix="0" xfId="0"/>
    <xf numFmtId="165" fontId="4" fillId="0" borderId="0" pivotButton="0" quotePrefix="0" xfId="0"/>
    <xf numFmtId="0" fontId="5" fillId="5" borderId="1" pivotButton="0" quotePrefix="0" xfId="0"/>
    <xf numFmtId="166" fontId="5" fillId="5" borderId="1" applyAlignment="1" pivotButton="0" quotePrefix="0" xfId="0">
      <alignment horizontal="center"/>
    </xf>
    <xf numFmtId="166" fontId="5" fillId="5" borderId="1" applyAlignment="1" pivotButton="0" quotePrefix="0" xfId="0">
      <alignment horizontal="center"/>
    </xf>
    <xf numFmtId="0" fontId="4" fillId="0" borderId="0" pivotButton="0" quotePrefix="0" xfId="0"/>
    <xf numFmtId="164" fontId="6" fillId="6" borderId="1" pivotButton="0" quotePrefix="0" xfId="0"/>
    <xf numFmtId="164" fontId="7" fillId="7" borderId="1" pivotButton="0" quotePrefix="0" xfId="0"/>
    <xf numFmtId="164" fontId="6" fillId="8" borderId="1" pivotButton="0" quotePrefix="0" xfId="0"/>
    <xf numFmtId="164" fontId="6" fillId="8" borderId="1" pivotButton="0" quotePrefix="0" xfId="0"/>
    <xf numFmtId="0" fontId="8" fillId="0" borderId="2" pivotButton="0" quotePrefix="0" xfId="0"/>
    <xf numFmtId="164" fontId="9" fillId="7" borderId="3" pivotButton="0" quotePrefix="0" xfId="0"/>
    <xf numFmtId="0" fontId="8" fillId="0" borderId="0" pivotButton="0" quotePrefix="0" xfId="0"/>
    <xf numFmtId="164" fontId="9" fillId="7" borderId="1" pivotButton="0" quotePrefix="0" xfId="0"/>
    <xf numFmtId="1" fontId="6" fillId="8" borderId="1" pivotButton="0" quotePrefix="0" xfId="0"/>
    <xf numFmtId="1" fontId="6" fillId="8" borderId="1" pivotButton="0" quotePrefix="0" xfId="0"/>
    <xf numFmtId="0" fontId="4" fillId="0" borderId="2" pivotButton="0" quotePrefix="0" xfId="0"/>
    <xf numFmtId="1" fontId="6" fillId="8" borderId="3" pivotButton="0" quotePrefix="0" xfId="0"/>
    <xf numFmtId="1" fontId="6" fillId="8" borderId="3" pivotButton="0" quotePrefix="0" xfId="0"/>
    <xf numFmtId="0" fontId="6" fillId="8" borderId="1" pivotButton="0" quotePrefix="0" xfId="0"/>
    <xf numFmtId="0" fontId="7" fillId="7" borderId="1" pivotButton="0" quotePrefix="0" xfId="0"/>
    <xf numFmtId="0" fontId="6" fillId="6" borderId="1" pivotButton="0" quotePrefix="0" xfId="0"/>
    <xf numFmtId="17" fontId="10" fillId="0" borderId="0" pivotButton="0" quotePrefix="0" xfId="0"/>
    <xf numFmtId="0" fontId="1" fillId="0" borderId="0" pivotButton="0" quotePrefix="0" xfId="0"/>
    <xf numFmtId="165" fontId="4" fillId="0" borderId="0" pivotButton="0" quotePrefix="0" xfId="0"/>
    <xf numFmtId="165" fontId="2" fillId="0" borderId="0" pivotButton="0" quotePrefix="0" xfId="0"/>
    <xf numFmtId="0" fontId="2" fillId="0" borderId="0" pivotButton="0" quotePrefix="0" xfId="0"/>
    <xf numFmtId="165" fontId="8" fillId="0" borderId="0" pivotButton="0" quotePrefix="0" xfId="0"/>
    <xf numFmtId="10" fontId="1" fillId="0" borderId="0" pivotButton="0" quotePrefix="0" xfId="0"/>
    <xf numFmtId="0" fontId="11" fillId="0" borderId="0" pivotButton="0" quotePrefix="0" xfId="0"/>
    <xf numFmtId="0" fontId="12" fillId="0" borderId="0" pivotButton="0" quotePrefix="0" xfId="0"/>
    <xf numFmtId="0" fontId="13" fillId="9" borderId="1" pivotButton="0" quotePrefix="0" xfId="0"/>
    <xf numFmtId="0" fontId="4" fillId="9" borderId="1" pivotButton="0" quotePrefix="0" xfId="0"/>
    <xf numFmtId="0" fontId="14" fillId="5" borderId="1" applyAlignment="1" pivotButton="0" quotePrefix="0" xfId="0">
      <alignment horizontal="center" vertical="center" wrapText="1"/>
    </xf>
    <xf numFmtId="0" fontId="15" fillId="10" borderId="1" pivotButton="0" quotePrefix="0" xfId="0"/>
    <xf numFmtId="0" fontId="16" fillId="0" borderId="0" pivotButton="0" quotePrefix="0" xfId="0"/>
    <xf numFmtId="167" fontId="16" fillId="6" borderId="1" pivotButton="0" quotePrefix="0" xfId="0"/>
    <xf numFmtId="0" fontId="15" fillId="0" borderId="4" pivotButton="0" quotePrefix="0" xfId="0"/>
    <xf numFmtId="167" fontId="15" fillId="6" borderId="5" pivotButton="0" quotePrefix="0" xfId="0"/>
    <xf numFmtId="3" fontId="4" fillId="0" borderId="0" pivotButton="0" quotePrefix="0" xfId="0"/>
    <xf numFmtId="3" fontId="1" fillId="0" borderId="0" pivotButton="0" quotePrefix="0" xfId="0"/>
    <xf numFmtId="168" fontId="4" fillId="6" borderId="1" pivotButton="0" quotePrefix="0" xfId="0"/>
    <xf numFmtId="168" fontId="4" fillId="6" borderId="5" pivotButton="0" quotePrefix="0" xfId="0"/>
    <xf numFmtId="169" fontId="4" fillId="6" borderId="1" pivotButton="0" quotePrefix="0" xfId="0"/>
    <xf numFmtId="164" fontId="4" fillId="6" borderId="1" pivotButton="0" quotePrefix="0" xfId="0"/>
    <xf numFmtId="170" fontId="4" fillId="6" borderId="1" pivotButton="0" quotePrefix="0" xfId="0"/>
    <xf numFmtId="0" fontId="17" fillId="6" borderId="6" pivotButton="0" quotePrefix="0" xfId="0"/>
    <xf numFmtId="0" fontId="18" fillId="0" borderId="7" pivotButton="0" quotePrefix="0" xfId="0"/>
    <xf numFmtId="0" fontId="18" fillId="0" borderId="8" pivotButton="0" quotePrefix="0" xfId="0"/>
    <xf numFmtId="0" fontId="19" fillId="0" borderId="0" pivotButton="0" quotePrefix="0" xfId="0"/>
    <xf numFmtId="167" fontId="20" fillId="6" borderId="1" pivotButton="0" quotePrefix="0" xfId="0"/>
    <xf numFmtId="3" fontId="20" fillId="6" borderId="1" pivotButton="0" quotePrefix="0" xfId="0"/>
    <xf numFmtId="3" fontId="20" fillId="0" borderId="0" pivotButton="0" quotePrefix="0" xfId="0"/>
    <xf numFmtId="171" fontId="20" fillId="0" borderId="0" pivotButton="0" quotePrefix="0" xfId="0"/>
    <xf numFmtId="169" fontId="20" fillId="0" borderId="0" pivotButton="0" quotePrefix="0" xfId="0"/>
    <xf numFmtId="0" fontId="21" fillId="0" borderId="0" pivotButton="0" quotePrefix="0" xfId="0"/>
    <xf numFmtId="171" fontId="15" fillId="0" borderId="4" pivotButton="0" quotePrefix="0" xfId="0"/>
    <xf numFmtId="17" fontId="14" fillId="5" borderId="1" applyAlignment="1" pivotButton="0" quotePrefix="0" xfId="0">
      <alignment horizontal="center" vertical="center" wrapText="1"/>
    </xf>
    <xf numFmtId="167" fontId="16" fillId="0" borderId="0" pivotButton="0" quotePrefix="0" xfId="0"/>
    <xf numFmtId="9" fontId="16" fillId="0" borderId="0" pivotButton="0" quotePrefix="0" xfId="0"/>
    <xf numFmtId="0" fontId="4" fillId="0" borderId="0" applyAlignment="1" pivotButton="0" quotePrefix="0" xfId="0">
      <alignment horizontal="center"/>
    </xf>
    <xf numFmtId="167" fontId="15" fillId="0" borderId="4" pivotButton="0" quotePrefix="0" xfId="0"/>
    <xf numFmtId="9" fontId="15" fillId="0" borderId="4" pivotButton="0" quotePrefix="0" xfId="0"/>
    <xf numFmtId="9" fontId="15" fillId="0" borderId="4" applyAlignment="1" pivotButton="0" quotePrefix="0" xfId="0">
      <alignment horizontal="center"/>
    </xf>
    <xf numFmtId="0" fontId="15" fillId="0" borderId="0" pivotButton="0" quotePrefix="0" xfId="0"/>
    <xf numFmtId="164" fontId="4" fillId="0" borderId="0" pivotButton="0" quotePrefix="0" xfId="0"/>
    <xf numFmtId="9" fontId="4" fillId="0" borderId="0" pivotButton="0" quotePrefix="0" xfId="0"/>
    <xf numFmtId="164" fontId="8" fillId="0" borderId="0" pivotButton="0" quotePrefix="0" xfId="0"/>
    <xf numFmtId="0" fontId="22" fillId="0" borderId="0" pivotButton="0" quotePrefix="0" xfId="0"/>
    <xf numFmtId="0" fontId="8" fillId="7" borderId="1" pivotButton="0" quotePrefix="0" xfId="0"/>
    <xf numFmtId="0" fontId="6" fillId="0" borderId="0" pivotButton="0" quotePrefix="0" xfId="0"/>
    <xf numFmtId="169" fontId="4" fillId="0" borderId="0" pivotButton="0" quotePrefix="0" xfId="0"/>
    <xf numFmtId="168" fontId="4" fillId="0" borderId="0" pivotButton="0" quotePrefix="0" xfId="0"/>
    <xf numFmtId="0" fontId="23" fillId="0" borderId="0" pivotButton="0" quotePrefix="0" xfId="0"/>
    <xf numFmtId="0" fontId="24" fillId="0" borderId="0" pivotButton="0" quotePrefix="0" xfId="0"/>
    <xf numFmtId="0" fontId="14" fillId="5" borderId="1" applyAlignment="1" pivotButton="0" quotePrefix="0" xfId="0">
      <alignment horizontal="center"/>
    </xf>
    <xf numFmtId="49" fontId="16" fillId="0" borderId="0" pivotButton="0" quotePrefix="0" xfId="0"/>
    <xf numFmtId="0" fontId="25" fillId="0" borderId="0" applyAlignment="1" pivotButton="0" quotePrefix="0" xfId="0">
      <alignment horizontal="center"/>
    </xf>
    <xf numFmtId="0" fontId="15" fillId="0" borderId="9" pivotButton="0" quotePrefix="0" xfId="0"/>
    <xf numFmtId="167" fontId="15" fillId="0" borderId="9" pivotButton="0" quotePrefix="0" xfId="0"/>
    <xf numFmtId="9" fontId="15" fillId="0" borderId="9" pivotButton="0" quotePrefix="0" xfId="0"/>
    <xf numFmtId="0" fontId="15" fillId="0" borderId="9" applyAlignment="1" pivotButton="0" quotePrefix="0" xfId="0">
      <alignment horizontal="center"/>
    </xf>
    <xf numFmtId="0" fontId="15" fillId="0" borderId="10" pivotButton="0" quotePrefix="0" xfId="0"/>
    <xf numFmtId="167" fontId="15" fillId="0" borderId="10" pivotButton="0" quotePrefix="0" xfId="0"/>
    <xf numFmtId="9" fontId="15" fillId="0" borderId="10" pivotButton="0" quotePrefix="0" xfId="0"/>
    <xf numFmtId="0" fontId="15" fillId="0" borderId="10" applyAlignment="1" pivotButton="0" quotePrefix="0" xfId="0">
      <alignment horizontal="center"/>
    </xf>
    <xf numFmtId="171" fontId="15" fillId="0" borderId="0" pivotButton="0" quotePrefix="0" xfId="0"/>
    <xf numFmtId="9" fontId="15" fillId="0" borderId="0" pivotButton="0" quotePrefix="0" xfId="0"/>
    <xf numFmtId="0" fontId="15" fillId="0" borderId="0" applyAlignment="1" pivotButton="0" quotePrefix="0" xfId="0">
      <alignment horizontal="center"/>
    </xf>
    <xf numFmtId="0" fontId="4" fillId="0" borderId="10" pivotButton="0" quotePrefix="0" xfId="0"/>
    <xf numFmtId="164" fontId="8" fillId="0" borderId="9" pivotButton="0" quotePrefix="0" xfId="0"/>
    <xf numFmtId="9" fontId="4" fillId="0" borderId="9" pivotButton="0" quotePrefix="0" xfId="0"/>
    <xf numFmtId="0" fontId="4" fillId="0" borderId="9" applyAlignment="1" pivotButton="0" quotePrefix="0" xfId="0">
      <alignment horizontal="center"/>
    </xf>
    <xf numFmtId="9" fontId="4" fillId="8" borderId="11" pivotButton="0" quotePrefix="0" xfId="0"/>
    <xf numFmtId="9" fontId="4" fillId="0" borderId="10" pivotButton="0" quotePrefix="0" xfId="0"/>
    <xf numFmtId="0" fontId="4" fillId="0" borderId="10" applyAlignment="1" pivotButton="0" quotePrefix="0" xfId="0">
      <alignment horizontal="center"/>
    </xf>
    <xf numFmtId="9" fontId="8" fillId="0" borderId="9" pivotButton="0" quotePrefix="0" xfId="0"/>
    <xf numFmtId="0" fontId="15" fillId="0" borderId="12" pivotButton="0" quotePrefix="0" xfId="0"/>
    <xf numFmtId="164" fontId="8" fillId="0" borderId="12" pivotButton="0" quotePrefix="0" xfId="0"/>
    <xf numFmtId="9" fontId="8" fillId="0" borderId="12" pivotButton="0" quotePrefix="0" xfId="0"/>
    <xf numFmtId="0" fontId="4" fillId="0" borderId="12" applyAlignment="1" pivotButton="0" quotePrefix="0" xfId="0">
      <alignment horizontal="center"/>
    </xf>
    <xf numFmtId="0" fontId="26" fillId="0" borderId="0" pivotButton="0" quotePrefix="0" xfId="0"/>
    <xf numFmtId="0" fontId="27" fillId="0" borderId="0" pivotButton="0" quotePrefix="0" xfId="0"/>
    <xf numFmtId="2" fontId="6" fillId="0" borderId="0" pivotButton="0" quotePrefix="0" xfId="0"/>
    <xf numFmtId="0" fontId="14" fillId="5" borderId="1" pivotButton="0" quotePrefix="0" xfId="0"/>
    <xf numFmtId="0" fontId="4" fillId="5" borderId="1" pivotButton="0" quotePrefix="0" xfId="0"/>
    <xf numFmtId="0" fontId="28" fillId="5" borderId="1" applyAlignment="1" pivotButton="0" quotePrefix="0" xfId="0">
      <alignment horizontal="center"/>
    </xf>
    <xf numFmtId="15" fontId="29" fillId="8" borderId="1" pivotButton="0" quotePrefix="0" xfId="0"/>
    <xf numFmtId="0" fontId="30" fillId="0" borderId="0" pivotButton="0" quotePrefix="0" xfId="0"/>
    <xf numFmtId="49" fontId="29" fillId="8" borderId="1" pivotButton="0" quotePrefix="0" xfId="0"/>
    <xf numFmtId="15" fontId="31" fillId="7" borderId="1" pivotButton="0" quotePrefix="0" xfId="0"/>
    <xf numFmtId="164" fontId="1" fillId="0" borderId="0" pivotButton="0" quotePrefix="0" xfId="0"/>
    <xf numFmtId="172" fontId="4" fillId="0" borderId="0" pivotButton="0" quotePrefix="0" xfId="0"/>
    <xf numFmtId="1" fontId="6" fillId="0" borderId="0" pivotButton="0" quotePrefix="0" xfId="0"/>
    <xf numFmtId="1" fontId="4" fillId="0" borderId="0" pivotButton="0" quotePrefix="0" xfId="0"/>
    <xf numFmtId="10" fontId="4" fillId="0" borderId="0" pivotButton="0" quotePrefix="0" xfId="0"/>
    <xf numFmtId="0" fontId="32" fillId="11" borderId="1" pivotButton="0" quotePrefix="0" xfId="0"/>
    <xf numFmtId="0" fontId="7" fillId="12" borderId="1" pivotButton="0" quotePrefix="0" xfId="0"/>
    <xf numFmtId="0" fontId="9" fillId="12" borderId="1" pivotButton="0" quotePrefix="0" xfId="0"/>
    <xf numFmtId="0" fontId="33" fillId="12" borderId="1" pivotButton="0" quotePrefix="0" xfId="0"/>
    <xf numFmtId="173" fontId="16" fillId="0" borderId="0" pivotButton="0" quotePrefix="0" xfId="0"/>
    <xf numFmtId="173" fontId="15" fillId="0" borderId="0" pivotButton="0" quotePrefix="0" xfId="0"/>
    <xf numFmtId="167" fontId="4" fillId="0" borderId="0" pivotButton="0" quotePrefix="0" xfId="0"/>
    <xf numFmtId="174" fontId="16" fillId="0" borderId="0" pivotButton="0" quotePrefix="0" xfId="0"/>
    <xf numFmtId="2" fontId="4" fillId="0" borderId="0" pivotButton="0" quotePrefix="0" xfId="0"/>
    <xf numFmtId="0" fontId="14" fillId="5" borderId="1" applyAlignment="1" pivotButton="0" quotePrefix="0" xfId="0">
      <alignment horizontal="center"/>
    </xf>
    <xf numFmtId="15" fontId="29" fillId="8" borderId="1" pivotButton="0" quotePrefix="0" xfId="0"/>
    <xf numFmtId="49" fontId="29" fillId="8" borderId="1" pivotButton="0" quotePrefix="0" xfId="0"/>
    <xf numFmtId="164" fontId="4" fillId="0" borderId="0" pivotButton="0" quotePrefix="0" xfId="0"/>
    <xf numFmtId="0" fontId="22" fillId="0" borderId="0" pivotButton="0" quotePrefix="0" xfId="0"/>
    <xf numFmtId="0" fontId="4" fillId="0" borderId="0" pivotButton="0" quotePrefix="0" xfId="0"/>
    <xf numFmtId="0" fontId="27" fillId="0" borderId="0" pivotButton="0" quotePrefix="0" xfId="0"/>
    <xf numFmtId="0" fontId="7" fillId="12" borderId="1" pivotButton="0" quotePrefix="0" xfId="0"/>
    <xf numFmtId="0" fontId="34" fillId="0" borderId="0" pivotButton="0" quotePrefix="0" xfId="0"/>
    <xf numFmtId="171" fontId="4" fillId="0" borderId="0" pivotButton="0" quotePrefix="0" xfId="0"/>
    <xf numFmtId="175" fontId="15" fillId="0" borderId="4" pivotButton="0" quotePrefix="0" xfId="0"/>
    <xf numFmtId="0" fontId="13" fillId="10" borderId="1" pivotButton="0" quotePrefix="0" xfId="0"/>
    <xf numFmtId="0" fontId="4" fillId="10" borderId="1" pivotButton="0" quotePrefix="0" xfId="0"/>
    <xf numFmtId="0" fontId="35" fillId="0" borderId="0" pivotButton="0" quotePrefix="0" xfId="0"/>
    <xf numFmtId="0" fontId="14" fillId="13" borderId="1" applyAlignment="1" pivotButton="0" quotePrefix="0" xfId="0">
      <alignment horizontal="center" vertical="center" wrapText="1"/>
    </xf>
    <xf numFmtId="167" fontId="4" fillId="6" borderId="1" pivotButton="0" quotePrefix="0" xfId="0"/>
    <xf numFmtId="0" fontId="4" fillId="6" borderId="1" pivotButton="0" quotePrefix="0" xfId="0"/>
    <xf numFmtId="169" fontId="16" fillId="0" borderId="0" pivotButton="0" quotePrefix="0" xfId="0"/>
    <xf numFmtId="3" fontId="16" fillId="0" borderId="0" pivotButton="0" quotePrefix="0" xfId="0"/>
    <xf numFmtId="3" fontId="4" fillId="6" borderId="1" pivotButton="0" quotePrefix="0" xfId="0"/>
    <xf numFmtId="0" fontId="36" fillId="0" borderId="0" pivotButton="0" quotePrefix="0" xfId="0"/>
    <xf numFmtId="0" fontId="5" fillId="7" borderId="1" pivotButton="0" quotePrefix="0" xfId="0"/>
    <xf numFmtId="176" fontId="10" fillId="0" borderId="0" applyAlignment="1" pivotButton="0" quotePrefix="0" xfId="0">
      <alignment horizontal="center"/>
    </xf>
    <xf numFmtId="0" fontId="5" fillId="14" borderId="1" applyAlignment="1" pivotButton="0" quotePrefix="0" xfId="0">
      <alignment horizontal="center"/>
    </xf>
    <xf numFmtId="177" fontId="10" fillId="14" borderId="1" applyAlignment="1" pivotButton="0" quotePrefix="0" xfId="0">
      <alignment horizontal="center"/>
    </xf>
    <xf numFmtId="2" fontId="1" fillId="0" borderId="0" pivotButton="0" quotePrefix="0" xfId="0"/>
    <xf numFmtId="164" fontId="4" fillId="0" borderId="0" pivotButton="0" quotePrefix="0" xfId="0"/>
    <xf numFmtId="164" fontId="4" fillId="3" borderId="1" pivotButton="0" quotePrefix="0" xfId="0"/>
    <xf numFmtId="167" fontId="4" fillId="3" borderId="0" pivotButton="0" quotePrefix="0" xfId="0"/>
    <xf numFmtId="1" fontId="4" fillId="0" borderId="0" pivotButton="0" quotePrefix="0" xfId="0"/>
    <xf numFmtId="1" fontId="1" fillId="0" borderId="0" pivotButton="0" quotePrefix="0" xfId="0"/>
    <xf numFmtId="1" fontId="4" fillId="15" borderId="1" pivotButton="0" quotePrefix="0" xfId="0"/>
    <xf numFmtId="1" fontId="4" fillId="15" borderId="0" pivotButton="0" quotePrefix="0" xfId="0"/>
    <xf numFmtId="178" fontId="1" fillId="0" borderId="0" pivotButton="0" quotePrefix="0" xfId="0"/>
    <xf numFmtId="164" fontId="4" fillId="3" borderId="0" pivotButton="0" quotePrefix="0" xfId="0"/>
    <xf numFmtId="169" fontId="4" fillId="0" borderId="0" pivotButton="0" quotePrefix="0" xfId="0"/>
    <xf numFmtId="169" fontId="4" fillId="15" borderId="1" pivotButton="0" quotePrefix="0" xfId="0"/>
    <xf numFmtId="169" fontId="4" fillId="15" borderId="0" pivotButton="0" quotePrefix="0" xfId="0"/>
    <xf numFmtId="169" fontId="1" fillId="0" borderId="0" pivotButton="0" quotePrefix="0" xfId="0"/>
    <xf numFmtId="169" fontId="4" fillId="3" borderId="1" pivotButton="0" quotePrefix="0" xfId="0"/>
    <xf numFmtId="169" fontId="4" fillId="3" borderId="0" pivotButton="0" quotePrefix="0" xfId="0"/>
    <xf numFmtId="0" fontId="4" fillId="0" borderId="0" pivotButton="0" quotePrefix="0" xfId="0"/>
    <xf numFmtId="0" fontId="4" fillId="3" borderId="1" applyAlignment="1" pivotButton="0" quotePrefix="0" xfId="0">
      <alignment horizontal="center"/>
    </xf>
    <xf numFmtId="2" fontId="4" fillId="3" borderId="0" applyAlignment="1" pivotButton="0" quotePrefix="0" xfId="0">
      <alignment horizontal="right"/>
    </xf>
    <xf numFmtId="168" fontId="4" fillId="0" borderId="0" pivotButton="0" quotePrefix="0" xfId="0"/>
    <xf numFmtId="168" fontId="4" fillId="15" borderId="1" pivotButton="0" quotePrefix="0" xfId="0"/>
    <xf numFmtId="168" fontId="4" fillId="15" borderId="0" pivotButton="0" quotePrefix="0" xfId="0"/>
    <xf numFmtId="168" fontId="4" fillId="3" borderId="1" pivotButton="0" quotePrefix="0" xfId="0"/>
    <xf numFmtId="168" fontId="4" fillId="3" borderId="0" pivotButton="0" quotePrefix="0" xfId="0"/>
    <xf numFmtId="0" fontId="4" fillId="16" borderId="1" pivotButton="0" quotePrefix="0" xfId="0"/>
    <xf numFmtId="0" fontId="4" fillId="16" borderId="1" applyAlignment="1" pivotButton="0" quotePrefix="0" xfId="0">
      <alignment horizontal="center"/>
    </xf>
    <xf numFmtId="168" fontId="23" fillId="16" borderId="1" applyAlignment="1" pivotButton="0" quotePrefix="0" xfId="0">
      <alignment horizontal="center"/>
    </xf>
    <xf numFmtId="0" fontId="23" fillId="16" borderId="0" applyAlignment="1" pivotButton="0" quotePrefix="0" xfId="0">
      <alignment horizontal="center"/>
    </xf>
    <xf numFmtId="164" fontId="23" fillId="16" borderId="1" applyAlignment="1" pivotButton="0" quotePrefix="0" xfId="0">
      <alignment horizontal="center"/>
    </xf>
    <xf numFmtId="179" fontId="1" fillId="0" borderId="0" pivotButton="0" quotePrefix="0" xfId="0"/>
    <xf numFmtId="180" fontId="23" fillId="16" borderId="1" applyAlignment="1" pivotButton="0" quotePrefix="0" xfId="0">
      <alignment horizontal="center"/>
    </xf>
    <xf numFmtId="179" fontId="23" fillId="16" borderId="1" applyAlignment="1" pivotButton="0" quotePrefix="0" xfId="0">
      <alignment horizontal="center"/>
    </xf>
    <xf numFmtId="0" fontId="23" fillId="16" borderId="6" applyAlignment="1" pivotButton="0" quotePrefix="0" xfId="0">
      <alignment horizontal="center" wrapText="1"/>
    </xf>
    <xf numFmtId="0" fontId="4" fillId="0" borderId="0" applyAlignment="1" pivotButton="0" quotePrefix="0" xfId="0">
      <alignment wrapText="1"/>
    </xf>
    <xf numFmtId="17" fontId="4" fillId="0" borderId="0" applyAlignment="1" pivotButton="0" quotePrefix="0" xfId="0">
      <alignment horizontal="left"/>
    </xf>
    <xf numFmtId="0" fontId="4" fillId="3" borderId="1" pivotButton="0" quotePrefix="0" xfId="0"/>
    <xf numFmtId="0" fontId="4" fillId="15" borderId="1" pivotButton="0" quotePrefix="0" xfId="0"/>
    <xf numFmtId="164" fontId="4" fillId="15" borderId="1" pivotButton="0" quotePrefix="0" xfId="0"/>
    <xf numFmtId="0" fontId="7" fillId="3" borderId="13" pivotButton="0" quotePrefix="0" xfId="0"/>
    <xf numFmtId="164" fontId="7" fillId="3" borderId="14" pivotButton="0" quotePrefix="0" xfId="0"/>
    <xf numFmtId="164" fontId="7" fillId="3" borderId="13" pivotButton="0" quotePrefix="0" xfId="0"/>
    <xf numFmtId="0" fontId="7" fillId="15" borderId="15" pivotButton="0" quotePrefix="0" xfId="0"/>
    <xf numFmtId="164" fontId="7" fillId="15" borderId="16" pivotButton="0" quotePrefix="0" xfId="0"/>
    <xf numFmtId="164" fontId="7" fillId="15" borderId="15" pivotButton="0" quotePrefix="0" xfId="0"/>
    <xf numFmtId="0" fontId="7" fillId="3" borderId="17" pivotButton="0" quotePrefix="0" xfId="0"/>
    <xf numFmtId="164" fontId="7" fillId="3" borderId="18" pivotButton="0" quotePrefix="0" xfId="0"/>
    <xf numFmtId="164" fontId="7" fillId="3" borderId="17" pivotButton="0" quotePrefix="0" xfId="0"/>
    <xf numFmtId="0" fontId="7" fillId="15" borderId="17" pivotButton="0" quotePrefix="0" xfId="0"/>
    <xf numFmtId="164" fontId="7" fillId="15" borderId="18" pivotButton="0" quotePrefix="0" xfId="0"/>
    <xf numFmtId="164" fontId="7" fillId="15" borderId="17" pivotButton="0" quotePrefix="0" xfId="0"/>
    <xf numFmtId="0" fontId="7" fillId="3" borderId="19" pivotButton="0" quotePrefix="0" xfId="0"/>
    <xf numFmtId="164" fontId="7" fillId="3" borderId="20" pivotButton="0" quotePrefix="0" xfId="0"/>
    <xf numFmtId="164" fontId="7" fillId="3" borderId="19" pivotButton="0" quotePrefix="0" xfId="0"/>
    <xf numFmtId="0" fontId="1" fillId="0" borderId="0" applyAlignment="1" pivotButton="0" quotePrefix="0" xfId="0">
      <alignment horizontal="left" vertical="center"/>
    </xf>
    <xf numFmtId="179" fontId="4" fillId="0" borderId="0" applyAlignment="1" pivotButton="0" quotePrefix="0" xfId="0">
      <alignment horizontal="left" vertical="center"/>
    </xf>
    <xf numFmtId="0" fontId="8" fillId="0" borderId="0" applyAlignment="1" pivotButton="0" quotePrefix="0" xfId="0">
      <alignment horizontal="left" vertical="center"/>
    </xf>
    <xf numFmtId="0" fontId="1" fillId="0" borderId="0" applyAlignment="1" pivotButton="0" quotePrefix="0" xfId="0">
      <alignment vertical="center"/>
    </xf>
    <xf numFmtId="17" fontId="4" fillId="0" borderId="0" applyAlignment="1" pivotButton="0" quotePrefix="0" xfId="0">
      <alignment vertical="center"/>
    </xf>
    <xf numFmtId="14" fontId="4" fillId="0" borderId="0" applyAlignment="1" pivotButton="0" quotePrefix="0" xfId="0">
      <alignment vertical="center"/>
    </xf>
    <xf numFmtId="179" fontId="4" fillId="0" borderId="0" applyAlignment="1" pivotButton="0" quotePrefix="0" xfId="0">
      <alignment vertical="center"/>
    </xf>
    <xf numFmtId="0" fontId="1" fillId="0" borderId="0" applyAlignment="1" pivotButton="0" quotePrefix="0" xfId="0">
      <alignment vertical="center"/>
    </xf>
    <xf numFmtId="14" fontId="1" fillId="0" borderId="0" applyAlignment="1" pivotButton="0" quotePrefix="0" xfId="0">
      <alignment vertical="center"/>
    </xf>
    <xf numFmtId="0" fontId="4" fillId="0" borderId="0" applyAlignment="1" pivotButton="0" quotePrefix="0" xfId="0">
      <alignment vertical="center"/>
    </xf>
    <xf numFmtId="181" fontId="1" fillId="0" borderId="0" pivotButton="0" quotePrefix="0" xfId="0"/>
    <xf numFmtId="179" fontId="4" fillId="0" borderId="0" pivotButton="0" quotePrefix="0" xfId="0"/>
    <xf numFmtId="0" fontId="1" fillId="0" borderId="0" pivotButton="0" quotePrefix="0" xfId="0"/>
    <xf numFmtId="182" fontId="4" fillId="0" borderId="0" applyAlignment="1" pivotButton="0" quotePrefix="0" xfId="0">
      <alignment vertical="center"/>
    </xf>
    <xf numFmtId="165" fontId="4" fillId="0" borderId="0" applyAlignment="1" pivotButton="0" quotePrefix="0" xfId="0">
      <alignment vertical="center"/>
    </xf>
    <xf numFmtId="165" fontId="37" fillId="0" borderId="0" applyAlignment="1" pivotButton="0" quotePrefix="0" xfId="0">
      <alignment vertical="center"/>
    </xf>
    <xf numFmtId="165" fontId="4" fillId="0" borderId="0" pivotButton="0" quotePrefix="0" xfId="0"/>
    <xf numFmtId="0" fontId="38" fillId="0" borderId="0" pivotButton="0" quotePrefix="0" xfId="0"/>
    <xf numFmtId="166" fontId="8" fillId="0" borderId="0" pivotButton="0" quotePrefix="0" xfId="0"/>
    <xf numFmtId="166" fontId="8" fillId="0" borderId="0" pivotButton="0" quotePrefix="0" xfId="0"/>
    <xf numFmtId="0" fontId="8" fillId="10" borderId="1" pivotButton="0" quotePrefix="0" xfId="0"/>
    <xf numFmtId="3" fontId="7" fillId="10" borderId="1" pivotButton="0" quotePrefix="0" xfId="0"/>
    <xf numFmtId="3" fontId="4" fillId="10" borderId="0" pivotButton="0" quotePrefix="0" xfId="0"/>
    <xf numFmtId="3" fontId="4" fillId="10" borderId="1" pivotButton="0" quotePrefix="0" xfId="0"/>
    <xf numFmtId="169" fontId="4" fillId="10" borderId="1" pivotButton="0" quotePrefix="0" xfId="0"/>
    <xf numFmtId="169" fontId="4" fillId="10" borderId="0" pivotButton="0" quotePrefix="0" xfId="0"/>
    <xf numFmtId="0" fontId="39" fillId="0" borderId="0" applyAlignment="1" pivotButton="0" quotePrefix="0" xfId="0">
      <alignment vertical="top" wrapText="1"/>
    </xf>
    <xf numFmtId="0" fontId="40" fillId="0" borderId="0" pivotButton="0" quotePrefix="0" xfId="0"/>
    <xf numFmtId="0" fontId="5" fillId="17" borderId="1" pivotButton="0" quotePrefix="0" xfId="0"/>
    <xf numFmtId="0" fontId="4" fillId="17" borderId="1" pivotButton="0" quotePrefix="0" xfId="0"/>
    <xf numFmtId="0" fontId="9" fillId="0" borderId="0" pivotButton="0" quotePrefix="0" xfId="0"/>
    <xf numFmtId="3" fontId="7" fillId="0" borderId="0" applyAlignment="1" pivotButton="0" quotePrefix="0" xfId="0">
      <alignment horizontal="right"/>
    </xf>
    <xf numFmtId="183" fontId="7" fillId="0" borderId="0" applyAlignment="1" pivotButton="0" quotePrefix="0" xfId="0">
      <alignment horizontal="right"/>
    </xf>
    <xf numFmtId="0" fontId="7" fillId="0" borderId="0" pivotButton="0" quotePrefix="0" xfId="0"/>
    <xf numFmtId="3" fontId="4" fillId="0" borderId="0" applyAlignment="1" pivotButton="0" quotePrefix="0" xfId="0">
      <alignment horizontal="right"/>
    </xf>
    <xf numFmtId="3" fontId="8" fillId="0" borderId="0" applyAlignment="1" pivotButton="0" quotePrefix="0" xfId="0">
      <alignment horizontal="right"/>
    </xf>
    <xf numFmtId="165" fontId="8" fillId="0" borderId="0" pivotButton="0" quotePrefix="0" xfId="0"/>
    <xf numFmtId="169" fontId="7" fillId="0" borderId="0" applyAlignment="1" pivotButton="0" quotePrefix="0" xfId="0">
      <alignment horizontal="right"/>
    </xf>
    <xf numFmtId="183" fontId="4" fillId="0" borderId="0" applyAlignment="1" pivotButton="0" quotePrefix="0" xfId="0">
      <alignment horizontal="right"/>
    </xf>
    <xf numFmtId="169" fontId="4" fillId="0" borderId="0" applyAlignment="1" pivotButton="0" quotePrefix="0" xfId="0">
      <alignment horizontal="right"/>
    </xf>
    <xf numFmtId="179" fontId="7" fillId="0" borderId="0" applyAlignment="1" pivotButton="0" quotePrefix="0" xfId="0">
      <alignment horizontal="right"/>
    </xf>
    <xf numFmtId="0" fontId="9" fillId="10" borderId="1" pivotButton="0" quotePrefix="0" xfId="0"/>
    <xf numFmtId="183" fontId="7" fillId="10" borderId="1" applyAlignment="1" pivotButton="0" quotePrefix="0" xfId="0">
      <alignment horizontal="right"/>
    </xf>
    <xf numFmtId="0" fontId="41" fillId="0" borderId="0" applyAlignment="1" pivotButton="0" quotePrefix="0" xfId="0">
      <alignment wrapText="1"/>
    </xf>
    <xf numFmtId="0" fontId="5" fillId="17" borderId="6" pivotButton="0" quotePrefix="0" xfId="0"/>
    <xf numFmtId="0" fontId="42" fillId="0" borderId="0" pivotButton="0" quotePrefix="0" xfId="0"/>
    <xf numFmtId="49" fontId="7" fillId="0" borderId="0" pivotButton="0" quotePrefix="0" xfId="0"/>
    <xf numFmtId="183" fontId="7" fillId="0" borderId="0" pivotButton="0" quotePrefix="0" xfId="0"/>
    <xf numFmtId="3" fontId="7" fillId="0" borderId="0" pivotButton="0" quotePrefix="0" xfId="0"/>
    <xf numFmtId="49" fontId="9" fillId="0" borderId="0" pivotButton="0" quotePrefix="0" xfId="0"/>
    <xf numFmtId="183" fontId="8" fillId="0" borderId="0" pivotButton="0" quotePrefix="0" xfId="0"/>
    <xf numFmtId="3" fontId="8" fillId="0" borderId="0" pivotButton="0" quotePrefix="0" xfId="0"/>
    <xf numFmtId="0" fontId="9" fillId="8" borderId="1" pivotButton="0" quotePrefix="0" xfId="0"/>
    <xf numFmtId="0" fontId="4" fillId="8" borderId="1" applyAlignment="1" pivotButton="0" quotePrefix="0" xfId="0">
      <alignment horizontal="right"/>
    </xf>
    <xf numFmtId="0" fontId="7" fillId="8" borderId="1" pivotButton="0" quotePrefix="0" xfId="0"/>
    <xf numFmtId="184" fontId="7" fillId="10" borderId="1" applyAlignment="1" pivotButton="0" quotePrefix="0" xfId="0">
      <alignment horizontal="right"/>
    </xf>
    <xf numFmtId="0" fontId="7" fillId="10" borderId="1" pivotButton="0" quotePrefix="0" xfId="0"/>
    <xf numFmtId="184" fontId="7" fillId="0" borderId="0" applyAlignment="1" pivotButton="0" quotePrefix="0" xfId="0">
      <alignment horizontal="right"/>
    </xf>
    <xf numFmtId="185" fontId="7" fillId="10" borderId="1" applyAlignment="1" pivotButton="0" quotePrefix="0" xfId="0">
      <alignment horizontal="right"/>
    </xf>
    <xf numFmtId="185" fontId="7" fillId="0" borderId="0" applyAlignment="1" pivotButton="0" quotePrefix="0" xfId="0">
      <alignment horizontal="right"/>
    </xf>
    <xf numFmtId="0" fontId="39" fillId="0" borderId="0" applyAlignment="1" pivotButton="0" quotePrefix="0" xfId="0">
      <alignment wrapText="1"/>
    </xf>
    <xf numFmtId="164" fontId="7" fillId="0" borderId="0" pivotButton="0" quotePrefix="0" xfId="0"/>
    <xf numFmtId="9" fontId="7" fillId="0" borderId="0" pivotButton="0" quotePrefix="0" xfId="0"/>
    <xf numFmtId="0" fontId="0" fillId="0" borderId="0" pivotButton="0" quotePrefix="0" xfId="0"/>
    <xf numFmtId="0" fontId="17" fillId="6" borderId="1" pivotButton="0" quotePrefix="0" xfId="0"/>
    <xf numFmtId="0" fontId="23" fillId="16" borderId="1" applyAlignment="1" pivotButton="0" quotePrefix="0" xfId="0">
      <alignment horizontal="center" wrapText="1"/>
    </xf>
  </cellXfs>
  <cellStyles count="1">
    <cellStyle name="Normal" xfId="0" builtinId="0"/>
  </cellStyles>
  <dxfs count="9">
    <dxf>
      <font/>
      <fill>
        <patternFill/>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theme="0"/>
          <bgColor theme="0"/>
        </patternFill>
      </fill>
      <border/>
    </dxf>
  </dxfs>
  <tableStyles count="11" defaultTableStyle="TableStyleMedium9" defaultPivotStyle="PivotStyleLight16">
    <tableStyle name="bank_statement_jan_2026-style" pivot="0" count="3">
      <tableStyleElement type="headerRow" dxfId="1"/>
      <tableStyleElement type="firstRowStripe" dxfId="2"/>
      <tableStyleElement type="secondRowStripe" dxfId="3"/>
    </tableStyle>
    <tableStyle name="bank_statement_feb_2026-style" pivot="0" count="3">
      <tableStyleElement type="headerRow" dxfId="1"/>
      <tableStyleElement type="firstRowStripe" dxfId="2"/>
      <tableStyleElement type="secondRowStripe" dxfId="3"/>
    </tableStyle>
    <tableStyle name="Billing Reconciliation-style" pivot="0" count="3">
      <tableStyleElement type="headerRow" dxfId="1"/>
      <tableStyleElement type="firstRowStripe" dxfId="2"/>
      <tableStyleElement type="secondRowStripe" dxfId="3"/>
    </tableStyle>
    <tableStyle name="Billing Reconciliation-style 2" pivot="0" count="3">
      <tableStyleElement type="headerRow" dxfId="1"/>
      <tableStyleElement type="firstRowStripe" dxfId="2"/>
      <tableStyleElement type="secondRowStripe" dxfId="3"/>
    </tableStyle>
    <tableStyle name="Billing Reconciliation-style 3" pivot="0" count="3">
      <tableStyleElement type="headerRow" dxfId="1"/>
      <tableStyleElement type="firstRowStripe" dxfId="2"/>
      <tableStyleElement type="secondRowStripe" dxfId="3"/>
    </tableStyle>
    <tableStyle name="KPI Tracker-style" pivot="0" count="3">
      <tableStyleElement type="headerRow" dxfId="1"/>
      <tableStyleElement type="firstRowStripe" dxfId="2"/>
      <tableStyleElement type="secondRowStripe" dxfId="3"/>
    </tableStyle>
    <tableStyle name="Waterfall Data-style" pivot="0" count="3">
      <tableStyleElement type="headerRow" dxfId="1"/>
      <tableStyleElement type="firstRowStripe" dxfId="2"/>
      <tableStyleElement type="secondRowStripe" dxfId="3"/>
    </tableStyle>
    <tableStyle name="Engine-style" pivot="0" count="4">
      <tableStyleElement type="headerRow" dxfId="4"/>
      <tableStyleElement type="firstRowStripe" dxfId="5"/>
      <tableStyleElement type="secondRowStripe" dxfId="6"/>
      <tableStyleElement type="wholeTable" size="0" dxfId="7"/>
    </tableStyle>
    <tableStyle name="Waterfall-style" pivot="0" count="4">
      <tableStyleElement type="headerRow" dxfId="4"/>
      <tableStyleElement type="firstRowStripe" dxfId="5"/>
      <tableStyleElement type="secondRowStripe" dxfId="6"/>
      <tableStyleElement type="wholeTable" size="0" dxfId="7"/>
    </tableStyle>
    <tableStyle name="Unit Economics-style" pivot="0" count="3">
      <tableStyleElement type="headerRow" dxfId="1"/>
      <tableStyleElement type="firstRowStripe" dxfId="3"/>
      <tableStyleElement type="secondRowStripe" dxfId="8"/>
    </tableStyle>
    <tableStyle name="Ref-style" pivot="0" count="3">
      <tableStyleElement type="headerRow" dxfId="1"/>
      <tableStyleElement type="firstRowStripe" dxfId="3"/>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None</author>
  </authors>
  <commentList>
    <comment ref="B28" authorId="0" shapeId="0">
      <text>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text>
    </comment>
    <comment ref="C28" authorId="0" shapeId="0">
      <text>
        <t>======
ID#AAAB9jjNMq8
Michael Bezrukov    (2026-06-14 19:59:12)
PREDICTION — not sourced from any table. Estimated: ~27% of Q2 2024 revenue ($107,967). S&amp;M ratio declining as company scales into its go-to-market motion.</t>
      </text>
    </comment>
    <comment ref="D28" authorId="0" shapeId="0">
      <text>
        <t>======
ID#AAAB9jjNMq4
Michael Bezrukov    (2026-06-14 19:59:12)
PREDICTION — not sourced from any table. Estimated: ~25% of Q3 2024 revenue ($191,126). Continued ramp in absolute spend as customer acquisition accelerates.</t>
      </text>
    </comment>
    <comment ref="E28" authorId="0" shapeId="0">
      <text>
        <t>======
ID#AAAB9jjNMqE
Michael Bezrukov    (2026-06-14 19:59:12)
PREDICTION — not sourced from any table. Estimated: ~23% of Q4 2024 revenue ($273,371). Approaching 2025 efficiency levels as the sales motion matures.</t>
      </text>
    </comment>
    <comment ref="B29" authorId="0" shapeId="0">
      <text>
        <t>======
ID#AAAB9jjNMps
Michael Bezrukov    (2026-06-14 19:59:12)
PREDICTION — not sourced from any table. Estimated: ~24% of Q1 2024 revenue. Early-stage SaaS R&amp;D typically runs 20-30% of revenue; used 24% for Q1 when team is small and product is early.</t>
      </text>
    </comment>
    <comment ref="C29" authorId="0" shapeId="0">
      <text>
        <t>======
ID#AAAB9jjNMpQ
Michael Bezrukov    (2026-06-14 19:59:12)
PREDICTION — not sourced from any table. Estimated: ~23% of Q2 2024 revenue. R&amp;D spend growing in absolute terms as engineering team expands but declining as % of revenue.</t>
      </text>
    </comment>
    <comment ref="D29" authorId="0" shapeId="0">
      <text>
        <t>======
ID#AAAB9jjNMpk
Michael Bezrukov    (2026-06-14 19:59:12)
PREDICTION — not sourced from any table. Estimated: ~22% of Q3 2024 revenue. Product development accelerating alongside customer growth.</t>
      </text>
    </comment>
    <comment ref="E29" authorId="0" shapeId="0">
      <text>
        <t>======
ID#AAAB9jjNMoU
Michael Bezrukov    (2026-06-14 19:59:12)
PREDICTION — not sourced from any table. Estimated: ~21% of Q4 2024 revenue. R&amp;D scaling with revenue, consistent with trajectory into 2025.</t>
      </text>
    </comment>
    <comment ref="F29" authorId="0" shapeId="0">
      <text>
        <t>======
ID#AAAB9jjNMrA
Michael Bezrukov    (2026-06-14 19:59:12)
PREDICTION — not sourced from any table. Estimated: ~16% of Q1 2025 revenue ($379,619), stepping up from Q4 2024 R&amp;D ($57,000) as engineering team grows heading into 2025.</t>
      </text>
    </comment>
    <comment ref="G29" authorId="0" shapeId="0">
      <text>
        <t>======
ID#AAAB8I2bhwY
Michael Bezrukov    (2026-06-14 19:59:12)
PREDICTION — not sourced from any table. Estimated: ~15% of Q2 2025 revenue ($456,344). R&amp;D growing in absolute terms as product investment continues.</t>
      </text>
    </comment>
    <comment ref="H29" authorId="0" shapeId="0">
      <text>
        <t>======
ID#AAAB9jjNMqQ
Michael Bezrukov    (2026-06-14 19:59:12)
PREDICTION — not sourced from any table. Estimated: ~16% of Q3 2025 revenue ($451,079). Continued product development investment; ratio stable.</t>
      </text>
    </comment>
    <comment ref="I29" authorId="0" shapeId="0">
      <text>
        <t>======
ID#AAAB9jjNMog
Michael Bezrukov    (2026-06-14 19:59:12)
PREDICTION — not sourced from any table. Estimated: ~14% of Q4 2025 revenue ($452,756). Slight pullback consistent with S&amp;M pattern in Q4.</t>
      </text>
    </comment>
    <comment ref="B30" authorId="0" shapeId="0">
      <text>
        <t>======
ID#AAAB9jjNMq0
Michael Bezrukov    (2026-06-14 19:59:12)
PREDICTION — not sourced from any table. Estimated: ~13% of Q1 2024 revenue. G&amp;A for an early-stage company (finance, legal, ops overhead) typically 10-15% of revenue.</t>
      </text>
    </comment>
    <comment ref="C30" authorId="0" shapeId="0">
      <text>
        <t>======
ID#AAAB9jjNMpA
Michael Bezrukov    (2026-06-14 19:59:12)
PREDICTION — not sourced from any table. Estimated: ~12% of Q2 2024 revenue. G&amp;A growing modestly in absolute terms as company adds operational infrastructure.</t>
      </text>
    </comment>
    <comment ref="D30" authorId="0" shapeId="0">
      <text>
        <t>======
ID#AAAB9jjNMqI
Michael Bezrukov    (2026-06-14 19:59:12)
PREDICTION — not sourced from any table. Estimated: ~11% of Q3 2024 revenue. G&amp;A ratio declining as revenue base grows faster than overhead.</t>
      </text>
    </comment>
    <comment ref="E30" authorId="0" shapeId="0">
      <text>
        <t>======
ID#AAAB9jjNMqo
Michael Bezrukov    (2026-06-14 19:59:12)
PREDICTION — not sourced from any table. Estimated: ~10% of Q4 2024 revenue. Approaching typical SaaS G&amp;A efficiency at this stage.</t>
      </text>
    </comment>
    <comment ref="F30" authorId="0" shapeId="0">
      <text>
        <t>======
ID#AAAB9jjNMpc
Michael Bezrukov    (2026-06-14 19:59:12)
PREDICTION — not sourced from any table. Estimated: ~8% of Q1 2025 revenue ($379,619), stepping up from Q4 2024 G&amp;A ($28,000). G&amp;A is largely fixed overhead growing slowly.</t>
      </text>
    </comment>
    <comment ref="G30" authorId="0" shapeId="0">
      <text>
        <t>======
ID#AAAB9jjNMp0
Michael Bezrukov    (2026-06-14 19:59:12)
PREDICTION — not sourced from any table. Estimated: ~7% of Q2 2025 revenue ($456,344). G&amp;A ratio declining as revenue scales faster than overhead.</t>
      </text>
    </comment>
    <comment ref="H30" authorId="0" shapeId="0">
      <text>
        <t>======
ID#AAAB9jjNMoQ
Michael Bezrukov    (2026-06-14 19:59:12)
PREDICTION — not sourced from any table. Estimated: ~8% of Q3 2025 revenue ($451,079). Modest absolute increase for ops/finance/legal headcount.</t>
      </text>
    </comment>
    <comment ref="I30" authorId="0" shapeId="0">
      <text>
        <t>======
ID#AAAB9jjNMoM
Michael Bezrukov    (2026-06-14 19:59:12)
PREDICTION — not sourced from any table. Estimated: ~7% of Q4 2025 revenue ($452,756). Broadly stable G&amp;A in Q4, consistent with cost discipline.</t>
      </text>
    </comment>
    <comment ref="B31" authorId="0" shapeId="0">
      <text>
        <t>======
ID#AAAB9jjNMpI
Michael Bezrukov    (2026-06-14 19:59:12)
PREDICTION — derived from estimated S&amp;M + R&amp;D + G&amp;A. Not sourced from any table.</t>
      </text>
    </comment>
    <comment ref="C31" authorId="0" shapeId="0">
      <text>
        <t>======
ID#AAAB9jjNMoo
Michael Bezrukov    (2026-06-14 19:59:12)
PREDICTION — derived from estimated S&amp;M + R&amp;D + G&amp;A. Not sourced from any table.</t>
      </text>
    </comment>
    <comment ref="D31" authorId="0" shapeId="0">
      <text>
        <t>======
ID#AAAB9jjNMpg
Michael Bezrukov    (2026-06-14 19:59:12)
PREDICTION — derived from estimated S&amp;M + R&amp;D + G&amp;A. Not sourced from any table.</t>
      </text>
    </comment>
    <comment ref="E31" authorId="0" shapeId="0">
      <text>
        <t>======
ID#AAAB9jjNMqw
Michael Bezrukov    (2026-06-14 19:59:12)
PREDICTION — derived from estimated S&amp;M + R&amp;D + G&amp;A. Not sourced from any table.</t>
      </text>
    </comment>
    <comment ref="F31" authorId="0" shapeId="0">
      <text>
        <t>======
ID#AAAB9jjNMrE
Michael Bezrukov    (2026-06-14 19:59:12)
PREDICTION — S&amp;M is actual (Unit Economics tab); R&amp;D and G&amp;A are estimated. Not fully sourced from any table.</t>
      </text>
    </comment>
    <comment ref="G31" authorId="0" shapeId="0">
      <text>
        <t>======
ID#AAAB9jjNMoE
Michael Bezrukov    (2026-06-14 19:59:12)
PREDICTION — S&amp;M is actual (Unit Economics tab); R&amp;D and G&amp;A are estimated. Not fully sourced from any table.</t>
      </text>
    </comment>
    <comment ref="H31" authorId="0" shapeId="0">
      <text>
        <t>======
ID#AAAB9jjNMpY
Michael Bezrukov    (2026-06-14 19:59:12)
PREDICTION — S&amp;M is actual (Unit Economics tab); R&amp;D and G&amp;A are estimated. Not fully sourced from any table.</t>
      </text>
    </comment>
    <comment ref="I31" authorId="0" shapeId="0">
      <text>
        <t>======
ID#AAAB9jjNMok
Michael Bezrukov    (2026-06-14 19:59:12)
PREDICTION — S&amp;M is actual (Unit Economics tab); R&amp;D and G&amp;A are estimated. Not fully sourced from any table.</t>
      </text>
    </comment>
    <comment ref="B32" authorId="0" shapeId="0">
      <text>
        <t>======
ID#AAAB9jjNMqc
Michael Bezrukov    (2026-06-14 19:59:12)
PREDICTION — derived from estimated OpEx. Not sourced from any table.</t>
      </text>
    </comment>
    <comment ref="C32" authorId="0" shapeId="0">
      <text>
        <t>======
ID#AAAB9jjNMo8
Michael Bezrukov    (2026-06-14 19:59:12)
PREDICTION — derived from estimated OpEx. Not sourced from any table.</t>
      </text>
    </comment>
    <comment ref="D32" authorId="0" shapeId="0">
      <text>
        <t>======
ID#AAAB9jjNMpM
Michael Bezrukov    (2026-06-14 19:59:12)
PREDICTION — derived from estimated OpEx. Not sourced from any table.</t>
      </text>
    </comment>
    <comment ref="E32" authorId="0" shapeId="0">
      <text>
        <t>======
ID#AAAB9jjNMpU
Michael Bezrukov    (2026-06-14 19:59:12)
PREDICTION — derived from estimated OpEx. Not sourced from any table.</t>
      </text>
    </comment>
    <comment ref="F32" authorId="0" shapeId="0">
      <text>
        <t>======
ID#AAAB9jjNMoc
Michael Bezrukov    (2026-06-14 19:59:12)
PREDICTION — derived from estimated Total OpEx (R&amp;D + G&amp;A estimated). Not fully sourced from any table.</t>
      </text>
    </comment>
    <comment ref="G32" authorId="0" shapeId="0">
      <text>
        <t>======
ID#AAAB9jjNMqs
Michael Bezrukov    (2026-06-14 19:59:12)
PREDICTION — derived from estimated Total OpEx (R&amp;D + G&amp;A estimated). Not fully sourced from any table.</t>
      </text>
    </comment>
    <comment ref="H32" authorId="0" shapeId="0">
      <text>
        <t>======
ID#AAAB9jjNMp8
Michael Bezrukov    (2026-06-14 19:59:12)
PREDICTION — derived from estimated Total OpEx (R&amp;D + G&amp;A estimated). Not fully sourced from any table.</t>
      </text>
    </comment>
    <comment ref="I32" authorId="0" shapeId="0">
      <text>
        <t>======
ID#AAAB9jjNMow
Michael Bezrukov    (2026-06-14 19:59:12)
PREDICTION — derived from estimated Total OpEx (R&amp;D + G&amp;A estimated). Not fully sourced from any table.</t>
      </text>
    </comment>
    <comment ref="B33" authorId="0" shapeId="0">
      <text>
        <t>======
ID#AAAB8I2bhwc
Michael Bezrukov    (2026-06-14 19:59:12)
PREDICTION — derived from estimated EBITDA. Not sourced from any table.</t>
      </text>
    </comment>
    <comment ref="C33" authorId="0" shapeId="0">
      <text>
        <t>======
ID#AAAB9jjNMqM
Michael Bezrukov    (2026-06-14 19:59:12)
PREDICTION — derived from estimated EBITDA. Not sourced from any table.</t>
      </text>
    </comment>
    <comment ref="D33" authorId="0" shapeId="0">
      <text>
        <t>======
ID#AAAB9jjNMqA
Michael Bezrukov    (2026-06-14 19:59:12)
PREDICTION — derived from estimated EBITDA. Not sourced from any table.</t>
      </text>
    </comment>
    <comment ref="E33" authorId="0" shapeId="0">
      <text>
        <t>======
ID#AAAB9jjNMpo
Michael Bezrukov    (2026-06-14 19:59:12)
PREDICTION — derived from estimated EBITDA. Not sourced from any table.</t>
      </text>
    </comment>
    <comment ref="F33" authorId="0" shapeId="0">
      <text>
        <t>======
ID#AAAB9jjNMrI
Michael Bezrukov    (2026-06-14 19:59:12)
PREDICTION — derived from estimated EBITDA. Not fully sourced from any table.</t>
      </text>
    </comment>
    <comment ref="G33" authorId="0" shapeId="0">
      <text>
        <t>======
ID#AAAB9jjNMo4
Michael Bezrukov    (2026-06-14 19:59:12)
PREDICTION — derived from estimated EBITDA. Not fully sourced from any table.</t>
      </text>
    </comment>
    <comment ref="H33" authorId="0" shapeId="0">
      <text>
        <t>======
ID#AAAB9jjNMpE
Michael Bezrukov    (2026-06-14 19:59:12)
PREDICTION — derived from estimated EBITDA. Not fully sourced from any table.</t>
      </text>
    </comment>
    <comment ref="I33" authorId="0" shapeId="0">
      <text>
        <t>======
ID#AAAB9jjNMos
Michael Bezrukov    (2026-06-14 19:59:12)
PREDICTION — derived from estimated EBITDA. Not fully sourced from any table.</t>
      </text>
    </comment>
    <comment ref="B44" authorId="0" shapeId="0">
      <text>
        <t>======
ID#AAAB9jjNMqU
Michael Bezrukov    (2026-06-14 19:59:12)
Waterfall tab, H26 (Dec 2025 closing row)</t>
      </text>
    </comment>
    <comment ref="B45" authorId="0" shapeId="0">
      <text>
        <t>======
ID#AAAB9jjNMoI
Michael Bezrukov    (2026-06-14 19:59:12)
Unit Economics tab, B6 — current snapshot MRR</t>
      </text>
    </comment>
  </commentList>
</comments>
</file>

<file path=xl/comments/comment2.xml><?xml version="1.0" encoding="utf-8"?>
<comments xmlns="http://schemas.openxmlformats.org/spreadsheetml/2006/main">
  <authors>
    <author>None</author>
  </authors>
  <commentList>
    <comment ref="B16" authorId="0" shapeId="0">
      <text>
        <t>======
ID#AAAB9jjNMqk
Michael Bezrukov    (2026-06-14 19:59:12)
No subscriptions exist before month 1</t>
      </text>
    </comment>
    <comment ref="A19" authorId="0" shapeId="0">
      <text>
        <t>======
ID#AAAB9jjNMqg
Michael Bezrukov    (2026-06-14 19:59:12)
Distinct customer count (not subscriptions). Uses Engine helper columns: T (is_new_logo), U (is_logo_churn), V (is_logo_reactivation). Formula: cumulative new logos + cumulative reactivations − cumulative logo churns through end of prior month.</t>
      </text>
    </comment>
    <comment ref="B19" authorId="0" shapeId="0">
      <text>
        <t>======
ID#AAAB9jjNMo0
Michael Bezrukov    (2026-06-14 19:59:12)
No customers exist before month 1</t>
      </text>
    </comment>
    <comment ref="A20" authorId="0" shapeId="0">
      <text>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text>
    </comment>
    <comment ref="L20" authorId="0" shapeId="0">
      <text>
        <t>======
ID#AAAB9jjNMp4
Michael Bezrukov    (2026-06-14 19:59:12)
CUST005 Atlantic Media Corp — sole sub SUB005 cancelled (Price too high)</t>
      </text>
    </comment>
    <comment ref="N20" authorId="0" shapeId="0">
      <text>
        <t>======
ID#AAAB9jjNMpw
Michael Bezrukov    (2026-06-14 19:59:12)
CUST013 Alberta Tech Innovators — sole sub SUB013 cancelled (Switched to competitor)</t>
      </text>
    </comment>
    <comment ref="S20" authorId="0" shapeId="0">
      <text>
        <t>======
ID#AAAB9jjNMrM
Michael Bezrukov    (2026-06-14 19:59:12)
CUST023 Island Media Productions — sole sub SUB023 cancelled (Missing features)</t>
      </text>
    </comment>
  </commentList>
</comments>
</file>

<file path=xl/tables/table1.xml><?xml version="1.0" encoding="utf-8"?>
<table xmlns="http://schemas.openxmlformats.org/spreadsheetml/2006/main" id="1" name="Table_1" displayName="Table_1" ref="A5:G51" headerRowCount="1">
  <tableColumns count="7">
    <tableColumn id="1" name="transaction_date"/>
    <tableColumn id="2" name="post_date"/>
    <tableColumn id="3" name="description"/>
    <tableColumn id="4" name="type"/>
    <tableColumn id="5" name="amount"/>
    <tableColumn id="6" name="reference_number"/>
    <tableColumn id="7" name="running_balance"/>
  </tableColumns>
  <tableStyleInfo name="bank_statement_jan_2026-style" showFirstColumn="1" showLastColumn="1" showRowStripes="1" showColumnStripes="0"/>
</table>
</file>

<file path=xl/tables/table2.xml><?xml version="1.0" encoding="utf-8"?>
<table xmlns="http://schemas.openxmlformats.org/spreadsheetml/2006/main" id="2" name="Table_2" displayName="Table_2" ref="A5:G54" headerRowCount="1">
  <tableColumns count="7">
    <tableColumn id="1" name="transaction_date"/>
    <tableColumn id="2" name="post_date"/>
    <tableColumn id="3" name="description"/>
    <tableColumn id="4" name="type"/>
    <tableColumn id="5" name="amount"/>
    <tableColumn id="6" name="reference_number"/>
    <tableColumn id="7" name="running_balance"/>
  </tableColumns>
  <tableStyleInfo name="bank_statement_feb_2026-style" showFirstColumn="1" showLastColumn="1" showRowStripes="1" showColumnStripes="0"/>
</table>
</file>

<file path=xl/tables/table3.xml><?xml version="1.0" encoding="utf-8"?>
<table xmlns="http://schemas.openxmlformats.org/spreadsheetml/2006/main" id="3" name="Table_3" displayName="Table_3" ref="A1:C7" headerRowCount="1">
  <tableColumns count="3">
    <tableColumn id="1" name="Metric"/>
    <tableColumn id="2" name="Jan-26"/>
    <tableColumn id="3" name="Feb-26"/>
  </tableColumns>
  <tableStyleInfo name="Billing Reconciliation-style" showFirstColumn="1" showLastColumn="1" showRowStripes="1" showColumnStripes="0"/>
</table>
</file>

<file path=xl/tables/table4.xml><?xml version="1.0" encoding="utf-8"?>
<table xmlns="http://schemas.openxmlformats.org/spreadsheetml/2006/main" id="4" name="Table_4" displayName="Table_4" ref="A10:C17" headerRowCount="1">
  <tableColumns count="3">
    <tableColumn id="1" name="Item"/>
    <tableColumn id="2" name="Jan-26"/>
    <tableColumn id="3" name="Feb-26"/>
  </tableColumns>
  <tableStyleInfo name="Billing Reconciliation-style 2" showFirstColumn="1" showLastColumn="1" showRowStripes="1" showColumnStripes="0"/>
</table>
</file>

<file path=xl/tables/table5.xml><?xml version="1.0" encoding="utf-8"?>
<table xmlns="http://schemas.openxmlformats.org/spreadsheetml/2006/main" id="5" name="Table_5" displayName="Table_5" ref="A20:C24" headerRowCount="1">
  <tableColumns count="3">
    <tableColumn id="1" name="Item"/>
    <tableColumn id="2" name="Jan-26"/>
    <tableColumn id="3" name="Feb-26"/>
  </tableColumns>
  <tableStyleInfo name="Billing Reconciliation-style 3" showFirstColumn="1" showLastColumn="1" showRowStripes="1" showColumnStripes="0"/>
</table>
</file>

<file path=xl/tables/table6.xml><?xml version="1.0" encoding="utf-8"?>
<table xmlns="http://schemas.openxmlformats.org/spreadsheetml/2006/main" id="6" name="Table_6" displayName="Table_6" ref="A3:F16" headerRowCount="0">
  <tableColumns count="6">
    <tableColumn id="1" name="Column1"/>
    <tableColumn id="2" name="Column2"/>
    <tableColumn id="3" name="Column3"/>
    <tableColumn id="4" name="Column4"/>
    <tableColumn id="5" name="Column5"/>
    <tableColumn id="6" name="Column6"/>
  </tableColumns>
  <tableStyleInfo name="KPI Tracker-style" showFirstColumn="1" showLastColumn="1" showRowStripes="1" showColumnStripes="0"/>
</table>
</file>

<file path=xl/tables/table7.xml><?xml version="1.0" encoding="utf-8"?>
<table xmlns="http://schemas.openxmlformats.org/spreadsheetml/2006/main" id="7" name="Table_7" displayName="Table_7" ref="A1:E29" headerRowCount="1">
  <tableColumns count="5">
    <tableColumn id="1" name="Month"/>
    <tableColumn id="2" name="Movement"/>
    <tableColumn id="3" name="Actual"/>
    <tableColumn id="4" name="Forecast"/>
    <tableColumn id="5" name="Variance"/>
  </tableColumns>
  <tableStyleInfo name="Waterfall Data-style" showFirstColumn="1" showLastColumn="1" showRowStripes="1" showColumnStripes="0"/>
</table>
</file>

<file path=xl/tables/table8.xml><?xml version="1.0" encoding="utf-8"?>
<table xmlns="http://schemas.openxmlformats.org/spreadsheetml/2006/main" id="8" name="Engine" displayName="Engine" ref="A1:V106" headerRowCount="1">
  <autoFilter ref="$A$1:$V$106">
    <filterColumn colId="13" hiddenButton="0" showButton="1">
      <filters>
        <filter val="Annual"/>
      </filters>
    </filterColumn>
  </autoFilter>
  <tableColumns count="22">
    <tableColumn id="1" name="event_id"/>
    <tableColumn id="2" name="subscription_id"/>
    <tableColumn id="3" name="customer_id"/>
    <tableColumn id="4" name="company_name"/>
    <tableColumn id="5" name="region"/>
    <tableColumn id="6" name="month"/>
    <tableColumn id="7" name="event_date"/>
    <tableColumn id="8" name="event_type"/>
    <tableColumn id="9" name="old_value"/>
    <tableColumn id="10" name="new_value"/>
    <tableColumn id="11" name="field_changed"/>
    <tableColumn id="12" name="reason"/>
    <tableColumn id="13" name="plan_name"/>
    <tableColumn id="14" name="billing_cycle"/>
    <tableColumn id="15" name="seats"/>
    <tableColumn id="16" name="price_per_seat"/>
    <tableColumn id="17" name="discount_percent"/>
    <tableColumn id="18" name="movement"/>
    <tableColumn id="19" name="mrr_delta"/>
    <tableColumn id="20" name="is_new_logo"/>
    <tableColumn id="21" name="is_logo_churn"/>
    <tableColumn id="22" name="is_logo_reactivation"/>
  </tableColumns>
  <tableStyleInfo name="Engine-style" showFirstColumn="1" showLastColumn="1" showRowStripes="1" showColumnStripes="0"/>
</table>
</file>

<file path=xl/tables/table9.xml><?xml version="1.0" encoding="utf-8"?>
<table xmlns="http://schemas.openxmlformats.org/spreadsheetml/2006/main" id="9" name="Waterfall" displayName="Waterfall" ref="A3:H31" headerRowCount="1">
  <tableColumns count="8">
    <tableColumn id="1" name="Month"/>
    <tableColumn id="2" name="Opening MRR"/>
    <tableColumn id="3" name="New"/>
    <tableColumn id="4" name="Expansion"/>
    <tableColumn id="5" name="Contraction"/>
    <tableColumn id="6" name="Churned"/>
    <tableColumn id="7" name="Net"/>
    <tableColumn id="8" name="Closing"/>
  </tableColumns>
  <tableStyleInfo name="Waterfall-style" showFirstColumn="1" showLastColumn="1" showRowStripes="1" showColumnStripes="0"/>
</table>
</file>

<file path=xl/tables/table10.xml><?xml version="1.0" encoding="utf-8"?>
<table xmlns="http://schemas.openxmlformats.org/spreadsheetml/2006/main" id="10" name="Table_8" displayName="Table_8" ref="A66:J80" headerRowCount="1">
  <tableColumns count="10">
    <tableColumn id="1" name="Month"/>
    <tableColumn id="2" name="Sales Comp"/>
    <tableColumn id="3" name="Marketing Comp"/>
    <tableColumn id="4" name="Paid Ads"/>
    <tableColumn id="5" name="Content &amp; SEO"/>
    <tableColumn id="6" name="Partner Commissions"/>
    <tableColumn id="7" name="Tools &amp; Software"/>
    <tableColumn id="8" name="Events"/>
    <tableColumn id="9" name="Total S&amp;M"/>
    <tableColumn id="10" name="New Customers"/>
  </tableColumns>
  <tableStyleInfo name="Unit Economics-style" showFirstColumn="1" showLastColumn="1" showRowStripes="1" showColumnStripes="0"/>
</table>
</file>

<file path=xl/tables/table11.xml><?xml version="1.0" encoding="utf-8"?>
<table xmlns="http://schemas.openxmlformats.org/spreadsheetml/2006/main" id="11" name="Table_9" displayName="Table_9" ref="A1:D7" headerRowCount="1">
  <tableColumns count="4">
    <tableColumn id="1" name="plan_name"/>
    <tableColumn id="2" name="monthly_price"/>
    <tableColumn id="3" name="monthly_cost"/>
    <tableColumn id="4" name="gross_margin"/>
  </tableColumns>
  <tableStyleInfo name="Ref-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5.xml.rels><Relationships xmlns="http://schemas.openxmlformats.org/package/2006/relationships"><Relationship Type="http://schemas.openxmlformats.org/officeDocument/2006/relationships/table" Target="/xl/tables/table6.xml" Id="rId1" /></Relationships>
</file>

<file path=xl/worksheets/_rels/sheet16.xml.rels><Relationships xmlns="http://schemas.openxmlformats.org/package/2006/relationships"><Relationship Type="http://schemas.openxmlformats.org/officeDocument/2006/relationships/table" Target="/xl/tables/table7.xml" Id="rId1" /></Relationships>
</file>

<file path=xl/worksheets/_rels/sheet17.xml.rels><Relationships xmlns="http://schemas.openxmlformats.org/package/2006/relationships"><Relationship Type="http://schemas.openxmlformats.org/officeDocument/2006/relationships/table" Target="/xl/tables/table8.xml" Id="rId1" /></Relationships>
</file>

<file path=xl/worksheets/_rels/sheet18.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0" summaryRight="0"/>
    <pageSetUpPr/>
  </sheetPr>
  <dimension ref="A2:G38"/>
  <sheetViews>
    <sheetView workbookViewId="0">
      <selection activeCell="A1" sqref="A1"/>
    </sheetView>
  </sheetViews>
  <sheetFormatPr baseColWidth="8" defaultColWidth="14.43" defaultRowHeight="15" customHeight="1"/>
  <cols>
    <col width="16.29" customWidth="1" style="281" min="1" max="1"/>
  </cols>
  <sheetData>
    <row r="2">
      <c r="A2" s="230" t="inlineStr">
        <is>
          <t>Scenario</t>
        </is>
      </c>
      <c r="B2" s="230" t="inlineStr">
        <is>
          <t>Quantity</t>
        </is>
      </c>
      <c r="C2" s="230" t="inlineStr">
        <is>
          <t>Price</t>
        </is>
      </c>
      <c r="D2" s="230" t="inlineStr">
        <is>
          <t>Δ Revenue</t>
        </is>
      </c>
      <c r="E2" s="230" t="inlineStr">
        <is>
          <t>Volume effect</t>
        </is>
      </c>
      <c r="F2" s="230" t="inlineStr">
        <is>
          <t>Price effect</t>
        </is>
      </c>
      <c r="G2" s="230" t="inlineStr">
        <is>
          <t>Dominant driver</t>
        </is>
      </c>
    </row>
    <row r="3">
      <c r="A3" s="230" t="inlineStr">
        <is>
          <t>Northwind Retail:</t>
        </is>
      </c>
      <c r="C3" s="126" t="n"/>
    </row>
    <row r="4">
      <c r="A4" s="3" t="inlineStr">
        <is>
          <t>Prior</t>
        </is>
      </c>
      <c r="B4" s="230" t="n">
        <v>500</v>
      </c>
      <c r="C4" s="126" t="n">
        <v>20</v>
      </c>
      <c r="D4" s="126">
        <f>E4+F4</f>
        <v/>
      </c>
      <c r="E4" s="126">
        <f>(B5-B4)*C4</f>
        <v/>
      </c>
      <c r="F4" s="126">
        <f>(C5-C4)*B5</f>
        <v/>
      </c>
      <c r="G4" s="230">
        <f>if(E4&gt;F4, "Volume", "Price")</f>
        <v/>
      </c>
    </row>
    <row r="5">
      <c r="A5" s="3" t="inlineStr">
        <is>
          <t>Current</t>
        </is>
      </c>
      <c r="B5" s="230" t="n">
        <v>540</v>
      </c>
      <c r="C5" s="126" t="n">
        <v>21</v>
      </c>
    </row>
    <row r="6">
      <c r="A6" s="230" t="inlineStr">
        <is>
          <t>Cascade Tools:</t>
        </is>
      </c>
      <c r="C6" s="126" t="n"/>
    </row>
    <row r="7">
      <c r="A7" s="3" t="inlineStr">
        <is>
          <t>Prior</t>
        </is>
      </c>
      <c r="B7" s="230" t="n">
        <v>1000</v>
      </c>
      <c r="C7" s="126" t="n">
        <v>50</v>
      </c>
      <c r="D7" s="126">
        <f>E7+F7</f>
        <v/>
      </c>
      <c r="E7" s="126">
        <f>(B8-B7)*C7</f>
        <v/>
      </c>
      <c r="F7" s="126">
        <f>(C8-C7)*B8</f>
        <v/>
      </c>
      <c r="G7" s="230">
        <f>if(E7&gt;F7, "Volume", "Price")</f>
        <v/>
      </c>
    </row>
    <row r="8">
      <c r="A8" s="3" t="inlineStr">
        <is>
          <t>Current</t>
        </is>
      </c>
      <c r="B8" s="230" t="n">
        <v>950</v>
      </c>
      <c r="C8" s="126" t="n">
        <v>55</v>
      </c>
    </row>
    <row r="9">
      <c r="A9" s="230" t="inlineStr">
        <is>
          <t>Riverstone Supply:</t>
        </is>
      </c>
      <c r="C9" s="126" t="n"/>
    </row>
    <row r="10">
      <c r="A10" s="3" t="inlineStr">
        <is>
          <t>Prior</t>
        </is>
      </c>
      <c r="B10" s="230" t="n">
        <v>2000</v>
      </c>
      <c r="C10" s="126" t="n">
        <v>8</v>
      </c>
      <c r="D10" s="126">
        <f>E10+F10</f>
        <v/>
      </c>
      <c r="E10" s="126">
        <f>(B11-B10)*C10</f>
        <v/>
      </c>
      <c r="F10" s="126">
        <f>(C11-C10)*B11</f>
        <v/>
      </c>
      <c r="G10" s="230">
        <f>if(E10&gt;F10, "Volume", "Price")</f>
        <v/>
      </c>
    </row>
    <row r="11">
      <c r="A11" s="3" t="inlineStr">
        <is>
          <t>Current</t>
        </is>
      </c>
      <c r="B11" s="230" t="n">
        <v>2400</v>
      </c>
      <c r="C11" s="126" t="n">
        <v>7.5</v>
      </c>
    </row>
    <row r="12">
      <c r="A12" s="230" t="inlineStr">
        <is>
          <t>iDynamics:</t>
        </is>
      </c>
      <c r="C12" s="126" t="n"/>
    </row>
    <row r="13">
      <c r="A13" s="3" t="inlineStr">
        <is>
          <t>Prior (Q1 2025)</t>
        </is>
      </c>
      <c r="B13" s="230" t="n">
        <v>50</v>
      </c>
      <c r="C13" s="126" t="n">
        <v>3000</v>
      </c>
      <c r="D13" s="126">
        <f>E13+F13</f>
        <v/>
      </c>
      <c r="E13" s="126">
        <f>(B14-B13)*C13</f>
        <v/>
      </c>
      <c r="F13" s="126">
        <f>(C14-C13)*B14</f>
        <v/>
      </c>
      <c r="G13" s="230">
        <f>if(E13&gt;F13, "Volume", "Price")</f>
        <v/>
      </c>
    </row>
    <row r="14">
      <c r="A14" s="3" t="inlineStr">
        <is>
          <t>Current (Q1 2026)</t>
        </is>
      </c>
      <c r="B14" s="230" t="n">
        <v>56</v>
      </c>
      <c r="C14" s="126" t="n">
        <v>3200</v>
      </c>
    </row>
    <row r="15">
      <c r="C15" s="126" t="n"/>
    </row>
    <row r="16">
      <c r="A16" s="41" t="inlineStr">
        <is>
          <t xml:space="preserve">Paragraph 1: </t>
        </is>
      </c>
      <c r="C16" s="126" t="n"/>
    </row>
    <row r="17">
      <c r="A17" s="230" t="inlineStr">
        <is>
          <t>Our total increase in revenue during this period was $29,200.</t>
        </is>
      </c>
      <c r="C17" s="126" t="n"/>
    </row>
    <row r="18">
      <c r="A18" s="230" t="inlineStr">
        <is>
          <t>This growth stemmed from an increase in volume of $18,000 from adding customers and a $11,200 increase in price.</t>
        </is>
      </c>
      <c r="C18" s="126" t="n"/>
    </row>
    <row r="19">
      <c r="A19" s="230" t="inlineStr">
        <is>
          <t>This indicates that our growth primarily comes from additional customers which is a healthy sign.</t>
        </is>
      </c>
      <c r="C19" s="126" t="n"/>
    </row>
    <row r="20">
      <c r="A20" s="230" t="inlineStr">
        <is>
          <t xml:space="preserve">This mix indicates that both the volume and price effect are positive and our growth was sustained from each side. </t>
        </is>
      </c>
      <c r="C20" s="126" t="n"/>
    </row>
    <row r="21">
      <c r="A21" s="230" t="inlineStr">
        <is>
          <t>The increase in volume means that we continue to grow our market share. The increase in price having a positive effect on revenue indicates that we have pricing power.</t>
        </is>
      </c>
      <c r="C21" s="126" t="n"/>
    </row>
    <row r="22">
      <c r="C22" s="126" t="n"/>
    </row>
    <row r="23">
      <c r="A23" s="41" t="inlineStr">
        <is>
          <t>Paragraph 2:</t>
        </is>
      </c>
      <c r="C23" s="126" t="n"/>
    </row>
    <row r="24">
      <c r="A24" s="230" t="inlineStr">
        <is>
          <t xml:space="preserve">Cascade saw an increase in revenue of $2,250 with the only gain coming from the price effect. </t>
        </is>
      </c>
      <c r="C24" s="126" t="n"/>
    </row>
    <row r="25">
      <c r="A25" s="230" t="inlineStr">
        <is>
          <t xml:space="preserve">This means that they have pricing power but the revenue increase comes at the cost of 50 customers. </t>
        </is>
      </c>
      <c r="C25" s="126" t="n"/>
    </row>
    <row r="26">
      <c r="A26" s="230" t="inlineStr">
        <is>
          <t xml:space="preserve">A price increase of 10% has come at the cost of a 5% decrease in customer base. </t>
        </is>
      </c>
      <c r="C26" s="126" t="n"/>
    </row>
    <row r="27">
      <c r="A27" s="230" t="inlineStr">
        <is>
          <t>I would look at the demand in future periods to see the effects of this price increase.</t>
        </is>
      </c>
      <c r="C27" s="126" t="n"/>
    </row>
    <row r="28">
      <c r="A28" s="230" t="inlineStr">
        <is>
          <t>Their strategy is to increase the price and lower the cost per unit.</t>
        </is>
      </c>
      <c r="C28" s="126" t="n"/>
    </row>
    <row r="29">
      <c r="A29" s="230" t="inlineStr">
        <is>
          <t xml:space="preserve">Based on the revenue delta, we can infer that a 1% price increase will create roughly a 2% decrease in customer base which is healthy. </t>
        </is>
      </c>
      <c r="C29" s="126" t="n"/>
    </row>
    <row r="30">
      <c r="C30" s="126" t="n"/>
    </row>
    <row r="31">
      <c r="C31" s="126" t="n"/>
    </row>
    <row r="32">
      <c r="C32" s="126" t="n"/>
    </row>
    <row r="33">
      <c r="C33" s="126" t="n"/>
    </row>
    <row r="34">
      <c r="C34" s="126" t="n"/>
    </row>
    <row r="35">
      <c r="C35" s="126" t="n"/>
    </row>
    <row r="36">
      <c r="C36" s="126" t="n"/>
    </row>
    <row r="37">
      <c r="C37" s="126" t="n"/>
    </row>
    <row r="38">
      <c r="C38" s="126"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8"/>
  <sheetViews>
    <sheetView workbookViewId="0">
      <selection activeCell="A1" sqref="A1"/>
    </sheetView>
  </sheetViews>
  <sheetFormatPr baseColWidth="8" defaultColWidth="14.43" defaultRowHeight="15" customHeight="1"/>
  <cols>
    <col width="14.14" customWidth="1" style="281" min="1" max="1"/>
    <col width="16.29" customWidth="1" style="281" min="2" max="2"/>
    <col width="13.43" customWidth="1" style="281" min="3" max="3"/>
    <col width="13.29" customWidth="1" style="281" min="4" max="4"/>
    <col width="24.43" customWidth="1" style="281" min="5" max="5"/>
    <col width="15.57" customWidth="1" style="281" min="6" max="6"/>
    <col width="17" customWidth="1" style="281" min="7" max="7"/>
    <col width="12.71" customWidth="1" style="281" min="8" max="8"/>
    <col width="13.29" customWidth="1" style="281" min="9" max="9"/>
    <col width="12.43" customWidth="1" style="281" min="10" max="10"/>
    <col width="7.14" customWidth="1" style="281" min="11" max="11"/>
    <col width="15.29" customWidth="1" style="281" min="12" max="12"/>
    <col width="9.859999999999999" customWidth="1" style="281" min="13" max="13"/>
    <col width="13.57" customWidth="1" style="281" min="14" max="14"/>
    <col width="17.57" customWidth="1" style="281" min="15" max="16"/>
    <col width="8" customWidth="1" style="281" min="17" max="17"/>
    <col width="15.14" customWidth="1" style="281" min="18" max="18"/>
    <col width="14.86" customWidth="1" style="281" min="19" max="19"/>
    <col width="8.710000000000001" customWidth="1" style="281" min="20" max="26"/>
  </cols>
  <sheetData>
    <row r="1" ht="14.25" customHeight="1" s="281">
      <c r="A1" s="7" t="inlineStr">
        <is>
          <t>invoice_id</t>
        </is>
      </c>
      <c r="B1" s="7" t="inlineStr">
        <is>
          <t>invoice_number</t>
        </is>
      </c>
      <c r="C1" s="7" t="inlineStr">
        <is>
          <t>invoice_date</t>
        </is>
      </c>
      <c r="D1" s="7" t="inlineStr">
        <is>
          <t>customer_id</t>
        </is>
      </c>
      <c r="E1" s="7" t="inlineStr">
        <is>
          <t>customer_name</t>
        </is>
      </c>
      <c r="F1" s="7" t="inlineStr">
        <is>
          <t>subscription_id</t>
        </is>
      </c>
      <c r="G1" s="7" t="inlineStr">
        <is>
          <t>plan_name</t>
        </is>
      </c>
      <c r="H1" s="7" t="inlineStr">
        <is>
          <t>billing_cycle</t>
        </is>
      </c>
      <c r="I1" s="7" t="inlineStr">
        <is>
          <t>period_start</t>
        </is>
      </c>
      <c r="J1" s="7" t="inlineStr">
        <is>
          <t>period_end</t>
        </is>
      </c>
      <c r="K1" s="7" t="inlineStr">
        <is>
          <t>seats</t>
        </is>
      </c>
      <c r="L1" s="7" t="inlineStr">
        <is>
          <t>unit_price_usd</t>
        </is>
      </c>
      <c r="M1" s="7" t="inlineStr">
        <is>
          <t>subtotal</t>
        </is>
      </c>
      <c r="N1" s="7" t="inlineStr">
        <is>
          <t>discount_pct</t>
        </is>
      </c>
      <c r="O1" s="7" t="inlineStr">
        <is>
          <t>discount_amount</t>
        </is>
      </c>
      <c r="P1" s="7" t="inlineStr">
        <is>
          <t>amount_due_usd</t>
        </is>
      </c>
      <c r="Q1" s="7" t="inlineStr">
        <is>
          <t>status</t>
        </is>
      </c>
      <c r="R1" s="7" t="inlineStr">
        <is>
          <t>payment_date</t>
        </is>
      </c>
      <c r="S1" s="7" t="inlineStr">
        <is>
          <t>failure_reason</t>
        </is>
      </c>
    </row>
    <row r="2" ht="14.25" customHeight="1" s="281">
      <c r="A2" s="8" t="inlineStr">
        <is>
          <t>in_20260100001</t>
        </is>
      </c>
      <c r="B2" s="8" t="inlineStr">
        <is>
          <t>INV-2026-01-0001</t>
        </is>
      </c>
      <c r="C2" s="9" t="n">
        <v>46023</v>
      </c>
      <c r="D2" s="8" t="inlineStr">
        <is>
          <t>CUST007</t>
        </is>
      </c>
      <c r="E2" s="8" t="inlineStr">
        <is>
          <t>Ontario Manufacturing Tech</t>
        </is>
      </c>
      <c r="F2" s="8" t="inlineStr">
        <is>
          <t>SUB007</t>
        </is>
      </c>
      <c r="G2" s="8" t="inlineStr">
        <is>
          <t>Marketing Pro</t>
        </is>
      </c>
      <c r="H2" s="8" t="inlineStr">
        <is>
          <t>Monthly</t>
        </is>
      </c>
      <c r="I2" s="9" t="n">
        <v>46023</v>
      </c>
      <c r="J2" s="9" t="n">
        <v>46053</v>
      </c>
      <c r="K2" s="8" t="n">
        <v>16</v>
      </c>
      <c r="L2" s="8" t="n">
        <v>85</v>
      </c>
      <c r="M2" s="8" t="n">
        <v>1360</v>
      </c>
      <c r="N2" s="8" t="n">
        <v>0</v>
      </c>
      <c r="O2" s="8" t="n">
        <v>0</v>
      </c>
      <c r="P2" s="8" t="n">
        <v>1360</v>
      </c>
      <c r="Q2" s="8" t="inlineStr">
        <is>
          <t>paid</t>
        </is>
      </c>
      <c r="R2" s="9" t="n">
        <v>46023</v>
      </c>
      <c r="S2" s="8" t="n"/>
    </row>
    <row r="3" ht="14.25" customHeight="1" s="281">
      <c r="A3" s="10" t="inlineStr">
        <is>
          <t>in_20260100002</t>
        </is>
      </c>
      <c r="B3" s="10" t="inlineStr">
        <is>
          <t>INV-2026-01-0002</t>
        </is>
      </c>
      <c r="C3" s="11" t="n">
        <v>46023</v>
      </c>
      <c r="D3" s="10" t="inlineStr">
        <is>
          <t>CUST007</t>
        </is>
      </c>
      <c r="E3" s="10" t="inlineStr">
        <is>
          <t>Ontario Manufacturing Tech</t>
        </is>
      </c>
      <c r="F3" s="10" t="inlineStr">
        <is>
          <t>SUB050</t>
        </is>
      </c>
      <c r="G3" s="10" t="inlineStr">
        <is>
          <t>Analytics Starter</t>
        </is>
      </c>
      <c r="H3" s="10" t="inlineStr">
        <is>
          <t>Monthly</t>
        </is>
      </c>
      <c r="I3" s="11" t="n">
        <v>46023</v>
      </c>
      <c r="J3" s="11" t="n">
        <v>46053</v>
      </c>
      <c r="K3" s="10" t="n">
        <v>15</v>
      </c>
      <c r="L3" s="10" t="n">
        <v>45</v>
      </c>
      <c r="M3" s="10" t="n">
        <v>675</v>
      </c>
      <c r="N3" s="10" t="n">
        <v>12</v>
      </c>
      <c r="O3" s="10" t="n">
        <v>81</v>
      </c>
      <c r="P3" s="10" t="n">
        <v>594</v>
      </c>
      <c r="Q3" s="10" t="inlineStr">
        <is>
          <t>paid</t>
        </is>
      </c>
      <c r="R3" s="11" t="n">
        <v>46023</v>
      </c>
      <c r="S3" s="10" t="n"/>
    </row>
    <row r="4" ht="14.25" customHeight="1" s="281">
      <c r="A4" s="8" t="inlineStr">
        <is>
          <t>in_20260100003</t>
        </is>
      </c>
      <c r="B4" s="8" t="inlineStr">
        <is>
          <t>INV-2026-01-0003</t>
        </is>
      </c>
      <c r="C4" s="9" t="n">
        <v>46024</v>
      </c>
      <c r="D4" s="8" t="inlineStr">
        <is>
          <t>CUST018</t>
        </is>
      </c>
      <c r="E4" s="8" t="inlineStr">
        <is>
          <t>Vancouver FinTech Labs</t>
        </is>
      </c>
      <c r="F4" s="8" t="inlineStr">
        <is>
          <t>SUB018</t>
        </is>
      </c>
      <c r="G4" s="8" t="inlineStr">
        <is>
          <t>Analytics Enterprise</t>
        </is>
      </c>
      <c r="H4" s="8" t="inlineStr">
        <is>
          <t>Monthly</t>
        </is>
      </c>
      <c r="I4" s="9" t="n">
        <v>46024</v>
      </c>
      <c r="J4" s="9" t="n">
        <v>46053</v>
      </c>
      <c r="K4" s="8" t="n">
        <v>35</v>
      </c>
      <c r="L4" s="8" t="n">
        <v>180</v>
      </c>
      <c r="M4" s="8" t="n">
        <v>6300</v>
      </c>
      <c r="N4" s="8" t="n">
        <v>0</v>
      </c>
      <c r="O4" s="8" t="n">
        <v>0</v>
      </c>
      <c r="P4" s="8" t="n">
        <v>6300</v>
      </c>
      <c r="Q4" s="8" t="inlineStr">
        <is>
          <t>paid</t>
        </is>
      </c>
      <c r="R4" s="9" t="n">
        <v>46024</v>
      </c>
      <c r="S4" s="8" t="n"/>
    </row>
    <row r="5" ht="14.25" customHeight="1" s="281">
      <c r="A5" s="10" t="inlineStr">
        <is>
          <t>in_20260100004</t>
        </is>
      </c>
      <c r="B5" s="10" t="inlineStr">
        <is>
          <t>INV-2026-01-0004</t>
        </is>
      </c>
      <c r="C5" s="11" t="n">
        <v>46025</v>
      </c>
      <c r="D5" s="10" t="inlineStr">
        <is>
          <t>CUST029</t>
        </is>
      </c>
      <c r="E5" s="10" t="inlineStr">
        <is>
          <t>Halifax Healthcare Tech</t>
        </is>
      </c>
      <c r="F5" s="10" t="inlineStr">
        <is>
          <t>SUB029</t>
        </is>
      </c>
      <c r="G5" s="10" t="inlineStr">
        <is>
          <t>Marketing Pro</t>
        </is>
      </c>
      <c r="H5" s="10" t="inlineStr">
        <is>
          <t>Monthly</t>
        </is>
      </c>
      <c r="I5" s="11" t="n">
        <v>46025</v>
      </c>
      <c r="J5" s="11" t="n">
        <v>46053</v>
      </c>
      <c r="K5" s="10" t="n">
        <v>22</v>
      </c>
      <c r="L5" s="10" t="n">
        <v>85</v>
      </c>
      <c r="M5" s="10" t="n">
        <v>1870</v>
      </c>
      <c r="N5" s="10" t="n">
        <v>0</v>
      </c>
      <c r="O5" s="10" t="n">
        <v>0</v>
      </c>
      <c r="P5" s="10" t="n">
        <v>1870</v>
      </c>
      <c r="Q5" s="10" t="inlineStr">
        <is>
          <t>paid</t>
        </is>
      </c>
      <c r="R5" s="11" t="n">
        <v>46025</v>
      </c>
      <c r="S5" s="10" t="n"/>
    </row>
    <row r="6" ht="14.25" customHeight="1" s="281">
      <c r="A6" s="8" t="inlineStr">
        <is>
          <t>in_20260100005</t>
        </is>
      </c>
      <c r="B6" s="8" t="inlineStr">
        <is>
          <t>INV-2026-01-0005</t>
        </is>
      </c>
      <c r="C6" s="9" t="n">
        <v>46027</v>
      </c>
      <c r="D6" s="8" t="inlineStr">
        <is>
          <t>CUST003</t>
        </is>
      </c>
      <c r="E6" s="8" t="inlineStr">
        <is>
          <t>Maple Healthcare Systems</t>
        </is>
      </c>
      <c r="F6" s="8" t="inlineStr">
        <is>
          <t>SUB003</t>
        </is>
      </c>
      <c r="G6" s="8" t="inlineStr">
        <is>
          <t>Marketing Pro</t>
        </is>
      </c>
      <c r="H6" s="8" t="inlineStr">
        <is>
          <t>Monthly</t>
        </is>
      </c>
      <c r="I6" s="9" t="n">
        <v>46027</v>
      </c>
      <c r="J6" s="9" t="n">
        <v>46053</v>
      </c>
      <c r="K6" s="8" t="n">
        <v>23</v>
      </c>
      <c r="L6" s="8" t="n">
        <v>85</v>
      </c>
      <c r="M6" s="8" t="n">
        <v>1955</v>
      </c>
      <c r="N6" s="8" t="n">
        <v>0</v>
      </c>
      <c r="O6" s="8" t="n">
        <v>0</v>
      </c>
      <c r="P6" s="8" t="n">
        <v>1955</v>
      </c>
      <c r="Q6" s="8" t="inlineStr">
        <is>
          <t>paid</t>
        </is>
      </c>
      <c r="R6" s="9" t="n">
        <v>46027</v>
      </c>
      <c r="S6" s="8" t="n"/>
    </row>
    <row r="7" ht="14.25" customHeight="1" s="281">
      <c r="A7" s="10" t="inlineStr">
        <is>
          <t>in_20260100006</t>
        </is>
      </c>
      <c r="B7" s="10" t="inlineStr">
        <is>
          <t>INV-2026-01-0006</t>
        </is>
      </c>
      <c r="C7" s="11" t="n">
        <v>46027</v>
      </c>
      <c r="D7" s="10" t="inlineStr">
        <is>
          <t>CUST006</t>
        </is>
      </c>
      <c r="E7" s="10" t="inlineStr">
        <is>
          <t>Northern Retail Solutions</t>
        </is>
      </c>
      <c r="F7" s="10" t="inlineStr">
        <is>
          <t>SUB043</t>
        </is>
      </c>
      <c r="G7" s="10" t="inlineStr">
        <is>
          <t>Marketing Pro</t>
        </is>
      </c>
      <c r="H7" s="10" t="inlineStr">
        <is>
          <t>Monthly</t>
        </is>
      </c>
      <c r="I7" s="11" t="n">
        <v>46027</v>
      </c>
      <c r="J7" s="11" t="n">
        <v>46053</v>
      </c>
      <c r="K7" s="10" t="n">
        <v>33</v>
      </c>
      <c r="L7" s="10" t="n">
        <v>85</v>
      </c>
      <c r="M7" s="10" t="n">
        <v>2805</v>
      </c>
      <c r="N7" s="10" t="n">
        <v>0</v>
      </c>
      <c r="O7" s="10" t="n">
        <v>0</v>
      </c>
      <c r="P7" s="10" t="n">
        <v>2805</v>
      </c>
      <c r="Q7" s="10" t="inlineStr">
        <is>
          <t>paid</t>
        </is>
      </c>
      <c r="R7" s="11" t="n">
        <v>46027</v>
      </c>
      <c r="S7" s="10" t="n"/>
    </row>
    <row r="8" ht="14.25" customHeight="1" s="281">
      <c r="A8" s="8" t="inlineStr">
        <is>
          <t>in_20260100007</t>
        </is>
      </c>
      <c r="B8" s="8" t="inlineStr">
        <is>
          <t>INV-2026-01-0007</t>
        </is>
      </c>
      <c r="C8" s="9" t="n">
        <v>46027</v>
      </c>
      <c r="D8" s="8" t="inlineStr">
        <is>
          <t>CUST027</t>
        </is>
      </c>
      <c r="E8" s="8" t="inlineStr">
        <is>
          <t>Pacific Finance Corp</t>
        </is>
      </c>
      <c r="F8" s="8" t="inlineStr">
        <is>
          <t>SUB053</t>
        </is>
      </c>
      <c r="G8" s="8" t="inlineStr">
        <is>
          <t>Analytics Enterprise</t>
        </is>
      </c>
      <c r="H8" s="8" t="inlineStr">
        <is>
          <t>Monthly</t>
        </is>
      </c>
      <c r="I8" s="9" t="n">
        <v>46027</v>
      </c>
      <c r="J8" s="9" t="n">
        <v>46053</v>
      </c>
      <c r="K8" s="8" t="n">
        <v>31</v>
      </c>
      <c r="L8" s="8" t="n">
        <v>180</v>
      </c>
      <c r="M8" s="8" t="n">
        <v>5580</v>
      </c>
      <c r="N8" s="8" t="n">
        <v>0</v>
      </c>
      <c r="O8" s="8" t="n">
        <v>0</v>
      </c>
      <c r="P8" s="8" t="n">
        <v>5580</v>
      </c>
      <c r="Q8" s="8" t="inlineStr">
        <is>
          <t>paid</t>
        </is>
      </c>
      <c r="R8" s="9" t="n">
        <v>46027</v>
      </c>
      <c r="S8" s="8" t="n"/>
    </row>
    <row r="9" ht="14.25" customHeight="1" s="281">
      <c r="A9" s="10" t="inlineStr">
        <is>
          <t>in_20260100008</t>
        </is>
      </c>
      <c r="B9" s="10" t="inlineStr">
        <is>
          <t>INV-2026-01-0008</t>
        </is>
      </c>
      <c r="C9" s="11" t="n">
        <v>46027</v>
      </c>
      <c r="D9" s="10" t="inlineStr">
        <is>
          <t>CUST008</t>
        </is>
      </c>
      <c r="E9" s="10" t="inlineStr">
        <is>
          <t>Quantum Education Platform</t>
        </is>
      </c>
      <c r="F9" s="10" t="inlineStr">
        <is>
          <t>SUB059</t>
        </is>
      </c>
      <c r="G9" s="10" t="inlineStr">
        <is>
          <t>Marketing Pro</t>
        </is>
      </c>
      <c r="H9" s="10" t="inlineStr">
        <is>
          <t>Monthly</t>
        </is>
      </c>
      <c r="I9" s="11" t="n">
        <v>46027</v>
      </c>
      <c r="J9" s="11" t="n">
        <v>46053</v>
      </c>
      <c r="K9" s="10" t="n">
        <v>22</v>
      </c>
      <c r="L9" s="10" t="n">
        <v>85</v>
      </c>
      <c r="M9" s="10" t="n">
        <v>1870</v>
      </c>
      <c r="N9" s="10" t="n">
        <v>0</v>
      </c>
      <c r="O9" s="10" t="n">
        <v>0</v>
      </c>
      <c r="P9" s="10" t="n">
        <v>1870</v>
      </c>
      <c r="Q9" s="10" t="inlineStr">
        <is>
          <t>paid</t>
        </is>
      </c>
      <c r="R9" s="11" t="n">
        <v>46027</v>
      </c>
      <c r="S9" s="10" t="n"/>
    </row>
    <row r="10" ht="14.25" customHeight="1" s="281">
      <c r="A10" s="8" t="inlineStr">
        <is>
          <t>in_20260100009</t>
        </is>
      </c>
      <c r="B10" s="8" t="inlineStr">
        <is>
          <t>INV-2026-01-0009</t>
        </is>
      </c>
      <c r="C10" s="9" t="n">
        <v>46028</v>
      </c>
      <c r="D10" s="8" t="inlineStr">
        <is>
          <t>CUST027</t>
        </is>
      </c>
      <c r="E10" s="8" t="inlineStr">
        <is>
          <t>Pacific Finance Corp</t>
        </is>
      </c>
      <c r="F10" s="8" t="inlineStr">
        <is>
          <t>SUB027</t>
        </is>
      </c>
      <c r="G10" s="8" t="inlineStr">
        <is>
          <t>Sales Hub</t>
        </is>
      </c>
      <c r="H10" s="8" t="inlineStr">
        <is>
          <t>Monthly</t>
        </is>
      </c>
      <c r="I10" s="9" t="n">
        <v>46028</v>
      </c>
      <c r="J10" s="9" t="n">
        <v>46053</v>
      </c>
      <c r="K10" s="8" t="n">
        <v>28</v>
      </c>
      <c r="L10" s="8" t="n">
        <v>110</v>
      </c>
      <c r="M10" s="8" t="n">
        <v>3080</v>
      </c>
      <c r="N10" s="8" t="n">
        <v>0</v>
      </c>
      <c r="O10" s="8" t="n">
        <v>0</v>
      </c>
      <c r="P10" s="8" t="n">
        <v>3080</v>
      </c>
      <c r="Q10" s="8" t="inlineStr">
        <is>
          <t>paid</t>
        </is>
      </c>
      <c r="R10" s="9" t="n">
        <v>46028</v>
      </c>
      <c r="S10" s="8" t="n"/>
    </row>
    <row r="11" ht="14.25" customHeight="1" s="281">
      <c r="A11" s="10" t="inlineStr">
        <is>
          <t>in_20260100010</t>
        </is>
      </c>
      <c r="B11" s="10" t="inlineStr">
        <is>
          <t>INV-2026-01-0010</t>
        </is>
      </c>
      <c r="C11" s="11" t="n">
        <v>46030</v>
      </c>
      <c r="D11" s="10" t="inlineStr">
        <is>
          <t>CUST014</t>
        </is>
      </c>
      <c r="E11" s="10" t="inlineStr">
        <is>
          <t>Toronto Media Group</t>
        </is>
      </c>
      <c r="F11" s="10" t="inlineStr">
        <is>
          <t>SUB014</t>
        </is>
      </c>
      <c r="G11" s="10" t="inlineStr">
        <is>
          <t>Marketing Pro</t>
        </is>
      </c>
      <c r="H11" s="10" t="inlineStr">
        <is>
          <t>Monthly</t>
        </is>
      </c>
      <c r="I11" s="11" t="n">
        <v>46030</v>
      </c>
      <c r="J11" s="11" t="n">
        <v>46053</v>
      </c>
      <c r="K11" s="10" t="n">
        <v>28</v>
      </c>
      <c r="L11" s="10" t="n">
        <v>85</v>
      </c>
      <c r="M11" s="10" t="n">
        <v>2380</v>
      </c>
      <c r="N11" s="10" t="n">
        <v>0</v>
      </c>
      <c r="O11" s="10" t="n">
        <v>0</v>
      </c>
      <c r="P11" s="10" t="n">
        <v>2380</v>
      </c>
      <c r="Q11" s="10" t="inlineStr">
        <is>
          <t>paid</t>
        </is>
      </c>
      <c r="R11" s="11" t="n">
        <v>46030</v>
      </c>
      <c r="S11" s="10" t="n"/>
    </row>
    <row r="12" ht="14.25" customHeight="1" s="281">
      <c r="A12" s="8" t="inlineStr">
        <is>
          <t>in_20260100011</t>
        </is>
      </c>
      <c r="B12" s="8" t="inlineStr">
        <is>
          <t>INV-2026-01-0011</t>
        </is>
      </c>
      <c r="C12" s="9" t="n">
        <v>46030</v>
      </c>
      <c r="D12" s="8" t="inlineStr">
        <is>
          <t>CUST010</t>
        </is>
      </c>
      <c r="E12" s="8" t="inlineStr">
        <is>
          <t>Montreal Finance Hub</t>
        </is>
      </c>
      <c r="F12" s="8" t="inlineStr">
        <is>
          <t>SUB045</t>
        </is>
      </c>
      <c r="G12" s="8" t="inlineStr">
        <is>
          <t>Marketing Pro</t>
        </is>
      </c>
      <c r="H12" s="8" t="inlineStr">
        <is>
          <t>Monthly</t>
        </is>
      </c>
      <c r="I12" s="9" t="n">
        <v>46030</v>
      </c>
      <c r="J12" s="9" t="n">
        <v>46053</v>
      </c>
      <c r="K12" s="8" t="n">
        <v>13</v>
      </c>
      <c r="L12" s="8" t="n">
        <v>85</v>
      </c>
      <c r="M12" s="8" t="n">
        <v>1105</v>
      </c>
      <c r="N12" s="8" t="n">
        <v>0</v>
      </c>
      <c r="O12" s="8" t="n">
        <v>0</v>
      </c>
      <c r="P12" s="8" t="n">
        <v>1105</v>
      </c>
      <c r="Q12" s="8" t="inlineStr">
        <is>
          <t>paid</t>
        </is>
      </c>
      <c r="R12" s="9" t="n">
        <v>46030</v>
      </c>
      <c r="S12" s="8" t="n"/>
    </row>
    <row r="13" ht="14.25" customHeight="1" s="281">
      <c r="A13" s="10" t="inlineStr">
        <is>
          <t>in_20260100012</t>
        </is>
      </c>
      <c r="B13" s="10" t="inlineStr">
        <is>
          <t>INV-2026-01-0012</t>
        </is>
      </c>
      <c r="C13" s="11" t="n">
        <v>46030</v>
      </c>
      <c r="D13" s="10" t="inlineStr">
        <is>
          <t>CUST024</t>
        </is>
      </c>
      <c r="E13" s="10" t="inlineStr">
        <is>
          <t>Western Retail Group</t>
        </is>
      </c>
      <c r="F13" s="10" t="inlineStr">
        <is>
          <t>SUB058</t>
        </is>
      </c>
      <c r="G13" s="10" t="inlineStr">
        <is>
          <t>Sales Hub</t>
        </is>
      </c>
      <c r="H13" s="10" t="inlineStr">
        <is>
          <t>Monthly</t>
        </is>
      </c>
      <c r="I13" s="11" t="n">
        <v>46030</v>
      </c>
      <c r="J13" s="11" t="n">
        <v>46053</v>
      </c>
      <c r="K13" s="10" t="n">
        <v>26</v>
      </c>
      <c r="L13" s="10" t="n">
        <v>110</v>
      </c>
      <c r="M13" s="10" t="n">
        <v>2860</v>
      </c>
      <c r="N13" s="10" t="n">
        <v>0</v>
      </c>
      <c r="O13" s="10" t="n">
        <v>0</v>
      </c>
      <c r="P13" s="10" t="n">
        <v>2860</v>
      </c>
      <c r="Q13" s="10" t="inlineStr">
        <is>
          <t>paid</t>
        </is>
      </c>
      <c r="R13" s="11" t="n">
        <v>46030</v>
      </c>
      <c r="S13" s="10" t="n"/>
    </row>
    <row r="14" ht="14.25" customHeight="1" s="281">
      <c r="A14" s="8" t="inlineStr">
        <is>
          <t>in_20260100013</t>
        </is>
      </c>
      <c r="B14" s="8" t="inlineStr">
        <is>
          <t>INV-2026-01-0013</t>
        </is>
      </c>
      <c r="C14" s="9" t="n">
        <v>46031</v>
      </c>
      <c r="D14" s="8" t="inlineStr">
        <is>
          <t>CUST038</t>
        </is>
      </c>
      <c r="E14" s="8" t="inlineStr">
        <is>
          <t>Calgary Tech Partners</t>
        </is>
      </c>
      <c r="F14" s="8" t="inlineStr">
        <is>
          <t>SUB038</t>
        </is>
      </c>
      <c r="G14" s="8" t="inlineStr">
        <is>
          <t>Analytics Starter</t>
        </is>
      </c>
      <c r="H14" s="8" t="inlineStr">
        <is>
          <t>Monthly</t>
        </is>
      </c>
      <c r="I14" s="9" t="n">
        <v>46031</v>
      </c>
      <c r="J14" s="9" t="n">
        <v>46053</v>
      </c>
      <c r="K14" s="8" t="n">
        <v>13</v>
      </c>
      <c r="L14" s="8" t="n">
        <v>45</v>
      </c>
      <c r="M14" s="8" t="n">
        <v>585</v>
      </c>
      <c r="N14" s="8" t="n">
        <v>0</v>
      </c>
      <c r="O14" s="8" t="n">
        <v>0</v>
      </c>
      <c r="P14" s="8" t="n">
        <v>585</v>
      </c>
      <c r="Q14" s="8" t="inlineStr">
        <is>
          <t>paid</t>
        </is>
      </c>
      <c r="R14" s="9" t="n">
        <v>46031</v>
      </c>
      <c r="S14" s="8" t="n"/>
    </row>
    <row r="15" ht="14.25" customHeight="1" s="281">
      <c r="A15" s="10" t="inlineStr">
        <is>
          <t>in_20260100014</t>
        </is>
      </c>
      <c r="B15" s="10" t="inlineStr">
        <is>
          <t>INV-2026-01-0014</t>
        </is>
      </c>
      <c r="C15" s="11" t="n">
        <v>46032</v>
      </c>
      <c r="D15" s="10" t="inlineStr">
        <is>
          <t>CUST012</t>
        </is>
      </c>
      <c r="E15" s="10" t="inlineStr">
        <is>
          <t>Maritime E-commerce</t>
        </is>
      </c>
      <c r="F15" s="10" t="inlineStr">
        <is>
          <t>SUB012</t>
        </is>
      </c>
      <c r="G15" s="10" t="inlineStr">
        <is>
          <t>Analytics Growth</t>
        </is>
      </c>
      <c r="H15" s="10" t="inlineStr">
        <is>
          <t>Monthly</t>
        </is>
      </c>
      <c r="I15" s="11" t="n">
        <v>46032</v>
      </c>
      <c r="J15" s="11" t="n">
        <v>46053</v>
      </c>
      <c r="K15" s="10" t="n">
        <v>23</v>
      </c>
      <c r="L15" s="10" t="n">
        <v>95</v>
      </c>
      <c r="M15" s="10" t="n">
        <v>2185</v>
      </c>
      <c r="N15" s="10" t="n">
        <v>0</v>
      </c>
      <c r="O15" s="10" t="n">
        <v>0</v>
      </c>
      <c r="P15" s="10" t="n">
        <v>2185</v>
      </c>
      <c r="Q15" s="10" t="inlineStr">
        <is>
          <t>paid</t>
        </is>
      </c>
      <c r="R15" s="11" t="n">
        <v>46032</v>
      </c>
      <c r="S15" s="10" t="n"/>
    </row>
    <row r="16" ht="14.25" customHeight="1" s="281">
      <c r="A16" s="8" t="inlineStr">
        <is>
          <t>in_20260100015</t>
        </is>
      </c>
      <c r="B16" s="8" t="inlineStr">
        <is>
          <t>INV-2026-01-0015</t>
        </is>
      </c>
      <c r="C16" s="9" t="n">
        <v>46032</v>
      </c>
      <c r="D16" s="8" t="inlineStr">
        <is>
          <t>CUST003</t>
        </is>
      </c>
      <c r="E16" s="8" t="inlineStr">
        <is>
          <t>Maple Healthcare Systems</t>
        </is>
      </c>
      <c r="F16" s="8" t="inlineStr">
        <is>
          <t>SUB042</t>
        </is>
      </c>
      <c r="G16" s="8" t="inlineStr">
        <is>
          <t>Sales Hub</t>
        </is>
      </c>
      <c r="H16" s="8" t="inlineStr">
        <is>
          <t>Monthly</t>
        </is>
      </c>
      <c r="I16" s="9" t="n">
        <v>46032</v>
      </c>
      <c r="J16" s="9" t="n">
        <v>46053</v>
      </c>
      <c r="K16" s="8" t="n">
        <v>19</v>
      </c>
      <c r="L16" s="8" t="n">
        <v>110</v>
      </c>
      <c r="M16" s="8" t="n">
        <v>2090</v>
      </c>
      <c r="N16" s="8" t="n">
        <v>0</v>
      </c>
      <c r="O16" s="8" t="n">
        <v>0</v>
      </c>
      <c r="P16" s="8" t="n">
        <v>2090</v>
      </c>
      <c r="Q16" s="8" t="inlineStr">
        <is>
          <t>paid</t>
        </is>
      </c>
      <c r="R16" s="9" t="n">
        <v>46032</v>
      </c>
      <c r="S16" s="8" t="n"/>
    </row>
    <row r="17" ht="14.25" customHeight="1" s="281">
      <c r="A17" s="10" t="inlineStr">
        <is>
          <t>in_20260100016</t>
        </is>
      </c>
      <c r="B17" s="10" t="inlineStr">
        <is>
          <t>INV-2026-01-0016</t>
        </is>
      </c>
      <c r="C17" s="11" t="n">
        <v>46032</v>
      </c>
      <c r="D17" s="10" t="inlineStr">
        <is>
          <t>CUST014</t>
        </is>
      </c>
      <c r="E17" s="10" t="inlineStr">
        <is>
          <t>Toronto Media Group</t>
        </is>
      </c>
      <c r="F17" s="10" t="inlineStr">
        <is>
          <t>SUB051</t>
        </is>
      </c>
      <c r="G17" s="10" t="inlineStr">
        <is>
          <t>Sales Hub</t>
        </is>
      </c>
      <c r="H17" s="10" t="inlineStr">
        <is>
          <t>Monthly</t>
        </is>
      </c>
      <c r="I17" s="11" t="n">
        <v>46032</v>
      </c>
      <c r="J17" s="11" t="n">
        <v>46053</v>
      </c>
      <c r="K17" s="10" t="n">
        <v>23</v>
      </c>
      <c r="L17" s="10" t="n">
        <v>110</v>
      </c>
      <c r="M17" s="10" t="n">
        <v>2530</v>
      </c>
      <c r="N17" s="10" t="n">
        <v>0</v>
      </c>
      <c r="O17" s="10" t="n">
        <v>0</v>
      </c>
      <c r="P17" s="10" t="n">
        <v>2530</v>
      </c>
      <c r="Q17" s="10" t="inlineStr">
        <is>
          <t>paid</t>
        </is>
      </c>
      <c r="R17" s="11" t="n">
        <v>46032</v>
      </c>
      <c r="S17" s="10" t="n"/>
    </row>
    <row r="18" ht="14.25" customHeight="1" s="281">
      <c r="A18" s="8" t="inlineStr">
        <is>
          <t>in_20260100017</t>
        </is>
      </c>
      <c r="B18" s="8" t="inlineStr">
        <is>
          <t>INV-2026-01-0017</t>
        </is>
      </c>
      <c r="C18" s="9" t="n">
        <v>46034</v>
      </c>
      <c r="D18" s="8" t="inlineStr">
        <is>
          <t>CUST036</t>
        </is>
      </c>
      <c r="E18" s="8" t="inlineStr">
        <is>
          <t>Manitoba Finance Group</t>
        </is>
      </c>
      <c r="F18" s="8" t="inlineStr">
        <is>
          <t>SUB036</t>
        </is>
      </c>
      <c r="G18" s="8" t="inlineStr">
        <is>
          <t>Analytics Growth</t>
        </is>
      </c>
      <c r="H18" s="8" t="inlineStr">
        <is>
          <t>Monthly</t>
        </is>
      </c>
      <c r="I18" s="9" t="n">
        <v>46034</v>
      </c>
      <c r="J18" s="9" t="n">
        <v>46053</v>
      </c>
      <c r="K18" s="8" t="n">
        <v>18</v>
      </c>
      <c r="L18" s="8" t="n">
        <v>95</v>
      </c>
      <c r="M18" s="8" t="n">
        <v>1710</v>
      </c>
      <c r="N18" s="8" t="n">
        <v>0</v>
      </c>
      <c r="O18" s="8" t="n">
        <v>0</v>
      </c>
      <c r="P18" s="8" t="n">
        <v>1710</v>
      </c>
      <c r="Q18" s="8" t="inlineStr">
        <is>
          <t>paid</t>
        </is>
      </c>
      <c r="R18" s="9" t="n">
        <v>46034</v>
      </c>
      <c r="S18" s="8" t="n"/>
    </row>
    <row r="19" ht="14.25" customHeight="1" s="281">
      <c r="A19" s="10" t="inlineStr">
        <is>
          <t>in_20260100018</t>
        </is>
      </c>
      <c r="B19" s="10" t="inlineStr">
        <is>
          <t>INV-2026-01-0018</t>
        </is>
      </c>
      <c r="C19" s="11" t="n">
        <v>46034</v>
      </c>
      <c r="D19" s="10" t="inlineStr">
        <is>
          <t>CUST016</t>
        </is>
      </c>
      <c r="E19" s="10" t="inlineStr">
        <is>
          <t>Quebec Manufacturing</t>
        </is>
      </c>
      <c r="F19" s="10" t="inlineStr">
        <is>
          <t>SUB056</t>
        </is>
      </c>
      <c r="G19" s="10" t="inlineStr">
        <is>
          <t>Marketing Pro</t>
        </is>
      </c>
      <c r="H19" s="10" t="inlineStr">
        <is>
          <t>Monthly</t>
        </is>
      </c>
      <c r="I19" s="11" t="n">
        <v>46034</v>
      </c>
      <c r="J19" s="11" t="n">
        <v>46053</v>
      </c>
      <c r="K19" s="10" t="n">
        <v>38</v>
      </c>
      <c r="L19" s="10" t="n">
        <v>85</v>
      </c>
      <c r="M19" s="10" t="n">
        <v>3230</v>
      </c>
      <c r="N19" s="10" t="n">
        <v>0</v>
      </c>
      <c r="O19" s="10" t="n">
        <v>0</v>
      </c>
      <c r="P19" s="10" t="n">
        <v>3230</v>
      </c>
      <c r="Q19" s="10" t="inlineStr">
        <is>
          <t>paid</t>
        </is>
      </c>
      <c r="R19" s="11" t="n">
        <v>46034</v>
      </c>
      <c r="S19" s="10" t="n"/>
    </row>
    <row r="20" ht="14.25" customHeight="1" s="281">
      <c r="A20" s="8" t="inlineStr">
        <is>
          <t>in_20260100019</t>
        </is>
      </c>
      <c r="B20" s="8" t="inlineStr">
        <is>
          <t>INV-2026-01-0019</t>
        </is>
      </c>
      <c r="C20" s="9" t="n">
        <v>46035</v>
      </c>
      <c r="D20" s="8" t="inlineStr">
        <is>
          <t>CUST010</t>
        </is>
      </c>
      <c r="E20" s="8" t="inlineStr">
        <is>
          <t>Montreal Finance Hub</t>
        </is>
      </c>
      <c r="F20" s="8" t="inlineStr">
        <is>
          <t>SUB010</t>
        </is>
      </c>
      <c r="G20" s="8" t="inlineStr">
        <is>
          <t>Analytics Starter</t>
        </is>
      </c>
      <c r="H20" s="8" t="inlineStr">
        <is>
          <t>Monthly</t>
        </is>
      </c>
      <c r="I20" s="9" t="n">
        <v>46035</v>
      </c>
      <c r="J20" s="9" t="n">
        <v>46053</v>
      </c>
      <c r="K20" s="8" t="n">
        <v>13</v>
      </c>
      <c r="L20" s="8" t="n">
        <v>45</v>
      </c>
      <c r="M20" s="8" t="n">
        <v>585</v>
      </c>
      <c r="N20" s="8" t="n">
        <v>0</v>
      </c>
      <c r="O20" s="8" t="n">
        <v>0</v>
      </c>
      <c r="P20" s="8" t="n">
        <v>585</v>
      </c>
      <c r="Q20" s="8" t="inlineStr">
        <is>
          <t>paid</t>
        </is>
      </c>
      <c r="R20" s="9" t="n">
        <v>46035</v>
      </c>
      <c r="S20" s="8" t="n"/>
    </row>
    <row r="21" ht="14.25" customHeight="1" s="281">
      <c r="A21" s="10" t="inlineStr">
        <is>
          <t>in_20260100020</t>
        </is>
      </c>
      <c r="B21" s="10" t="inlineStr">
        <is>
          <t>INV-2026-01-0020</t>
        </is>
      </c>
      <c r="C21" s="11" t="n">
        <v>46036</v>
      </c>
      <c r="D21" s="10" t="inlineStr">
        <is>
          <t>CUST034</t>
        </is>
      </c>
      <c r="E21" s="10" t="inlineStr">
        <is>
          <t>Quebec Education Platform</t>
        </is>
      </c>
      <c r="F21" s="10" t="inlineStr">
        <is>
          <t>SUB034</t>
        </is>
      </c>
      <c r="G21" s="10" t="inlineStr">
        <is>
          <t>Analytics Starter</t>
        </is>
      </c>
      <c r="H21" s="10" t="inlineStr">
        <is>
          <t>Monthly</t>
        </is>
      </c>
      <c r="I21" s="11" t="n">
        <v>46036</v>
      </c>
      <c r="J21" s="11" t="n">
        <v>46053</v>
      </c>
      <c r="K21" s="10" t="n">
        <v>16</v>
      </c>
      <c r="L21" s="10" t="n">
        <v>45</v>
      </c>
      <c r="M21" s="10" t="n">
        <v>720</v>
      </c>
      <c r="N21" s="10" t="n">
        <v>0</v>
      </c>
      <c r="O21" s="10" t="n">
        <v>0</v>
      </c>
      <c r="P21" s="10" t="n">
        <v>720</v>
      </c>
      <c r="Q21" s="10" t="inlineStr">
        <is>
          <t>paid</t>
        </is>
      </c>
      <c r="R21" s="11" t="n">
        <v>46036</v>
      </c>
      <c r="S21" s="10" t="n"/>
    </row>
    <row r="22" ht="14.25" customHeight="1" s="281">
      <c r="A22" s="8" t="inlineStr">
        <is>
          <t>in_20260100021</t>
        </is>
      </c>
      <c r="B22" s="8" t="inlineStr">
        <is>
          <t>INV-2026-01-0021</t>
        </is>
      </c>
      <c r="C22" s="9" t="n">
        <v>46037</v>
      </c>
      <c r="D22" s="8" t="inlineStr">
        <is>
          <t>CUST001</t>
        </is>
      </c>
      <c r="E22" s="8" t="inlineStr">
        <is>
          <t>TechVision Solutions</t>
        </is>
      </c>
      <c r="F22" s="8" t="inlineStr">
        <is>
          <t>SUB041</t>
        </is>
      </c>
      <c r="G22" s="8" t="inlineStr">
        <is>
          <t>Sales Hub</t>
        </is>
      </c>
      <c r="H22" s="8" t="inlineStr">
        <is>
          <t>Monthly</t>
        </is>
      </c>
      <c r="I22" s="9" t="n">
        <v>46037</v>
      </c>
      <c r="J22" s="9" t="n">
        <v>46053</v>
      </c>
      <c r="K22" s="8" t="n">
        <v>16</v>
      </c>
      <c r="L22" s="8" t="n">
        <v>110</v>
      </c>
      <c r="M22" s="8" t="n">
        <v>1760</v>
      </c>
      <c r="N22" s="8" t="n">
        <v>0</v>
      </c>
      <c r="O22" s="8" t="n">
        <v>0</v>
      </c>
      <c r="P22" s="8" t="n">
        <v>1760</v>
      </c>
      <c r="Q22" s="8" t="inlineStr">
        <is>
          <t>paid</t>
        </is>
      </c>
      <c r="R22" s="9" t="n">
        <v>46037</v>
      </c>
      <c r="S22" s="8" t="n"/>
    </row>
    <row r="23" ht="14.25" customHeight="1" s="281">
      <c r="A23" s="10" t="inlineStr">
        <is>
          <t>in_20260100022</t>
        </is>
      </c>
      <c r="B23" s="10" t="inlineStr">
        <is>
          <t>INV-2026-01-0022</t>
        </is>
      </c>
      <c r="C23" s="11" t="n">
        <v>46037</v>
      </c>
      <c r="D23" s="10" t="inlineStr">
        <is>
          <t>CUST018</t>
        </is>
      </c>
      <c r="E23" s="10" t="inlineStr">
        <is>
          <t>Vancouver FinTech Labs</t>
        </is>
      </c>
      <c r="F23" s="10" t="inlineStr">
        <is>
          <t>SUB052</t>
        </is>
      </c>
      <c r="G23" s="10" t="inlineStr">
        <is>
          <t>Marketing Pro</t>
        </is>
      </c>
      <c r="H23" s="10" t="inlineStr">
        <is>
          <t>Monthly</t>
        </is>
      </c>
      <c r="I23" s="11" t="n">
        <v>46037</v>
      </c>
      <c r="J23" s="11" t="n">
        <v>46053</v>
      </c>
      <c r="K23" s="10" t="n">
        <v>35</v>
      </c>
      <c r="L23" s="10" t="n">
        <v>85</v>
      </c>
      <c r="M23" s="10" t="n">
        <v>2975</v>
      </c>
      <c r="N23" s="10" t="n">
        <v>0</v>
      </c>
      <c r="O23" s="10" t="n">
        <v>0</v>
      </c>
      <c r="P23" s="10" t="n">
        <v>2975</v>
      </c>
      <c r="Q23" s="10" t="inlineStr">
        <is>
          <t>paid</t>
        </is>
      </c>
      <c r="R23" s="11" t="n">
        <v>46037</v>
      </c>
      <c r="S23" s="10" t="n"/>
    </row>
    <row r="24" ht="14.25" customHeight="1" s="281">
      <c r="A24" s="8" t="inlineStr">
        <is>
          <t>in_20260100023</t>
        </is>
      </c>
      <c r="B24" s="8" t="inlineStr">
        <is>
          <t>INV-2026-01-0023</t>
        </is>
      </c>
      <c r="C24" s="9" t="n">
        <v>46037</v>
      </c>
      <c r="D24" s="8" t="inlineStr">
        <is>
          <t>CUST023</t>
        </is>
      </c>
      <c r="E24" s="8" t="inlineStr">
        <is>
          <t>Island Media Productions</t>
        </is>
      </c>
      <c r="F24" s="8" t="inlineStr">
        <is>
          <t>SUB062</t>
        </is>
      </c>
      <c r="G24" s="8" t="inlineStr">
        <is>
          <t>Marketing Pro</t>
        </is>
      </c>
      <c r="H24" s="8" t="inlineStr">
        <is>
          <t>Monthly</t>
        </is>
      </c>
      <c r="I24" s="9" t="n">
        <v>46037</v>
      </c>
      <c r="J24" s="9" t="n">
        <v>46053</v>
      </c>
      <c r="K24" s="8" t="n">
        <v>11</v>
      </c>
      <c r="L24" s="8" t="n">
        <v>85</v>
      </c>
      <c r="M24" s="8" t="n">
        <v>935</v>
      </c>
      <c r="N24" s="8" t="n">
        <v>0</v>
      </c>
      <c r="O24" s="8" t="n">
        <v>0</v>
      </c>
      <c r="P24" s="8" t="n">
        <v>935</v>
      </c>
      <c r="Q24" s="8" t="inlineStr">
        <is>
          <t>paid</t>
        </is>
      </c>
      <c r="R24" s="9" t="n">
        <v>46037</v>
      </c>
      <c r="S24" s="8" t="n"/>
    </row>
    <row r="25" ht="14.25" customHeight="1" s="281">
      <c r="A25" s="10" t="inlineStr">
        <is>
          <t>in_20260100024</t>
        </is>
      </c>
      <c r="B25" s="10" t="inlineStr">
        <is>
          <t>INV-2026-01-0024</t>
        </is>
      </c>
      <c r="C25" s="11" t="n">
        <v>46038</v>
      </c>
      <c r="D25" s="10" t="inlineStr">
        <is>
          <t>CUST019</t>
        </is>
      </c>
      <c r="E25" s="10" t="inlineStr">
        <is>
          <t>Central Healthcare Partners</t>
        </is>
      </c>
      <c r="F25" s="10" t="inlineStr">
        <is>
          <t>SUB019</t>
        </is>
      </c>
      <c r="G25" s="10" t="inlineStr">
        <is>
          <t>Marketing Pro</t>
        </is>
      </c>
      <c r="H25" s="10" t="inlineStr">
        <is>
          <t>Monthly</t>
        </is>
      </c>
      <c r="I25" s="11" t="n">
        <v>46038</v>
      </c>
      <c r="J25" s="11" t="n">
        <v>46053</v>
      </c>
      <c r="K25" s="10" t="n">
        <v>19</v>
      </c>
      <c r="L25" s="10" t="n">
        <v>85</v>
      </c>
      <c r="M25" s="10" t="n">
        <v>1615</v>
      </c>
      <c r="N25" s="10" t="n">
        <v>0</v>
      </c>
      <c r="O25" s="10" t="n">
        <v>0</v>
      </c>
      <c r="P25" s="10" t="n">
        <v>1615</v>
      </c>
      <c r="Q25" s="10" t="inlineStr">
        <is>
          <t>paid</t>
        </is>
      </c>
      <c r="R25" s="11" t="n">
        <v>46038</v>
      </c>
      <c r="S25" s="10" t="n"/>
    </row>
    <row r="26" ht="14.25" customHeight="1" s="281">
      <c r="A26" s="8" t="inlineStr">
        <is>
          <t>in_20260100025</t>
        </is>
      </c>
      <c r="B26" s="8" t="inlineStr">
        <is>
          <t>INV-2026-01-0025</t>
        </is>
      </c>
      <c r="C26" s="9" t="n">
        <v>46039</v>
      </c>
      <c r="D26" s="8" t="inlineStr">
        <is>
          <t>CUST030</t>
        </is>
      </c>
      <c r="E26" s="8" t="inlineStr">
        <is>
          <t>Alberta E-commerce Hub</t>
        </is>
      </c>
      <c r="F26" s="8" t="inlineStr">
        <is>
          <t>SUB030</t>
        </is>
      </c>
      <c r="G26" s="8" t="inlineStr">
        <is>
          <t>Analytics Growth</t>
        </is>
      </c>
      <c r="H26" s="8" t="inlineStr">
        <is>
          <t>Monthly</t>
        </is>
      </c>
      <c r="I26" s="9" t="n">
        <v>46039</v>
      </c>
      <c r="J26" s="9" t="n">
        <v>46053</v>
      </c>
      <c r="K26" s="8" t="n">
        <v>20</v>
      </c>
      <c r="L26" s="8" t="n">
        <v>95</v>
      </c>
      <c r="M26" s="8" t="n">
        <v>1900</v>
      </c>
      <c r="N26" s="8" t="n">
        <v>0</v>
      </c>
      <c r="O26" s="8" t="n">
        <v>0</v>
      </c>
      <c r="P26" s="8" t="n">
        <v>1900</v>
      </c>
      <c r="Q26" s="8" t="inlineStr">
        <is>
          <t>paid</t>
        </is>
      </c>
      <c r="R26" s="9" t="n">
        <v>46039</v>
      </c>
      <c r="S26" s="8" t="n"/>
    </row>
    <row r="27" ht="14.25" customHeight="1" s="281">
      <c r="A27" s="10" t="inlineStr">
        <is>
          <t>in_20260100026</t>
        </is>
      </c>
      <c r="B27" s="10" t="inlineStr">
        <is>
          <t>INV-2026-01-0026</t>
        </is>
      </c>
      <c r="C27" s="11" t="n">
        <v>46039</v>
      </c>
      <c r="D27" s="10" t="inlineStr">
        <is>
          <t>CUST032</t>
        </is>
      </c>
      <c r="E27" s="10" t="inlineStr">
        <is>
          <t>BC Manufacturing Systems</t>
        </is>
      </c>
      <c r="F27" s="10" t="inlineStr">
        <is>
          <t>SUB032</t>
        </is>
      </c>
      <c r="G27" s="10" t="inlineStr">
        <is>
          <t>Analytics Enterprise</t>
        </is>
      </c>
      <c r="H27" s="10" t="inlineStr">
        <is>
          <t>Monthly</t>
        </is>
      </c>
      <c r="I27" s="11" t="n">
        <v>46039</v>
      </c>
      <c r="J27" s="11" t="n">
        <v>46053</v>
      </c>
      <c r="K27" s="10" t="n">
        <v>26</v>
      </c>
      <c r="L27" s="10" t="n">
        <v>180</v>
      </c>
      <c r="M27" s="10" t="n">
        <v>4680</v>
      </c>
      <c r="N27" s="10" t="n">
        <v>0</v>
      </c>
      <c r="O27" s="10" t="n">
        <v>0</v>
      </c>
      <c r="P27" s="10" t="n">
        <v>4680</v>
      </c>
      <c r="Q27" s="10" t="inlineStr">
        <is>
          <t>paid</t>
        </is>
      </c>
      <c r="R27" s="11" t="n">
        <v>46039</v>
      </c>
      <c r="S27" s="10" t="n"/>
    </row>
    <row r="28" ht="14.25" customHeight="1" s="281">
      <c r="A28" s="8" t="inlineStr">
        <is>
          <t>in_20260100027</t>
        </is>
      </c>
      <c r="B28" s="8" t="inlineStr">
        <is>
          <t>INV-2026-01-0027</t>
        </is>
      </c>
      <c r="C28" s="9" t="n">
        <v>46040</v>
      </c>
      <c r="D28" s="8" t="inlineStr">
        <is>
          <t>CUST022</t>
        </is>
      </c>
      <c r="E28" s="8" t="inlineStr">
        <is>
          <t>Toronto Tech Ventures</t>
        </is>
      </c>
      <c r="F28" s="8" t="inlineStr">
        <is>
          <t>SUB047</t>
        </is>
      </c>
      <c r="G28" s="8" t="inlineStr">
        <is>
          <t>Sales Hub</t>
        </is>
      </c>
      <c r="H28" s="8" t="inlineStr">
        <is>
          <t>Monthly</t>
        </is>
      </c>
      <c r="I28" s="9" t="n">
        <v>46040</v>
      </c>
      <c r="J28" s="9" t="n">
        <v>46053</v>
      </c>
      <c r="K28" s="8" t="n">
        <v>26</v>
      </c>
      <c r="L28" s="8" t="n">
        <v>110</v>
      </c>
      <c r="M28" s="8" t="n">
        <v>2860</v>
      </c>
      <c r="N28" s="8" t="n">
        <v>0</v>
      </c>
      <c r="O28" s="8" t="n">
        <v>0</v>
      </c>
      <c r="P28" s="8" t="n">
        <v>2860</v>
      </c>
      <c r="Q28" s="8" t="inlineStr">
        <is>
          <t>paid</t>
        </is>
      </c>
      <c r="R28" s="9" t="n">
        <v>46040</v>
      </c>
      <c r="S28" s="8" t="n"/>
    </row>
    <row r="29" ht="14.25" customHeight="1" s="281">
      <c r="A29" s="10" t="inlineStr">
        <is>
          <t>in_20260100028</t>
        </is>
      </c>
      <c r="B29" s="10" t="inlineStr">
        <is>
          <t>INV-2026-01-0028</t>
        </is>
      </c>
      <c r="C29" s="11" t="n">
        <v>46041</v>
      </c>
      <c r="D29" s="10" t="inlineStr">
        <is>
          <t>CUST004</t>
        </is>
      </c>
      <c r="E29" s="10" t="inlineStr">
        <is>
          <t>Prairie Commerce Group</t>
        </is>
      </c>
      <c r="F29" s="10" t="inlineStr">
        <is>
          <t>SUB004</t>
        </is>
      </c>
      <c r="G29" s="10" t="inlineStr">
        <is>
          <t>Sales Hub</t>
        </is>
      </c>
      <c r="H29" s="10" t="inlineStr">
        <is>
          <t>Monthly</t>
        </is>
      </c>
      <c r="I29" s="11" t="n">
        <v>46041</v>
      </c>
      <c r="J29" s="11" t="n">
        <v>46053</v>
      </c>
      <c r="K29" s="10" t="n">
        <v>18</v>
      </c>
      <c r="L29" s="10" t="n">
        <v>110</v>
      </c>
      <c r="M29" s="10" t="n">
        <v>1980</v>
      </c>
      <c r="N29" s="10" t="n">
        <v>0</v>
      </c>
      <c r="O29" s="10" t="n">
        <v>0</v>
      </c>
      <c r="P29" s="10" t="n">
        <v>1980</v>
      </c>
      <c r="Q29" s="10" t="inlineStr">
        <is>
          <t>paid</t>
        </is>
      </c>
      <c r="R29" s="11" t="n">
        <v>46041</v>
      </c>
      <c r="S29" s="10" t="n"/>
    </row>
    <row r="30" ht="14.25" customHeight="1" s="281">
      <c r="A30" s="8" t="inlineStr">
        <is>
          <t>in_20260100029</t>
        </is>
      </c>
      <c r="B30" s="8" t="inlineStr">
        <is>
          <t>INV-2026-01-0029</t>
        </is>
      </c>
      <c r="C30" s="9" t="n">
        <v>46041</v>
      </c>
      <c r="D30" s="8" t="inlineStr">
        <is>
          <t>CUST017</t>
        </is>
      </c>
      <c r="E30" s="8" t="inlineStr">
        <is>
          <t>Capital Education Tech</t>
        </is>
      </c>
      <c r="F30" s="8" t="inlineStr">
        <is>
          <t>SUB017</t>
        </is>
      </c>
      <c r="G30" s="8" t="inlineStr">
        <is>
          <t>Analytics Starter</t>
        </is>
      </c>
      <c r="H30" s="8" t="inlineStr">
        <is>
          <t>Monthly</t>
        </is>
      </c>
      <c r="I30" s="9" t="n">
        <v>46041</v>
      </c>
      <c r="J30" s="9" t="n">
        <v>46053</v>
      </c>
      <c r="K30" s="8" t="n">
        <v>12</v>
      </c>
      <c r="L30" s="8" t="n">
        <v>45</v>
      </c>
      <c r="M30" s="8" t="n">
        <v>540</v>
      </c>
      <c r="N30" s="8" t="n">
        <v>0</v>
      </c>
      <c r="O30" s="8" t="n">
        <v>0</v>
      </c>
      <c r="P30" s="8" t="n">
        <v>540</v>
      </c>
      <c r="Q30" s="8" t="inlineStr">
        <is>
          <t>paid</t>
        </is>
      </c>
      <c r="R30" s="9" t="n">
        <v>46041</v>
      </c>
      <c r="S30" s="8" t="n"/>
    </row>
    <row r="31" ht="14.25" customHeight="1" s="281">
      <c r="A31" s="10" t="inlineStr">
        <is>
          <t>in_20260100030</t>
        </is>
      </c>
      <c r="B31" s="10" t="inlineStr">
        <is>
          <t>INV-2026-01-0030</t>
        </is>
      </c>
      <c r="C31" s="11" t="n">
        <v>46042</v>
      </c>
      <c r="D31" s="10" t="inlineStr">
        <is>
          <t>CUST028</t>
        </is>
      </c>
      <c r="E31" s="10" t="inlineStr">
        <is>
          <t>Prairie SaaS Innovations</t>
        </is>
      </c>
      <c r="F31" s="10" t="inlineStr">
        <is>
          <t>SUB028</t>
        </is>
      </c>
      <c r="G31" s="10" t="inlineStr">
        <is>
          <t>Analytics Starter</t>
        </is>
      </c>
      <c r="H31" s="10" t="inlineStr">
        <is>
          <t>Monthly</t>
        </is>
      </c>
      <c r="I31" s="11" t="n">
        <v>46042</v>
      </c>
      <c r="J31" s="11" t="n">
        <v>46053</v>
      </c>
      <c r="K31" s="10" t="n">
        <v>15</v>
      </c>
      <c r="L31" s="10" t="n">
        <v>45</v>
      </c>
      <c r="M31" s="10" t="n">
        <v>675</v>
      </c>
      <c r="N31" s="10" t="n">
        <v>0</v>
      </c>
      <c r="O31" s="10" t="n">
        <v>0</v>
      </c>
      <c r="P31" s="10" t="n">
        <v>675</v>
      </c>
      <c r="Q31" s="10" t="inlineStr">
        <is>
          <t>failed</t>
        </is>
      </c>
      <c r="R31" s="10" t="n"/>
      <c r="S31" s="10" t="inlineStr">
        <is>
          <t>Insufficient funds</t>
        </is>
      </c>
    </row>
    <row r="32" ht="14.25" customHeight="1" s="281">
      <c r="A32" s="8" t="inlineStr">
        <is>
          <t>in_20260100031</t>
        </is>
      </c>
      <c r="B32" s="8" t="inlineStr">
        <is>
          <t>INV-2026-01-0031</t>
        </is>
      </c>
      <c r="C32" s="9" t="n">
        <v>46042</v>
      </c>
      <c r="D32" s="8" t="inlineStr">
        <is>
          <t>CUST009</t>
        </is>
      </c>
      <c r="E32" s="8" t="inlineStr">
        <is>
          <t>West Coast Logistics</t>
        </is>
      </c>
      <c r="F32" s="8" t="inlineStr">
        <is>
          <t>SUB044</t>
        </is>
      </c>
      <c r="G32" s="8" t="inlineStr">
        <is>
          <t>Analytics Growth</t>
        </is>
      </c>
      <c r="H32" s="8" t="inlineStr">
        <is>
          <t>Monthly</t>
        </is>
      </c>
      <c r="I32" s="9" t="n">
        <v>46042</v>
      </c>
      <c r="J32" s="9" t="n">
        <v>46053</v>
      </c>
      <c r="K32" s="8" t="n">
        <v>35</v>
      </c>
      <c r="L32" s="8" t="n">
        <v>95</v>
      </c>
      <c r="M32" s="8" t="n">
        <v>3325</v>
      </c>
      <c r="N32" s="8" t="n">
        <v>0</v>
      </c>
      <c r="O32" s="8" t="n">
        <v>0</v>
      </c>
      <c r="P32" s="8" t="n">
        <v>3325</v>
      </c>
      <c r="Q32" s="8" t="inlineStr">
        <is>
          <t>paid</t>
        </is>
      </c>
      <c r="R32" s="9" t="n">
        <v>46042</v>
      </c>
      <c r="S32" s="8" t="n"/>
    </row>
    <row r="33" ht="14.25" customHeight="1" s="281">
      <c r="A33" s="10" t="inlineStr">
        <is>
          <t>in_20260100032</t>
        </is>
      </c>
      <c r="B33" s="10" t="inlineStr">
        <is>
          <t>INV-2026-01-0032</t>
        </is>
      </c>
      <c r="C33" s="11" t="n">
        <v>46042</v>
      </c>
      <c r="D33" s="10" t="inlineStr">
        <is>
          <t>CUST013</t>
        </is>
      </c>
      <c r="E33" s="10" t="inlineStr">
        <is>
          <t>Alberta Tech Innovators</t>
        </is>
      </c>
      <c r="F33" s="10" t="inlineStr">
        <is>
          <t>SUB061</t>
        </is>
      </c>
      <c r="G33" s="10" t="inlineStr">
        <is>
          <t>Analytics Growth</t>
        </is>
      </c>
      <c r="H33" s="10" t="inlineStr">
        <is>
          <t>Monthly</t>
        </is>
      </c>
      <c r="I33" s="11" t="n">
        <v>46042</v>
      </c>
      <c r="J33" s="11" t="n">
        <v>46053</v>
      </c>
      <c r="K33" s="10" t="n">
        <v>12</v>
      </c>
      <c r="L33" s="10" t="n">
        <v>95</v>
      </c>
      <c r="M33" s="10" t="n">
        <v>1140</v>
      </c>
      <c r="N33" s="10" t="n">
        <v>0</v>
      </c>
      <c r="O33" s="10" t="n">
        <v>0</v>
      </c>
      <c r="P33" s="10" t="n">
        <v>1140</v>
      </c>
      <c r="Q33" s="10" t="inlineStr">
        <is>
          <t>paid</t>
        </is>
      </c>
      <c r="R33" s="11" t="n">
        <v>46042</v>
      </c>
      <c r="S33" s="10" t="n"/>
    </row>
    <row r="34" ht="14.25" customHeight="1" s="281">
      <c r="A34" s="8" t="inlineStr">
        <is>
          <t>in_20260100033</t>
        </is>
      </c>
      <c r="B34" s="8" t="inlineStr">
        <is>
          <t>INV-2026-01-0033</t>
        </is>
      </c>
      <c r="C34" s="9" t="n">
        <v>46044</v>
      </c>
      <c r="D34" s="8" t="inlineStr">
        <is>
          <t>CUST002</t>
        </is>
      </c>
      <c r="E34" s="8" t="inlineStr">
        <is>
          <t>Pacific Analytics Inc</t>
        </is>
      </c>
      <c r="F34" s="8" t="inlineStr">
        <is>
          <t>SUB002</t>
        </is>
      </c>
      <c r="G34" s="8" t="inlineStr">
        <is>
          <t>Platform Suite</t>
        </is>
      </c>
      <c r="H34" s="8" t="inlineStr">
        <is>
          <t>Annual</t>
        </is>
      </c>
      <c r="I34" s="9" t="n">
        <v>46044</v>
      </c>
      <c r="J34" s="9" t="n">
        <v>46408</v>
      </c>
      <c r="K34" s="8" t="n">
        <v>26</v>
      </c>
      <c r="L34" s="8" t="n">
        <v>1800</v>
      </c>
      <c r="M34" s="8" t="n">
        <v>46800</v>
      </c>
      <c r="N34" s="8" t="n">
        <v>0</v>
      </c>
      <c r="O34" s="8" t="n">
        <v>0</v>
      </c>
      <c r="P34" s="8" t="n">
        <v>46800</v>
      </c>
      <c r="Q34" s="8" t="inlineStr">
        <is>
          <t>paid</t>
        </is>
      </c>
      <c r="R34" s="9" t="n">
        <v>46044</v>
      </c>
      <c r="S34" s="8" t="n"/>
    </row>
    <row r="35" ht="14.25" customHeight="1" s="281">
      <c r="A35" s="10" t="inlineStr">
        <is>
          <t>in_20260100034</t>
        </is>
      </c>
      <c r="B35" s="10" t="inlineStr">
        <is>
          <t>INV-2026-01-0034</t>
        </is>
      </c>
      <c r="C35" s="11" t="n">
        <v>46044</v>
      </c>
      <c r="D35" s="10" t="inlineStr">
        <is>
          <t>CUST015</t>
        </is>
      </c>
      <c r="E35" s="10" t="inlineStr">
        <is>
          <t>BC Retail Networks</t>
        </is>
      </c>
      <c r="F35" s="10" t="inlineStr">
        <is>
          <t>SUB046</t>
        </is>
      </c>
      <c r="G35" s="10" t="inlineStr">
        <is>
          <t>Analytics Enterprise</t>
        </is>
      </c>
      <c r="H35" s="10" t="inlineStr">
        <is>
          <t>Monthly</t>
        </is>
      </c>
      <c r="I35" s="11" t="n">
        <v>46044</v>
      </c>
      <c r="J35" s="11" t="n">
        <v>46053</v>
      </c>
      <c r="K35" s="10" t="n">
        <v>20</v>
      </c>
      <c r="L35" s="10" t="n">
        <v>180</v>
      </c>
      <c r="M35" s="10" t="n">
        <v>3600</v>
      </c>
      <c r="N35" s="10" t="n">
        <v>0</v>
      </c>
      <c r="O35" s="10" t="n">
        <v>0</v>
      </c>
      <c r="P35" s="10" t="n">
        <v>3600</v>
      </c>
      <c r="Q35" s="10" t="inlineStr">
        <is>
          <t>paid</t>
        </is>
      </c>
      <c r="R35" s="11" t="n">
        <v>46044</v>
      </c>
      <c r="S35" s="10" t="n"/>
    </row>
    <row r="36" ht="14.25" customHeight="1" s="281">
      <c r="A36" s="8" t="inlineStr">
        <is>
          <t>in_20260100035</t>
        </is>
      </c>
      <c r="B36" s="8" t="inlineStr">
        <is>
          <t>INV-2026-01-0035</t>
        </is>
      </c>
      <c r="C36" s="9" t="n">
        <v>46044</v>
      </c>
      <c r="D36" s="8" t="inlineStr">
        <is>
          <t>CUST025</t>
        </is>
      </c>
      <c r="E36" s="8" t="inlineStr">
        <is>
          <t>Montreal Manufacturing Pro</t>
        </is>
      </c>
      <c r="F36" s="8" t="inlineStr">
        <is>
          <t>SUB048</t>
        </is>
      </c>
      <c r="G36" s="8" t="inlineStr">
        <is>
          <t>Sales Hub</t>
        </is>
      </c>
      <c r="H36" s="8" t="inlineStr">
        <is>
          <t>Monthly</t>
        </is>
      </c>
      <c r="I36" s="9" t="n">
        <v>46044</v>
      </c>
      <c r="J36" s="9" t="n">
        <v>46053</v>
      </c>
      <c r="K36" s="8" t="n">
        <v>36</v>
      </c>
      <c r="L36" s="8" t="n">
        <v>110</v>
      </c>
      <c r="M36" s="8" t="n">
        <v>3960</v>
      </c>
      <c r="N36" s="8" t="n">
        <v>0</v>
      </c>
      <c r="O36" s="8" t="n">
        <v>0</v>
      </c>
      <c r="P36" s="8" t="n">
        <v>3960</v>
      </c>
      <c r="Q36" s="8" t="inlineStr">
        <is>
          <t>paid</t>
        </is>
      </c>
      <c r="R36" s="9" t="n">
        <v>46044</v>
      </c>
      <c r="S36" s="8" t="n"/>
    </row>
    <row r="37" ht="14.25" customHeight="1" s="281">
      <c r="A37" s="10" t="inlineStr">
        <is>
          <t>in_20260100036</t>
        </is>
      </c>
      <c r="B37" s="10" t="inlineStr">
        <is>
          <t>INV-2026-01-0036</t>
        </is>
      </c>
      <c r="C37" s="11" t="n">
        <v>46044</v>
      </c>
      <c r="D37" s="10" t="inlineStr">
        <is>
          <t>CUST002</t>
        </is>
      </c>
      <c r="E37" s="10" t="inlineStr">
        <is>
          <t>Pacific Analytics Inc</t>
        </is>
      </c>
      <c r="F37" s="10" t="inlineStr">
        <is>
          <t>SUB054</t>
        </is>
      </c>
      <c r="G37" s="10" t="inlineStr">
        <is>
          <t>Analytics Growth</t>
        </is>
      </c>
      <c r="H37" s="10" t="inlineStr">
        <is>
          <t>Annual</t>
        </is>
      </c>
      <c r="I37" s="11" t="n">
        <v>46044</v>
      </c>
      <c r="J37" s="11" t="n">
        <v>46408</v>
      </c>
      <c r="K37" s="10" t="n">
        <v>22</v>
      </c>
      <c r="L37" s="10" t="n">
        <v>1140</v>
      </c>
      <c r="M37" s="10" t="n">
        <v>25080</v>
      </c>
      <c r="N37" s="10" t="n">
        <v>5</v>
      </c>
      <c r="O37" s="10" t="n">
        <v>1254</v>
      </c>
      <c r="P37" s="10" t="n">
        <v>23826</v>
      </c>
      <c r="Q37" s="10" t="inlineStr">
        <is>
          <t>paid</t>
        </is>
      </c>
      <c r="R37" s="11" t="n">
        <v>46044</v>
      </c>
      <c r="S37" s="10" t="n"/>
    </row>
    <row r="38" ht="14.25" customHeight="1" s="281">
      <c r="A38" s="8" t="inlineStr">
        <is>
          <t>in_20260100037</t>
        </is>
      </c>
      <c r="B38" s="8" t="inlineStr">
        <is>
          <t>INV-2026-01-0037</t>
        </is>
      </c>
      <c r="C38" s="9" t="n">
        <v>46045</v>
      </c>
      <c r="D38" s="8" t="inlineStr">
        <is>
          <t>CUST026</t>
        </is>
      </c>
      <c r="E38" s="8" t="inlineStr">
        <is>
          <t>Ontario Education Connect</t>
        </is>
      </c>
      <c r="F38" s="8" t="inlineStr">
        <is>
          <t>SUB026</t>
        </is>
      </c>
      <c r="G38" s="8" t="inlineStr">
        <is>
          <t>Analytics Growth</t>
        </is>
      </c>
      <c r="H38" s="8" t="inlineStr">
        <is>
          <t>Monthly</t>
        </is>
      </c>
      <c r="I38" s="9" t="n">
        <v>46045</v>
      </c>
      <c r="J38" s="9" t="n">
        <v>46053</v>
      </c>
      <c r="K38" s="8" t="n">
        <v>16</v>
      </c>
      <c r="L38" s="8" t="n">
        <v>95</v>
      </c>
      <c r="M38" s="8" t="n">
        <v>1520</v>
      </c>
      <c r="N38" s="8" t="n">
        <v>0</v>
      </c>
      <c r="O38" s="8" t="n">
        <v>0</v>
      </c>
      <c r="P38" s="8" t="n">
        <v>1520</v>
      </c>
      <c r="Q38" s="8" t="inlineStr">
        <is>
          <t>paid</t>
        </is>
      </c>
      <c r="R38" s="9" t="n">
        <v>46045</v>
      </c>
      <c r="S38" s="8" t="n"/>
    </row>
    <row r="39" ht="14.25" customHeight="1" s="281">
      <c r="A39" s="10" t="inlineStr">
        <is>
          <t>in_20260100038</t>
        </is>
      </c>
      <c r="B39" s="10" t="inlineStr">
        <is>
          <t>INV-2026-01-0038</t>
        </is>
      </c>
      <c r="C39" s="11" t="n">
        <v>46045</v>
      </c>
      <c r="D39" s="10" t="inlineStr">
        <is>
          <t>CUST039</t>
        </is>
      </c>
      <c r="E39" s="10" t="inlineStr">
        <is>
          <t>Toronto Commerce Cloud</t>
        </is>
      </c>
      <c r="F39" s="10" t="inlineStr">
        <is>
          <t>SUB039</t>
        </is>
      </c>
      <c r="G39" s="10" t="inlineStr">
        <is>
          <t>Marketing Pro</t>
        </is>
      </c>
      <c r="H39" s="10" t="inlineStr">
        <is>
          <t>Monthly</t>
        </is>
      </c>
      <c r="I39" s="11" t="n">
        <v>46045</v>
      </c>
      <c r="J39" s="11" t="n">
        <v>46053</v>
      </c>
      <c r="K39" s="10" t="n">
        <v>29</v>
      </c>
      <c r="L39" s="10" t="n">
        <v>85</v>
      </c>
      <c r="M39" s="10" t="n">
        <v>2465</v>
      </c>
      <c r="N39" s="10" t="n">
        <v>0</v>
      </c>
      <c r="O39" s="10" t="n">
        <v>0</v>
      </c>
      <c r="P39" s="10" t="n">
        <v>2465</v>
      </c>
      <c r="Q39" s="10" t="inlineStr">
        <is>
          <t>paid</t>
        </is>
      </c>
      <c r="R39" s="11" t="n">
        <v>46045</v>
      </c>
      <c r="S39" s="10" t="n"/>
    </row>
    <row r="40" ht="14.25" customHeight="1" s="281">
      <c r="A40" s="8" t="inlineStr">
        <is>
          <t>in_20260100039</t>
        </is>
      </c>
      <c r="B40" s="8" t="inlineStr">
        <is>
          <t>INV-2026-01-0039</t>
        </is>
      </c>
      <c r="C40" s="9" t="n">
        <v>46047</v>
      </c>
      <c r="D40" s="8" t="inlineStr">
        <is>
          <t>CUST024</t>
        </is>
      </c>
      <c r="E40" s="8" t="inlineStr">
        <is>
          <t>Western Retail Group</t>
        </is>
      </c>
      <c r="F40" s="8" t="inlineStr">
        <is>
          <t>SUB024</t>
        </is>
      </c>
      <c r="G40" s="8" t="inlineStr">
        <is>
          <t>Marketing Pro</t>
        </is>
      </c>
      <c r="H40" s="8" t="inlineStr">
        <is>
          <t>Monthly</t>
        </is>
      </c>
      <c r="I40" s="9" t="n">
        <v>46047</v>
      </c>
      <c r="J40" s="9" t="n">
        <v>46053</v>
      </c>
      <c r="K40" s="8" t="n">
        <v>31</v>
      </c>
      <c r="L40" s="8" t="n">
        <v>85</v>
      </c>
      <c r="M40" s="8" t="n">
        <v>2635</v>
      </c>
      <c r="N40" s="8" t="n">
        <v>0</v>
      </c>
      <c r="O40" s="8" t="n">
        <v>0</v>
      </c>
      <c r="P40" s="8" t="n">
        <v>2635</v>
      </c>
      <c r="Q40" s="8" t="inlineStr">
        <is>
          <t>paid</t>
        </is>
      </c>
      <c r="R40" s="9" t="n">
        <v>46047</v>
      </c>
      <c r="S40" s="8" t="n"/>
    </row>
    <row r="41" ht="14.25" customHeight="1" s="281">
      <c r="A41" s="10" t="inlineStr">
        <is>
          <t>in_20260100040</t>
        </is>
      </c>
      <c r="B41" s="10" t="inlineStr">
        <is>
          <t>INV-2026-01-0040</t>
        </is>
      </c>
      <c r="C41" s="11" t="n">
        <v>46048</v>
      </c>
      <c r="D41" s="10" t="inlineStr">
        <is>
          <t>CUST037</t>
        </is>
      </c>
      <c r="E41" s="10" t="inlineStr">
        <is>
          <t>Maritime SaaS Ventures</t>
        </is>
      </c>
      <c r="F41" s="10" t="inlineStr">
        <is>
          <t>SUB037</t>
        </is>
      </c>
      <c r="G41" s="10" t="inlineStr">
        <is>
          <t>Platform Suite</t>
        </is>
      </c>
      <c r="H41" s="10" t="inlineStr">
        <is>
          <t>Monthly</t>
        </is>
      </c>
      <c r="I41" s="11" t="n">
        <v>46048</v>
      </c>
      <c r="J41" s="11" t="n">
        <v>46053</v>
      </c>
      <c r="K41" s="10" t="n">
        <v>35</v>
      </c>
      <c r="L41" s="10" t="n">
        <v>150</v>
      </c>
      <c r="M41" s="10" t="n">
        <v>5250</v>
      </c>
      <c r="N41" s="10" t="n">
        <v>0</v>
      </c>
      <c r="O41" s="10" t="n">
        <v>0</v>
      </c>
      <c r="P41" s="10" t="n">
        <v>5250</v>
      </c>
      <c r="Q41" s="10" t="inlineStr">
        <is>
          <t>paid</t>
        </is>
      </c>
      <c r="R41" s="11" t="n">
        <v>46048</v>
      </c>
      <c r="S41" s="10" t="n"/>
    </row>
    <row r="42" ht="14.25" customHeight="1" s="281">
      <c r="A42" s="8" t="inlineStr">
        <is>
          <t>in_20260100041</t>
        </is>
      </c>
      <c r="B42" s="8" t="inlineStr">
        <is>
          <t>INV-2026-01-0041</t>
        </is>
      </c>
      <c r="C42" s="9" t="n">
        <v>46048</v>
      </c>
      <c r="D42" s="8" t="inlineStr">
        <is>
          <t>CUST040</t>
        </is>
      </c>
      <c r="E42" s="8" t="inlineStr">
        <is>
          <t>BC Education Innovations</t>
        </is>
      </c>
      <c r="F42" s="8" t="inlineStr">
        <is>
          <t>SUB040</t>
        </is>
      </c>
      <c r="G42" s="8" t="inlineStr">
        <is>
          <t>Analytics Growth</t>
        </is>
      </c>
      <c r="H42" s="8" t="inlineStr">
        <is>
          <t>Monthly</t>
        </is>
      </c>
      <c r="I42" s="9" t="n">
        <v>46048</v>
      </c>
      <c r="J42" s="9" t="n">
        <v>46053</v>
      </c>
      <c r="K42" s="8" t="n">
        <v>18</v>
      </c>
      <c r="L42" s="8" t="n">
        <v>95</v>
      </c>
      <c r="M42" s="8" t="n">
        <v>1710</v>
      </c>
      <c r="N42" s="8" t="n">
        <v>0</v>
      </c>
      <c r="O42" s="8" t="n">
        <v>0</v>
      </c>
      <c r="P42" s="8" t="n">
        <v>1710</v>
      </c>
      <c r="Q42" s="8" t="inlineStr">
        <is>
          <t>paid</t>
        </is>
      </c>
      <c r="R42" s="9" t="n">
        <v>46048</v>
      </c>
      <c r="S42" s="8" t="n"/>
    </row>
    <row r="43" ht="14.25" customHeight="1" s="281">
      <c r="A43" s="10" t="inlineStr">
        <is>
          <t>in_20260100042</t>
        </is>
      </c>
      <c r="B43" s="10" t="inlineStr">
        <is>
          <t>INV-2026-01-0042</t>
        </is>
      </c>
      <c r="C43" s="11" t="n">
        <v>46049</v>
      </c>
      <c r="D43" s="10" t="inlineStr">
        <is>
          <t>CUST011</t>
        </is>
      </c>
      <c r="E43" s="10" t="inlineStr">
        <is>
          <t>Prairie Health Connect</t>
        </is>
      </c>
      <c r="F43" s="10" t="inlineStr">
        <is>
          <t>SUB011</t>
        </is>
      </c>
      <c r="G43" s="10" t="inlineStr">
        <is>
          <t>Sales Hub</t>
        </is>
      </c>
      <c r="H43" s="10" t="inlineStr">
        <is>
          <t>Monthly</t>
        </is>
      </c>
      <c r="I43" s="11" t="n">
        <v>46049</v>
      </c>
      <c r="J43" s="11" t="n">
        <v>46053</v>
      </c>
      <c r="K43" s="10" t="n">
        <v>18</v>
      </c>
      <c r="L43" s="10" t="n">
        <v>110</v>
      </c>
      <c r="M43" s="10" t="n">
        <v>1980</v>
      </c>
      <c r="N43" s="10" t="n">
        <v>0</v>
      </c>
      <c r="O43" s="10" t="n">
        <v>0</v>
      </c>
      <c r="P43" s="10" t="n">
        <v>1980</v>
      </c>
      <c r="Q43" s="10" t="inlineStr">
        <is>
          <t>paid</t>
        </is>
      </c>
      <c r="R43" s="11" t="n">
        <v>46049</v>
      </c>
      <c r="S43" s="10" t="n"/>
    </row>
    <row r="44" ht="14.25" customHeight="1" s="281">
      <c r="A44" s="8" t="inlineStr">
        <is>
          <t>in_20260100043</t>
        </is>
      </c>
      <c r="B44" s="8" t="inlineStr">
        <is>
          <t>INV-2026-01-0043</t>
        </is>
      </c>
      <c r="C44" s="9" t="n">
        <v>46050</v>
      </c>
      <c r="D44" s="8" t="inlineStr">
        <is>
          <t>CUST022</t>
        </is>
      </c>
      <c r="E44" s="8" t="inlineStr">
        <is>
          <t>Toronto Tech Ventures</t>
        </is>
      </c>
      <c r="F44" s="8" t="inlineStr">
        <is>
          <t>SUB022</t>
        </is>
      </c>
      <c r="G44" s="8" t="inlineStr">
        <is>
          <t>Platform Suite</t>
        </is>
      </c>
      <c r="H44" s="8" t="inlineStr">
        <is>
          <t>Monthly</t>
        </is>
      </c>
      <c r="I44" s="9" t="n">
        <v>46050</v>
      </c>
      <c r="J44" s="9" t="n">
        <v>46053</v>
      </c>
      <c r="K44" s="8" t="n">
        <v>33</v>
      </c>
      <c r="L44" s="8" t="n">
        <v>150</v>
      </c>
      <c r="M44" s="8" t="n">
        <v>4950</v>
      </c>
      <c r="N44" s="8" t="n">
        <v>0</v>
      </c>
      <c r="O44" s="8" t="n">
        <v>0</v>
      </c>
      <c r="P44" s="8" t="n">
        <v>4950</v>
      </c>
      <c r="Q44" s="8" t="inlineStr">
        <is>
          <t>paid</t>
        </is>
      </c>
      <c r="R44" s="9" t="n">
        <v>46050</v>
      </c>
      <c r="S44" s="8" t="n"/>
    </row>
    <row r="45" ht="14.25" customHeight="1" s="281">
      <c r="A45" s="10" t="inlineStr">
        <is>
          <t>in_20260100044</t>
        </is>
      </c>
      <c r="B45" s="10" t="inlineStr">
        <is>
          <t>INV-2026-01-0044</t>
        </is>
      </c>
      <c r="C45" s="11" t="n">
        <v>46050</v>
      </c>
      <c r="D45" s="10" t="inlineStr">
        <is>
          <t>CUST035</t>
        </is>
      </c>
      <c r="E45" s="10" t="inlineStr">
        <is>
          <t>Vancouver Health Systems</t>
        </is>
      </c>
      <c r="F45" s="10" t="inlineStr">
        <is>
          <t>SUB035</t>
        </is>
      </c>
      <c r="G45" s="10" t="inlineStr">
        <is>
          <t>Sales Hub</t>
        </is>
      </c>
      <c r="H45" s="10" t="inlineStr">
        <is>
          <t>Monthly</t>
        </is>
      </c>
      <c r="I45" s="11" t="n">
        <v>46050</v>
      </c>
      <c r="J45" s="11" t="n">
        <v>46053</v>
      </c>
      <c r="K45" s="10" t="n">
        <v>20</v>
      </c>
      <c r="L45" s="10" t="n">
        <v>110</v>
      </c>
      <c r="M45" s="10" t="n">
        <v>2200</v>
      </c>
      <c r="N45" s="10" t="n">
        <v>0</v>
      </c>
      <c r="O45" s="10" t="n">
        <v>0</v>
      </c>
      <c r="P45" s="10" t="n">
        <v>2200</v>
      </c>
      <c r="Q45" s="10" t="inlineStr">
        <is>
          <t>paid</t>
        </is>
      </c>
      <c r="R45" s="11" t="n">
        <v>46050</v>
      </c>
      <c r="S45" s="10" t="n"/>
    </row>
    <row r="46" ht="14.25" customHeight="1" s="281">
      <c r="A46" s="8" t="inlineStr">
        <is>
          <t>in_20260100045</t>
        </is>
      </c>
      <c r="B46" s="8" t="inlineStr">
        <is>
          <t>INV-2026-01-0045</t>
        </is>
      </c>
      <c r="C46" s="9" t="n">
        <v>46050</v>
      </c>
      <c r="D46" s="8" t="inlineStr">
        <is>
          <t>CUST021</t>
        </is>
      </c>
      <c r="E46" s="8" t="inlineStr">
        <is>
          <t>Calgary Commerce Solutions</t>
        </is>
      </c>
      <c r="F46" s="8" t="inlineStr">
        <is>
          <t>SUB057</t>
        </is>
      </c>
      <c r="G46" s="8" t="inlineStr">
        <is>
          <t>Platform Suite</t>
        </is>
      </c>
      <c r="H46" s="8" t="inlineStr">
        <is>
          <t>Monthly</t>
        </is>
      </c>
      <c r="I46" s="9" t="n">
        <v>46050</v>
      </c>
      <c r="J46" s="9" t="n">
        <v>46053</v>
      </c>
      <c r="K46" s="8" t="n">
        <v>28</v>
      </c>
      <c r="L46" s="8" t="n">
        <v>150</v>
      </c>
      <c r="M46" s="8" t="n">
        <v>4200</v>
      </c>
      <c r="N46" s="8" t="n">
        <v>0</v>
      </c>
      <c r="O46" s="8" t="n">
        <v>0</v>
      </c>
      <c r="P46" s="8" t="n">
        <v>4200</v>
      </c>
      <c r="Q46" s="8" t="inlineStr">
        <is>
          <t>paid</t>
        </is>
      </c>
      <c r="R46" s="9" t="n">
        <v>46050</v>
      </c>
      <c r="S46" s="8" t="n"/>
    </row>
    <row r="47" ht="14.25" customHeight="1" s="281">
      <c r="A47" s="10" t="inlineStr">
        <is>
          <t>in_20260100046</t>
        </is>
      </c>
      <c r="B47" s="10" t="inlineStr">
        <is>
          <t>INV-2026-01-0046</t>
        </is>
      </c>
      <c r="C47" s="11" t="n">
        <v>46052</v>
      </c>
      <c r="D47" s="10" t="inlineStr">
        <is>
          <t>CUST020</t>
        </is>
      </c>
      <c r="E47" s="10" t="inlineStr">
        <is>
          <t>Atlantic SaaS Systems</t>
        </is>
      </c>
      <c r="F47" s="10" t="inlineStr">
        <is>
          <t>SUB020</t>
        </is>
      </c>
      <c r="G47" s="10" t="inlineStr">
        <is>
          <t>Sales Hub</t>
        </is>
      </c>
      <c r="H47" s="10" t="inlineStr">
        <is>
          <t>Monthly</t>
        </is>
      </c>
      <c r="I47" s="11" t="n">
        <v>46052</v>
      </c>
      <c r="J47" s="11" t="n">
        <v>46053</v>
      </c>
      <c r="K47" s="10" t="n">
        <v>15</v>
      </c>
      <c r="L47" s="10" t="n">
        <v>110</v>
      </c>
      <c r="M47" s="10" t="n">
        <v>1650</v>
      </c>
      <c r="N47" s="10" t="n">
        <v>0</v>
      </c>
      <c r="O47" s="10" t="n">
        <v>0</v>
      </c>
      <c r="P47" s="10" t="n">
        <v>1650</v>
      </c>
      <c r="Q47" s="10" t="inlineStr">
        <is>
          <t>paid</t>
        </is>
      </c>
      <c r="R47" s="11" t="n">
        <v>46052</v>
      </c>
      <c r="S47" s="10" t="n"/>
    </row>
    <row r="48" ht="14.25" customHeight="1" s="281">
      <c r="A48" s="8" t="inlineStr">
        <is>
          <t>in_20260100047</t>
        </is>
      </c>
      <c r="B48" s="8" t="inlineStr">
        <is>
          <t>INV-2026-01-0047</t>
        </is>
      </c>
      <c r="C48" s="9" t="n">
        <v>46053</v>
      </c>
      <c r="D48" s="8" t="inlineStr">
        <is>
          <t>CUST033</t>
        </is>
      </c>
      <c r="E48" s="8" t="inlineStr">
        <is>
          <t>Ottawa Retail Solutions</t>
        </is>
      </c>
      <c r="F48" s="8" t="inlineStr">
        <is>
          <t>SUB033</t>
        </is>
      </c>
      <c r="G48" s="8" t="inlineStr">
        <is>
          <t>Marketing Pro</t>
        </is>
      </c>
      <c r="H48" s="8" t="inlineStr">
        <is>
          <t>Monthly</t>
        </is>
      </c>
      <c r="I48" s="9" t="n">
        <v>46053</v>
      </c>
      <c r="J48" s="9" t="n">
        <v>46053</v>
      </c>
      <c r="K48" s="8" t="n">
        <v>25</v>
      </c>
      <c r="L48" s="8" t="n">
        <v>85</v>
      </c>
      <c r="M48" s="8" t="n">
        <v>2125</v>
      </c>
      <c r="N48" s="8" t="n">
        <v>0</v>
      </c>
      <c r="O48" s="8" t="n">
        <v>0</v>
      </c>
      <c r="P48" s="8" t="n">
        <v>2125</v>
      </c>
      <c r="Q48" s="8" t="inlineStr">
        <is>
          <t>paid</t>
        </is>
      </c>
      <c r="R48" s="9" t="n">
        <v>46053</v>
      </c>
      <c r="S48" s="8" t="n"/>
    </row>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autoFilter ref="$A$1:$S$48"/>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S49"/>
  <sheetViews>
    <sheetView workbookViewId="0">
      <selection activeCell="A1" sqref="A1"/>
    </sheetView>
  </sheetViews>
  <sheetFormatPr baseColWidth="8" defaultColWidth="14.43" defaultRowHeight="15" customHeight="1"/>
  <cols>
    <col width="14.43" customWidth="1" style="281" min="1" max="1"/>
    <col width="16.29" customWidth="1" style="281" min="2" max="2"/>
    <col width="13.43" customWidth="1" style="281" min="3" max="3"/>
    <col width="13.29" customWidth="1" style="281" min="4" max="4"/>
    <col width="24.43" customWidth="1" style="281" min="5" max="5"/>
    <col width="15.57" customWidth="1" style="281" min="6" max="6"/>
    <col width="17" customWidth="1" style="281" min="7" max="7"/>
    <col width="12.71" customWidth="1" style="281" min="8" max="8"/>
    <col width="13.29" customWidth="1" style="281" min="9" max="9"/>
    <col width="12.43" customWidth="1" style="281" min="10" max="10"/>
    <col width="7.14" customWidth="1" style="281" min="11" max="11"/>
    <col width="15.29" customWidth="1" style="281" min="12" max="12"/>
    <col width="9.859999999999999" customWidth="1" style="281" min="13" max="13"/>
    <col width="13.57" customWidth="1" style="281" min="14" max="14"/>
    <col width="17.57" customWidth="1" style="281" min="15" max="16"/>
    <col width="8" customWidth="1" style="281" min="17" max="17"/>
    <col width="15.14" customWidth="1" style="281" min="18" max="18"/>
    <col width="14.86" customWidth="1" style="281" min="19" max="19"/>
    <col width="8.710000000000001" customWidth="1" style="281" min="20" max="26"/>
  </cols>
  <sheetData>
    <row r="1" ht="14.25" customHeight="1" s="281">
      <c r="A1" s="7" t="inlineStr">
        <is>
          <t>invoice_id</t>
        </is>
      </c>
      <c r="B1" s="7" t="inlineStr">
        <is>
          <t>invoice_number</t>
        </is>
      </c>
      <c r="C1" s="7" t="inlineStr">
        <is>
          <t>invoice_date</t>
        </is>
      </c>
      <c r="D1" s="7" t="inlineStr">
        <is>
          <t>customer_id</t>
        </is>
      </c>
      <c r="E1" s="7" t="inlineStr">
        <is>
          <t>customer_name</t>
        </is>
      </c>
      <c r="F1" s="7" t="inlineStr">
        <is>
          <t>subscription_id</t>
        </is>
      </c>
      <c r="G1" s="7" t="inlineStr">
        <is>
          <t>plan_name</t>
        </is>
      </c>
      <c r="H1" s="7" t="inlineStr">
        <is>
          <t>billing_cycle</t>
        </is>
      </c>
      <c r="I1" s="7" t="inlineStr">
        <is>
          <t>period_start</t>
        </is>
      </c>
      <c r="J1" s="7" t="inlineStr">
        <is>
          <t>period_end</t>
        </is>
      </c>
      <c r="K1" s="7" t="inlineStr">
        <is>
          <t>seats</t>
        </is>
      </c>
      <c r="L1" s="7" t="inlineStr">
        <is>
          <t>unit_price_usd</t>
        </is>
      </c>
      <c r="M1" s="7" t="inlineStr">
        <is>
          <t>subtotal</t>
        </is>
      </c>
      <c r="N1" s="7" t="inlineStr">
        <is>
          <t>discount_pct</t>
        </is>
      </c>
      <c r="O1" s="7" t="inlineStr">
        <is>
          <t>discount_amount</t>
        </is>
      </c>
      <c r="P1" s="7" t="inlineStr">
        <is>
          <t>amount_due_usd</t>
        </is>
      </c>
      <c r="Q1" s="7" t="inlineStr">
        <is>
          <t>status</t>
        </is>
      </c>
      <c r="R1" s="7" t="inlineStr">
        <is>
          <t>payment_date</t>
        </is>
      </c>
      <c r="S1" s="7" t="inlineStr">
        <is>
          <t>failure_reason</t>
        </is>
      </c>
    </row>
    <row r="2" ht="14.25" customHeight="1" s="281">
      <c r="A2" s="8" t="inlineStr">
        <is>
          <t>in_20260200001</t>
        </is>
      </c>
      <c r="B2" s="8" t="inlineStr">
        <is>
          <t>INV-2026-02-0001</t>
        </is>
      </c>
      <c r="C2" s="9" t="n">
        <v>46054</v>
      </c>
      <c r="D2" s="8" t="inlineStr">
        <is>
          <t>CUST007</t>
        </is>
      </c>
      <c r="E2" s="8" t="inlineStr">
        <is>
          <t>Ontario Manufacturing Tech</t>
        </is>
      </c>
      <c r="F2" s="8" t="inlineStr">
        <is>
          <t>SUB007</t>
        </is>
      </c>
      <c r="G2" s="8" t="inlineStr">
        <is>
          <t>Marketing Pro</t>
        </is>
      </c>
      <c r="H2" s="8" t="inlineStr">
        <is>
          <t>Monthly</t>
        </is>
      </c>
      <c r="I2" s="9" t="n">
        <v>46054</v>
      </c>
      <c r="J2" s="9" t="n">
        <v>46081</v>
      </c>
      <c r="K2" s="8" t="n">
        <v>16</v>
      </c>
      <c r="L2" s="8" t="n">
        <v>85</v>
      </c>
      <c r="M2" s="8" t="n">
        <v>1360</v>
      </c>
      <c r="N2" s="8" t="n">
        <v>0</v>
      </c>
      <c r="O2" s="8" t="n">
        <v>0</v>
      </c>
      <c r="P2" s="8" t="n">
        <v>1360</v>
      </c>
      <c r="Q2" s="8" t="inlineStr">
        <is>
          <t>paid</t>
        </is>
      </c>
      <c r="R2" s="9" t="n">
        <v>46054</v>
      </c>
      <c r="S2" s="8" t="n"/>
    </row>
    <row r="3" ht="14.25" customHeight="1" s="281">
      <c r="A3" s="10" t="inlineStr">
        <is>
          <t>in_20260200002</t>
        </is>
      </c>
      <c r="B3" s="10" t="inlineStr">
        <is>
          <t>INV-2026-02-0002</t>
        </is>
      </c>
      <c r="C3" s="11" t="n">
        <v>46054</v>
      </c>
      <c r="D3" s="10" t="inlineStr">
        <is>
          <t>CUST007</t>
        </is>
      </c>
      <c r="E3" s="10" t="inlineStr">
        <is>
          <t>Ontario Manufacturing Tech</t>
        </is>
      </c>
      <c r="F3" s="10" t="inlineStr">
        <is>
          <t>SUB050</t>
        </is>
      </c>
      <c r="G3" s="10" t="inlineStr">
        <is>
          <t>Analytics Starter</t>
        </is>
      </c>
      <c r="H3" s="10" t="inlineStr">
        <is>
          <t>Monthly</t>
        </is>
      </c>
      <c r="I3" s="11" t="n">
        <v>46054</v>
      </c>
      <c r="J3" s="11" t="n">
        <v>46081</v>
      </c>
      <c r="K3" s="10" t="n">
        <v>15</v>
      </c>
      <c r="L3" s="10" t="n">
        <v>45</v>
      </c>
      <c r="M3" s="10" t="n">
        <v>675</v>
      </c>
      <c r="N3" s="10" t="n">
        <v>12</v>
      </c>
      <c r="O3" s="10" t="n">
        <v>81</v>
      </c>
      <c r="P3" s="10" t="n">
        <v>594</v>
      </c>
      <c r="Q3" s="10" t="inlineStr">
        <is>
          <t>paid</t>
        </is>
      </c>
      <c r="R3" s="11" t="n">
        <v>46054</v>
      </c>
      <c r="S3" s="10" t="n"/>
    </row>
    <row r="4" ht="14.25" customHeight="1" s="281">
      <c r="A4" s="8" t="inlineStr">
        <is>
          <t>in_20260200003</t>
        </is>
      </c>
      <c r="B4" s="8" t="inlineStr">
        <is>
          <t>INV-2026-02-0003</t>
        </is>
      </c>
      <c r="C4" s="9" t="n">
        <v>46055</v>
      </c>
      <c r="D4" s="8" t="inlineStr">
        <is>
          <t>CUST018</t>
        </is>
      </c>
      <c r="E4" s="8" t="inlineStr">
        <is>
          <t>Vancouver FinTech Labs</t>
        </is>
      </c>
      <c r="F4" s="8" t="inlineStr">
        <is>
          <t>SUB018</t>
        </is>
      </c>
      <c r="G4" s="8" t="inlineStr">
        <is>
          <t>Analytics Enterprise</t>
        </is>
      </c>
      <c r="H4" s="8" t="inlineStr">
        <is>
          <t>Monthly</t>
        </is>
      </c>
      <c r="I4" s="9" t="n">
        <v>46055</v>
      </c>
      <c r="J4" s="9" t="n">
        <v>46081</v>
      </c>
      <c r="K4" s="8" t="n">
        <v>35</v>
      </c>
      <c r="L4" s="8" t="n">
        <v>180</v>
      </c>
      <c r="M4" s="8" t="n">
        <v>6300</v>
      </c>
      <c r="N4" s="8" t="n">
        <v>0</v>
      </c>
      <c r="O4" s="8" t="n">
        <v>0</v>
      </c>
      <c r="P4" s="8" t="n">
        <v>6300</v>
      </c>
      <c r="Q4" s="8" t="inlineStr">
        <is>
          <t>paid</t>
        </is>
      </c>
      <c r="R4" s="9" t="n">
        <v>46055</v>
      </c>
      <c r="S4" s="8" t="n"/>
    </row>
    <row r="5" ht="14.25" customHeight="1" s="281">
      <c r="A5" s="10" t="inlineStr">
        <is>
          <t>in_20260200004</t>
        </is>
      </c>
      <c r="B5" s="10" t="inlineStr">
        <is>
          <t>INV-2026-02-0004</t>
        </is>
      </c>
      <c r="C5" s="11" t="n">
        <v>46056</v>
      </c>
      <c r="D5" s="10" t="inlineStr">
        <is>
          <t>CUST029</t>
        </is>
      </c>
      <c r="E5" s="10" t="inlineStr">
        <is>
          <t>Halifax Healthcare Tech</t>
        </is>
      </c>
      <c r="F5" s="10" t="inlineStr">
        <is>
          <t>SUB029</t>
        </is>
      </c>
      <c r="G5" s="10" t="inlineStr">
        <is>
          <t>Marketing Pro</t>
        </is>
      </c>
      <c r="H5" s="10" t="inlineStr">
        <is>
          <t>Monthly</t>
        </is>
      </c>
      <c r="I5" s="11" t="n">
        <v>46056</v>
      </c>
      <c r="J5" s="11" t="n">
        <v>46081</v>
      </c>
      <c r="K5" s="10" t="n">
        <v>22</v>
      </c>
      <c r="L5" s="10" t="n">
        <v>85</v>
      </c>
      <c r="M5" s="10" t="n">
        <v>1870</v>
      </c>
      <c r="N5" s="10" t="n">
        <v>0</v>
      </c>
      <c r="O5" s="10" t="n">
        <v>0</v>
      </c>
      <c r="P5" s="10" t="n">
        <v>1870</v>
      </c>
      <c r="Q5" s="10" t="inlineStr">
        <is>
          <t>paid</t>
        </is>
      </c>
      <c r="R5" s="11" t="n">
        <v>46056</v>
      </c>
      <c r="S5" s="10" t="n"/>
    </row>
    <row r="6" ht="14.25" customHeight="1" s="281">
      <c r="A6" s="8" t="inlineStr">
        <is>
          <t>in_20260200005</t>
        </is>
      </c>
      <c r="B6" s="8" t="inlineStr">
        <is>
          <t>INV-2026-02-0005</t>
        </is>
      </c>
      <c r="C6" s="9" t="n">
        <v>46058</v>
      </c>
      <c r="D6" s="8" t="inlineStr">
        <is>
          <t>CUST003</t>
        </is>
      </c>
      <c r="E6" s="8" t="inlineStr">
        <is>
          <t>Maple Healthcare Systems</t>
        </is>
      </c>
      <c r="F6" s="8" t="inlineStr">
        <is>
          <t>SUB003</t>
        </is>
      </c>
      <c r="G6" s="8" t="inlineStr">
        <is>
          <t>Marketing Pro</t>
        </is>
      </c>
      <c r="H6" s="8" t="inlineStr">
        <is>
          <t>Monthly</t>
        </is>
      </c>
      <c r="I6" s="9" t="n">
        <v>46058</v>
      </c>
      <c r="J6" s="9" t="n">
        <v>46081</v>
      </c>
      <c r="K6" s="8" t="n">
        <v>23</v>
      </c>
      <c r="L6" s="8" t="n">
        <v>85</v>
      </c>
      <c r="M6" s="8" t="n">
        <v>1955</v>
      </c>
      <c r="N6" s="8" t="n">
        <v>0</v>
      </c>
      <c r="O6" s="8" t="n">
        <v>0</v>
      </c>
      <c r="P6" s="8" t="n">
        <v>1955</v>
      </c>
      <c r="Q6" s="8" t="inlineStr">
        <is>
          <t>paid</t>
        </is>
      </c>
      <c r="R6" s="9" t="n">
        <v>46058</v>
      </c>
      <c r="S6" s="8" t="n"/>
    </row>
    <row r="7" ht="14.25" customHeight="1" s="281">
      <c r="A7" s="10" t="inlineStr">
        <is>
          <t>in_20260200006</t>
        </is>
      </c>
      <c r="B7" s="10" t="inlineStr">
        <is>
          <t>INV-2026-02-0006</t>
        </is>
      </c>
      <c r="C7" s="11" t="n">
        <v>46058</v>
      </c>
      <c r="D7" s="10" t="inlineStr">
        <is>
          <t>CUST006</t>
        </is>
      </c>
      <c r="E7" s="10" t="inlineStr">
        <is>
          <t>Northern Retail Solutions</t>
        </is>
      </c>
      <c r="F7" s="10" t="inlineStr">
        <is>
          <t>SUB043</t>
        </is>
      </c>
      <c r="G7" s="10" t="inlineStr">
        <is>
          <t>Marketing Pro</t>
        </is>
      </c>
      <c r="H7" s="10" t="inlineStr">
        <is>
          <t>Monthly</t>
        </is>
      </c>
      <c r="I7" s="11" t="n">
        <v>46058</v>
      </c>
      <c r="J7" s="11" t="n">
        <v>46081</v>
      </c>
      <c r="K7" s="10" t="n">
        <v>33</v>
      </c>
      <c r="L7" s="10" t="n">
        <v>85</v>
      </c>
      <c r="M7" s="10" t="n">
        <v>2805</v>
      </c>
      <c r="N7" s="10" t="n">
        <v>0</v>
      </c>
      <c r="O7" s="10" t="n">
        <v>0</v>
      </c>
      <c r="P7" s="10" t="n">
        <v>2805</v>
      </c>
      <c r="Q7" s="10" t="inlineStr">
        <is>
          <t>paid</t>
        </is>
      </c>
      <c r="R7" s="11" t="n">
        <v>46058</v>
      </c>
      <c r="S7" s="10" t="n"/>
    </row>
    <row r="8" ht="14.25" customHeight="1" s="281">
      <c r="A8" s="8" t="inlineStr">
        <is>
          <t>in_20260200007</t>
        </is>
      </c>
      <c r="B8" s="8" t="inlineStr">
        <is>
          <t>INV-2026-02-0007</t>
        </is>
      </c>
      <c r="C8" s="9" t="n">
        <v>46058</v>
      </c>
      <c r="D8" s="8" t="inlineStr">
        <is>
          <t>CUST027</t>
        </is>
      </c>
      <c r="E8" s="8" t="inlineStr">
        <is>
          <t>Pacific Finance Corp</t>
        </is>
      </c>
      <c r="F8" s="8" t="inlineStr">
        <is>
          <t>SUB053</t>
        </is>
      </c>
      <c r="G8" s="8" t="inlineStr">
        <is>
          <t>Analytics Enterprise</t>
        </is>
      </c>
      <c r="H8" s="8" t="inlineStr">
        <is>
          <t>Monthly</t>
        </is>
      </c>
      <c r="I8" s="9" t="n">
        <v>46058</v>
      </c>
      <c r="J8" s="9" t="n">
        <v>46081</v>
      </c>
      <c r="K8" s="8" t="n">
        <v>31</v>
      </c>
      <c r="L8" s="8" t="n">
        <v>180</v>
      </c>
      <c r="M8" s="8" t="n">
        <v>5580</v>
      </c>
      <c r="N8" s="8" t="n">
        <v>0</v>
      </c>
      <c r="O8" s="8" t="n">
        <v>0</v>
      </c>
      <c r="P8" s="8" t="n">
        <v>5580</v>
      </c>
      <c r="Q8" s="8" t="inlineStr">
        <is>
          <t>paid</t>
        </is>
      </c>
      <c r="R8" s="9" t="n">
        <v>46058</v>
      </c>
      <c r="S8" s="8" t="n"/>
    </row>
    <row r="9" ht="14.25" customHeight="1" s="281">
      <c r="A9" s="10" t="inlineStr">
        <is>
          <t>in_20260200008</t>
        </is>
      </c>
      <c r="B9" s="10" t="inlineStr">
        <is>
          <t>INV-2026-02-0008</t>
        </is>
      </c>
      <c r="C9" s="11" t="n">
        <v>46058</v>
      </c>
      <c r="D9" s="10" t="inlineStr">
        <is>
          <t>CUST008</t>
        </is>
      </c>
      <c r="E9" s="10" t="inlineStr">
        <is>
          <t>Quantum Education Platform</t>
        </is>
      </c>
      <c r="F9" s="10" t="inlineStr">
        <is>
          <t>SUB059</t>
        </is>
      </c>
      <c r="G9" s="10" t="inlineStr">
        <is>
          <t>Marketing Pro</t>
        </is>
      </c>
      <c r="H9" s="10" t="inlineStr">
        <is>
          <t>Monthly</t>
        </is>
      </c>
      <c r="I9" s="11" t="n">
        <v>46058</v>
      </c>
      <c r="J9" s="11" t="n">
        <v>46081</v>
      </c>
      <c r="K9" s="10" t="n">
        <v>22</v>
      </c>
      <c r="L9" s="10" t="n">
        <v>85</v>
      </c>
      <c r="M9" s="10" t="n">
        <v>1870</v>
      </c>
      <c r="N9" s="10" t="n">
        <v>0</v>
      </c>
      <c r="O9" s="10" t="n">
        <v>0</v>
      </c>
      <c r="P9" s="10" t="n">
        <v>1870</v>
      </c>
      <c r="Q9" s="10" t="inlineStr">
        <is>
          <t>paid</t>
        </is>
      </c>
      <c r="R9" s="11" t="n">
        <v>46058</v>
      </c>
      <c r="S9" s="10" t="n"/>
    </row>
    <row r="10" ht="14.25" customHeight="1" s="281">
      <c r="A10" s="8" t="inlineStr">
        <is>
          <t>in_20260200009</t>
        </is>
      </c>
      <c r="B10" s="8" t="inlineStr">
        <is>
          <t>INV-2026-02-0009</t>
        </is>
      </c>
      <c r="C10" s="9" t="n">
        <v>46059</v>
      </c>
      <c r="D10" s="8" t="inlineStr">
        <is>
          <t>CUST027</t>
        </is>
      </c>
      <c r="E10" s="8" t="inlineStr">
        <is>
          <t>Pacific Finance Corp</t>
        </is>
      </c>
      <c r="F10" s="8" t="inlineStr">
        <is>
          <t>SUB027</t>
        </is>
      </c>
      <c r="G10" s="8" t="inlineStr">
        <is>
          <t>Sales Hub</t>
        </is>
      </c>
      <c r="H10" s="8" t="inlineStr">
        <is>
          <t>Monthly</t>
        </is>
      </c>
      <c r="I10" s="9" t="n">
        <v>46059</v>
      </c>
      <c r="J10" s="9" t="n">
        <v>46081</v>
      </c>
      <c r="K10" s="8" t="n">
        <v>28</v>
      </c>
      <c r="L10" s="8" t="n">
        <v>110</v>
      </c>
      <c r="M10" s="8" t="n">
        <v>3080</v>
      </c>
      <c r="N10" s="8" t="n">
        <v>0</v>
      </c>
      <c r="O10" s="8" t="n">
        <v>0</v>
      </c>
      <c r="P10" s="8" t="n">
        <v>3080</v>
      </c>
      <c r="Q10" s="8" t="inlineStr">
        <is>
          <t>paid</t>
        </is>
      </c>
      <c r="R10" s="9" t="n">
        <v>46059</v>
      </c>
      <c r="S10" s="8" t="n"/>
    </row>
    <row r="11" ht="14.25" customHeight="1" s="281">
      <c r="A11" s="10" t="inlineStr">
        <is>
          <t>in_20260200010</t>
        </is>
      </c>
      <c r="B11" s="10" t="inlineStr">
        <is>
          <t>INV-2026-02-0010</t>
        </is>
      </c>
      <c r="C11" s="11" t="n">
        <v>46061</v>
      </c>
      <c r="D11" s="10" t="inlineStr">
        <is>
          <t>CUST014</t>
        </is>
      </c>
      <c r="E11" s="10" t="inlineStr">
        <is>
          <t>Toronto Media Group</t>
        </is>
      </c>
      <c r="F11" s="10" t="inlineStr">
        <is>
          <t>SUB014</t>
        </is>
      </c>
      <c r="G11" s="10" t="inlineStr">
        <is>
          <t>Marketing Pro</t>
        </is>
      </c>
      <c r="H11" s="10" t="inlineStr">
        <is>
          <t>Monthly</t>
        </is>
      </c>
      <c r="I11" s="11" t="n">
        <v>46061</v>
      </c>
      <c r="J11" s="11" t="n">
        <v>46081</v>
      </c>
      <c r="K11" s="10" t="n">
        <v>28</v>
      </c>
      <c r="L11" s="10" t="n">
        <v>85</v>
      </c>
      <c r="M11" s="10" t="n">
        <v>2380</v>
      </c>
      <c r="N11" s="10" t="n">
        <v>0</v>
      </c>
      <c r="O11" s="10" t="n">
        <v>0</v>
      </c>
      <c r="P11" s="10" t="n">
        <v>2380</v>
      </c>
      <c r="Q11" s="10" t="inlineStr">
        <is>
          <t>paid</t>
        </is>
      </c>
      <c r="R11" s="11" t="n">
        <v>46061</v>
      </c>
      <c r="S11" s="10" t="n"/>
    </row>
    <row r="12" ht="14.25" customHeight="1" s="281">
      <c r="A12" s="8" t="inlineStr">
        <is>
          <t>in_20260200011</t>
        </is>
      </c>
      <c r="B12" s="8" t="inlineStr">
        <is>
          <t>INV-2026-02-0011</t>
        </is>
      </c>
      <c r="C12" s="9" t="n">
        <v>46061</v>
      </c>
      <c r="D12" s="8" t="inlineStr">
        <is>
          <t>CUST010</t>
        </is>
      </c>
      <c r="E12" s="8" t="inlineStr">
        <is>
          <t>Montreal Finance Hub</t>
        </is>
      </c>
      <c r="F12" s="8" t="inlineStr">
        <is>
          <t>SUB045</t>
        </is>
      </c>
      <c r="G12" s="8" t="inlineStr">
        <is>
          <t>Marketing Pro</t>
        </is>
      </c>
      <c r="H12" s="8" t="inlineStr">
        <is>
          <t>Monthly</t>
        </is>
      </c>
      <c r="I12" s="9" t="n">
        <v>46061</v>
      </c>
      <c r="J12" s="9" t="n">
        <v>46081</v>
      </c>
      <c r="K12" s="8" t="n">
        <v>13</v>
      </c>
      <c r="L12" s="8" t="n">
        <v>85</v>
      </c>
      <c r="M12" s="8" t="n">
        <v>1105</v>
      </c>
      <c r="N12" s="8" t="n">
        <v>0</v>
      </c>
      <c r="O12" s="8" t="n">
        <v>0</v>
      </c>
      <c r="P12" s="8" t="n">
        <v>1105</v>
      </c>
      <c r="Q12" s="8" t="inlineStr">
        <is>
          <t>paid</t>
        </is>
      </c>
      <c r="R12" s="9" t="n">
        <v>46061</v>
      </c>
      <c r="S12" s="8" t="n"/>
    </row>
    <row r="13" ht="14.25" customHeight="1" s="281">
      <c r="A13" s="10" t="inlineStr">
        <is>
          <t>in_20260200012</t>
        </is>
      </c>
      <c r="B13" s="10" t="inlineStr">
        <is>
          <t>INV-2026-02-0012</t>
        </is>
      </c>
      <c r="C13" s="11" t="n">
        <v>46061</v>
      </c>
      <c r="D13" s="10" t="inlineStr">
        <is>
          <t>CUST024</t>
        </is>
      </c>
      <c r="E13" s="10" t="inlineStr">
        <is>
          <t>Western Retail Group</t>
        </is>
      </c>
      <c r="F13" s="10" t="inlineStr">
        <is>
          <t>SUB058</t>
        </is>
      </c>
      <c r="G13" s="10" t="inlineStr">
        <is>
          <t>Sales Hub</t>
        </is>
      </c>
      <c r="H13" s="10" t="inlineStr">
        <is>
          <t>Monthly</t>
        </is>
      </c>
      <c r="I13" s="11" t="n">
        <v>46061</v>
      </c>
      <c r="J13" s="11" t="n">
        <v>46081</v>
      </c>
      <c r="K13" s="10" t="n">
        <v>26</v>
      </c>
      <c r="L13" s="10" t="n">
        <v>110</v>
      </c>
      <c r="M13" s="10" t="n">
        <v>2860</v>
      </c>
      <c r="N13" s="10" t="n">
        <v>0</v>
      </c>
      <c r="O13" s="10" t="n">
        <v>0</v>
      </c>
      <c r="P13" s="10" t="n">
        <v>2860</v>
      </c>
      <c r="Q13" s="10" t="inlineStr">
        <is>
          <t>paid</t>
        </is>
      </c>
      <c r="R13" s="11" t="n">
        <v>46061</v>
      </c>
      <c r="S13" s="10" t="n"/>
    </row>
    <row r="14" ht="14.25" customHeight="1" s="281">
      <c r="A14" s="8" t="inlineStr">
        <is>
          <t>in_20260200013</t>
        </is>
      </c>
      <c r="B14" s="8" t="inlineStr">
        <is>
          <t>INV-2026-02-0013</t>
        </is>
      </c>
      <c r="C14" s="9" t="n">
        <v>46062</v>
      </c>
      <c r="D14" s="8" t="inlineStr">
        <is>
          <t>CUST038</t>
        </is>
      </c>
      <c r="E14" s="8" t="inlineStr">
        <is>
          <t>Calgary Tech Partners</t>
        </is>
      </c>
      <c r="F14" s="8" t="inlineStr">
        <is>
          <t>SUB038</t>
        </is>
      </c>
      <c r="G14" s="8" t="inlineStr">
        <is>
          <t>Analytics Starter</t>
        </is>
      </c>
      <c r="H14" s="8" t="inlineStr">
        <is>
          <t>Monthly</t>
        </is>
      </c>
      <c r="I14" s="9" t="n">
        <v>46062</v>
      </c>
      <c r="J14" s="9" t="n">
        <v>46081</v>
      </c>
      <c r="K14" s="8" t="n">
        <v>13</v>
      </c>
      <c r="L14" s="8" t="n">
        <v>45</v>
      </c>
      <c r="M14" s="8" t="n">
        <v>585</v>
      </c>
      <c r="N14" s="8" t="n">
        <v>0</v>
      </c>
      <c r="O14" s="8" t="n">
        <v>0</v>
      </c>
      <c r="P14" s="8" t="n">
        <v>585</v>
      </c>
      <c r="Q14" s="8" t="inlineStr">
        <is>
          <t>paid</t>
        </is>
      </c>
      <c r="R14" s="9" t="n">
        <v>46062</v>
      </c>
      <c r="S14" s="8" t="n"/>
    </row>
    <row r="15" ht="14.25" customHeight="1" s="281">
      <c r="A15" s="10" t="inlineStr">
        <is>
          <t>in_20260200014</t>
        </is>
      </c>
      <c r="B15" s="10" t="inlineStr">
        <is>
          <t>INV-2026-02-0014</t>
        </is>
      </c>
      <c r="C15" s="11" t="n">
        <v>46063</v>
      </c>
      <c r="D15" s="10" t="inlineStr">
        <is>
          <t>CUST012</t>
        </is>
      </c>
      <c r="E15" s="10" t="inlineStr">
        <is>
          <t>Maritime E-commerce</t>
        </is>
      </c>
      <c r="F15" s="10" t="inlineStr">
        <is>
          <t>SUB012</t>
        </is>
      </c>
      <c r="G15" s="10" t="inlineStr">
        <is>
          <t>Analytics Growth</t>
        </is>
      </c>
      <c r="H15" s="10" t="inlineStr">
        <is>
          <t>Monthly</t>
        </is>
      </c>
      <c r="I15" s="11" t="n">
        <v>46063</v>
      </c>
      <c r="J15" s="11" t="n">
        <v>46081</v>
      </c>
      <c r="K15" s="10" t="n">
        <v>23</v>
      </c>
      <c r="L15" s="10" t="n">
        <v>95</v>
      </c>
      <c r="M15" s="10" t="n">
        <v>2185</v>
      </c>
      <c r="N15" s="10" t="n">
        <v>0</v>
      </c>
      <c r="O15" s="10" t="n">
        <v>0</v>
      </c>
      <c r="P15" s="10" t="n">
        <v>2185</v>
      </c>
      <c r="Q15" s="10" t="inlineStr">
        <is>
          <t>paid</t>
        </is>
      </c>
      <c r="R15" s="11" t="n">
        <v>46063</v>
      </c>
      <c r="S15" s="10" t="n"/>
    </row>
    <row r="16" ht="14.25" customHeight="1" s="281">
      <c r="A16" s="8" t="inlineStr">
        <is>
          <t>in_20260200015</t>
        </is>
      </c>
      <c r="B16" s="8" t="inlineStr">
        <is>
          <t>INV-2026-02-0015</t>
        </is>
      </c>
      <c r="C16" s="9" t="n">
        <v>46063</v>
      </c>
      <c r="D16" s="8" t="inlineStr">
        <is>
          <t>CUST003</t>
        </is>
      </c>
      <c r="E16" s="8" t="inlineStr">
        <is>
          <t>Maple Healthcare Systems</t>
        </is>
      </c>
      <c r="F16" s="8" t="inlineStr">
        <is>
          <t>SUB042</t>
        </is>
      </c>
      <c r="G16" s="8" t="inlineStr">
        <is>
          <t>Sales Hub</t>
        </is>
      </c>
      <c r="H16" s="8" t="inlineStr">
        <is>
          <t>Monthly</t>
        </is>
      </c>
      <c r="I16" s="9" t="n">
        <v>46063</v>
      </c>
      <c r="J16" s="9" t="n">
        <v>46081</v>
      </c>
      <c r="K16" s="8" t="n">
        <v>19</v>
      </c>
      <c r="L16" s="8" t="n">
        <v>110</v>
      </c>
      <c r="M16" s="8" t="n">
        <v>2090</v>
      </c>
      <c r="N16" s="8" t="n">
        <v>0</v>
      </c>
      <c r="O16" s="8" t="n">
        <v>0</v>
      </c>
      <c r="P16" s="8" t="n">
        <v>2090</v>
      </c>
      <c r="Q16" s="8" t="inlineStr">
        <is>
          <t>paid</t>
        </is>
      </c>
      <c r="R16" s="9" t="n">
        <v>46063</v>
      </c>
      <c r="S16" s="8" t="n"/>
    </row>
    <row r="17" ht="14.25" customHeight="1" s="281">
      <c r="A17" s="10" t="inlineStr">
        <is>
          <t>in_20260200016</t>
        </is>
      </c>
      <c r="B17" s="10" t="inlineStr">
        <is>
          <t>INV-2026-02-0016</t>
        </is>
      </c>
      <c r="C17" s="11" t="n">
        <v>46063</v>
      </c>
      <c r="D17" s="10" t="inlineStr">
        <is>
          <t>CUST014</t>
        </is>
      </c>
      <c r="E17" s="10" t="inlineStr">
        <is>
          <t>Toronto Media Group</t>
        </is>
      </c>
      <c r="F17" s="10" t="inlineStr">
        <is>
          <t>SUB051</t>
        </is>
      </c>
      <c r="G17" s="10" t="inlineStr">
        <is>
          <t>Sales Hub</t>
        </is>
      </c>
      <c r="H17" s="10" t="inlineStr">
        <is>
          <t>Monthly</t>
        </is>
      </c>
      <c r="I17" s="11" t="n">
        <v>46063</v>
      </c>
      <c r="J17" s="11" t="n">
        <v>46081</v>
      </c>
      <c r="K17" s="10" t="n">
        <v>23</v>
      </c>
      <c r="L17" s="10" t="n">
        <v>110</v>
      </c>
      <c r="M17" s="10" t="n">
        <v>2530</v>
      </c>
      <c r="N17" s="10" t="n">
        <v>0</v>
      </c>
      <c r="O17" s="10" t="n">
        <v>0</v>
      </c>
      <c r="P17" s="10" t="n">
        <v>2530</v>
      </c>
      <c r="Q17" s="10" t="inlineStr">
        <is>
          <t>paid</t>
        </is>
      </c>
      <c r="R17" s="11" t="n">
        <v>46063</v>
      </c>
      <c r="S17" s="10" t="n"/>
    </row>
    <row r="18" ht="14.25" customHeight="1" s="281">
      <c r="A18" s="8" t="inlineStr">
        <is>
          <t>in_20260200017</t>
        </is>
      </c>
      <c r="B18" s="8" t="inlineStr">
        <is>
          <t>INV-2026-02-0017</t>
        </is>
      </c>
      <c r="C18" s="9" t="n">
        <v>46063</v>
      </c>
      <c r="D18" s="8" t="inlineStr">
        <is>
          <t>CUST041</t>
        </is>
      </c>
      <c r="E18" s="8" t="inlineStr">
        <is>
          <t>Dynamic Retail Solutions</t>
        </is>
      </c>
      <c r="F18" s="8" t="inlineStr">
        <is>
          <t>SUB063</t>
        </is>
      </c>
      <c r="G18" s="8" t="inlineStr">
        <is>
          <t>Sales Hub</t>
        </is>
      </c>
      <c r="H18" s="8" t="inlineStr">
        <is>
          <t>Monthly</t>
        </is>
      </c>
      <c r="I18" s="9" t="n">
        <v>46063</v>
      </c>
      <c r="J18" s="9" t="n">
        <v>46081</v>
      </c>
      <c r="K18" s="8" t="n">
        <v>28</v>
      </c>
      <c r="L18" s="8" t="n">
        <v>110</v>
      </c>
      <c r="M18" s="8" t="n">
        <v>3080</v>
      </c>
      <c r="N18" s="8" t="n">
        <v>0</v>
      </c>
      <c r="O18" s="8" t="n">
        <v>0</v>
      </c>
      <c r="P18" s="8" t="n">
        <v>3080</v>
      </c>
      <c r="Q18" s="8" t="inlineStr">
        <is>
          <t>paid</t>
        </is>
      </c>
      <c r="R18" s="9" t="n">
        <v>46063</v>
      </c>
      <c r="S18" s="8" t="n"/>
    </row>
    <row r="19" ht="14.25" customHeight="1" s="281">
      <c r="A19" s="10" t="inlineStr">
        <is>
          <t>in_20260200018</t>
        </is>
      </c>
      <c r="B19" s="10" t="inlineStr">
        <is>
          <t>INV-2026-02-0018</t>
        </is>
      </c>
      <c r="C19" s="11" t="n">
        <v>46065</v>
      </c>
      <c r="D19" s="10" t="inlineStr">
        <is>
          <t>CUST036</t>
        </is>
      </c>
      <c r="E19" s="10" t="inlineStr">
        <is>
          <t>Manitoba Finance Group</t>
        </is>
      </c>
      <c r="F19" s="10" t="inlineStr">
        <is>
          <t>SUB036</t>
        </is>
      </c>
      <c r="G19" s="10" t="inlineStr">
        <is>
          <t>Analytics Growth</t>
        </is>
      </c>
      <c r="H19" s="10" t="inlineStr">
        <is>
          <t>Monthly</t>
        </is>
      </c>
      <c r="I19" s="11" t="n">
        <v>46065</v>
      </c>
      <c r="J19" s="11" t="n">
        <v>46081</v>
      </c>
      <c r="K19" s="10" t="n">
        <v>18</v>
      </c>
      <c r="L19" s="10" t="n">
        <v>95</v>
      </c>
      <c r="M19" s="10" t="n">
        <v>1710</v>
      </c>
      <c r="N19" s="10" t="n">
        <v>0</v>
      </c>
      <c r="O19" s="10" t="n">
        <v>0</v>
      </c>
      <c r="P19" s="10" t="n">
        <v>1710</v>
      </c>
      <c r="Q19" s="10" t="inlineStr">
        <is>
          <t>paid</t>
        </is>
      </c>
      <c r="R19" s="11" t="n">
        <v>46065</v>
      </c>
      <c r="S19" s="10" t="n"/>
    </row>
    <row r="20" ht="14.25" customHeight="1" s="281">
      <c r="A20" s="8" t="inlineStr">
        <is>
          <t>in_20260200019</t>
        </is>
      </c>
      <c r="B20" s="8" t="inlineStr">
        <is>
          <t>INV-2026-02-0019</t>
        </is>
      </c>
      <c r="C20" s="9" t="n">
        <v>46065</v>
      </c>
      <c r="D20" s="8" t="inlineStr">
        <is>
          <t>CUST016</t>
        </is>
      </c>
      <c r="E20" s="8" t="inlineStr">
        <is>
          <t>Quebec Manufacturing</t>
        </is>
      </c>
      <c r="F20" s="8" t="inlineStr">
        <is>
          <t>SUB056</t>
        </is>
      </c>
      <c r="G20" s="8" t="inlineStr">
        <is>
          <t>Marketing Pro</t>
        </is>
      </c>
      <c r="H20" s="8" t="inlineStr">
        <is>
          <t>Monthly</t>
        </is>
      </c>
      <c r="I20" s="9" t="n">
        <v>46065</v>
      </c>
      <c r="J20" s="9" t="n">
        <v>46081</v>
      </c>
      <c r="K20" s="8" t="n">
        <v>38</v>
      </c>
      <c r="L20" s="8" t="n">
        <v>85</v>
      </c>
      <c r="M20" s="8" t="n">
        <v>3230</v>
      </c>
      <c r="N20" s="8" t="n">
        <v>0</v>
      </c>
      <c r="O20" s="8" t="n">
        <v>0</v>
      </c>
      <c r="P20" s="8" t="n">
        <v>3230</v>
      </c>
      <c r="Q20" s="8" t="inlineStr">
        <is>
          <t>paid</t>
        </is>
      </c>
      <c r="R20" s="9" t="n">
        <v>46065</v>
      </c>
      <c r="S20" s="8" t="n"/>
    </row>
    <row r="21" ht="14.25" customHeight="1" s="281">
      <c r="A21" s="10" t="inlineStr">
        <is>
          <t>in_20260200020</t>
        </is>
      </c>
      <c r="B21" s="10" t="inlineStr">
        <is>
          <t>INV-2026-02-0020</t>
        </is>
      </c>
      <c r="C21" s="11" t="n">
        <v>46066</v>
      </c>
      <c r="D21" s="10" t="inlineStr">
        <is>
          <t>CUST010</t>
        </is>
      </c>
      <c r="E21" s="10" t="inlineStr">
        <is>
          <t>Montreal Finance Hub</t>
        </is>
      </c>
      <c r="F21" s="10" t="inlineStr">
        <is>
          <t>SUB010</t>
        </is>
      </c>
      <c r="G21" s="10" t="inlineStr">
        <is>
          <t>Analytics Starter</t>
        </is>
      </c>
      <c r="H21" s="10" t="inlineStr">
        <is>
          <t>Monthly</t>
        </is>
      </c>
      <c r="I21" s="11" t="n">
        <v>46066</v>
      </c>
      <c r="J21" s="11" t="n">
        <v>46081</v>
      </c>
      <c r="K21" s="10" t="n">
        <v>13</v>
      </c>
      <c r="L21" s="10" t="n">
        <v>45</v>
      </c>
      <c r="M21" s="10" t="n">
        <v>585</v>
      </c>
      <c r="N21" s="10" t="n">
        <v>0</v>
      </c>
      <c r="O21" s="10" t="n">
        <v>0</v>
      </c>
      <c r="P21" s="10" t="n">
        <v>585</v>
      </c>
      <c r="Q21" s="10" t="inlineStr">
        <is>
          <t>paid</t>
        </is>
      </c>
      <c r="R21" s="11" t="n">
        <v>46066</v>
      </c>
      <c r="S21" s="10" t="n"/>
    </row>
    <row r="22" ht="14.25" customHeight="1" s="281">
      <c r="A22" s="8" t="inlineStr">
        <is>
          <t>in_20260200021</t>
        </is>
      </c>
      <c r="B22" s="8" t="inlineStr">
        <is>
          <t>INV-2026-02-0021</t>
        </is>
      </c>
      <c r="C22" s="9" t="n">
        <v>46067</v>
      </c>
      <c r="D22" s="8" t="inlineStr">
        <is>
          <t>CUST034</t>
        </is>
      </c>
      <c r="E22" s="8" t="inlineStr">
        <is>
          <t>Quebec Education Platform</t>
        </is>
      </c>
      <c r="F22" s="8" t="inlineStr">
        <is>
          <t>SUB034</t>
        </is>
      </c>
      <c r="G22" s="8" t="inlineStr">
        <is>
          <t>Analytics Starter</t>
        </is>
      </c>
      <c r="H22" s="8" t="inlineStr">
        <is>
          <t>Monthly</t>
        </is>
      </c>
      <c r="I22" s="9" t="n">
        <v>46067</v>
      </c>
      <c r="J22" s="9" t="n">
        <v>46081</v>
      </c>
      <c r="K22" s="8" t="n">
        <v>16</v>
      </c>
      <c r="L22" s="8" t="n">
        <v>45</v>
      </c>
      <c r="M22" s="8" t="n">
        <v>720</v>
      </c>
      <c r="N22" s="8" t="n">
        <v>0</v>
      </c>
      <c r="O22" s="8" t="n">
        <v>0</v>
      </c>
      <c r="P22" s="8" t="n">
        <v>720</v>
      </c>
      <c r="Q22" s="8" t="inlineStr">
        <is>
          <t>paid</t>
        </is>
      </c>
      <c r="R22" s="9" t="n">
        <v>46067</v>
      </c>
      <c r="S22" s="8" t="n"/>
    </row>
    <row r="23" ht="14.25" customHeight="1" s="281">
      <c r="A23" s="10" t="inlineStr">
        <is>
          <t>in_20260200022</t>
        </is>
      </c>
      <c r="B23" s="10" t="inlineStr">
        <is>
          <t>INV-2026-02-0022</t>
        </is>
      </c>
      <c r="C23" s="11" t="n">
        <v>46068</v>
      </c>
      <c r="D23" s="10" t="inlineStr">
        <is>
          <t>CUST001</t>
        </is>
      </c>
      <c r="E23" s="10" t="inlineStr">
        <is>
          <t>TechVision Solutions</t>
        </is>
      </c>
      <c r="F23" s="10" t="inlineStr">
        <is>
          <t>SUB041</t>
        </is>
      </c>
      <c r="G23" s="10" t="inlineStr">
        <is>
          <t>Sales Hub</t>
        </is>
      </c>
      <c r="H23" s="10" t="inlineStr">
        <is>
          <t>Monthly</t>
        </is>
      </c>
      <c r="I23" s="11" t="n">
        <v>46068</v>
      </c>
      <c r="J23" s="11" t="n">
        <v>46081</v>
      </c>
      <c r="K23" s="10" t="n">
        <v>16</v>
      </c>
      <c r="L23" s="10" t="n">
        <v>110</v>
      </c>
      <c r="M23" s="10" t="n">
        <v>1760</v>
      </c>
      <c r="N23" s="10" t="n">
        <v>0</v>
      </c>
      <c r="O23" s="10" t="n">
        <v>0</v>
      </c>
      <c r="P23" s="10" t="n">
        <v>1760</v>
      </c>
      <c r="Q23" s="10" t="inlineStr">
        <is>
          <t>paid</t>
        </is>
      </c>
      <c r="R23" s="11" t="n">
        <v>46068</v>
      </c>
      <c r="S23" s="10" t="n"/>
    </row>
    <row r="24" ht="14.25" customHeight="1" s="281">
      <c r="A24" s="8" t="inlineStr">
        <is>
          <t>in_20260200023</t>
        </is>
      </c>
      <c r="B24" s="8" t="inlineStr">
        <is>
          <t>INV-2026-02-0023</t>
        </is>
      </c>
      <c r="C24" s="9" t="n">
        <v>46068</v>
      </c>
      <c r="D24" s="8" t="inlineStr">
        <is>
          <t>CUST018</t>
        </is>
      </c>
      <c r="E24" s="8" t="inlineStr">
        <is>
          <t>Vancouver FinTech Labs</t>
        </is>
      </c>
      <c r="F24" s="8" t="inlineStr">
        <is>
          <t>SUB052</t>
        </is>
      </c>
      <c r="G24" s="8" t="inlineStr">
        <is>
          <t>Marketing Pro</t>
        </is>
      </c>
      <c r="H24" s="8" t="inlineStr">
        <is>
          <t>Monthly</t>
        </is>
      </c>
      <c r="I24" s="9" t="n">
        <v>46068</v>
      </c>
      <c r="J24" s="9" t="n">
        <v>46081</v>
      </c>
      <c r="K24" s="8" t="n">
        <v>35</v>
      </c>
      <c r="L24" s="8" t="n">
        <v>85</v>
      </c>
      <c r="M24" s="8" t="n">
        <v>2975</v>
      </c>
      <c r="N24" s="8" t="n">
        <v>0</v>
      </c>
      <c r="O24" s="8" t="n">
        <v>0</v>
      </c>
      <c r="P24" s="8" t="n">
        <v>2975</v>
      </c>
      <c r="Q24" s="8" t="inlineStr">
        <is>
          <t>paid</t>
        </is>
      </c>
      <c r="R24" s="9" t="n">
        <v>46068</v>
      </c>
      <c r="S24" s="8" t="n"/>
    </row>
    <row r="25" ht="14.25" customHeight="1" s="281">
      <c r="A25" s="10" t="inlineStr">
        <is>
          <t>in_20260200024</t>
        </is>
      </c>
      <c r="B25" s="10" t="inlineStr">
        <is>
          <t>INV-2026-02-0024</t>
        </is>
      </c>
      <c r="C25" s="11" t="n">
        <v>46068</v>
      </c>
      <c r="D25" s="10" t="inlineStr">
        <is>
          <t>CUST023</t>
        </is>
      </c>
      <c r="E25" s="10" t="inlineStr">
        <is>
          <t>Island Media Productions</t>
        </is>
      </c>
      <c r="F25" s="10" t="inlineStr">
        <is>
          <t>SUB062</t>
        </is>
      </c>
      <c r="G25" s="10" t="inlineStr">
        <is>
          <t>Marketing Pro</t>
        </is>
      </c>
      <c r="H25" s="10" t="inlineStr">
        <is>
          <t>Monthly</t>
        </is>
      </c>
      <c r="I25" s="11" t="n">
        <v>46068</v>
      </c>
      <c r="J25" s="11" t="n">
        <v>46081</v>
      </c>
      <c r="K25" s="10" t="n">
        <v>11</v>
      </c>
      <c r="L25" s="10" t="n">
        <v>85</v>
      </c>
      <c r="M25" s="10" t="n">
        <v>935</v>
      </c>
      <c r="N25" s="10" t="n">
        <v>0</v>
      </c>
      <c r="O25" s="10" t="n">
        <v>0</v>
      </c>
      <c r="P25" s="10" t="n">
        <v>935</v>
      </c>
      <c r="Q25" s="10" t="inlineStr">
        <is>
          <t>paid</t>
        </is>
      </c>
      <c r="R25" s="11" t="n">
        <v>46068</v>
      </c>
      <c r="S25" s="10" t="n"/>
    </row>
    <row r="26" ht="14.25" customHeight="1" s="281">
      <c r="A26" s="8" t="inlineStr">
        <is>
          <t>in_20260200025</t>
        </is>
      </c>
      <c r="B26" s="8" t="inlineStr">
        <is>
          <t>INV-2026-02-0025</t>
        </is>
      </c>
      <c r="C26" s="9" t="n">
        <v>46069</v>
      </c>
      <c r="D26" s="8" t="inlineStr">
        <is>
          <t>CUST019</t>
        </is>
      </c>
      <c r="E26" s="8" t="inlineStr">
        <is>
          <t>Central Healthcare Partners</t>
        </is>
      </c>
      <c r="F26" s="8" t="inlineStr">
        <is>
          <t>SUB019</t>
        </is>
      </c>
      <c r="G26" s="8" t="inlineStr">
        <is>
          <t>Marketing Pro</t>
        </is>
      </c>
      <c r="H26" s="8" t="inlineStr">
        <is>
          <t>Monthly</t>
        </is>
      </c>
      <c r="I26" s="9" t="n">
        <v>46069</v>
      </c>
      <c r="J26" s="9" t="n">
        <v>46081</v>
      </c>
      <c r="K26" s="8" t="n">
        <v>19</v>
      </c>
      <c r="L26" s="8" t="n">
        <v>85</v>
      </c>
      <c r="M26" s="8" t="n">
        <v>1615</v>
      </c>
      <c r="N26" s="8" t="n">
        <v>0</v>
      </c>
      <c r="O26" s="8" t="n">
        <v>0</v>
      </c>
      <c r="P26" s="8" t="n">
        <v>1615</v>
      </c>
      <c r="Q26" s="8" t="inlineStr">
        <is>
          <t>paid</t>
        </is>
      </c>
      <c r="R26" s="9" t="n">
        <v>46069</v>
      </c>
      <c r="S26" s="8" t="n"/>
    </row>
    <row r="27" ht="14.25" customHeight="1" s="281">
      <c r="A27" s="10" t="inlineStr">
        <is>
          <t>in_20260200026</t>
        </is>
      </c>
      <c r="B27" s="10" t="inlineStr">
        <is>
          <t>INV-2026-02-0026</t>
        </is>
      </c>
      <c r="C27" s="11" t="n">
        <v>46070</v>
      </c>
      <c r="D27" s="10" t="inlineStr">
        <is>
          <t>CUST030</t>
        </is>
      </c>
      <c r="E27" s="10" t="inlineStr">
        <is>
          <t>Alberta E-commerce Hub</t>
        </is>
      </c>
      <c r="F27" s="10" t="inlineStr">
        <is>
          <t>SUB030</t>
        </is>
      </c>
      <c r="G27" s="10" t="inlineStr">
        <is>
          <t>Analytics Growth</t>
        </is>
      </c>
      <c r="H27" s="10" t="inlineStr">
        <is>
          <t>Monthly</t>
        </is>
      </c>
      <c r="I27" s="11" t="n">
        <v>46070</v>
      </c>
      <c r="J27" s="11" t="n">
        <v>46081</v>
      </c>
      <c r="K27" s="10" t="n">
        <v>20</v>
      </c>
      <c r="L27" s="10" t="n">
        <v>95</v>
      </c>
      <c r="M27" s="10" t="n">
        <v>1900</v>
      </c>
      <c r="N27" s="10" t="n">
        <v>0</v>
      </c>
      <c r="O27" s="10" t="n">
        <v>0</v>
      </c>
      <c r="P27" s="10" t="n">
        <v>1900</v>
      </c>
      <c r="Q27" s="10" t="inlineStr">
        <is>
          <t>paid</t>
        </is>
      </c>
      <c r="R27" s="11" t="n">
        <v>46070</v>
      </c>
      <c r="S27" s="10" t="n"/>
    </row>
    <row r="28" ht="14.25" customHeight="1" s="281">
      <c r="A28" s="8" t="inlineStr">
        <is>
          <t>in_20260200027</t>
        </is>
      </c>
      <c r="B28" s="8" t="inlineStr">
        <is>
          <t>INV-2026-02-0027</t>
        </is>
      </c>
      <c r="C28" s="9" t="n">
        <v>46070</v>
      </c>
      <c r="D28" s="8" t="inlineStr">
        <is>
          <t>CUST032</t>
        </is>
      </c>
      <c r="E28" s="8" t="inlineStr">
        <is>
          <t>BC Manufacturing Systems</t>
        </is>
      </c>
      <c r="F28" s="8" t="inlineStr">
        <is>
          <t>SUB032</t>
        </is>
      </c>
      <c r="G28" s="8" t="inlineStr">
        <is>
          <t>Analytics Enterprise</t>
        </is>
      </c>
      <c r="H28" s="8" t="inlineStr">
        <is>
          <t>Monthly</t>
        </is>
      </c>
      <c r="I28" s="9" t="n">
        <v>46070</v>
      </c>
      <c r="J28" s="9" t="n">
        <v>46081</v>
      </c>
      <c r="K28" s="8" t="n">
        <v>26</v>
      </c>
      <c r="L28" s="8" t="n">
        <v>180</v>
      </c>
      <c r="M28" s="8" t="n">
        <v>4680</v>
      </c>
      <c r="N28" s="8" t="n">
        <v>0</v>
      </c>
      <c r="O28" s="8" t="n">
        <v>0</v>
      </c>
      <c r="P28" s="8" t="n">
        <v>4680</v>
      </c>
      <c r="Q28" s="8" t="inlineStr">
        <is>
          <t>paid</t>
        </is>
      </c>
      <c r="R28" s="9" t="n">
        <v>46070</v>
      </c>
      <c r="S28" s="8" t="n"/>
    </row>
    <row r="29" ht="14.25" customHeight="1" s="281">
      <c r="A29" s="10" t="inlineStr">
        <is>
          <t>in_20260200028</t>
        </is>
      </c>
      <c r="B29" s="10" t="inlineStr">
        <is>
          <t>INV-2026-02-0028</t>
        </is>
      </c>
      <c r="C29" s="11" t="n">
        <v>46071</v>
      </c>
      <c r="D29" s="10" t="inlineStr">
        <is>
          <t>CUST022</t>
        </is>
      </c>
      <c r="E29" s="10" t="inlineStr">
        <is>
          <t>Toronto Tech Ventures</t>
        </is>
      </c>
      <c r="F29" s="10" t="inlineStr">
        <is>
          <t>SUB047</t>
        </is>
      </c>
      <c r="G29" s="10" t="inlineStr">
        <is>
          <t>Sales Hub</t>
        </is>
      </c>
      <c r="H29" s="10" t="inlineStr">
        <is>
          <t>Monthly</t>
        </is>
      </c>
      <c r="I29" s="11" t="n">
        <v>46071</v>
      </c>
      <c r="J29" s="11" t="n">
        <v>46081</v>
      </c>
      <c r="K29" s="10" t="n">
        <v>26</v>
      </c>
      <c r="L29" s="10" t="n">
        <v>110</v>
      </c>
      <c r="M29" s="10" t="n">
        <v>2860</v>
      </c>
      <c r="N29" s="10" t="n">
        <v>0</v>
      </c>
      <c r="O29" s="10" t="n">
        <v>0</v>
      </c>
      <c r="P29" s="10" t="n">
        <v>2860</v>
      </c>
      <c r="Q29" s="10" t="inlineStr">
        <is>
          <t>paid</t>
        </is>
      </c>
      <c r="R29" s="11" t="n">
        <v>46071</v>
      </c>
      <c r="S29" s="10" t="n"/>
    </row>
    <row r="30" ht="14.25" customHeight="1" s="281">
      <c r="A30" s="8" t="inlineStr">
        <is>
          <t>in_20260200029</t>
        </is>
      </c>
      <c r="B30" s="8" t="inlineStr">
        <is>
          <t>INV-2026-02-0029</t>
        </is>
      </c>
      <c r="C30" s="9" t="n">
        <v>46072</v>
      </c>
      <c r="D30" s="8" t="inlineStr">
        <is>
          <t>CUST004</t>
        </is>
      </c>
      <c r="E30" s="8" t="inlineStr">
        <is>
          <t>Prairie Commerce Group</t>
        </is>
      </c>
      <c r="F30" s="8" t="inlineStr">
        <is>
          <t>SUB004</t>
        </is>
      </c>
      <c r="G30" s="8" t="inlineStr">
        <is>
          <t>Sales Hub</t>
        </is>
      </c>
      <c r="H30" s="8" t="inlineStr">
        <is>
          <t>Monthly</t>
        </is>
      </c>
      <c r="I30" s="9" t="n">
        <v>46072</v>
      </c>
      <c r="J30" s="9" t="n">
        <v>46081</v>
      </c>
      <c r="K30" s="8" t="n">
        <v>18</v>
      </c>
      <c r="L30" s="8" t="n">
        <v>110</v>
      </c>
      <c r="M30" s="8" t="n">
        <v>1980</v>
      </c>
      <c r="N30" s="8" t="n">
        <v>0</v>
      </c>
      <c r="O30" s="8" t="n">
        <v>0</v>
      </c>
      <c r="P30" s="8" t="n">
        <v>1980</v>
      </c>
      <c r="Q30" s="8" t="inlineStr">
        <is>
          <t>paid</t>
        </is>
      </c>
      <c r="R30" s="9" t="n">
        <v>46072</v>
      </c>
      <c r="S30" s="8" t="n"/>
    </row>
    <row r="31" ht="14.25" customHeight="1" s="281">
      <c r="A31" s="10" t="inlineStr">
        <is>
          <t>in_20260200030</t>
        </is>
      </c>
      <c r="B31" s="10" t="inlineStr">
        <is>
          <t>INV-2026-02-0030</t>
        </is>
      </c>
      <c r="C31" s="11" t="n">
        <v>46072</v>
      </c>
      <c r="D31" s="10" t="inlineStr">
        <is>
          <t>CUST017</t>
        </is>
      </c>
      <c r="E31" s="10" t="inlineStr">
        <is>
          <t>Capital Education Tech</t>
        </is>
      </c>
      <c r="F31" s="10" t="inlineStr">
        <is>
          <t>SUB017</t>
        </is>
      </c>
      <c r="G31" s="10" t="inlineStr">
        <is>
          <t>Analytics Starter</t>
        </is>
      </c>
      <c r="H31" s="10" t="inlineStr">
        <is>
          <t>Monthly</t>
        </is>
      </c>
      <c r="I31" s="11" t="n">
        <v>46072</v>
      </c>
      <c r="J31" s="11" t="n">
        <v>46081</v>
      </c>
      <c r="K31" s="10" t="n">
        <v>12</v>
      </c>
      <c r="L31" s="10" t="n">
        <v>45</v>
      </c>
      <c r="M31" s="10" t="n">
        <v>540</v>
      </c>
      <c r="N31" s="10" t="n">
        <v>0</v>
      </c>
      <c r="O31" s="10" t="n">
        <v>0</v>
      </c>
      <c r="P31" s="10" t="n">
        <v>540</v>
      </c>
      <c r="Q31" s="10" t="inlineStr">
        <is>
          <t>paid</t>
        </is>
      </c>
      <c r="R31" s="11" t="n">
        <v>46072</v>
      </c>
      <c r="S31" s="10" t="n"/>
    </row>
    <row r="32" ht="14.25" customHeight="1" s="281">
      <c r="A32" s="8" t="inlineStr">
        <is>
          <t>in_20260200031</t>
        </is>
      </c>
      <c r="B32" s="8" t="inlineStr">
        <is>
          <t>INV-2026-02-0031</t>
        </is>
      </c>
      <c r="C32" s="9" t="n">
        <v>46073</v>
      </c>
      <c r="D32" s="8" t="inlineStr">
        <is>
          <t>CUST028</t>
        </is>
      </c>
      <c r="E32" s="8" t="inlineStr">
        <is>
          <t>Prairie SaaS Innovations</t>
        </is>
      </c>
      <c r="F32" s="8" t="inlineStr">
        <is>
          <t>SUB028</t>
        </is>
      </c>
      <c r="G32" s="8" t="inlineStr">
        <is>
          <t>Analytics Starter</t>
        </is>
      </c>
      <c r="H32" s="8" t="inlineStr">
        <is>
          <t>Monthly</t>
        </is>
      </c>
      <c r="I32" s="9" t="n">
        <v>46073</v>
      </c>
      <c r="J32" s="9" t="n">
        <v>46081</v>
      </c>
      <c r="K32" s="8" t="n">
        <v>15</v>
      </c>
      <c r="L32" s="8" t="n">
        <v>45</v>
      </c>
      <c r="M32" s="8" t="n">
        <v>675</v>
      </c>
      <c r="N32" s="8" t="n">
        <v>0</v>
      </c>
      <c r="O32" s="8" t="n">
        <v>0</v>
      </c>
      <c r="P32" s="8" t="n">
        <v>675</v>
      </c>
      <c r="Q32" s="8" t="inlineStr">
        <is>
          <t>paid</t>
        </is>
      </c>
      <c r="R32" s="9" t="n">
        <v>46073</v>
      </c>
      <c r="S32" s="8" t="n"/>
    </row>
    <row r="33" ht="14.25" customHeight="1" s="281">
      <c r="A33" s="10" t="inlineStr">
        <is>
          <t>in_20260200032</t>
        </is>
      </c>
      <c r="B33" s="10" t="inlineStr">
        <is>
          <t>INV-2026-02-0032</t>
        </is>
      </c>
      <c r="C33" s="11" t="n">
        <v>46073</v>
      </c>
      <c r="D33" s="10" t="inlineStr">
        <is>
          <t>CUST009</t>
        </is>
      </c>
      <c r="E33" s="10" t="inlineStr">
        <is>
          <t>West Coast Logistics</t>
        </is>
      </c>
      <c r="F33" s="10" t="inlineStr">
        <is>
          <t>SUB044</t>
        </is>
      </c>
      <c r="G33" s="10" t="inlineStr">
        <is>
          <t>Analytics Growth</t>
        </is>
      </c>
      <c r="H33" s="10" t="inlineStr">
        <is>
          <t>Monthly</t>
        </is>
      </c>
      <c r="I33" s="11" t="n">
        <v>46073</v>
      </c>
      <c r="J33" s="11" t="n">
        <v>46081</v>
      </c>
      <c r="K33" s="10" t="n">
        <v>35</v>
      </c>
      <c r="L33" s="10" t="n">
        <v>95</v>
      </c>
      <c r="M33" s="10" t="n">
        <v>3325</v>
      </c>
      <c r="N33" s="10" t="n">
        <v>0</v>
      </c>
      <c r="O33" s="10" t="n">
        <v>0</v>
      </c>
      <c r="P33" s="10" t="n">
        <v>3325</v>
      </c>
      <c r="Q33" s="10" t="inlineStr">
        <is>
          <t>paid</t>
        </is>
      </c>
      <c r="R33" s="11" t="n">
        <v>46073</v>
      </c>
      <c r="S33" s="10" t="n"/>
    </row>
    <row r="34" ht="14.25" customHeight="1" s="281">
      <c r="A34" s="8" t="inlineStr">
        <is>
          <t>in_20260200033</t>
        </is>
      </c>
      <c r="B34" s="8" t="inlineStr">
        <is>
          <t>INV-2026-02-0033</t>
        </is>
      </c>
      <c r="C34" s="9" t="n">
        <v>46073</v>
      </c>
      <c r="D34" s="8" t="inlineStr">
        <is>
          <t>CUST013</t>
        </is>
      </c>
      <c r="E34" s="8" t="inlineStr">
        <is>
          <t>Alberta Tech Innovators</t>
        </is>
      </c>
      <c r="F34" s="8" t="inlineStr">
        <is>
          <t>SUB061</t>
        </is>
      </c>
      <c r="G34" s="8" t="inlineStr">
        <is>
          <t>Analytics Growth</t>
        </is>
      </c>
      <c r="H34" s="8" t="inlineStr">
        <is>
          <t>Monthly</t>
        </is>
      </c>
      <c r="I34" s="9" t="n">
        <v>46073</v>
      </c>
      <c r="J34" s="9" t="n">
        <v>46081</v>
      </c>
      <c r="K34" s="8" t="n">
        <v>12</v>
      </c>
      <c r="L34" s="8" t="n">
        <v>95</v>
      </c>
      <c r="M34" s="8" t="n">
        <v>1140</v>
      </c>
      <c r="N34" s="8" t="n">
        <v>0</v>
      </c>
      <c r="O34" s="8" t="n">
        <v>0</v>
      </c>
      <c r="P34" s="8" t="n">
        <v>1140</v>
      </c>
      <c r="Q34" s="8" t="inlineStr">
        <is>
          <t>paid</t>
        </is>
      </c>
      <c r="R34" s="9" t="n">
        <v>46073</v>
      </c>
      <c r="S34" s="8" t="n"/>
    </row>
    <row r="35" ht="14.25" customHeight="1" s="281">
      <c r="A35" s="10" t="inlineStr">
        <is>
          <t>in_20260200034</t>
        </is>
      </c>
      <c r="B35" s="10" t="inlineStr">
        <is>
          <t>INV-2026-02-0034</t>
        </is>
      </c>
      <c r="C35" s="11" t="n">
        <v>46073</v>
      </c>
      <c r="D35" s="10" t="inlineStr">
        <is>
          <t>CUST042</t>
        </is>
      </c>
      <c r="E35" s="10" t="inlineStr">
        <is>
          <t>Pacific Coast Analytics</t>
        </is>
      </c>
      <c r="F35" s="10" t="inlineStr">
        <is>
          <t>SUB064</t>
        </is>
      </c>
      <c r="G35" s="10" t="inlineStr">
        <is>
          <t>Analytics Growth</t>
        </is>
      </c>
      <c r="H35" s="10" t="inlineStr">
        <is>
          <t>Monthly</t>
        </is>
      </c>
      <c r="I35" s="11" t="n">
        <v>46073</v>
      </c>
      <c r="J35" s="11" t="n">
        <v>46081</v>
      </c>
      <c r="K35" s="10" t="n">
        <v>32</v>
      </c>
      <c r="L35" s="10" t="n">
        <v>95</v>
      </c>
      <c r="M35" s="10" t="n">
        <v>3040</v>
      </c>
      <c r="N35" s="10" t="n">
        <v>0</v>
      </c>
      <c r="O35" s="10" t="n">
        <v>0</v>
      </c>
      <c r="P35" s="10" t="n">
        <v>3040</v>
      </c>
      <c r="Q35" s="10" t="inlineStr">
        <is>
          <t>paid</t>
        </is>
      </c>
      <c r="R35" s="11" t="n">
        <v>46073</v>
      </c>
      <c r="S35" s="10" t="n"/>
    </row>
    <row r="36" ht="14.25" customHeight="1" s="281">
      <c r="A36" s="8" t="inlineStr">
        <is>
          <t>in_20260299001</t>
        </is>
      </c>
      <c r="B36" s="8" t="inlineStr">
        <is>
          <t>CN-2026-02-0001</t>
        </is>
      </c>
      <c r="C36" s="9" t="n">
        <v>46074</v>
      </c>
      <c r="D36" s="8" t="inlineStr">
        <is>
          <t>CUST007</t>
        </is>
      </c>
      <c r="E36" s="8" t="inlineStr">
        <is>
          <t>Ontario Manufacturing Tech</t>
        </is>
      </c>
      <c r="F36" s="8" t="inlineStr">
        <is>
          <t>SUB050</t>
        </is>
      </c>
      <c r="G36" s="8" t="inlineStr">
        <is>
          <t>Analytics Starter</t>
        </is>
      </c>
      <c r="H36" s="8" t="inlineStr">
        <is>
          <t>Monthly</t>
        </is>
      </c>
      <c r="I36" s="9" t="n">
        <v>46074</v>
      </c>
      <c r="J36" s="9" t="n">
        <v>46081</v>
      </c>
      <c r="K36" s="8" t="n">
        <v>15</v>
      </c>
      <c r="L36" s="8" t="n">
        <v>45</v>
      </c>
      <c r="M36" s="8" t="n">
        <v>675</v>
      </c>
      <c r="N36" s="8" t="n">
        <v>12</v>
      </c>
      <c r="O36" s="8" t="n">
        <v>81</v>
      </c>
      <c r="P36" s="8" t="n">
        <v>-169.71</v>
      </c>
      <c r="Q36" s="8" t="inlineStr">
        <is>
          <t>refunded</t>
        </is>
      </c>
      <c r="R36" s="9" t="n">
        <v>46074</v>
      </c>
      <c r="S36" s="8" t="inlineStr">
        <is>
          <t>Prorated refund â€” subscription cancelled 2026-02-20</t>
        </is>
      </c>
    </row>
    <row r="37" ht="14.25" customHeight="1" s="281">
      <c r="A37" s="10" t="inlineStr">
        <is>
          <t>in_20260200035</t>
        </is>
      </c>
      <c r="B37" s="10" t="inlineStr">
        <is>
          <t>INV-2026-02-0035</t>
        </is>
      </c>
      <c r="C37" s="11" t="n">
        <v>46075</v>
      </c>
      <c r="D37" s="10" t="inlineStr">
        <is>
          <t>CUST015</t>
        </is>
      </c>
      <c r="E37" s="10" t="inlineStr">
        <is>
          <t>BC Retail Networks</t>
        </is>
      </c>
      <c r="F37" s="10" t="inlineStr">
        <is>
          <t>SUB046</t>
        </is>
      </c>
      <c r="G37" s="10" t="inlineStr">
        <is>
          <t>Analytics Enterprise</t>
        </is>
      </c>
      <c r="H37" s="10" t="inlineStr">
        <is>
          <t>Monthly</t>
        </is>
      </c>
      <c r="I37" s="11" t="n">
        <v>46075</v>
      </c>
      <c r="J37" s="11" t="n">
        <v>46081</v>
      </c>
      <c r="K37" s="10" t="n">
        <v>20</v>
      </c>
      <c r="L37" s="10" t="n">
        <v>180</v>
      </c>
      <c r="M37" s="10" t="n">
        <v>3600</v>
      </c>
      <c r="N37" s="10" t="n">
        <v>0</v>
      </c>
      <c r="O37" s="10" t="n">
        <v>0</v>
      </c>
      <c r="P37" s="10" t="n">
        <v>3600</v>
      </c>
      <c r="Q37" s="10" t="inlineStr">
        <is>
          <t>paid</t>
        </is>
      </c>
      <c r="R37" s="11" t="n">
        <v>46075</v>
      </c>
      <c r="S37" s="10" t="n"/>
    </row>
    <row r="38" ht="14.25" customHeight="1" s="281">
      <c r="A38" s="8" t="inlineStr">
        <is>
          <t>in_20260200036</t>
        </is>
      </c>
      <c r="B38" s="8" t="inlineStr">
        <is>
          <t>INV-2026-02-0036</t>
        </is>
      </c>
      <c r="C38" s="9" t="n">
        <v>46075</v>
      </c>
      <c r="D38" s="8" t="inlineStr">
        <is>
          <t>CUST025</t>
        </is>
      </c>
      <c r="E38" s="8" t="inlineStr">
        <is>
          <t>Montreal Manufacturing Pro</t>
        </is>
      </c>
      <c r="F38" s="8" t="inlineStr">
        <is>
          <t>SUB048</t>
        </is>
      </c>
      <c r="G38" s="8" t="inlineStr">
        <is>
          <t>Sales Hub</t>
        </is>
      </c>
      <c r="H38" s="8" t="inlineStr">
        <is>
          <t>Monthly</t>
        </is>
      </c>
      <c r="I38" s="9" t="n">
        <v>46075</v>
      </c>
      <c r="J38" s="9" t="n">
        <v>46081</v>
      </c>
      <c r="K38" s="8" t="n">
        <v>36</v>
      </c>
      <c r="L38" s="8" t="n">
        <v>110</v>
      </c>
      <c r="M38" s="8" t="n">
        <v>3960</v>
      </c>
      <c r="N38" s="8" t="n">
        <v>0</v>
      </c>
      <c r="O38" s="8" t="n">
        <v>0</v>
      </c>
      <c r="P38" s="8" t="n">
        <v>3960</v>
      </c>
      <c r="Q38" s="8" t="inlineStr">
        <is>
          <t>paid</t>
        </is>
      </c>
      <c r="R38" s="9" t="n">
        <v>46075</v>
      </c>
      <c r="S38" s="8" t="n"/>
    </row>
    <row r="39" ht="14.25" customHeight="1" s="281">
      <c r="A39" s="10" t="inlineStr">
        <is>
          <t>in_20260200037</t>
        </is>
      </c>
      <c r="B39" s="10" t="inlineStr">
        <is>
          <t>INV-2026-02-0037</t>
        </is>
      </c>
      <c r="C39" s="11" t="n">
        <v>46076</v>
      </c>
      <c r="D39" s="10" t="inlineStr">
        <is>
          <t>CUST026</t>
        </is>
      </c>
      <c r="E39" s="10" t="inlineStr">
        <is>
          <t>Ontario Education Connect</t>
        </is>
      </c>
      <c r="F39" s="10" t="inlineStr">
        <is>
          <t>SUB026</t>
        </is>
      </c>
      <c r="G39" s="10" t="inlineStr">
        <is>
          <t>Analytics Growth</t>
        </is>
      </c>
      <c r="H39" s="10" t="inlineStr">
        <is>
          <t>Monthly</t>
        </is>
      </c>
      <c r="I39" s="11" t="n">
        <v>46076</v>
      </c>
      <c r="J39" s="11" t="n">
        <v>46081</v>
      </c>
      <c r="K39" s="10" t="n">
        <v>16</v>
      </c>
      <c r="L39" s="10" t="n">
        <v>95</v>
      </c>
      <c r="M39" s="10" t="n">
        <v>1520</v>
      </c>
      <c r="N39" s="10" t="n">
        <v>0</v>
      </c>
      <c r="O39" s="10" t="n">
        <v>0</v>
      </c>
      <c r="P39" s="10" t="n">
        <v>1520</v>
      </c>
      <c r="Q39" s="10" t="inlineStr">
        <is>
          <t>paid</t>
        </is>
      </c>
      <c r="R39" s="11" t="n">
        <v>46076</v>
      </c>
      <c r="S39" s="10" t="n"/>
    </row>
    <row r="40" ht="14.25" customHeight="1" s="281">
      <c r="A40" s="8" t="inlineStr">
        <is>
          <t>in_20260200038</t>
        </is>
      </c>
      <c r="B40" s="8" t="inlineStr">
        <is>
          <t>INV-2026-02-0038</t>
        </is>
      </c>
      <c r="C40" s="9" t="n">
        <v>46076</v>
      </c>
      <c r="D40" s="8" t="inlineStr">
        <is>
          <t>CUST039</t>
        </is>
      </c>
      <c r="E40" s="8" t="inlineStr">
        <is>
          <t>Toronto Commerce Cloud</t>
        </is>
      </c>
      <c r="F40" s="8" t="inlineStr">
        <is>
          <t>SUB039</t>
        </is>
      </c>
      <c r="G40" s="8" t="inlineStr">
        <is>
          <t>Marketing Pro</t>
        </is>
      </c>
      <c r="H40" s="8" t="inlineStr">
        <is>
          <t>Monthly</t>
        </is>
      </c>
      <c r="I40" s="9" t="n">
        <v>46076</v>
      </c>
      <c r="J40" s="9" t="n">
        <v>46081</v>
      </c>
      <c r="K40" s="8" t="n">
        <v>29</v>
      </c>
      <c r="L40" s="8" t="n">
        <v>85</v>
      </c>
      <c r="M40" s="8" t="n">
        <v>2465</v>
      </c>
      <c r="N40" s="8" t="n">
        <v>0</v>
      </c>
      <c r="O40" s="8" t="n">
        <v>0</v>
      </c>
      <c r="P40" s="8" t="n">
        <v>2465</v>
      </c>
      <c r="Q40" s="8" t="inlineStr">
        <is>
          <t>paid</t>
        </is>
      </c>
      <c r="R40" s="9" t="n">
        <v>46076</v>
      </c>
      <c r="S40" s="8" t="n"/>
    </row>
    <row r="41" ht="14.25" customHeight="1" s="281">
      <c r="A41" s="10" t="inlineStr">
        <is>
          <t>in_20260200039</t>
        </is>
      </c>
      <c r="B41" s="10" t="inlineStr">
        <is>
          <t>INV-2026-02-0039</t>
        </is>
      </c>
      <c r="C41" s="11" t="n">
        <v>46078</v>
      </c>
      <c r="D41" s="10" t="inlineStr">
        <is>
          <t>CUST024</t>
        </is>
      </c>
      <c r="E41" s="10" t="inlineStr">
        <is>
          <t>Western Retail Group</t>
        </is>
      </c>
      <c r="F41" s="10" t="inlineStr">
        <is>
          <t>SUB024</t>
        </is>
      </c>
      <c r="G41" s="10" t="inlineStr">
        <is>
          <t>Marketing Pro</t>
        </is>
      </c>
      <c r="H41" s="10" t="inlineStr">
        <is>
          <t>Monthly</t>
        </is>
      </c>
      <c r="I41" s="11" t="n">
        <v>46078</v>
      </c>
      <c r="J41" s="11" t="n">
        <v>46081</v>
      </c>
      <c r="K41" s="10" t="n">
        <v>31</v>
      </c>
      <c r="L41" s="10" t="n">
        <v>85</v>
      </c>
      <c r="M41" s="10" t="n">
        <v>2635</v>
      </c>
      <c r="N41" s="10" t="n">
        <v>0</v>
      </c>
      <c r="O41" s="10" t="n">
        <v>0</v>
      </c>
      <c r="P41" s="10" t="n">
        <v>2635</v>
      </c>
      <c r="Q41" s="10" t="inlineStr">
        <is>
          <t>paid</t>
        </is>
      </c>
      <c r="R41" s="11" t="n">
        <v>46078</v>
      </c>
      <c r="S41" s="10" t="n"/>
    </row>
    <row r="42" ht="14.25" customHeight="1" s="281">
      <c r="A42" s="8" t="inlineStr">
        <is>
          <t>in_20260200040</t>
        </is>
      </c>
      <c r="B42" s="8" t="inlineStr">
        <is>
          <t>INV-2026-02-0040</t>
        </is>
      </c>
      <c r="C42" s="9" t="n">
        <v>46079</v>
      </c>
      <c r="D42" s="8" t="inlineStr">
        <is>
          <t>CUST037</t>
        </is>
      </c>
      <c r="E42" s="8" t="inlineStr">
        <is>
          <t>Maritime SaaS Ventures</t>
        </is>
      </c>
      <c r="F42" s="8" t="inlineStr">
        <is>
          <t>SUB037</t>
        </is>
      </c>
      <c r="G42" s="8" t="inlineStr">
        <is>
          <t>Platform Suite</t>
        </is>
      </c>
      <c r="H42" s="8" t="inlineStr">
        <is>
          <t>Monthly</t>
        </is>
      </c>
      <c r="I42" s="9" t="n">
        <v>46079</v>
      </c>
      <c r="J42" s="9" t="n">
        <v>46081</v>
      </c>
      <c r="K42" s="8" t="n">
        <v>35</v>
      </c>
      <c r="L42" s="8" t="n">
        <v>150</v>
      </c>
      <c r="M42" s="8" t="n">
        <v>5250</v>
      </c>
      <c r="N42" s="8" t="n">
        <v>0</v>
      </c>
      <c r="O42" s="8" t="n">
        <v>0</v>
      </c>
      <c r="P42" s="8" t="n">
        <v>5250</v>
      </c>
      <c r="Q42" s="8" t="inlineStr">
        <is>
          <t>paid</t>
        </is>
      </c>
      <c r="R42" s="9" t="n">
        <v>46079</v>
      </c>
      <c r="S42" s="8" t="n"/>
    </row>
    <row r="43" ht="14.25" customHeight="1" s="281">
      <c r="A43" s="10" t="inlineStr">
        <is>
          <t>in_20260200041</t>
        </is>
      </c>
      <c r="B43" s="10" t="inlineStr">
        <is>
          <t>INV-2026-02-0041</t>
        </is>
      </c>
      <c r="C43" s="11" t="n">
        <v>46079</v>
      </c>
      <c r="D43" s="10" t="inlineStr">
        <is>
          <t>CUST040</t>
        </is>
      </c>
      <c r="E43" s="10" t="inlineStr">
        <is>
          <t>BC Education Innovations</t>
        </is>
      </c>
      <c r="F43" s="10" t="inlineStr">
        <is>
          <t>SUB040</t>
        </is>
      </c>
      <c r="G43" s="10" t="inlineStr">
        <is>
          <t>Analytics Growth</t>
        </is>
      </c>
      <c r="H43" s="10" t="inlineStr">
        <is>
          <t>Monthly</t>
        </is>
      </c>
      <c r="I43" s="11" t="n">
        <v>46079</v>
      </c>
      <c r="J43" s="11" t="n">
        <v>46081</v>
      </c>
      <c r="K43" s="10" t="n">
        <v>18</v>
      </c>
      <c r="L43" s="10" t="n">
        <v>95</v>
      </c>
      <c r="M43" s="10" t="n">
        <v>1710</v>
      </c>
      <c r="N43" s="10" t="n">
        <v>0</v>
      </c>
      <c r="O43" s="10" t="n">
        <v>0</v>
      </c>
      <c r="P43" s="10" t="n">
        <v>1710</v>
      </c>
      <c r="Q43" s="10" t="inlineStr">
        <is>
          <t>paid</t>
        </is>
      </c>
      <c r="R43" s="11" t="n">
        <v>46079</v>
      </c>
      <c r="S43" s="10" t="n"/>
    </row>
    <row r="44" ht="14.25" customHeight="1" s="281">
      <c r="A44" s="8" t="inlineStr">
        <is>
          <t>in_20260200042</t>
        </is>
      </c>
      <c r="B44" s="8" t="inlineStr">
        <is>
          <t>INV-2026-02-0042</t>
        </is>
      </c>
      <c r="C44" s="9" t="n">
        <v>46080</v>
      </c>
      <c r="D44" s="8" t="inlineStr">
        <is>
          <t>CUST011</t>
        </is>
      </c>
      <c r="E44" s="8" t="inlineStr">
        <is>
          <t>Prairie Health Connect</t>
        </is>
      </c>
      <c r="F44" s="8" t="inlineStr">
        <is>
          <t>SUB011</t>
        </is>
      </c>
      <c r="G44" s="8" t="inlineStr">
        <is>
          <t>Sales Hub</t>
        </is>
      </c>
      <c r="H44" s="8" t="inlineStr">
        <is>
          <t>Monthly</t>
        </is>
      </c>
      <c r="I44" s="9" t="n">
        <v>46080</v>
      </c>
      <c r="J44" s="9" t="n">
        <v>46081</v>
      </c>
      <c r="K44" s="8" t="n">
        <v>18</v>
      </c>
      <c r="L44" s="8" t="n">
        <v>110</v>
      </c>
      <c r="M44" s="8" t="n">
        <v>1980</v>
      </c>
      <c r="N44" s="8" t="n">
        <v>0</v>
      </c>
      <c r="O44" s="8" t="n">
        <v>0</v>
      </c>
      <c r="P44" s="8" t="n">
        <v>1980</v>
      </c>
      <c r="Q44" s="8" t="inlineStr">
        <is>
          <t>paid</t>
        </is>
      </c>
      <c r="R44" s="9" t="n">
        <v>46080</v>
      </c>
      <c r="S44" s="8" t="n"/>
    </row>
    <row r="45" ht="14.25" customHeight="1" s="281">
      <c r="A45" s="10" t="inlineStr">
        <is>
          <t>in_20260200043</t>
        </is>
      </c>
      <c r="B45" s="10" t="inlineStr">
        <is>
          <t>INV-2026-02-0043</t>
        </is>
      </c>
      <c r="C45" s="11" t="n">
        <v>46081</v>
      </c>
      <c r="D45" s="10" t="inlineStr">
        <is>
          <t>CUST020</t>
        </is>
      </c>
      <c r="E45" s="10" t="inlineStr">
        <is>
          <t>Atlantic SaaS Systems</t>
        </is>
      </c>
      <c r="F45" s="10" t="inlineStr">
        <is>
          <t>SUB020</t>
        </is>
      </c>
      <c r="G45" s="10" t="inlineStr">
        <is>
          <t>Sales Hub</t>
        </is>
      </c>
      <c r="H45" s="10" t="inlineStr">
        <is>
          <t>Monthly</t>
        </is>
      </c>
      <c r="I45" s="11" t="n">
        <v>46081</v>
      </c>
      <c r="J45" s="11" t="n">
        <v>46081</v>
      </c>
      <c r="K45" s="10" t="n">
        <v>15</v>
      </c>
      <c r="L45" s="10" t="n">
        <v>110</v>
      </c>
      <c r="M45" s="10" t="n">
        <v>1650</v>
      </c>
      <c r="N45" s="10" t="n">
        <v>0</v>
      </c>
      <c r="O45" s="10" t="n">
        <v>0</v>
      </c>
      <c r="P45" s="10" t="n">
        <v>1650</v>
      </c>
      <c r="Q45" s="10" t="inlineStr">
        <is>
          <t>paid</t>
        </is>
      </c>
      <c r="R45" s="11" t="n">
        <v>46081</v>
      </c>
      <c r="S45" s="10" t="n"/>
    </row>
    <row r="46" ht="14.25" customHeight="1" s="281">
      <c r="A46" s="8" t="inlineStr">
        <is>
          <t>in_20260200044</t>
        </is>
      </c>
      <c r="B46" s="8" t="inlineStr">
        <is>
          <t>INV-2026-02-0044</t>
        </is>
      </c>
      <c r="C46" s="9" t="n">
        <v>46081</v>
      </c>
      <c r="D46" s="8" t="inlineStr">
        <is>
          <t>CUST022</t>
        </is>
      </c>
      <c r="E46" s="8" t="inlineStr">
        <is>
          <t>Toronto Tech Ventures</t>
        </is>
      </c>
      <c r="F46" s="8" t="inlineStr">
        <is>
          <t>SUB022</t>
        </is>
      </c>
      <c r="G46" s="8" t="inlineStr">
        <is>
          <t>Platform Suite</t>
        </is>
      </c>
      <c r="H46" s="8" t="inlineStr">
        <is>
          <t>Monthly</t>
        </is>
      </c>
      <c r="I46" s="9" t="n">
        <v>46081</v>
      </c>
      <c r="J46" s="9" t="n">
        <v>46081</v>
      </c>
      <c r="K46" s="8" t="n">
        <v>33</v>
      </c>
      <c r="L46" s="8" t="n">
        <v>150</v>
      </c>
      <c r="M46" s="8" t="n">
        <v>4950</v>
      </c>
      <c r="N46" s="8" t="n">
        <v>0</v>
      </c>
      <c r="O46" s="8" t="n">
        <v>0</v>
      </c>
      <c r="P46" s="8" t="n">
        <v>4950</v>
      </c>
      <c r="Q46" s="8" t="inlineStr">
        <is>
          <t>paid</t>
        </is>
      </c>
      <c r="R46" s="9" t="n">
        <v>46081</v>
      </c>
      <c r="S46" s="8" t="n"/>
    </row>
    <row r="47" ht="14.25" customHeight="1" s="281">
      <c r="A47" s="10" t="inlineStr">
        <is>
          <t>in_20260200045</t>
        </is>
      </c>
      <c r="B47" s="10" t="inlineStr">
        <is>
          <t>INV-2026-02-0045</t>
        </is>
      </c>
      <c r="C47" s="11" t="n">
        <v>46081</v>
      </c>
      <c r="D47" s="10" t="inlineStr">
        <is>
          <t>CUST033</t>
        </is>
      </c>
      <c r="E47" s="10" t="inlineStr">
        <is>
          <t>Ottawa Retail Solutions</t>
        </is>
      </c>
      <c r="F47" s="10" t="inlineStr">
        <is>
          <t>SUB033</t>
        </is>
      </c>
      <c r="G47" s="10" t="inlineStr">
        <is>
          <t>Marketing Pro</t>
        </is>
      </c>
      <c r="H47" s="10" t="inlineStr">
        <is>
          <t>Monthly</t>
        </is>
      </c>
      <c r="I47" s="11" t="n">
        <v>46081</v>
      </c>
      <c r="J47" s="11" t="n">
        <v>46081</v>
      </c>
      <c r="K47" s="10" t="n">
        <v>25</v>
      </c>
      <c r="L47" s="10" t="n">
        <v>85</v>
      </c>
      <c r="M47" s="10" t="n">
        <v>2125</v>
      </c>
      <c r="N47" s="10" t="n">
        <v>0</v>
      </c>
      <c r="O47" s="10" t="n">
        <v>0</v>
      </c>
      <c r="P47" s="10" t="n">
        <v>2125</v>
      </c>
      <c r="Q47" s="10" t="inlineStr">
        <is>
          <t>paid</t>
        </is>
      </c>
      <c r="R47" s="11" t="n">
        <v>46081</v>
      </c>
      <c r="S47" s="10" t="n"/>
    </row>
    <row r="48" ht="14.25" customHeight="1" s="281">
      <c r="A48" s="8" t="inlineStr">
        <is>
          <t>in_20260200046</t>
        </is>
      </c>
      <c r="B48" s="8" t="inlineStr">
        <is>
          <t>INV-2026-02-0046</t>
        </is>
      </c>
      <c r="C48" s="9" t="n">
        <v>46081</v>
      </c>
      <c r="D48" s="8" t="inlineStr">
        <is>
          <t>CUST035</t>
        </is>
      </c>
      <c r="E48" s="8" t="inlineStr">
        <is>
          <t>Vancouver Health Systems</t>
        </is>
      </c>
      <c r="F48" s="8" t="inlineStr">
        <is>
          <t>SUB035</t>
        </is>
      </c>
      <c r="G48" s="8" t="inlineStr">
        <is>
          <t>Sales Hub</t>
        </is>
      </c>
      <c r="H48" s="8" t="inlineStr">
        <is>
          <t>Monthly</t>
        </is>
      </c>
      <c r="I48" s="9" t="n">
        <v>46081</v>
      </c>
      <c r="J48" s="9" t="n">
        <v>46081</v>
      </c>
      <c r="K48" s="8" t="n">
        <v>20</v>
      </c>
      <c r="L48" s="8" t="n">
        <v>110</v>
      </c>
      <c r="M48" s="8" t="n">
        <v>2200</v>
      </c>
      <c r="N48" s="8" t="n">
        <v>0</v>
      </c>
      <c r="O48" s="8" t="n">
        <v>0</v>
      </c>
      <c r="P48" s="8" t="n">
        <v>2200</v>
      </c>
      <c r="Q48" s="8" t="inlineStr">
        <is>
          <t>paid</t>
        </is>
      </c>
      <c r="R48" s="9" t="n">
        <v>46081</v>
      </c>
      <c r="S48" s="8" t="n"/>
    </row>
    <row r="49" ht="14.25" customHeight="1" s="281">
      <c r="A49" s="10" t="inlineStr">
        <is>
          <t>in_20260200047</t>
        </is>
      </c>
      <c r="B49" s="10" t="inlineStr">
        <is>
          <t>INV-2026-02-0047</t>
        </is>
      </c>
      <c r="C49" s="11" t="n">
        <v>46081</v>
      </c>
      <c r="D49" s="10" t="inlineStr">
        <is>
          <t>CUST021</t>
        </is>
      </c>
      <c r="E49" s="10" t="inlineStr">
        <is>
          <t>Calgary Commerce Solutions</t>
        </is>
      </c>
      <c r="F49" s="10" t="inlineStr">
        <is>
          <t>SUB057</t>
        </is>
      </c>
      <c r="G49" s="10" t="inlineStr">
        <is>
          <t>Platform Suite</t>
        </is>
      </c>
      <c r="H49" s="10" t="inlineStr">
        <is>
          <t>Monthly</t>
        </is>
      </c>
      <c r="I49" s="11" t="n">
        <v>46081</v>
      </c>
      <c r="J49" s="11" t="n">
        <v>46081</v>
      </c>
      <c r="K49" s="10" t="n">
        <v>28</v>
      </c>
      <c r="L49" s="10" t="n">
        <v>150</v>
      </c>
      <c r="M49" s="10" t="n">
        <v>4200</v>
      </c>
      <c r="N49" s="10" t="n">
        <v>0</v>
      </c>
      <c r="O49" s="10" t="n">
        <v>0</v>
      </c>
      <c r="P49" s="10" t="n">
        <v>4200</v>
      </c>
      <c r="Q49" s="10" t="inlineStr">
        <is>
          <t>paid</t>
        </is>
      </c>
      <c r="R49" s="11" t="n">
        <v>46081</v>
      </c>
      <c r="S49" s="10" t="n"/>
    </row>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autoFilter ref="$A$1:$S$49"/>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ColWidth="14.43" defaultRowHeight="15" customHeight="1"/>
  <cols>
    <col width="36.14" customWidth="1" style="281" min="1" max="1"/>
    <col width="11.43" customWidth="1" style="281" min="2" max="2"/>
    <col width="64.14" customWidth="1" style="281" min="3" max="3"/>
    <col width="8.710000000000001" customWidth="1" style="281" min="4" max="4"/>
    <col width="12.14" customWidth="1" style="281" min="5" max="5"/>
    <col width="18.43" customWidth="1" style="281" min="6" max="6"/>
    <col width="16.71" customWidth="1" style="281" min="7" max="7"/>
    <col width="8.710000000000001" customWidth="1" style="281" min="8" max="26"/>
  </cols>
  <sheetData>
    <row r="1" ht="14.25" customHeight="1" s="281">
      <c r="A1" s="230" t="inlineStr">
        <is>
          <t>Account: iDynamics SaaS Inc - Operating</t>
        </is>
      </c>
    </row>
    <row r="2" ht="14.25" customHeight="1" s="281">
      <c r="A2" s="230" t="inlineStr">
        <is>
          <t>Period: January 2026</t>
        </is>
      </c>
    </row>
    <row r="3" ht="14.25" customHeight="1" s="281">
      <c r="A3" s="230" t="inlineStr">
        <is>
          <t>Opening Balance:</t>
        </is>
      </c>
      <c r="B3" s="12" t="n">
        <v>1250000</v>
      </c>
    </row>
    <row r="4" ht="14.25" customHeight="1" s="281"/>
    <row r="5" ht="14.25" customHeight="1" s="281">
      <c r="A5" s="13" t="inlineStr">
        <is>
          <t>transaction_date</t>
        </is>
      </c>
      <c r="B5" s="13" t="inlineStr">
        <is>
          <t>post_date</t>
        </is>
      </c>
      <c r="C5" s="13" t="inlineStr">
        <is>
          <t>description</t>
        </is>
      </c>
      <c r="D5" s="13" t="inlineStr">
        <is>
          <t>type</t>
        </is>
      </c>
      <c r="E5" s="13" t="inlineStr">
        <is>
          <t>amount</t>
        </is>
      </c>
      <c r="F5" s="13" t="inlineStr">
        <is>
          <t>reference_number</t>
        </is>
      </c>
      <c r="G5" s="13" t="inlineStr">
        <is>
          <t>running_balance</t>
        </is>
      </c>
    </row>
    <row r="6" ht="14.25" customHeight="1" s="281">
      <c r="A6" s="14" t="n">
        <v>46023</v>
      </c>
      <c r="B6" s="14" t="n">
        <v>46023</v>
      </c>
      <c r="C6" s="230" t="inlineStr">
        <is>
          <t>ACH CREDIT â€” ONTARIO MANUFACTURING TECH â€” REF:SUB007</t>
        </is>
      </c>
      <c r="D6" s="230" t="inlineStr">
        <is>
          <t>Credit</t>
        </is>
      </c>
      <c r="E6" s="234" t="n">
        <v>1360</v>
      </c>
      <c r="F6" s="230" t="inlineStr">
        <is>
          <t>TXN-2026-02-0001</t>
        </is>
      </c>
      <c r="G6" s="234" t="n">
        <v>1251360</v>
      </c>
    </row>
    <row r="7" ht="14.25" customHeight="1" s="281">
      <c r="A7" s="14" t="n">
        <v>46023</v>
      </c>
      <c r="B7" s="14" t="n">
        <v>46023</v>
      </c>
      <c r="C7" s="230" t="inlineStr">
        <is>
          <t>ACH CREDIT â€” ONTARIO MANUFACTURING TECH â€” REF:SUB050</t>
        </is>
      </c>
      <c r="D7" s="230" t="inlineStr">
        <is>
          <t>Credit</t>
        </is>
      </c>
      <c r="E7" s="234" t="n">
        <v>594</v>
      </c>
      <c r="F7" s="230" t="inlineStr">
        <is>
          <t>TXN-2026-02-0002</t>
        </is>
      </c>
      <c r="G7" s="234" t="n">
        <v>1251954</v>
      </c>
    </row>
    <row r="8" ht="14.25" customHeight="1" s="281">
      <c r="A8" s="14" t="n">
        <v>46024</v>
      </c>
      <c r="B8" s="14" t="n">
        <v>46024</v>
      </c>
      <c r="C8" s="230" t="inlineStr">
        <is>
          <t>ACH CREDIT â€” VANCOUVER FINTECH LABS â€” REF:SUB018</t>
        </is>
      </c>
      <c r="D8" s="230" t="inlineStr">
        <is>
          <t>Credit</t>
        </is>
      </c>
      <c r="E8" s="234" t="n">
        <v>6300</v>
      </c>
      <c r="F8" s="230" t="inlineStr">
        <is>
          <t>TXN-2026-02-0003</t>
        </is>
      </c>
      <c r="G8" s="234" t="n">
        <v>1258254</v>
      </c>
    </row>
    <row r="9" ht="14.25" customHeight="1" s="281">
      <c r="A9" s="14" t="n">
        <v>46025</v>
      </c>
      <c r="B9" s="14" t="n">
        <v>46025</v>
      </c>
      <c r="C9" s="230" t="inlineStr">
        <is>
          <t>ACH CREDIT â€” HALIFAX HEALTHCARE TECH â€” REF:SUB029</t>
        </is>
      </c>
      <c r="D9" s="230" t="inlineStr">
        <is>
          <t>Credit</t>
        </is>
      </c>
      <c r="E9" s="234" t="n">
        <v>1870</v>
      </c>
      <c r="F9" s="230" t="inlineStr">
        <is>
          <t>TXN-2026-02-0004</t>
        </is>
      </c>
      <c r="G9" s="234" t="n">
        <v>1260124</v>
      </c>
    </row>
    <row r="10" ht="14.25" customHeight="1" s="281">
      <c r="A10" s="14" t="n">
        <v>46027</v>
      </c>
      <c r="B10" s="14" t="n">
        <v>46027</v>
      </c>
      <c r="C10" s="230" t="inlineStr">
        <is>
          <t>ACH CREDIT â€” MAPLE HEALTHCARE SYSTEMS â€” REF:SUB003</t>
        </is>
      </c>
      <c r="D10" s="230" t="inlineStr">
        <is>
          <t>Credit</t>
        </is>
      </c>
      <c r="E10" s="234" t="n">
        <v>1955</v>
      </c>
      <c r="F10" s="230" t="inlineStr">
        <is>
          <t>TXN-2026-02-0005</t>
        </is>
      </c>
      <c r="G10" s="234" t="n">
        <v>1262079</v>
      </c>
    </row>
    <row r="11" ht="14.25" customHeight="1" s="281">
      <c r="A11" s="14" t="n">
        <v>46027</v>
      </c>
      <c r="B11" s="14" t="n">
        <v>46027</v>
      </c>
      <c r="C11" s="230" t="inlineStr">
        <is>
          <t>ACH CREDIT â€” NORTHERN RETAIL SOLUTIONS â€” REF:SUB043</t>
        </is>
      </c>
      <c r="D11" s="230" t="inlineStr">
        <is>
          <t>Credit</t>
        </is>
      </c>
      <c r="E11" s="234" t="n">
        <v>2805</v>
      </c>
      <c r="F11" s="230" t="inlineStr">
        <is>
          <t>TXN-2026-02-0006</t>
        </is>
      </c>
      <c r="G11" s="234" t="n">
        <v>1264884</v>
      </c>
    </row>
    <row r="12" ht="14.25" customHeight="1" s="281">
      <c r="A12" s="14" t="n">
        <v>46027</v>
      </c>
      <c r="B12" s="14" t="n">
        <v>46027</v>
      </c>
      <c r="C12" s="230" t="inlineStr">
        <is>
          <t>ACH CREDIT â€” PACIFIC FINANCE CORP â€” REF:SUB053</t>
        </is>
      </c>
      <c r="D12" s="230" t="inlineStr">
        <is>
          <t>Credit</t>
        </is>
      </c>
      <c r="E12" s="234" t="n">
        <v>5580</v>
      </c>
      <c r="F12" s="230" t="inlineStr">
        <is>
          <t>TXN-2026-02-0007</t>
        </is>
      </c>
      <c r="G12" s="234" t="n">
        <v>1270464</v>
      </c>
    </row>
    <row r="13" ht="14.25" customHeight="1" s="281">
      <c r="A13" s="14" t="n">
        <v>46027</v>
      </c>
      <c r="B13" s="14" t="n">
        <v>46027</v>
      </c>
      <c r="C13" s="230" t="inlineStr">
        <is>
          <t>ACH CREDIT â€” QUANTUM EDUCATION PLATFORM â€” REF:SUB059</t>
        </is>
      </c>
      <c r="D13" s="230" t="inlineStr">
        <is>
          <t>Credit</t>
        </is>
      </c>
      <c r="E13" s="234" t="n">
        <v>1870</v>
      </c>
      <c r="F13" s="230" t="inlineStr">
        <is>
          <t>TXN-2026-02-0008</t>
        </is>
      </c>
      <c r="G13" s="234" t="n">
        <v>1272334</v>
      </c>
    </row>
    <row r="14" ht="14.25" customHeight="1" s="281">
      <c r="A14" s="14" t="n">
        <v>46028</v>
      </c>
      <c r="B14" s="14" t="n">
        <v>46028</v>
      </c>
      <c r="C14" s="230" t="inlineStr">
        <is>
          <t>ACH CREDIT â€” PACIFIC FINANCE CORP â€” REF:SUB027</t>
        </is>
      </c>
      <c r="D14" s="230" t="inlineStr">
        <is>
          <t>Credit</t>
        </is>
      </c>
      <c r="E14" s="234" t="n">
        <v>3080</v>
      </c>
      <c r="F14" s="230" t="inlineStr">
        <is>
          <t>TXN-2026-02-0009</t>
        </is>
      </c>
      <c r="G14" s="234" t="n">
        <v>1275414</v>
      </c>
    </row>
    <row r="15" ht="14.25" customHeight="1" s="281">
      <c r="A15" s="14" t="n">
        <v>46030</v>
      </c>
      <c r="B15" s="14" t="n">
        <v>46030</v>
      </c>
      <c r="C15" s="230" t="inlineStr">
        <is>
          <t>ACH CREDIT â€” TORONTO MEDIA GROUP â€” REF:SUB014</t>
        </is>
      </c>
      <c r="D15" s="230" t="inlineStr">
        <is>
          <t>Credit</t>
        </is>
      </c>
      <c r="E15" s="234" t="n">
        <v>2380</v>
      </c>
      <c r="F15" s="230" t="inlineStr">
        <is>
          <t>TXN-2026-02-0010</t>
        </is>
      </c>
      <c r="G15" s="234" t="n">
        <v>1277794</v>
      </c>
    </row>
    <row r="16" ht="14.25" customHeight="1" s="281">
      <c r="A16" s="14" t="n">
        <v>46030</v>
      </c>
      <c r="B16" s="14" t="n">
        <v>46030</v>
      </c>
      <c r="C16" s="230" t="inlineStr">
        <is>
          <t>ACH CREDIT â€” MONTREAL FINANCE HUB â€” REF:SUB045</t>
        </is>
      </c>
      <c r="D16" s="230" t="inlineStr">
        <is>
          <t>Credit</t>
        </is>
      </c>
      <c r="E16" s="234" t="n">
        <v>1105</v>
      </c>
      <c r="F16" s="230" t="inlineStr">
        <is>
          <t>TXN-2026-02-0011</t>
        </is>
      </c>
      <c r="G16" s="234" t="n">
        <v>1278899</v>
      </c>
    </row>
    <row r="17" ht="14.25" customHeight="1" s="281">
      <c r="A17" s="14" t="n">
        <v>46030</v>
      </c>
      <c r="B17" s="14" t="n">
        <v>46030</v>
      </c>
      <c r="C17" s="230" t="inlineStr">
        <is>
          <t>ACH CREDIT â€” WESTERN RETAIL GROUP â€” REF:SUB058</t>
        </is>
      </c>
      <c r="D17" s="230" t="inlineStr">
        <is>
          <t>Credit</t>
        </is>
      </c>
      <c r="E17" s="234" t="n">
        <v>2860</v>
      </c>
      <c r="F17" s="230" t="inlineStr">
        <is>
          <t>TXN-2026-02-0012</t>
        </is>
      </c>
      <c r="G17" s="234" t="n">
        <v>1281759</v>
      </c>
    </row>
    <row r="18" ht="14.25" customHeight="1" s="281">
      <c r="A18" s="14" t="n">
        <v>46031</v>
      </c>
      <c r="B18" s="14" t="n">
        <v>46031</v>
      </c>
      <c r="C18" s="230" t="inlineStr">
        <is>
          <t>ACH CREDIT â€” CALGARY TECH PARTNERS â€” REF:SUB038</t>
        </is>
      </c>
      <c r="D18" s="230" t="inlineStr">
        <is>
          <t>Credit</t>
        </is>
      </c>
      <c r="E18" s="234" t="n">
        <v>585</v>
      </c>
      <c r="F18" s="230" t="inlineStr">
        <is>
          <t>TXN-2026-02-0013</t>
        </is>
      </c>
      <c r="G18" s="234" t="n">
        <v>1282344</v>
      </c>
    </row>
    <row r="19" ht="14.25" customHeight="1" s="281">
      <c r="A19" s="14" t="n">
        <v>46032</v>
      </c>
      <c r="B19" s="14" t="n">
        <v>46032</v>
      </c>
      <c r="C19" s="230" t="inlineStr">
        <is>
          <t>ACH CREDIT â€” MARITIME E-COMMERCE â€” REF:SUB012</t>
        </is>
      </c>
      <c r="D19" s="230" t="inlineStr">
        <is>
          <t>Credit</t>
        </is>
      </c>
      <c r="E19" s="234" t="n">
        <v>2185</v>
      </c>
      <c r="F19" s="230" t="inlineStr">
        <is>
          <t>TXN-2026-02-0014</t>
        </is>
      </c>
      <c r="G19" s="234" t="n">
        <v>1284529</v>
      </c>
    </row>
    <row r="20" ht="14.25" customHeight="1" s="281">
      <c r="A20" s="14" t="n">
        <v>46032</v>
      </c>
      <c r="B20" s="14" t="n">
        <v>46032</v>
      </c>
      <c r="C20" s="230" t="inlineStr">
        <is>
          <t>ACH CREDIT â€” MAPLE HEALTHCARE SYSTEMS â€” REF:SUB042</t>
        </is>
      </c>
      <c r="D20" s="230" t="inlineStr">
        <is>
          <t>Credit</t>
        </is>
      </c>
      <c r="E20" s="234" t="n">
        <v>2090</v>
      </c>
      <c r="F20" s="230" t="inlineStr">
        <is>
          <t>TXN-2026-02-0015</t>
        </is>
      </c>
      <c r="G20" s="234" t="n">
        <v>1286619</v>
      </c>
    </row>
    <row r="21" ht="14.25" customHeight="1" s="281">
      <c r="A21" s="14" t="n">
        <v>46032</v>
      </c>
      <c r="B21" s="14" t="n">
        <v>46032</v>
      </c>
      <c r="C21" s="230" t="inlineStr">
        <is>
          <t>ACH CREDIT â€” TORONTO MEDIA GROUP â€” REF:SUB051</t>
        </is>
      </c>
      <c r="D21" s="230" t="inlineStr">
        <is>
          <t>Credit</t>
        </is>
      </c>
      <c r="E21" s="234" t="n">
        <v>2530</v>
      </c>
      <c r="F21" s="230" t="inlineStr">
        <is>
          <t>TXN-2026-02-0016</t>
        </is>
      </c>
      <c r="G21" s="234" t="n">
        <v>1289149</v>
      </c>
    </row>
    <row r="22" ht="14.25" customHeight="1" s="281">
      <c r="A22" s="14" t="n">
        <v>46034</v>
      </c>
      <c r="B22" s="14" t="n">
        <v>46034</v>
      </c>
      <c r="C22" s="230" t="inlineStr">
        <is>
          <t>ACH CREDIT â€” MANITOBA FINANCE GROUP â€” REF:SUB036</t>
        </is>
      </c>
      <c r="D22" s="230" t="inlineStr">
        <is>
          <t>Credit</t>
        </is>
      </c>
      <c r="E22" s="234" t="n">
        <v>1710</v>
      </c>
      <c r="F22" s="230" t="inlineStr">
        <is>
          <t>TXN-2026-02-0017</t>
        </is>
      </c>
      <c r="G22" s="234" t="n">
        <v>1290859</v>
      </c>
    </row>
    <row r="23" ht="14.25" customHeight="1" s="281">
      <c r="A23" s="14" t="n">
        <v>46034</v>
      </c>
      <c r="B23" s="14" t="n">
        <v>46034</v>
      </c>
      <c r="C23" s="230" t="inlineStr">
        <is>
          <t>ACH CREDIT â€” QUEBEC MANUFACTURING â€” REF:SUB056</t>
        </is>
      </c>
      <c r="D23" s="230" t="inlineStr">
        <is>
          <t>Credit</t>
        </is>
      </c>
      <c r="E23" s="234" t="n">
        <v>3230</v>
      </c>
      <c r="F23" s="230" t="inlineStr">
        <is>
          <t>TXN-2026-02-0018</t>
        </is>
      </c>
      <c r="G23" s="234" t="n">
        <v>1294089</v>
      </c>
    </row>
    <row r="24" ht="14.25" customHeight="1" s="281">
      <c r="A24" s="14" t="n">
        <v>46035</v>
      </c>
      <c r="B24" s="14" t="n">
        <v>46035</v>
      </c>
      <c r="C24" s="230" t="inlineStr">
        <is>
          <t>ACH CREDIT â€” MONTREAL FINANCE HUB â€” REF:SUB010</t>
        </is>
      </c>
      <c r="D24" s="230" t="inlineStr">
        <is>
          <t>Credit</t>
        </is>
      </c>
      <c r="E24" s="234" t="n">
        <v>585</v>
      </c>
      <c r="F24" s="230" t="inlineStr">
        <is>
          <t>TXN-2026-02-0019</t>
        </is>
      </c>
      <c r="G24" s="234" t="n">
        <v>1294674</v>
      </c>
    </row>
    <row r="25" ht="14.25" customHeight="1" s="281">
      <c r="A25" s="14" t="n">
        <v>46036</v>
      </c>
      <c r="B25" s="14" t="n">
        <v>46036</v>
      </c>
      <c r="C25" s="230" t="inlineStr">
        <is>
          <t>ACH CREDIT â€” QUEBEC EDUCATION PLATFORM â€” REF:SUB034</t>
        </is>
      </c>
      <c r="D25" s="230" t="inlineStr">
        <is>
          <t>Credit</t>
        </is>
      </c>
      <c r="E25" s="234" t="n">
        <v>720</v>
      </c>
      <c r="F25" s="230" t="inlineStr">
        <is>
          <t>TXN-2026-02-0020</t>
        </is>
      </c>
      <c r="G25" s="234" t="n">
        <v>1295394</v>
      </c>
    </row>
    <row r="26" ht="14.25" customHeight="1" s="281">
      <c r="A26" s="14" t="n">
        <v>46037</v>
      </c>
      <c r="B26" s="14" t="n">
        <v>46037</v>
      </c>
      <c r="C26" s="230" t="inlineStr">
        <is>
          <t>ACH CREDIT â€” TECHVISION SOLUTIONS â€” REF:SUB041</t>
        </is>
      </c>
      <c r="D26" s="230" t="inlineStr">
        <is>
          <t>Credit</t>
        </is>
      </c>
      <c r="E26" s="234" t="n">
        <v>1760</v>
      </c>
      <c r="F26" s="230" t="inlineStr">
        <is>
          <t>TXN-2026-02-0021</t>
        </is>
      </c>
      <c r="G26" s="234" t="n">
        <v>1297154</v>
      </c>
    </row>
    <row r="27" ht="14.25" customHeight="1" s="281">
      <c r="A27" s="14" t="n">
        <v>46037</v>
      </c>
      <c r="B27" s="14" t="n">
        <v>46037</v>
      </c>
      <c r="C27" s="230" t="inlineStr">
        <is>
          <t>ACH CREDIT â€” VANCOUVER FINTECH LABS â€” REF:SUB052</t>
        </is>
      </c>
      <c r="D27" s="230" t="inlineStr">
        <is>
          <t>Credit</t>
        </is>
      </c>
      <c r="E27" s="234" t="n">
        <v>2975</v>
      </c>
      <c r="F27" s="230" t="inlineStr">
        <is>
          <t>TXN-2026-02-0022</t>
        </is>
      </c>
      <c r="G27" s="234" t="n">
        <v>1300129</v>
      </c>
    </row>
    <row r="28" ht="14.25" customHeight="1" s="281">
      <c r="A28" s="14" t="n">
        <v>46037</v>
      </c>
      <c r="B28" s="14" t="n">
        <v>46037</v>
      </c>
      <c r="C28" s="230" t="inlineStr">
        <is>
          <t>ACH CREDIT â€” ISLAND MEDIA PRODUCTIONS â€” REF:SUB062</t>
        </is>
      </c>
      <c r="D28" s="230" t="inlineStr">
        <is>
          <t>Credit</t>
        </is>
      </c>
      <c r="E28" s="234" t="n">
        <v>935</v>
      </c>
      <c r="F28" s="230" t="inlineStr">
        <is>
          <t>TXN-2026-02-0023</t>
        </is>
      </c>
      <c r="G28" s="234" t="n">
        <v>1301064</v>
      </c>
    </row>
    <row r="29" ht="14.25" customHeight="1" s="281">
      <c r="A29" s="14" t="n">
        <v>46038</v>
      </c>
      <c r="B29" s="14" t="n">
        <v>46038</v>
      </c>
      <c r="C29" s="230" t="inlineStr">
        <is>
          <t>ACH CREDIT â€” CENTRAL HEALTHCARE PARTNERS â€” REF:SUB019</t>
        </is>
      </c>
      <c r="D29" s="230" t="inlineStr">
        <is>
          <t>Credit</t>
        </is>
      </c>
      <c r="E29" s="234" t="n">
        <v>1615</v>
      </c>
      <c r="F29" s="230" t="inlineStr">
        <is>
          <t>TXN-2026-02-0024</t>
        </is>
      </c>
      <c r="G29" s="234" t="n">
        <v>1302679</v>
      </c>
    </row>
    <row r="30" ht="14.25" customHeight="1" s="281">
      <c r="A30" s="14" t="n">
        <v>46039</v>
      </c>
      <c r="B30" s="14" t="n">
        <v>46039</v>
      </c>
      <c r="C30" s="230" t="inlineStr">
        <is>
          <t>ACH CREDIT â€” ALBERTA E-COMMERCE HUB â€” REF:SUB030</t>
        </is>
      </c>
      <c r="D30" s="230" t="inlineStr">
        <is>
          <t>Credit</t>
        </is>
      </c>
      <c r="E30" s="234" t="n">
        <v>1900</v>
      </c>
      <c r="F30" s="230" t="inlineStr">
        <is>
          <t>TXN-2026-02-0025</t>
        </is>
      </c>
      <c r="G30" s="234" t="n">
        <v>1304579</v>
      </c>
    </row>
    <row r="31" ht="14.25" customHeight="1" s="281">
      <c r="A31" s="14" t="n">
        <v>46039</v>
      </c>
      <c r="B31" s="14" t="n">
        <v>46039</v>
      </c>
      <c r="C31" s="230" t="inlineStr">
        <is>
          <t>ACH CREDIT â€” BC MANUFACTURING SYSTEMS â€” REF:SUB032</t>
        </is>
      </c>
      <c r="D31" s="230" t="inlineStr">
        <is>
          <t>Credit</t>
        </is>
      </c>
      <c r="E31" s="234" t="n">
        <v>4680</v>
      </c>
      <c r="F31" s="230" t="inlineStr">
        <is>
          <t>TXN-2026-02-0026</t>
        </is>
      </c>
      <c r="G31" s="234" t="n">
        <v>1309259</v>
      </c>
    </row>
    <row r="32" ht="14.25" customHeight="1" s="281">
      <c r="A32" s="14" t="n">
        <v>46040</v>
      </c>
      <c r="B32" s="14" t="n">
        <v>46040</v>
      </c>
      <c r="C32" s="230" t="inlineStr">
        <is>
          <t>ACH CREDIT â€” TORONTO TECH VENTURES â€” REF:SUB047</t>
        </is>
      </c>
      <c r="D32" s="230" t="inlineStr">
        <is>
          <t>Credit</t>
        </is>
      </c>
      <c r="E32" s="234" t="n">
        <v>2860</v>
      </c>
      <c r="F32" s="230" t="inlineStr">
        <is>
          <t>TXN-2026-02-0027</t>
        </is>
      </c>
      <c r="G32" s="234" t="n">
        <v>1312119</v>
      </c>
    </row>
    <row r="33" ht="14.25" customHeight="1" s="281">
      <c r="A33" s="14" t="n">
        <v>46041</v>
      </c>
      <c r="B33" s="14" t="n">
        <v>46041</v>
      </c>
      <c r="C33" s="230" t="inlineStr">
        <is>
          <t>ACH CREDIT â€” PRAIRIE COMMERCE GROUP â€” REF:SUB004</t>
        </is>
      </c>
      <c r="D33" s="230" t="inlineStr">
        <is>
          <t>Credit</t>
        </is>
      </c>
      <c r="E33" s="234" t="n">
        <v>1980</v>
      </c>
      <c r="F33" s="230" t="inlineStr">
        <is>
          <t>TXN-2026-02-0028</t>
        </is>
      </c>
      <c r="G33" s="234" t="n">
        <v>1314099</v>
      </c>
    </row>
    <row r="34" ht="14.25" customHeight="1" s="281">
      <c r="A34" s="14" t="n">
        <v>46041</v>
      </c>
      <c r="B34" s="14" t="n">
        <v>46041</v>
      </c>
      <c r="C34" s="230" t="inlineStr">
        <is>
          <t>ACH CREDIT â€” CAPITAL EDUCATION TECH â€” REF:SUB017</t>
        </is>
      </c>
      <c r="D34" s="230" t="inlineStr">
        <is>
          <t>Credit</t>
        </is>
      </c>
      <c r="E34" s="234" t="n">
        <v>540</v>
      </c>
      <c r="F34" s="230" t="inlineStr">
        <is>
          <t>TXN-2026-02-0029</t>
        </is>
      </c>
      <c r="G34" s="234" t="n">
        <v>1314639</v>
      </c>
    </row>
    <row r="35" ht="14.25" customHeight="1" s="281">
      <c r="A35" s="14" t="n">
        <v>46042</v>
      </c>
      <c r="B35" s="14" t="n">
        <v>46042</v>
      </c>
      <c r="C35" s="230" t="inlineStr">
        <is>
          <t>ACH CREDIT â€” WEST COAST LOGISTICS â€” REF:SUB044</t>
        </is>
      </c>
      <c r="D35" s="230" t="inlineStr">
        <is>
          <t>Credit</t>
        </is>
      </c>
      <c r="E35" s="234" t="n">
        <v>3325</v>
      </c>
      <c r="F35" s="230" t="inlineStr">
        <is>
          <t>TXN-2026-02-0030</t>
        </is>
      </c>
      <c r="G35" s="234" t="n">
        <v>1317964</v>
      </c>
    </row>
    <row r="36" ht="14.25" customHeight="1" s="281">
      <c r="A36" s="14" t="n">
        <v>46042</v>
      </c>
      <c r="B36" s="14" t="n">
        <v>46042</v>
      </c>
      <c r="C36" s="230" t="inlineStr">
        <is>
          <t>ACH CREDIT â€” ALBERTA TECH INNOVATORS â€” REF:SUB061</t>
        </is>
      </c>
      <c r="D36" s="230" t="inlineStr">
        <is>
          <t>Credit</t>
        </is>
      </c>
      <c r="E36" s="234" t="n">
        <v>1140</v>
      </c>
      <c r="F36" s="230" t="inlineStr">
        <is>
          <t>TXN-2026-02-0031</t>
        </is>
      </c>
      <c r="G36" s="234" t="n">
        <v>1319104</v>
      </c>
    </row>
    <row r="37" ht="14.25" customHeight="1" s="281">
      <c r="A37" s="14" t="n">
        <v>46044</v>
      </c>
      <c r="B37" s="14" t="n">
        <v>46044</v>
      </c>
      <c r="C37" s="230" t="inlineStr">
        <is>
          <t>ACH CREDIT â€” PACIFIC ANALYTICS INC â€” ANNUAL RENEWAL REF:SUB002</t>
        </is>
      </c>
      <c r="D37" s="230" t="inlineStr">
        <is>
          <t>Credit</t>
        </is>
      </c>
      <c r="E37" s="234" t="n">
        <v>46800</v>
      </c>
      <c r="F37" s="230" t="inlineStr">
        <is>
          <t>TXN-2026-02-0032</t>
        </is>
      </c>
      <c r="G37" s="234" t="n">
        <v>1365904</v>
      </c>
    </row>
    <row r="38" ht="14.25" customHeight="1" s="281">
      <c r="A38" s="14" t="n">
        <v>46044</v>
      </c>
      <c r="B38" s="14" t="n">
        <v>46044</v>
      </c>
      <c r="C38" s="230" t="inlineStr">
        <is>
          <t>ACH CREDIT â€” BC RETAIL NETWORKS â€” REF:SUB046</t>
        </is>
      </c>
      <c r="D38" s="230" t="inlineStr">
        <is>
          <t>Credit</t>
        </is>
      </c>
      <c r="E38" s="234" t="n">
        <v>3600</v>
      </c>
      <c r="F38" s="230" t="inlineStr">
        <is>
          <t>TXN-2026-02-0033</t>
        </is>
      </c>
      <c r="G38" s="234" t="n">
        <v>1369504</v>
      </c>
    </row>
    <row r="39" ht="14.25" customHeight="1" s="281">
      <c r="A39" s="14" t="n">
        <v>46044</v>
      </c>
      <c r="B39" s="14" t="n">
        <v>46044</v>
      </c>
      <c r="C39" s="230" t="inlineStr">
        <is>
          <t>ACH CREDIT â€” MONTREAL MANUFACTURING PRO â€” REF:SUB048</t>
        </is>
      </c>
      <c r="D39" s="230" t="inlineStr">
        <is>
          <t>Credit</t>
        </is>
      </c>
      <c r="E39" s="234" t="n">
        <v>3960</v>
      </c>
      <c r="F39" s="230" t="inlineStr">
        <is>
          <t>TXN-2026-02-0034</t>
        </is>
      </c>
      <c r="G39" s="234" t="n">
        <v>1373464</v>
      </c>
    </row>
    <row r="40" ht="14.25" customHeight="1" s="281">
      <c r="A40" s="14" t="n">
        <v>46044</v>
      </c>
      <c r="B40" s="14" t="n">
        <v>46044</v>
      </c>
      <c r="C40" s="230" t="inlineStr">
        <is>
          <t>ACH CREDIT â€” PACIFIC ANALYTICS INC â€” ANNUAL RENEWAL REF:SUB054</t>
        </is>
      </c>
      <c r="D40" s="230" t="inlineStr">
        <is>
          <t>Credit</t>
        </is>
      </c>
      <c r="E40" s="234" t="n">
        <v>23826</v>
      </c>
      <c r="F40" s="230" t="inlineStr">
        <is>
          <t>TXN-2026-02-0035</t>
        </is>
      </c>
      <c r="G40" s="234" t="n">
        <v>1397290</v>
      </c>
    </row>
    <row r="41" ht="14.25" customHeight="1" s="281">
      <c r="A41" s="14" t="n">
        <v>46045</v>
      </c>
      <c r="B41" s="14" t="n">
        <v>46045</v>
      </c>
      <c r="C41" s="230" t="inlineStr">
        <is>
          <t>ACH CREDIT â€” ONTARIO EDUCATION CONNECT â€” REF:SUB026</t>
        </is>
      </c>
      <c r="D41" s="230" t="inlineStr">
        <is>
          <t>Credit</t>
        </is>
      </c>
      <c r="E41" s="234" t="n">
        <v>1520</v>
      </c>
      <c r="F41" s="230" t="inlineStr">
        <is>
          <t>TXN-2026-02-0036</t>
        </is>
      </c>
      <c r="G41" s="234" t="n">
        <v>1398810</v>
      </c>
    </row>
    <row r="42" ht="14.25" customHeight="1" s="281">
      <c r="A42" s="14" t="n">
        <v>46045</v>
      </c>
      <c r="B42" s="14" t="n">
        <v>46045</v>
      </c>
      <c r="C42" s="230" t="inlineStr">
        <is>
          <t>ACH CREDIT â€” TORONTO COMMERCE CLOUD â€” REF:SUB039</t>
        </is>
      </c>
      <c r="D42" s="230" t="inlineStr">
        <is>
          <t>Credit</t>
        </is>
      </c>
      <c r="E42" s="234" t="n">
        <v>2465</v>
      </c>
      <c r="F42" s="230" t="inlineStr">
        <is>
          <t>TXN-2026-02-0037</t>
        </is>
      </c>
      <c r="G42" s="234" t="n">
        <v>1401275</v>
      </c>
    </row>
    <row r="43" ht="14.25" customHeight="1" s="281">
      <c r="A43" s="14" t="n">
        <v>46047</v>
      </c>
      <c r="B43" s="14" t="n">
        <v>46047</v>
      </c>
      <c r="C43" s="230" t="inlineStr">
        <is>
          <t>ACH CREDIT â€” WESTERN RETAIL GROUP â€” REF:SUB024</t>
        </is>
      </c>
      <c r="D43" s="230" t="inlineStr">
        <is>
          <t>Credit</t>
        </is>
      </c>
      <c r="E43" s="234" t="n">
        <v>2635</v>
      </c>
      <c r="F43" s="230" t="inlineStr">
        <is>
          <t>TXN-2026-02-0038</t>
        </is>
      </c>
      <c r="G43" s="234" t="n">
        <v>1403910</v>
      </c>
    </row>
    <row r="44" ht="14.25" customHeight="1" s="281">
      <c r="A44" s="14" t="n">
        <v>46048</v>
      </c>
      <c r="B44" s="14" t="n">
        <v>46048</v>
      </c>
      <c r="C44" s="230" t="inlineStr">
        <is>
          <t>ACH CREDIT â€” MARITIME SAAS VENTURES â€” REF:SUB037</t>
        </is>
      </c>
      <c r="D44" s="230" t="inlineStr">
        <is>
          <t>Credit</t>
        </is>
      </c>
      <c r="E44" s="234" t="n">
        <v>5250</v>
      </c>
      <c r="F44" s="230" t="inlineStr">
        <is>
          <t>TXN-2026-02-0039</t>
        </is>
      </c>
      <c r="G44" s="234" t="n">
        <v>1409160</v>
      </c>
    </row>
    <row r="45" ht="14.25" customHeight="1" s="281">
      <c r="A45" s="14" t="n">
        <v>46048</v>
      </c>
      <c r="B45" s="14" t="n">
        <v>46048</v>
      </c>
      <c r="C45" s="230" t="inlineStr">
        <is>
          <t>ACH CREDIT â€” BC EDUCATION INNOVATIONS â€” REF:SUB040</t>
        </is>
      </c>
      <c r="D45" s="230" t="inlineStr">
        <is>
          <t>Credit</t>
        </is>
      </c>
      <c r="E45" s="234" t="n">
        <v>1710</v>
      </c>
      <c r="F45" s="230" t="inlineStr">
        <is>
          <t>TXN-2026-02-0040</t>
        </is>
      </c>
      <c r="G45" s="234" t="n">
        <v>1410870</v>
      </c>
    </row>
    <row r="46" ht="14.25" customHeight="1" s="281">
      <c r="A46" s="14" t="n">
        <v>46049</v>
      </c>
      <c r="B46" s="14" t="n">
        <v>46049</v>
      </c>
      <c r="C46" s="230" t="inlineStr">
        <is>
          <t>ACH CREDIT â€” PRAIRIE HEALTH CONNECT â€” REF:SUB011</t>
        </is>
      </c>
      <c r="D46" s="230" t="inlineStr">
        <is>
          <t>Credit</t>
        </is>
      </c>
      <c r="E46" s="234" t="n">
        <v>1980</v>
      </c>
      <c r="F46" s="230" t="inlineStr">
        <is>
          <t>TXN-2026-02-0041</t>
        </is>
      </c>
      <c r="G46" s="234" t="n">
        <v>1412850</v>
      </c>
    </row>
    <row r="47" ht="14.25" customHeight="1" s="281">
      <c r="A47" s="14" t="n">
        <v>46050</v>
      </c>
      <c r="B47" s="14" t="n">
        <v>46050</v>
      </c>
      <c r="C47" s="230" t="inlineStr">
        <is>
          <t>ACH CREDIT â€” TORONTO TECH VENTURES â€” REF:SUB022</t>
        </is>
      </c>
      <c r="D47" s="230" t="inlineStr">
        <is>
          <t>Credit</t>
        </is>
      </c>
      <c r="E47" s="234" t="n">
        <v>4950</v>
      </c>
      <c r="F47" s="230" t="inlineStr">
        <is>
          <t>TXN-2026-02-0042</t>
        </is>
      </c>
      <c r="G47" s="234" t="n">
        <v>1417800</v>
      </c>
    </row>
    <row r="48" ht="14.25" customHeight="1" s="281">
      <c r="A48" s="14" t="n">
        <v>46050</v>
      </c>
      <c r="B48" s="14" t="n">
        <v>46050</v>
      </c>
      <c r="C48" s="230" t="inlineStr">
        <is>
          <t>ACH CREDIT â€” VANCOUVER HEALTH SYSTEMS â€” REF:SUB035</t>
        </is>
      </c>
      <c r="D48" s="230" t="inlineStr">
        <is>
          <t>Credit</t>
        </is>
      </c>
      <c r="E48" s="234" t="n">
        <v>2200</v>
      </c>
      <c r="F48" s="230" t="inlineStr">
        <is>
          <t>TXN-2026-02-0043</t>
        </is>
      </c>
      <c r="G48" s="234" t="n">
        <v>1420000</v>
      </c>
    </row>
    <row r="49" ht="14.25" customHeight="1" s="281">
      <c r="A49" s="14" t="n">
        <v>46050</v>
      </c>
      <c r="B49" s="14" t="n">
        <v>46050</v>
      </c>
      <c r="C49" s="230" t="inlineStr">
        <is>
          <t>ACH CREDIT â€” CALGARY COMMERCE SOLUTIONS â€” REF:SUB057</t>
        </is>
      </c>
      <c r="D49" s="230" t="inlineStr">
        <is>
          <t>Credit</t>
        </is>
      </c>
      <c r="E49" s="234" t="n">
        <v>4200</v>
      </c>
      <c r="F49" s="230" t="inlineStr">
        <is>
          <t>TXN-2026-02-0044</t>
        </is>
      </c>
      <c r="G49" s="234" t="n">
        <v>1424200</v>
      </c>
    </row>
    <row r="50" ht="14.25" customHeight="1" s="281">
      <c r="A50" s="14" t="n">
        <v>46052</v>
      </c>
      <c r="B50" s="14" t="n">
        <v>46052</v>
      </c>
      <c r="C50" s="230" t="inlineStr">
        <is>
          <t>ACH CREDIT â€” ATLANTIC SAAS SYSTEMS â€” REF:SUB020</t>
        </is>
      </c>
      <c r="D50" s="230" t="inlineStr">
        <is>
          <t>Credit</t>
        </is>
      </c>
      <c r="E50" s="234" t="n">
        <v>1650</v>
      </c>
      <c r="F50" s="230" t="inlineStr">
        <is>
          <t>TXN-2026-02-0045</t>
        </is>
      </c>
      <c r="G50" s="234" t="n">
        <v>1425850</v>
      </c>
    </row>
    <row r="51" ht="14.25" customHeight="1" s="281">
      <c r="A51" s="14" t="n">
        <v>46053</v>
      </c>
      <c r="B51" s="14" t="n">
        <v>46053</v>
      </c>
      <c r="C51" s="230" t="inlineStr">
        <is>
          <t>ACH CREDIT â€” OTTAWA RETAIL SOLUTIONS â€” REF:SUB033</t>
        </is>
      </c>
      <c r="D51" s="230" t="inlineStr">
        <is>
          <t>Credit</t>
        </is>
      </c>
      <c r="E51" s="234" t="n">
        <v>2125</v>
      </c>
      <c r="F51" s="230" t="inlineStr">
        <is>
          <t>TXN-2026-02-0046</t>
        </is>
      </c>
      <c r="G51" s="234" t="n">
        <v>1427975</v>
      </c>
    </row>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54"/>
  <sheetViews>
    <sheetView workbookViewId="0">
      <selection activeCell="A1" sqref="A1"/>
    </sheetView>
  </sheetViews>
  <sheetFormatPr baseColWidth="8" defaultColWidth="14.43" defaultRowHeight="15" customHeight="1"/>
  <cols>
    <col width="36.14" customWidth="1" style="281" min="1" max="1"/>
    <col width="11.43" customWidth="1" style="281" min="2" max="2"/>
    <col width="80.43000000000001" customWidth="1" style="281" min="3" max="3"/>
    <col width="8.710000000000001" customWidth="1" style="281" min="4" max="4"/>
    <col width="10.14" customWidth="1" style="281" min="5" max="5"/>
    <col width="18.43" customWidth="1" style="281" min="6" max="6"/>
    <col width="16.71" customWidth="1" style="281" min="7" max="7"/>
    <col width="8.710000000000001" customWidth="1" style="281" min="8" max="26"/>
  </cols>
  <sheetData>
    <row r="1" ht="14.25" customHeight="1" s="281">
      <c r="A1" s="230" t="inlineStr">
        <is>
          <t>Account: iDynamics SaaS Inc - Operating</t>
        </is>
      </c>
    </row>
    <row r="2" ht="14.25" customHeight="1" s="281">
      <c r="A2" s="230" t="inlineStr">
        <is>
          <t>Period: February 2026</t>
        </is>
      </c>
    </row>
    <row r="3" ht="14.25" customHeight="1" s="281">
      <c r="A3" s="230" t="inlineStr">
        <is>
          <t xml:space="preserve">Opening Balance: </t>
        </is>
      </c>
      <c r="B3" s="12" t="n">
        <v>1427945</v>
      </c>
    </row>
    <row r="4" ht="14.25" customHeight="1" s="281"/>
    <row r="5" ht="14.25" customHeight="1" s="281">
      <c r="A5" s="13" t="inlineStr">
        <is>
          <t>transaction_date</t>
        </is>
      </c>
      <c r="B5" s="13" t="inlineStr">
        <is>
          <t>post_date</t>
        </is>
      </c>
      <c r="C5" s="13" t="inlineStr">
        <is>
          <t>description</t>
        </is>
      </c>
      <c r="D5" s="13" t="inlineStr">
        <is>
          <t>type</t>
        </is>
      </c>
      <c r="E5" s="13" t="inlineStr">
        <is>
          <t>amount</t>
        </is>
      </c>
      <c r="F5" s="13" t="inlineStr">
        <is>
          <t>reference_number</t>
        </is>
      </c>
      <c r="G5" s="13" t="inlineStr">
        <is>
          <t>running_balance</t>
        </is>
      </c>
    </row>
    <row r="6" ht="14.25" customHeight="1" s="281">
      <c r="A6" s="14" t="n">
        <v>46058</v>
      </c>
      <c r="B6" s="14" t="n">
        <v>46058</v>
      </c>
      <c r="C6" s="230" t="inlineStr">
        <is>
          <t>ACH CREDIT â€” PRAIRIE SAAS INNOVATIONS â€” RETRY REF:SUB028 INV:INV-2026-01-0030</t>
        </is>
      </c>
      <c r="D6" s="230" t="inlineStr">
        <is>
          <t>Credit</t>
        </is>
      </c>
      <c r="E6" s="234" t="n">
        <v>675</v>
      </c>
      <c r="F6" s="230" t="inlineStr">
        <is>
          <t>TXN-2026-02-0001</t>
        </is>
      </c>
      <c r="G6" s="234" t="n">
        <v>1428650</v>
      </c>
    </row>
    <row r="7" ht="14.25" customHeight="1" s="281">
      <c r="A7" s="14" t="n">
        <v>46054</v>
      </c>
      <c r="B7" s="14" t="n">
        <v>46054</v>
      </c>
      <c r="C7" s="230" t="inlineStr">
        <is>
          <t>ACH CREDIT â€” ONTARIO MANUFACTURING TECH â€” REF:SUB007</t>
        </is>
      </c>
      <c r="D7" s="230" t="inlineStr">
        <is>
          <t>Credit</t>
        </is>
      </c>
      <c r="E7" s="234" t="n">
        <v>1360</v>
      </c>
      <c r="F7" s="230" t="inlineStr">
        <is>
          <t>TXN-2026-02-0002</t>
        </is>
      </c>
      <c r="G7" s="234" t="n">
        <v>1430010</v>
      </c>
    </row>
    <row r="8" ht="14.25" customHeight="1" s="281">
      <c r="A8" s="14" t="n">
        <v>46054</v>
      </c>
      <c r="B8" s="14" t="n">
        <v>46054</v>
      </c>
      <c r="C8" s="230" t="inlineStr">
        <is>
          <t>ACH CREDIT â€” ONTARIO MANUFACTURING TECH â€” REF:SUB050</t>
        </is>
      </c>
      <c r="D8" s="230" t="inlineStr">
        <is>
          <t>Credit</t>
        </is>
      </c>
      <c r="E8" s="234" t="n">
        <v>594</v>
      </c>
      <c r="F8" s="230" t="inlineStr">
        <is>
          <t>TXN-2026-02-0003</t>
        </is>
      </c>
      <c r="G8" s="234" t="n">
        <v>1430604</v>
      </c>
    </row>
    <row r="9" ht="14.25" customHeight="1" s="281">
      <c r="A9" s="14" t="n">
        <v>46055</v>
      </c>
      <c r="B9" s="14" t="n">
        <v>46055</v>
      </c>
      <c r="C9" s="230" t="inlineStr">
        <is>
          <t>ACH CREDIT â€” VANCOUVER FINTECH LABS â€” REF:SUB018</t>
        </is>
      </c>
      <c r="D9" s="230" t="inlineStr">
        <is>
          <t>Credit</t>
        </is>
      </c>
      <c r="E9" s="234" t="n">
        <v>6300</v>
      </c>
      <c r="F9" s="230" t="inlineStr">
        <is>
          <t>TXN-2026-02-0004</t>
        </is>
      </c>
      <c r="G9" s="234" t="n">
        <v>1436904</v>
      </c>
    </row>
    <row r="10" ht="14.25" customHeight="1" s="281">
      <c r="A10" s="14" t="n">
        <v>46056</v>
      </c>
      <c r="B10" s="14" t="n">
        <v>46056</v>
      </c>
      <c r="C10" s="230" t="inlineStr">
        <is>
          <t>ACH CREDIT â€” HALIFAX HEALTHCARE TECH â€” REF:SUB029</t>
        </is>
      </c>
      <c r="D10" s="230" t="inlineStr">
        <is>
          <t>Credit</t>
        </is>
      </c>
      <c r="E10" s="234" t="n">
        <v>1870</v>
      </c>
      <c r="F10" s="230" t="inlineStr">
        <is>
          <t>TXN-2026-02-0005</t>
        </is>
      </c>
      <c r="G10" s="234" t="n">
        <v>1438774</v>
      </c>
    </row>
    <row r="11" ht="14.25" customHeight="1" s="281">
      <c r="A11" s="14" t="n">
        <v>46058</v>
      </c>
      <c r="B11" s="14" t="n">
        <v>46058</v>
      </c>
      <c r="C11" s="230" t="inlineStr">
        <is>
          <t>ACH CREDIT â€” MAPLE HEALTHCARE SYSTEMS â€” REF:SUB003</t>
        </is>
      </c>
      <c r="D11" s="230" t="inlineStr">
        <is>
          <t>Credit</t>
        </is>
      </c>
      <c r="E11" s="234" t="n">
        <v>1955</v>
      </c>
      <c r="F11" s="230" t="inlineStr">
        <is>
          <t>TXN-2026-02-0006</t>
        </is>
      </c>
      <c r="G11" s="234" t="n">
        <v>1440729</v>
      </c>
    </row>
    <row r="12" ht="14.25" customHeight="1" s="281">
      <c r="A12" s="14" t="n">
        <v>46058</v>
      </c>
      <c r="B12" s="14" t="n">
        <v>46058</v>
      </c>
      <c r="C12" s="230" t="inlineStr">
        <is>
          <t>ACH CREDIT â€” NORTHERN RETAIL SOLUTIONS â€” REF:SUB043</t>
        </is>
      </c>
      <c r="D12" s="230" t="inlineStr">
        <is>
          <t>Credit</t>
        </is>
      </c>
      <c r="E12" s="234" t="n">
        <v>2805</v>
      </c>
      <c r="F12" s="230" t="inlineStr">
        <is>
          <t>TXN-2026-02-0007</t>
        </is>
      </c>
      <c r="G12" s="234" t="n">
        <v>1443534</v>
      </c>
    </row>
    <row r="13" ht="14.25" customHeight="1" s="281">
      <c r="A13" s="14" t="n">
        <v>46058</v>
      </c>
      <c r="B13" s="14" t="n">
        <v>46058</v>
      </c>
      <c r="C13" s="230" t="inlineStr">
        <is>
          <t>ACH CREDIT â€” PACIFIC FINANCE CORP â€” REF:SUB053</t>
        </is>
      </c>
      <c r="D13" s="230" t="inlineStr">
        <is>
          <t>Credit</t>
        </is>
      </c>
      <c r="E13" s="234" t="n">
        <v>5580</v>
      </c>
      <c r="F13" s="230" t="inlineStr">
        <is>
          <t>TXN-2026-02-0008</t>
        </is>
      </c>
      <c r="G13" s="234" t="n">
        <v>1449114</v>
      </c>
    </row>
    <row r="14" ht="14.25" customHeight="1" s="281">
      <c r="A14" s="14" t="n">
        <v>46058</v>
      </c>
      <c r="B14" s="14" t="n">
        <v>46058</v>
      </c>
      <c r="C14" s="230" t="inlineStr">
        <is>
          <t>ACH CREDIT â€” QUANTUM EDUCATION PLATFORM â€” REF:SUB059</t>
        </is>
      </c>
      <c r="D14" s="230" t="inlineStr">
        <is>
          <t>Credit</t>
        </is>
      </c>
      <c r="E14" s="234" t="n">
        <v>1870</v>
      </c>
      <c r="F14" s="230" t="inlineStr">
        <is>
          <t>TXN-2026-02-0009</t>
        </is>
      </c>
      <c r="G14" s="234" t="n">
        <v>1450984</v>
      </c>
    </row>
    <row r="15" ht="14.25" customHeight="1" s="281">
      <c r="A15" s="14" t="n">
        <v>46059</v>
      </c>
      <c r="B15" s="14" t="n">
        <v>46059</v>
      </c>
      <c r="C15" s="230" t="inlineStr">
        <is>
          <t>ACH CREDIT â€” PACIFIC FINANCE CORP â€” REF:SUB027</t>
        </is>
      </c>
      <c r="D15" s="230" t="inlineStr">
        <is>
          <t>Credit</t>
        </is>
      </c>
      <c r="E15" s="234" t="n">
        <v>3080</v>
      </c>
      <c r="F15" s="230" t="inlineStr">
        <is>
          <t>TXN-2026-02-0010</t>
        </is>
      </c>
      <c r="G15" s="234" t="n">
        <v>1454064</v>
      </c>
    </row>
    <row r="16" ht="14.25" customHeight="1" s="281">
      <c r="A16" s="14" t="n">
        <v>46061</v>
      </c>
      <c r="B16" s="14" t="n">
        <v>46061</v>
      </c>
      <c r="C16" s="230" t="inlineStr">
        <is>
          <t>ACH CREDIT â€” TORONTO MEDIA GROUP â€” REF:SUB014</t>
        </is>
      </c>
      <c r="D16" s="230" t="inlineStr">
        <is>
          <t>Credit</t>
        </is>
      </c>
      <c r="E16" s="234" t="n">
        <v>2380</v>
      </c>
      <c r="F16" s="230" t="inlineStr">
        <is>
          <t>TXN-2026-02-0011</t>
        </is>
      </c>
      <c r="G16" s="234" t="n">
        <v>1456444</v>
      </c>
    </row>
    <row r="17" ht="14.25" customHeight="1" s="281">
      <c r="A17" s="14" t="n">
        <v>46061</v>
      </c>
      <c r="B17" s="14" t="n">
        <v>46061</v>
      </c>
      <c r="C17" s="230" t="inlineStr">
        <is>
          <t>ACH CREDIT â€” MONTREAL FINANCE HUB â€” REF:SUB045</t>
        </is>
      </c>
      <c r="D17" s="230" t="inlineStr">
        <is>
          <t>Credit</t>
        </is>
      </c>
      <c r="E17" s="234" t="n">
        <v>1105</v>
      </c>
      <c r="F17" s="230" t="inlineStr">
        <is>
          <t>TXN-2026-02-0012</t>
        </is>
      </c>
      <c r="G17" s="234" t="n">
        <v>1457549</v>
      </c>
    </row>
    <row r="18" ht="14.25" customHeight="1" s="281">
      <c r="A18" s="14" t="n">
        <v>46061</v>
      </c>
      <c r="B18" s="14" t="n">
        <v>46061</v>
      </c>
      <c r="C18" s="230" t="inlineStr">
        <is>
          <t>ACH CREDIT â€” WESTERN RETAIL GROUP â€” REF:SUB058</t>
        </is>
      </c>
      <c r="D18" s="230" t="inlineStr">
        <is>
          <t>Credit</t>
        </is>
      </c>
      <c r="E18" s="234" t="n">
        <v>2860</v>
      </c>
      <c r="F18" s="230" t="inlineStr">
        <is>
          <t>TXN-2026-02-0013</t>
        </is>
      </c>
      <c r="G18" s="234" t="n">
        <v>1460409</v>
      </c>
    </row>
    <row r="19" ht="14.25" customHeight="1" s="281">
      <c r="A19" s="14" t="n">
        <v>46062</v>
      </c>
      <c r="B19" s="14" t="n">
        <v>46062</v>
      </c>
      <c r="C19" s="230" t="inlineStr">
        <is>
          <t>ACH CREDIT â€” CALGARY TECH PARTNERS â€” REF:SUB038</t>
        </is>
      </c>
      <c r="D19" s="230" t="inlineStr">
        <is>
          <t>Credit</t>
        </is>
      </c>
      <c r="E19" s="234" t="n">
        <v>585</v>
      </c>
      <c r="F19" s="230" t="inlineStr">
        <is>
          <t>TXN-2026-02-0014</t>
        </is>
      </c>
      <c r="G19" s="234" t="n">
        <v>1460994</v>
      </c>
    </row>
    <row r="20" ht="14.25" customHeight="1" s="281">
      <c r="A20" s="14" t="n">
        <v>46063</v>
      </c>
      <c r="B20" s="14" t="n">
        <v>46063</v>
      </c>
      <c r="C20" s="230" t="inlineStr">
        <is>
          <t>ACH CREDIT â€” MARITIME E-COMMERCE â€” REF:SUB012</t>
        </is>
      </c>
      <c r="D20" s="230" t="inlineStr">
        <is>
          <t>Credit</t>
        </is>
      </c>
      <c r="E20" s="234" t="n">
        <v>2185</v>
      </c>
      <c r="F20" s="230" t="inlineStr">
        <is>
          <t>TXN-2026-02-0015</t>
        </is>
      </c>
      <c r="G20" s="234" t="n">
        <v>1463179</v>
      </c>
    </row>
    <row r="21" ht="14.25" customHeight="1" s="281">
      <c r="A21" s="14" t="n">
        <v>46063</v>
      </c>
      <c r="B21" s="14" t="n">
        <v>46063</v>
      </c>
      <c r="C21" s="230" t="inlineStr">
        <is>
          <t>ACH CREDIT â€” MAPLE HEALTHCARE SYSTEMS â€” REF:SUB042</t>
        </is>
      </c>
      <c r="D21" s="230" t="inlineStr">
        <is>
          <t>Credit</t>
        </is>
      </c>
      <c r="E21" s="234" t="n">
        <v>2090</v>
      </c>
      <c r="F21" s="230" t="inlineStr">
        <is>
          <t>TXN-2026-02-0016</t>
        </is>
      </c>
      <c r="G21" s="234" t="n">
        <v>1465269</v>
      </c>
    </row>
    <row r="22" ht="14.25" customHeight="1" s="281">
      <c r="A22" s="14" t="n">
        <v>46063</v>
      </c>
      <c r="B22" s="14" t="n">
        <v>46063</v>
      </c>
      <c r="C22" s="230" t="inlineStr">
        <is>
          <t>ACH CREDIT â€” TORONTO MEDIA GROUP â€” REF:SUB051</t>
        </is>
      </c>
      <c r="D22" s="230" t="inlineStr">
        <is>
          <t>Credit</t>
        </is>
      </c>
      <c r="E22" s="234" t="n">
        <v>2530</v>
      </c>
      <c r="F22" s="230" t="inlineStr">
        <is>
          <t>TXN-2026-02-0017</t>
        </is>
      </c>
      <c r="G22" s="234" t="n">
        <v>1467799</v>
      </c>
    </row>
    <row r="23" ht="14.25" customHeight="1" s="281">
      <c r="A23" s="14" t="n">
        <v>46063</v>
      </c>
      <c r="B23" s="14" t="n">
        <v>46063</v>
      </c>
      <c r="C23" s="230" t="inlineStr">
        <is>
          <t>ACH CREDIT â€” DYNAMIC RETAIL SOLUTIONS â€” REF:SUB063</t>
        </is>
      </c>
      <c r="D23" s="230" t="inlineStr">
        <is>
          <t>Credit</t>
        </is>
      </c>
      <c r="E23" s="234" t="n">
        <v>3080</v>
      </c>
      <c r="F23" s="230" t="inlineStr">
        <is>
          <t>TXN-2026-02-0018</t>
        </is>
      </c>
      <c r="G23" s="234" t="n">
        <v>1470879</v>
      </c>
    </row>
    <row r="24" ht="14.25" customHeight="1" s="281">
      <c r="A24" s="14" t="n">
        <v>46065</v>
      </c>
      <c r="B24" s="14" t="n">
        <v>46065</v>
      </c>
      <c r="C24" s="230" t="inlineStr">
        <is>
          <t>ACH CREDIT â€” MANITOBA FINANCE GROUP â€” REF:SUB036</t>
        </is>
      </c>
      <c r="D24" s="230" t="inlineStr">
        <is>
          <t>Credit</t>
        </is>
      </c>
      <c r="E24" s="234" t="n">
        <v>1710</v>
      </c>
      <c r="F24" s="230" t="inlineStr">
        <is>
          <t>TXN-2026-02-0019</t>
        </is>
      </c>
      <c r="G24" s="234" t="n">
        <v>1472589</v>
      </c>
    </row>
    <row r="25" ht="14.25" customHeight="1" s="281">
      <c r="A25" s="14" t="n">
        <v>46065</v>
      </c>
      <c r="B25" s="14" t="n">
        <v>46065</v>
      </c>
      <c r="C25" s="230" t="inlineStr">
        <is>
          <t>ACH CREDIT â€” QUEBEC MANUFACTURING â€” REF:SUB056</t>
        </is>
      </c>
      <c r="D25" s="230" t="inlineStr">
        <is>
          <t>Credit</t>
        </is>
      </c>
      <c r="E25" s="234" t="n">
        <v>3230</v>
      </c>
      <c r="F25" s="230" t="inlineStr">
        <is>
          <t>TXN-2026-02-0020</t>
        </is>
      </c>
      <c r="G25" s="234" t="n">
        <v>1475819</v>
      </c>
    </row>
    <row r="26" ht="14.25" customHeight="1" s="281">
      <c r="A26" s="14" t="n">
        <v>46066</v>
      </c>
      <c r="B26" s="14" t="n">
        <v>46066</v>
      </c>
      <c r="C26" s="230" t="inlineStr">
        <is>
          <t>ACH CREDIT â€” MONTREAL FINANCE HUB â€” REF:SUB010</t>
        </is>
      </c>
      <c r="D26" s="230" t="inlineStr">
        <is>
          <t>Credit</t>
        </is>
      </c>
      <c r="E26" s="234" t="n">
        <v>585</v>
      </c>
      <c r="F26" s="230" t="inlineStr">
        <is>
          <t>TXN-2026-02-0021</t>
        </is>
      </c>
      <c r="G26" s="234" t="n">
        <v>1476404</v>
      </c>
    </row>
    <row r="27" ht="14.25" customHeight="1" s="281">
      <c r="A27" s="14" t="n">
        <v>46067</v>
      </c>
      <c r="B27" s="14" t="n">
        <v>46067</v>
      </c>
      <c r="C27" s="230" t="inlineStr">
        <is>
          <t>ACH CREDIT â€” QUEBEC EDUCATION PLATFORM â€” REF:SUB034</t>
        </is>
      </c>
      <c r="D27" s="230" t="inlineStr">
        <is>
          <t>Credit</t>
        </is>
      </c>
      <c r="E27" s="234" t="n">
        <v>720</v>
      </c>
      <c r="F27" s="230" t="inlineStr">
        <is>
          <t>TXN-2026-02-0022</t>
        </is>
      </c>
      <c r="G27" s="234" t="n">
        <v>1477124</v>
      </c>
    </row>
    <row r="28" ht="14.25" customHeight="1" s="281">
      <c r="A28" s="14" t="n">
        <v>46068</v>
      </c>
      <c r="B28" s="14" t="n">
        <v>46068</v>
      </c>
      <c r="C28" s="230" t="inlineStr">
        <is>
          <t>ACH CREDIT â€” TECHVISION SOLUTIONS â€” REF:SUB041</t>
        </is>
      </c>
      <c r="D28" s="230" t="inlineStr">
        <is>
          <t>Credit</t>
        </is>
      </c>
      <c r="E28" s="234" t="n">
        <v>1760</v>
      </c>
      <c r="F28" s="230" t="inlineStr">
        <is>
          <t>TXN-2026-02-0023</t>
        </is>
      </c>
      <c r="G28" s="234" t="n">
        <v>1478884</v>
      </c>
    </row>
    <row r="29" ht="14.25" customHeight="1" s="281">
      <c r="A29" s="14" t="n">
        <v>46068</v>
      </c>
      <c r="B29" s="14" t="n">
        <v>46068</v>
      </c>
      <c r="C29" s="230" t="inlineStr">
        <is>
          <t>ACH CREDIT â€” VANCOUVER FINTECH LABS â€” REF:SUB052</t>
        </is>
      </c>
      <c r="D29" s="230" t="inlineStr">
        <is>
          <t>Credit</t>
        </is>
      </c>
      <c r="E29" s="234" t="n">
        <v>2975</v>
      </c>
      <c r="F29" s="230" t="inlineStr">
        <is>
          <t>TXN-2026-02-0024</t>
        </is>
      </c>
      <c r="G29" s="234" t="n">
        <v>1481859</v>
      </c>
    </row>
    <row r="30" ht="14.25" customHeight="1" s="281">
      <c r="A30" s="14" t="n">
        <v>46068</v>
      </c>
      <c r="B30" s="14" t="n">
        <v>46068</v>
      </c>
      <c r="C30" s="230" t="inlineStr">
        <is>
          <t>ACH CREDIT â€” ISLAND MEDIA PRODUCTIONS â€” REF:SUB062</t>
        </is>
      </c>
      <c r="D30" s="230" t="inlineStr">
        <is>
          <t>Credit</t>
        </is>
      </c>
      <c r="E30" s="234" t="n">
        <v>935</v>
      </c>
      <c r="F30" s="230" t="inlineStr">
        <is>
          <t>TXN-2026-02-0025</t>
        </is>
      </c>
      <c r="G30" s="234" t="n">
        <v>1482794</v>
      </c>
    </row>
    <row r="31" ht="14.25" customHeight="1" s="281">
      <c r="A31" s="14" t="n">
        <v>46069</v>
      </c>
      <c r="B31" s="14" t="n">
        <v>46069</v>
      </c>
      <c r="C31" s="230" t="inlineStr">
        <is>
          <t>ACH CREDIT â€” CENTRAL HEALTHCARE PARTNERS â€” REF:SUB019</t>
        </is>
      </c>
      <c r="D31" s="230" t="inlineStr">
        <is>
          <t>Credit</t>
        </is>
      </c>
      <c r="E31" s="234" t="n">
        <v>1615</v>
      </c>
      <c r="F31" s="230" t="inlineStr">
        <is>
          <t>TXN-2026-02-0026</t>
        </is>
      </c>
      <c r="G31" s="234" t="n">
        <v>1484409</v>
      </c>
    </row>
    <row r="32" ht="14.25" customHeight="1" s="281">
      <c r="A32" s="14" t="n">
        <v>46070</v>
      </c>
      <c r="B32" s="14" t="n">
        <v>46070</v>
      </c>
      <c r="C32" s="230" t="inlineStr">
        <is>
          <t>ACH CREDIT â€” ALBERTA E-COMMERCE HUB â€” REF:SUB030</t>
        </is>
      </c>
      <c r="D32" s="230" t="inlineStr">
        <is>
          <t>Credit</t>
        </is>
      </c>
      <c r="E32" s="234" t="n">
        <v>1900</v>
      </c>
      <c r="F32" s="230" t="inlineStr">
        <is>
          <t>TXN-2026-02-0027</t>
        </is>
      </c>
      <c r="G32" s="234" t="n">
        <v>1486309</v>
      </c>
    </row>
    <row r="33" ht="14.25" customHeight="1" s="281">
      <c r="A33" s="14" t="n">
        <v>46070</v>
      </c>
      <c r="B33" s="14" t="n">
        <v>46070</v>
      </c>
      <c r="C33" s="230" t="inlineStr">
        <is>
          <t>ACH CREDIT â€” BC MANUFACTURING SYSTEMS â€” REF:SUB032</t>
        </is>
      </c>
      <c r="D33" s="230" t="inlineStr">
        <is>
          <t>Credit</t>
        </is>
      </c>
      <c r="E33" s="234" t="n">
        <v>4680</v>
      </c>
      <c r="F33" s="230" t="inlineStr">
        <is>
          <t>TXN-2026-02-0028</t>
        </is>
      </c>
      <c r="G33" s="234" t="n">
        <v>1490989</v>
      </c>
    </row>
    <row r="34" ht="14.25" customHeight="1" s="281">
      <c r="A34" s="14" t="n">
        <v>46071</v>
      </c>
      <c r="B34" s="14" t="n">
        <v>46071</v>
      </c>
      <c r="C34" s="230" t="inlineStr">
        <is>
          <t>ACH CREDIT â€” TORONTO TECH VENTURES â€” REF:SUB047</t>
        </is>
      </c>
      <c r="D34" s="230" t="inlineStr">
        <is>
          <t>Credit</t>
        </is>
      </c>
      <c r="E34" s="234" t="n">
        <v>2860</v>
      </c>
      <c r="F34" s="230" t="inlineStr">
        <is>
          <t>TXN-2026-02-0029</t>
        </is>
      </c>
      <c r="G34" s="234" t="n">
        <v>1493849</v>
      </c>
    </row>
    <row r="35" ht="14.25" customHeight="1" s="281">
      <c r="A35" s="14" t="n">
        <v>46072</v>
      </c>
      <c r="B35" s="14" t="n">
        <v>46072</v>
      </c>
      <c r="C35" s="230" t="inlineStr">
        <is>
          <t>ACH CREDIT â€” PRAIRIE COMMERCE GROUP â€” REF:SUB004</t>
        </is>
      </c>
      <c r="D35" s="230" t="inlineStr">
        <is>
          <t>Credit</t>
        </is>
      </c>
      <c r="E35" s="234" t="n">
        <v>1980</v>
      </c>
      <c r="F35" s="230" t="inlineStr">
        <is>
          <t>TXN-2026-02-0030</t>
        </is>
      </c>
      <c r="G35" s="234" t="n">
        <v>1495829</v>
      </c>
    </row>
    <row r="36" ht="14.25" customHeight="1" s="281">
      <c r="A36" s="14" t="n">
        <v>46072</v>
      </c>
      <c r="B36" s="14" t="n">
        <v>46072</v>
      </c>
      <c r="C36" s="230" t="inlineStr">
        <is>
          <t>ACH CREDIT â€” CAPITAL EDUCATION TECH â€” REF:SUB017</t>
        </is>
      </c>
      <c r="D36" s="230" t="inlineStr">
        <is>
          <t>Credit</t>
        </is>
      </c>
      <c r="E36" s="234" t="n">
        <v>540</v>
      </c>
      <c r="F36" s="230" t="inlineStr">
        <is>
          <t>TXN-2026-02-0031</t>
        </is>
      </c>
      <c r="G36" s="234" t="n">
        <v>1496369</v>
      </c>
    </row>
    <row r="37" ht="14.25" customHeight="1" s="281">
      <c r="A37" s="14" t="n">
        <v>46073</v>
      </c>
      <c r="B37" s="14" t="n">
        <v>46073</v>
      </c>
      <c r="C37" s="230" t="inlineStr">
        <is>
          <t>ACH CREDIT â€” PRAIRIE SAAS INNOVATIONS â€” REF:SUB028</t>
        </is>
      </c>
      <c r="D37" s="230" t="inlineStr">
        <is>
          <t>Credit</t>
        </is>
      </c>
      <c r="E37" s="234" t="n">
        <v>675</v>
      </c>
      <c r="F37" s="230" t="inlineStr">
        <is>
          <t>TXN-2026-02-0032</t>
        </is>
      </c>
      <c r="G37" s="234" t="n">
        <v>1497044</v>
      </c>
    </row>
    <row r="38" ht="14.25" customHeight="1" s="281">
      <c r="A38" s="14" t="n">
        <v>46073</v>
      </c>
      <c r="B38" s="14" t="n">
        <v>46073</v>
      </c>
      <c r="C38" s="230" t="inlineStr">
        <is>
          <t>ACH CREDIT â€” WEST COAST LOGISTICS â€” REF:SUB044</t>
        </is>
      </c>
      <c r="D38" s="230" t="inlineStr">
        <is>
          <t>Credit</t>
        </is>
      </c>
      <c r="E38" s="234" t="n">
        <v>3325</v>
      </c>
      <c r="F38" s="230" t="inlineStr">
        <is>
          <t>TXN-2026-02-0033</t>
        </is>
      </c>
      <c r="G38" s="234" t="n">
        <v>1500369</v>
      </c>
    </row>
    <row r="39" ht="14.25" customHeight="1" s="281">
      <c r="A39" s="14" t="n">
        <v>46073</v>
      </c>
      <c r="B39" s="14" t="n">
        <v>46073</v>
      </c>
      <c r="C39" s="230" t="inlineStr">
        <is>
          <t>ACH CREDIT â€” ALBERTA TECH INNOVATORS â€” REF:SUB061</t>
        </is>
      </c>
      <c r="D39" s="230" t="inlineStr">
        <is>
          <t>Credit</t>
        </is>
      </c>
      <c r="E39" s="234" t="n">
        <v>1140</v>
      </c>
      <c r="F39" s="230" t="inlineStr">
        <is>
          <t>TXN-2026-02-0034</t>
        </is>
      </c>
      <c r="G39" s="234" t="n">
        <v>1501509</v>
      </c>
    </row>
    <row r="40" ht="14.25" customHeight="1" s="281">
      <c r="A40" s="14" t="n">
        <v>46073</v>
      </c>
      <c r="B40" s="14" t="n">
        <v>46073</v>
      </c>
      <c r="C40" s="230" t="inlineStr">
        <is>
          <t>ACH CREDIT â€” PACIFIC COAST ANALYTICS â€” REF:SUB064</t>
        </is>
      </c>
      <c r="D40" s="230" t="inlineStr">
        <is>
          <t>Credit</t>
        </is>
      </c>
      <c r="E40" s="234" t="n">
        <v>3040</v>
      </c>
      <c r="F40" s="230" t="inlineStr">
        <is>
          <t>TXN-2026-02-0035</t>
        </is>
      </c>
      <c r="G40" s="234" t="n">
        <v>1504549</v>
      </c>
    </row>
    <row r="41" ht="14.25" customHeight="1" s="281">
      <c r="A41" s="14" t="n">
        <v>46074</v>
      </c>
      <c r="B41" s="14" t="n">
        <v>46074</v>
      </c>
      <c r="C41" s="230" t="inlineStr">
        <is>
          <t>ACH DEBIT â€” REFUND TO ONTARIO MANUFACTURING TECH â€” REF:SUB050 CN-2026-02-0001</t>
        </is>
      </c>
      <c r="D41" s="230" t="inlineStr">
        <is>
          <t>Debit</t>
        </is>
      </c>
      <c r="E41" s="234" t="n">
        <v>-169.71</v>
      </c>
      <c r="F41" s="230" t="inlineStr">
        <is>
          <t>TXN-2026-02-0036</t>
        </is>
      </c>
      <c r="G41" s="234" t="n">
        <v>1504379.29</v>
      </c>
    </row>
    <row r="42" ht="14.25" customHeight="1" s="281">
      <c r="A42" s="14" t="n">
        <v>46075</v>
      </c>
      <c r="B42" s="14" t="n">
        <v>46075</v>
      </c>
      <c r="C42" s="230" t="inlineStr">
        <is>
          <t>ACH CREDIT â€” BC RETAIL NETWORKS â€” REF:SUB046</t>
        </is>
      </c>
      <c r="D42" s="230" t="inlineStr">
        <is>
          <t>Credit</t>
        </is>
      </c>
      <c r="E42" s="234" t="n">
        <v>3600</v>
      </c>
      <c r="F42" s="230" t="inlineStr">
        <is>
          <t>TXN-2026-02-0037</t>
        </is>
      </c>
      <c r="G42" s="234" t="n">
        <v>1507979.29</v>
      </c>
    </row>
    <row r="43" ht="14.25" customHeight="1" s="281">
      <c r="A43" s="14" t="n">
        <v>46075</v>
      </c>
      <c r="B43" s="14" t="n">
        <v>46075</v>
      </c>
      <c r="C43" s="230" t="inlineStr">
        <is>
          <t>ACH CREDIT â€” MONTREAL MANUFACTURING PRO â€” REF:SUB048</t>
        </is>
      </c>
      <c r="D43" s="230" t="inlineStr">
        <is>
          <t>Credit</t>
        </is>
      </c>
      <c r="E43" s="234" t="n">
        <v>3960</v>
      </c>
      <c r="F43" s="230" t="inlineStr">
        <is>
          <t>TXN-2026-02-0038</t>
        </is>
      </c>
      <c r="G43" s="234" t="n">
        <v>1511939.29</v>
      </c>
    </row>
    <row r="44" ht="14.25" customHeight="1" s="281">
      <c r="A44" s="14" t="n">
        <v>46076</v>
      </c>
      <c r="B44" s="14" t="n">
        <v>46076</v>
      </c>
      <c r="C44" s="230" t="inlineStr">
        <is>
          <t>ACH CREDIT â€” ONTARIO EDUCATION CONNECT â€” REF:SUB026</t>
        </is>
      </c>
      <c r="D44" s="230" t="inlineStr">
        <is>
          <t>Credit</t>
        </is>
      </c>
      <c r="E44" s="234" t="n">
        <v>1520</v>
      </c>
      <c r="F44" s="230" t="inlineStr">
        <is>
          <t>TXN-2026-02-0039</t>
        </is>
      </c>
      <c r="G44" s="234" t="n">
        <v>1513459.29</v>
      </c>
    </row>
    <row r="45" ht="14.25" customHeight="1" s="281">
      <c r="A45" s="14" t="n">
        <v>46076</v>
      </c>
      <c r="B45" s="14" t="n">
        <v>46076</v>
      </c>
      <c r="C45" s="230" t="inlineStr">
        <is>
          <t>ACH CREDIT â€” TORONTO COMMERCE CLOUD â€” REF:SUB039</t>
        </is>
      </c>
      <c r="D45" s="230" t="inlineStr">
        <is>
          <t>Credit</t>
        </is>
      </c>
      <c r="E45" s="234" t="n">
        <v>2465</v>
      </c>
      <c r="F45" s="230" t="inlineStr">
        <is>
          <t>TXN-2026-02-0040</t>
        </is>
      </c>
      <c r="G45" s="234" t="n">
        <v>1515924.29</v>
      </c>
    </row>
    <row r="46" ht="14.25" customHeight="1" s="281">
      <c r="A46" s="14" t="n">
        <v>46078</v>
      </c>
      <c r="B46" s="14" t="n">
        <v>46078</v>
      </c>
      <c r="C46" s="230" t="inlineStr">
        <is>
          <t>ACH CREDIT â€” WESTERN RETAIL GROUP â€” REF:SUB024</t>
        </is>
      </c>
      <c r="D46" s="230" t="inlineStr">
        <is>
          <t>Credit</t>
        </is>
      </c>
      <c r="E46" s="234" t="n">
        <v>2635</v>
      </c>
      <c r="F46" s="230" t="inlineStr">
        <is>
          <t>TXN-2026-02-0041</t>
        </is>
      </c>
      <c r="G46" s="234" t="n">
        <v>1518559.29</v>
      </c>
    </row>
    <row r="47" ht="14.25" customHeight="1" s="281">
      <c r="A47" s="14" t="n">
        <v>46079</v>
      </c>
      <c r="B47" s="14" t="n">
        <v>46079</v>
      </c>
      <c r="C47" s="230" t="inlineStr">
        <is>
          <t>ACH CREDIT â€” MARITIME SAAS VENTURES â€” REF:SUB037</t>
        </is>
      </c>
      <c r="D47" s="230" t="inlineStr">
        <is>
          <t>Credit</t>
        </is>
      </c>
      <c r="E47" s="234" t="n">
        <v>5250</v>
      </c>
      <c r="F47" s="230" t="inlineStr">
        <is>
          <t>TXN-2026-02-0042</t>
        </is>
      </c>
      <c r="G47" s="234" t="n">
        <v>1523809.29</v>
      </c>
    </row>
    <row r="48" ht="14.25" customHeight="1" s="281">
      <c r="A48" s="14" t="n">
        <v>46079</v>
      </c>
      <c r="B48" s="14" t="n">
        <v>46079</v>
      </c>
      <c r="C48" s="230" t="inlineStr">
        <is>
          <t>ACH CREDIT â€” BC EDUCATION INNOVATIONS â€” REF:SUB040</t>
        </is>
      </c>
      <c r="D48" s="230" t="inlineStr">
        <is>
          <t>Credit</t>
        </is>
      </c>
      <c r="E48" s="234" t="n">
        <v>1710</v>
      </c>
      <c r="F48" s="230" t="inlineStr">
        <is>
          <t>TXN-2026-02-0043</t>
        </is>
      </c>
      <c r="G48" s="234" t="n">
        <v>1525519.29</v>
      </c>
    </row>
    <row r="49" ht="14.25" customHeight="1" s="281">
      <c r="A49" s="14" t="n">
        <v>46080</v>
      </c>
      <c r="B49" s="14" t="n">
        <v>46080</v>
      </c>
      <c r="C49" s="230" t="inlineStr">
        <is>
          <t>ACH CREDIT â€” PRAIRIE HEALTH CONNECT â€” REF:SUB011</t>
        </is>
      </c>
      <c r="D49" s="230" t="inlineStr">
        <is>
          <t>Credit</t>
        </is>
      </c>
      <c r="E49" s="234" t="n">
        <v>1980</v>
      </c>
      <c r="F49" s="230" t="inlineStr">
        <is>
          <t>TXN-2026-02-0044</t>
        </is>
      </c>
      <c r="G49" s="234" t="n">
        <v>1527499.29</v>
      </c>
    </row>
    <row r="50" ht="14.25" customHeight="1" s="281">
      <c r="A50" s="14" t="n">
        <v>46081</v>
      </c>
      <c r="B50" s="14" t="n">
        <v>46081</v>
      </c>
      <c r="C50" s="230" t="inlineStr">
        <is>
          <t>ACH CREDIT â€” ATLANTIC SAAS SYSTEMS â€” REF:SUB020</t>
        </is>
      </c>
      <c r="D50" s="230" t="inlineStr">
        <is>
          <t>Credit</t>
        </is>
      </c>
      <c r="E50" s="234" t="n">
        <v>1650</v>
      </c>
      <c r="F50" s="230" t="inlineStr">
        <is>
          <t>TXN-2026-02-0045</t>
        </is>
      </c>
      <c r="G50" s="234" t="n">
        <v>1529149.29</v>
      </c>
    </row>
    <row r="51" ht="14.25" customHeight="1" s="281">
      <c r="A51" s="14" t="n">
        <v>46081</v>
      </c>
      <c r="B51" s="14" t="n">
        <v>46081</v>
      </c>
      <c r="C51" s="230" t="inlineStr">
        <is>
          <t>ACH CREDIT â€” TORONTO TECH VENTURES â€” REF:SUB022</t>
        </is>
      </c>
      <c r="D51" s="230" t="inlineStr">
        <is>
          <t>Credit</t>
        </is>
      </c>
      <c r="E51" s="234" t="n">
        <v>4950</v>
      </c>
      <c r="F51" s="230" t="inlineStr">
        <is>
          <t>TXN-2026-02-0046</t>
        </is>
      </c>
      <c r="G51" s="234" t="n">
        <v>1534099.29</v>
      </c>
    </row>
    <row r="52" ht="14.25" customHeight="1" s="281">
      <c r="A52" s="14" t="n">
        <v>46081</v>
      </c>
      <c r="B52" s="14" t="n">
        <v>46081</v>
      </c>
      <c r="C52" s="230" t="inlineStr">
        <is>
          <t>ACH CREDIT â€” OTTAWA RETAIL SOLUTIONS â€” REF:SUB033</t>
        </is>
      </c>
      <c r="D52" s="230" t="inlineStr">
        <is>
          <t>Credit</t>
        </is>
      </c>
      <c r="E52" s="234" t="n">
        <v>2125</v>
      </c>
      <c r="F52" s="230" t="inlineStr">
        <is>
          <t>TXN-2026-02-0047</t>
        </is>
      </c>
      <c r="G52" s="234" t="n">
        <v>1536224.29</v>
      </c>
    </row>
    <row r="53" ht="14.25" customHeight="1" s="281">
      <c r="A53" s="14" t="n">
        <v>46081</v>
      </c>
      <c r="B53" s="14" t="n">
        <v>46081</v>
      </c>
      <c r="C53" s="230" t="inlineStr">
        <is>
          <t>ACH CREDIT â€” VANCOUVER HEALTH SYSTEMS â€” REF:SUB035</t>
        </is>
      </c>
      <c r="D53" s="230" t="inlineStr">
        <is>
          <t>Credit</t>
        </is>
      </c>
      <c r="E53" s="234" t="n">
        <v>2200</v>
      </c>
      <c r="F53" s="230" t="inlineStr">
        <is>
          <t>TXN-2026-02-0048</t>
        </is>
      </c>
      <c r="G53" s="234" t="n">
        <v>1538424.29</v>
      </c>
    </row>
    <row r="54" ht="14.25" customHeight="1" s="281">
      <c r="A54" s="14" t="n">
        <v>46081</v>
      </c>
      <c r="B54" s="14" t="n">
        <v>46081</v>
      </c>
      <c r="C54" s="230" t="inlineStr">
        <is>
          <t>ACH CREDIT â€” CALGARY COMMERCE SOLUTIONS â€” REF:SUB057</t>
        </is>
      </c>
      <c r="D54" s="230" t="inlineStr">
        <is>
          <t>Credit</t>
        </is>
      </c>
      <c r="E54" s="234" t="n">
        <v>4200</v>
      </c>
      <c r="F54" s="230" t="inlineStr">
        <is>
          <t>TXN-2026-02-0049</t>
        </is>
      </c>
      <c r="G54" s="234" t="n">
        <v>1542624.29</v>
      </c>
    </row>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B3" sqref="B3"/>
    </sheetView>
  </sheetViews>
  <sheetFormatPr baseColWidth="8" defaultColWidth="14.43" defaultRowHeight="15" customHeight="1"/>
  <cols>
    <col width="17.57" customWidth="1" style="281" min="1" max="1"/>
    <col width="16.57" customWidth="1" style="281" min="2" max="2"/>
    <col width="25.43" customWidth="1" style="281" min="3" max="3"/>
    <col width="26.71" customWidth="1" style="281" min="4" max="4"/>
    <col width="15.57" customWidth="1" style="281" min="5" max="5"/>
    <col width="8.710000000000001" customWidth="1" style="281" min="6" max="26"/>
  </cols>
  <sheetData>
    <row r="1" ht="14.25" customHeight="1" s="281">
      <c r="A1" s="17" t="inlineStr">
        <is>
          <t>Metric</t>
        </is>
      </c>
      <c r="B1" s="19" t="n">
        <v>46023</v>
      </c>
      <c r="C1" s="19" t="n">
        <v>46054</v>
      </c>
      <c r="D1" s="19" t="n">
        <v>46082</v>
      </c>
      <c r="E1" s="19" t="n">
        <v>46113</v>
      </c>
    </row>
    <row r="2" ht="14.25" customHeight="1" s="281">
      <c r="A2" s="181" t="inlineStr">
        <is>
          <t>Opening MRR</t>
        </is>
      </c>
      <c r="B2" s="21" t="n">
        <v>143069.5</v>
      </c>
      <c r="C2" s="22">
        <f>B6</f>
        <v/>
      </c>
      <c r="D2" s="22">
        <f>C6</f>
        <v/>
      </c>
      <c r="E2" s="22">
        <f>D6</f>
        <v/>
      </c>
    </row>
    <row r="3" ht="14.25" customHeight="1" s="281">
      <c r="A3" s="181" t="inlineStr">
        <is>
          <t>New MRR</t>
        </is>
      </c>
      <c r="B3" s="24" t="n">
        <v>1710</v>
      </c>
      <c r="C3" s="24" t="n">
        <v>6120</v>
      </c>
      <c r="D3" s="24" t="n">
        <v>3000</v>
      </c>
      <c r="E3" s="24" t="n">
        <v>3810</v>
      </c>
    </row>
    <row r="4" ht="14.25" customHeight="1" s="281">
      <c r="A4" s="181" t="inlineStr">
        <is>
          <t>Expansion MRR</t>
        </is>
      </c>
      <c r="B4" s="24" t="n">
        <v>0</v>
      </c>
      <c r="C4" s="24" t="n">
        <v>0</v>
      </c>
      <c r="D4" s="24" t="n">
        <v>380</v>
      </c>
      <c r="E4" s="24" t="n">
        <v>440</v>
      </c>
    </row>
    <row r="5" ht="14.25" customHeight="1" s="281">
      <c r="A5" s="181" t="inlineStr">
        <is>
          <t>Churned MRR</t>
        </is>
      </c>
      <c r="B5" s="24" t="n">
        <v>0</v>
      </c>
      <c r="C5" s="24" t="n">
        <v>594</v>
      </c>
      <c r="D5" s="24" t="n">
        <v>0</v>
      </c>
      <c r="E5" s="24" t="n">
        <v>1105</v>
      </c>
    </row>
    <row r="6" ht="14.25" customHeight="1" s="281">
      <c r="A6" s="25" t="inlineStr">
        <is>
          <t>Closing MRR</t>
        </is>
      </c>
      <c r="B6" s="26">
        <f>B2+B3+B4-B5</f>
        <v/>
      </c>
      <c r="C6" s="26">
        <f>C2+C3+C4-C5</f>
        <v/>
      </c>
      <c r="D6" s="26">
        <f>D2+D3+D4-D5</f>
        <v/>
      </c>
      <c r="E6" s="26">
        <f>E2+E3+E4-E5</f>
        <v/>
      </c>
    </row>
    <row r="7" ht="14.25" customHeight="1" s="281">
      <c r="A7" s="181" t="inlineStr">
        <is>
          <t>S&amp;M</t>
        </is>
      </c>
      <c r="B7" s="24" t="n">
        <v>30000</v>
      </c>
      <c r="C7" s="24" t="n">
        <v>31000</v>
      </c>
      <c r="D7" s="24" t="n">
        <v>29000</v>
      </c>
      <c r="E7" s="24" t="n">
        <v>32000</v>
      </c>
    </row>
    <row r="8" ht="14.25" customHeight="1" s="281">
      <c r="A8" s="181" t="inlineStr">
        <is>
          <t>R&amp;D</t>
        </is>
      </c>
      <c r="B8" s="24" t="n">
        <v>25000</v>
      </c>
      <c r="C8" s="24" t="n">
        <v>25000</v>
      </c>
      <c r="D8" s="24" t="n">
        <v>22000</v>
      </c>
      <c r="E8" s="24" t="n">
        <v>23000</v>
      </c>
    </row>
    <row r="9" ht="14.25" customHeight="1" s="281">
      <c r="A9" s="181" t="inlineStr">
        <is>
          <t>G&amp;A</t>
        </is>
      </c>
      <c r="B9" s="24" t="n">
        <v>19000</v>
      </c>
      <c r="C9" s="24" t="n">
        <v>19000</v>
      </c>
      <c r="D9" s="24" t="n">
        <v>22000</v>
      </c>
      <c r="E9" s="24" t="n">
        <v>20000</v>
      </c>
    </row>
    <row r="10" ht="14.25" customHeight="1" s="281">
      <c r="A10" s="27" t="inlineStr">
        <is>
          <t>Total OpEx</t>
        </is>
      </c>
      <c r="B10" s="28">
        <f>B7+B8+B9</f>
        <v/>
      </c>
      <c r="C10" s="28">
        <f>C7+C8+C9</f>
        <v/>
      </c>
      <c r="D10" s="28">
        <f>D7+D8+D9</f>
        <v/>
      </c>
      <c r="E10" s="28">
        <f>E7+E8+E9</f>
        <v/>
      </c>
    </row>
    <row r="11" ht="14.25" customHeight="1" s="281">
      <c r="A11" s="181" t="inlineStr">
        <is>
          <t>COGS</t>
        </is>
      </c>
      <c r="B11" s="22">
        <f>B6*0.3</f>
        <v/>
      </c>
      <c r="C11" s="22">
        <f>C6*0.3</f>
        <v/>
      </c>
      <c r="D11" s="22">
        <f>D6*0.3</f>
        <v/>
      </c>
      <c r="E11" s="22">
        <f>E6*0.3</f>
        <v/>
      </c>
    </row>
    <row r="12" ht="14.25" customHeight="1" s="281">
      <c r="A12" s="181" t="inlineStr">
        <is>
          <t>Gross Profit</t>
        </is>
      </c>
      <c r="B12" s="22">
        <f>B6-B11</f>
        <v/>
      </c>
      <c r="C12" s="22">
        <f>C6-C11</f>
        <v/>
      </c>
      <c r="D12" s="22">
        <f>D6-D11</f>
        <v/>
      </c>
      <c r="E12" s="22">
        <f>E6-E11</f>
        <v/>
      </c>
    </row>
    <row r="13" ht="14.25" customHeight="1" s="281">
      <c r="A13" s="25" t="inlineStr">
        <is>
          <t>EBITDA</t>
        </is>
      </c>
      <c r="B13" s="26">
        <f>B12-B10</f>
        <v/>
      </c>
      <c r="C13" s="26">
        <f>C12-C10</f>
        <v/>
      </c>
      <c r="D13" s="26">
        <f>D12-D10</f>
        <v/>
      </c>
      <c r="E13" s="26">
        <f>E12-E10</f>
        <v/>
      </c>
    </row>
    <row r="14" ht="14.25" customHeight="1" s="281">
      <c r="A14" s="181" t="inlineStr">
        <is>
          <t>New Customers</t>
        </is>
      </c>
      <c r="B14" s="30" t="n">
        <v>1</v>
      </c>
      <c r="C14" s="30" t="n">
        <v>2</v>
      </c>
      <c r="D14" s="30" t="n">
        <v>2</v>
      </c>
      <c r="E14" s="30" t="n">
        <v>2</v>
      </c>
    </row>
    <row r="15" ht="14.25" customHeight="1" s="281">
      <c r="A15" s="181" t="inlineStr">
        <is>
          <t>Active Customers</t>
        </is>
      </c>
      <c r="B15" s="30" t="n">
        <v>39</v>
      </c>
      <c r="C15" s="30" t="n">
        <v>41</v>
      </c>
      <c r="D15" s="30" t="n">
        <v>42</v>
      </c>
      <c r="E15" s="30" t="n">
        <v>44</v>
      </c>
    </row>
    <row r="16" ht="14.25" customHeight="1" s="281">
      <c r="A16" s="31" t="inlineStr">
        <is>
          <t>Active Subscriptions</t>
        </is>
      </c>
      <c r="B16" s="33" t="n">
        <v>52</v>
      </c>
      <c r="C16" s="33" t="n">
        <v>53</v>
      </c>
      <c r="D16" s="33" t="n">
        <v>54</v>
      </c>
      <c r="E16" s="33" t="n">
        <v>55</v>
      </c>
    </row>
    <row r="17" ht="14.25" customHeight="1" s="281"/>
    <row r="18" ht="14.25" customHeight="1" s="281">
      <c r="A18" s="27" t="inlineStr">
        <is>
          <t>Legend:</t>
        </is>
      </c>
      <c r="B18" s="34" t="inlineStr">
        <is>
          <t>INPUT = type here</t>
        </is>
      </c>
      <c r="C18" s="35" t="inlineStr">
        <is>
          <t>FORMULA = never type here</t>
        </is>
      </c>
      <c r="D18" s="36" t="inlineStr">
        <is>
          <t>ANCHOR =  one-time historical</t>
        </is>
      </c>
    </row>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P43"/>
  <sheetViews>
    <sheetView workbookViewId="0">
      <selection activeCell="A1" sqref="A1"/>
    </sheetView>
  </sheetViews>
  <sheetFormatPr baseColWidth="8" defaultColWidth="14.43" defaultRowHeight="15" customHeight="1"/>
  <cols>
    <col width="35.29" customWidth="1" style="281" min="1" max="1"/>
    <col width="12.14" customWidth="1" style="281" min="2" max="2"/>
    <col width="14.43" customWidth="1" style="281" min="3" max="3"/>
    <col width="8.710000000000001" customWidth="1" style="281" min="4" max="4"/>
    <col width="36.43" customWidth="1" style="281" min="5" max="5"/>
    <col width="25.57" customWidth="1" style="281" min="6" max="7"/>
    <col width="8.710000000000001" customWidth="1" style="281" min="8" max="26"/>
  </cols>
  <sheetData>
    <row r="1" ht="14.25" customHeight="1" s="281">
      <c r="A1" s="13" t="inlineStr">
        <is>
          <t>Metric</t>
        </is>
      </c>
      <c r="B1" s="37" t="inlineStr">
        <is>
          <t>Jan-26</t>
        </is>
      </c>
      <c r="C1" s="37" t="inlineStr">
        <is>
          <t>Feb-26</t>
        </is>
      </c>
    </row>
    <row r="2" ht="14.25" customHeight="1" s="281">
      <c r="A2" s="230" t="inlineStr">
        <is>
          <t>MRR</t>
        </is>
      </c>
      <c r="B2" s="234">
        <f>'Jan 2026 A vs F '!B9</f>
        <v/>
      </c>
      <c r="C2" s="234">
        <f>'Feb 2026 A vs F'!B9</f>
        <v/>
      </c>
    </row>
    <row r="3" ht="14.25" customHeight="1" s="281">
      <c r="A3" s="230" t="inlineStr">
        <is>
          <t>Total Invoiced</t>
        </is>
      </c>
      <c r="B3" s="234">
        <f>SUM(billing_jan_2026!P2:P48)</f>
        <v/>
      </c>
      <c r="C3" s="234">
        <f>SUM(billing_feb_2026!P2:P49)</f>
        <v/>
      </c>
    </row>
    <row r="4" ht="14.25" customHeight="1" s="281">
      <c r="A4" s="230" t="inlineStr">
        <is>
          <t>Adjustment: SUB028</t>
        </is>
      </c>
      <c r="B4" s="234" t="n"/>
      <c r="C4" s="234" t="n">
        <v>675</v>
      </c>
    </row>
    <row r="5" ht="14.25" customHeight="1" s="281">
      <c r="A5" s="230" t="inlineStr">
        <is>
          <t>Total Collected</t>
        </is>
      </c>
      <c r="B5" s="234">
        <f>SUM(bank_statement_jan_2026!E6:E51)</f>
        <v/>
      </c>
      <c r="C5" s="234">
        <f>SUM(bank_statement_feb_2026!E6:E54)</f>
        <v/>
      </c>
    </row>
    <row r="6" ht="14.25" customHeight="1" s="281">
      <c r="A6" s="230" t="inlineStr">
        <is>
          <t>MRR vs Invoiced</t>
        </is>
      </c>
      <c r="B6" s="234">
        <f>B3-B2</f>
        <v/>
      </c>
      <c r="C6" s="234">
        <f>C3-C2+C4</f>
        <v/>
      </c>
    </row>
    <row r="7" ht="14.25" customHeight="1" s="281">
      <c r="A7" s="230" t="inlineStr">
        <is>
          <t>Invoiced vs Collected</t>
        </is>
      </c>
      <c r="B7" s="234">
        <f>B3-B5</f>
        <v/>
      </c>
      <c r="C7" s="234">
        <f>C3+C4-C5</f>
        <v/>
      </c>
    </row>
    <row r="8" ht="14.25" customHeight="1" s="281"/>
    <row r="9" ht="14.25" customHeight="1" s="281">
      <c r="A9" s="27" t="inlineStr">
        <is>
          <t>Bridge 1: MRR to Invoiced</t>
        </is>
      </c>
    </row>
    <row r="10" ht="14.25" customHeight="1" s="281">
      <c r="A10" s="13" t="inlineStr">
        <is>
          <t>Item</t>
        </is>
      </c>
      <c r="B10" s="37" t="inlineStr">
        <is>
          <t>Jan-26</t>
        </is>
      </c>
      <c r="C10" s="37" t="inlineStr">
        <is>
          <t>Feb-26</t>
        </is>
      </c>
      <c r="H10" t="inlineStr">
        <is>
          <t>Annual MRR book (7 annual subs, monthly)</t>
        </is>
      </c>
      <c r="I10" t="n">
        <v>36755.5</v>
      </c>
    </row>
    <row r="11" ht="14.25" customHeight="1" s="281">
      <c r="A11" s="230" t="inlineStr">
        <is>
          <t>MRR</t>
        </is>
      </c>
      <c r="B11" s="234">
        <f>B2</f>
        <v/>
      </c>
      <c r="C11" s="234">
        <f>C2</f>
        <v/>
      </c>
    </row>
    <row r="12" ht="14.25" customHeight="1" s="281">
      <c r="A12" s="230" t="inlineStr">
        <is>
          <t>_+ Annual billing excess</t>
        </is>
      </c>
      <c r="B12" s="234">
        <f> SUMIF(billing_jan_2026!H:H, "Annual", billing_jan_2026!P:P) * (11/12)</f>
        <v/>
      </c>
      <c r="C12" s="234">
        <f> SUMIF(billing_feb_2026!H:H, "Annual", billing_feb_2026!P:P) * (11/12)</f>
        <v/>
      </c>
    </row>
    <row r="13" ht="14.25" customHeight="1" s="281">
      <c r="A13" s="230" t="inlineStr">
        <is>
          <t>_- Annual MRR with no billing this month</t>
        </is>
      </c>
      <c r="B13" s="230">
        <f>-(I10-SUMIF(billing_jan_2026!H:H,"Annual",billing_jan_2026!P:P)/12)</f>
        <v/>
      </c>
      <c r="C13" s="234">
        <f>-(I10-SUMIF(billing_feb_2026!H:H,"Annual",billing_feb_2026!P:P)/12)</f>
        <v/>
      </c>
    </row>
    <row r="14" ht="14.25" customHeight="1" s="281">
      <c r="A14" s="230" t="inlineStr">
        <is>
          <t>Adjustment: SUB050</t>
        </is>
      </c>
      <c r="B14" s="234" t="n"/>
      <c r="C14" s="234">
        <f>SUMIF(billing_feb_2026!F:F,"SUB050",billing_feb_2026!P:P)</f>
        <v/>
      </c>
    </row>
    <row r="15" ht="14.25" customHeight="1" s="281">
      <c r="A15" s="230" t="inlineStr">
        <is>
          <t>_= Total Invoiced</t>
        </is>
      </c>
      <c r="B15" s="234">
        <f>B3</f>
        <v/>
      </c>
      <c r="C15" s="234">
        <f>C3</f>
        <v/>
      </c>
    </row>
    <row r="16" ht="14.25" customHeight="1" s="281">
      <c r="A16" s="41" t="inlineStr">
        <is>
          <t>Total</t>
        </is>
      </c>
      <c r="B16" s="40">
        <f>SUM(B11:B13)</f>
        <v/>
      </c>
      <c r="C16" s="40">
        <f>SUM(C11:C14)</f>
        <v/>
      </c>
    </row>
    <row r="17" ht="14.25" customHeight="1" s="281">
      <c r="A17" s="41" t="inlineStr">
        <is>
          <t>Difference</t>
        </is>
      </c>
      <c r="B17" s="254">
        <f>B16-B15</f>
        <v/>
      </c>
      <c r="C17" s="254">
        <f>C16-C15</f>
        <v/>
      </c>
    </row>
    <row r="18" ht="14.25" customHeight="1" s="281">
      <c r="A18" s="27" t="n"/>
    </row>
    <row r="19" ht="14.25" customHeight="1" s="281">
      <c r="A19" s="27" t="inlineStr">
        <is>
          <t>Bridge 2: Invoiced to Collected</t>
        </is>
      </c>
    </row>
    <row r="20" ht="14.25" customHeight="1" s="281">
      <c r="A20" s="13" t="inlineStr">
        <is>
          <t>Item</t>
        </is>
      </c>
      <c r="B20" s="37" t="inlineStr">
        <is>
          <t>Jan-26</t>
        </is>
      </c>
      <c r="C20" s="37" t="inlineStr">
        <is>
          <t>Feb-26</t>
        </is>
      </c>
    </row>
    <row r="21" ht="14.25" customHeight="1" s="281">
      <c r="A21" s="230" t="inlineStr">
        <is>
          <t>Total Invoiced</t>
        </is>
      </c>
      <c r="B21" s="234">
        <f>B3</f>
        <v/>
      </c>
      <c r="C21" s="234">
        <f>C3</f>
        <v/>
      </c>
      <c r="D21" s="234">
        <f>D3</f>
        <v/>
      </c>
    </row>
    <row r="22" ht="14.25" customHeight="1" s="281">
      <c r="A22" s="230" t="inlineStr">
        <is>
          <t>Adjustment: SUB028</t>
        </is>
      </c>
      <c r="B22" s="234">
        <f>billing_jan_2026!P31</f>
        <v/>
      </c>
      <c r="C22" s="234" t="n">
        <v>675</v>
      </c>
    </row>
    <row r="23" ht="14.25" customHeight="1" s="281">
      <c r="A23" s="230" t="inlineStr">
        <is>
          <t>Total Collected</t>
        </is>
      </c>
      <c r="B23" s="234">
        <f>B5</f>
        <v/>
      </c>
      <c r="C23" s="234">
        <f>C5</f>
        <v/>
      </c>
    </row>
    <row r="24" ht="14.25" customHeight="1" s="281">
      <c r="A24" s="230" t="inlineStr">
        <is>
          <t>Difference</t>
        </is>
      </c>
      <c r="B24" s="234">
        <f>B23+B22-B21</f>
        <v/>
      </c>
      <c r="C24" s="234">
        <f>C23-sum(C21:C22)</f>
        <v/>
      </c>
    </row>
    <row r="25" ht="14.25" customHeight="1" s="281"/>
    <row r="26" ht="14.25" customHeight="1" s="281">
      <c r="A26" s="41" t="inlineStr">
        <is>
          <t xml:space="preserve">Part 5: </t>
        </is>
      </c>
    </row>
    <row r="27" ht="14.25" customHeight="1" s="281">
      <c r="A27" s="230" t="inlineStr">
        <is>
          <t>The database for January shows $2185 for SUB012.</t>
        </is>
      </c>
    </row>
    <row r="28" ht="14.25" customHeight="1" s="281">
      <c r="A28" s="230" t="inlineStr">
        <is>
          <t xml:space="preserve">The billing file represents a point in time record while the database represents a historical period. </t>
        </is>
      </c>
      <c r="P28" s="43" t="n"/>
    </row>
    <row r="29" ht="14.25" customHeight="1" s="281">
      <c r="A29" s="230" t="inlineStr">
        <is>
          <t xml:space="preserve">They share the same number therefore $2185 is the correct number. </t>
        </is>
      </c>
    </row>
    <row r="30" ht="14.25" customHeight="1" s="281"/>
    <row r="31" ht="14.25" customHeight="1" s="281">
      <c r="A31" s="27" t="inlineStr">
        <is>
          <t>Part 6:</t>
        </is>
      </c>
    </row>
    <row r="32" ht="14.25" customHeight="1" s="281">
      <c r="A32" s="230" t="inlineStr">
        <is>
          <t>The negative row is row number 36.</t>
        </is>
      </c>
    </row>
    <row r="33" ht="14.25" customHeight="1" s="281">
      <c r="A33" s="230" t="inlineStr">
        <is>
          <t>This row relates to Ontario Manufacturing Tech and their monthly Analytics Starter subscription.</t>
        </is>
      </c>
    </row>
    <row r="34" ht="14.25" customHeight="1" s="281">
      <c r="A34" s="230" t="inlineStr">
        <is>
          <t>A refund was issued because OMT cancelled their subscription on 2026-02-20.</t>
        </is>
      </c>
    </row>
    <row r="35" ht="14.25" customHeight="1" s="281">
      <c r="A35" s="230" t="inlineStr">
        <is>
          <t xml:space="preserve">Since a refund was issued, total collected will be lowered. They were billed at the beginning of the month and because of the cancellation occurring near the end, they received a prorated refund. </t>
        </is>
      </c>
    </row>
    <row r="36" ht="14.25" customHeight="1" s="281">
      <c r="A36" s="230" t="inlineStr">
        <is>
          <t>Total billed will also be reduced since the billing system recorded that the invoice was partially reversed.</t>
        </is>
      </c>
    </row>
    <row r="37" ht="14.25" customHeight="1" s="281"/>
    <row r="38" ht="14.25" customHeight="1" s="281">
      <c r="A38" s="27" t="inlineStr">
        <is>
          <t xml:space="preserve">Commentary: </t>
        </is>
      </c>
    </row>
    <row r="39" ht="14.25" customHeight="1" s="281">
      <c r="A39" s="230" t="inlineStr">
        <is>
          <t>The difference between MRR and cash collected is driven by payment timing. Specifically, the prepayments from Pacific Analytics for SUB002 ($46,800) and SUB054 ($23,826) inflated the total invoiced amount above MRR.</t>
        </is>
      </c>
    </row>
    <row r="40" ht="14.25" customHeight="1" s="281">
      <c r="A40" s="230" t="inlineStr">
        <is>
          <t>Not all of the January revenue was collected within the month. This is because of Prairie SaaS Innovations (SUB028) which failed a $675 payment on January 20th due to insufficient funds. This was resolved on February 5th.</t>
        </is>
      </c>
    </row>
    <row r="41" ht="14.25" customHeight="1" s="281">
      <c r="A41" s="230" t="inlineStr">
        <is>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is>
      </c>
    </row>
    <row r="42" ht="14.25" customHeight="1" s="281">
      <c r="A42" s="230" t="inlineStr">
        <is>
          <t>For data integrity, the reconcilliation check confirms that the billing file and database match for certain records like SUB012 ($2185) but it should be recognized by analysts that the billing file is a point in time snapshot while the database has historical records.</t>
        </is>
      </c>
    </row>
    <row r="43" ht="14.25" customHeight="1" s="281">
      <c r="A43" s="230" t="inlineStr">
        <is>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is>
      </c>
    </row>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row r="1001" ht="14.25" customHeight="1" s="281"/>
    <row r="1002" ht="14.25" customHeight="1" s="281"/>
    <row r="1003" ht="14.25" customHeight="1" s="281"/>
  </sheetData>
  <pageMargins left="0.7" right="0.7" top="0.75" bottom="0.75" header="0" footer="0"/>
  <pageSetup orientation="landscape"/>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tabColor rgb="FFFFC000"/>
    <outlinePr summaryBelow="1" summaryRight="1"/>
    <pageSetUpPr/>
  </sheetPr>
  <dimension ref="A1:K49"/>
  <sheetViews>
    <sheetView workbookViewId="0">
      <pane ySplit="6" topLeftCell="A7" activePane="bottomLeft" state="frozen"/>
      <selection pane="bottomLeft" activeCell="B8" sqref="B8"/>
    </sheetView>
  </sheetViews>
  <sheetFormatPr baseColWidth="8" defaultColWidth="14.43" defaultRowHeight="15" customHeight="1"/>
  <cols>
    <col width="55.86" customWidth="1" style="281" min="1" max="1"/>
    <col width="27.14" customWidth="1" style="281" min="2" max="2"/>
    <col width="14" customWidth="1" style="281" min="3" max="8"/>
    <col width="39.57" customWidth="1" style="281" min="9" max="9"/>
    <col width="4" customWidth="1" style="281" min="10" max="10"/>
    <col width="14" customWidth="1" style="281" min="11" max="11"/>
    <col width="8.710000000000001" customWidth="1" style="281" min="12" max="26"/>
  </cols>
  <sheetData>
    <row r="1" ht="14.25" customHeight="1" s="281">
      <c r="A1" s="44" t="inlineStr">
        <is>
          <t>HISTORICAL BASELINE — 2024 &amp; 2025 ACTUALS</t>
        </is>
      </c>
    </row>
    <row r="2" ht="14.25" customHeight="1" s="281">
      <c r="A2" s="45" t="inlineStr">
        <is>
          <t>Fill this table from your MRR workbook and database. Show your source for every number.</t>
        </is>
      </c>
    </row>
    <row r="3" ht="14.25" customHeight="1" s="281">
      <c r="A3" s="45" t="inlineStr">
        <is>
          <t>This is the foundation for the 2026 forecast. If these numbers are wrong, everything downstream is wrong.</t>
        </is>
      </c>
    </row>
    <row r="4" ht="14.25" customHeight="1" s="281"/>
    <row r="5" ht="14.25" customHeight="1" s="281">
      <c r="A5" s="46" t="inlineStr">
        <is>
          <t>MRR WATERFALL (QUARTERLY)</t>
        </is>
      </c>
      <c r="B5" s="47" t="n"/>
      <c r="C5" s="47" t="n"/>
      <c r="D5" s="47" t="n"/>
      <c r="E5" s="47" t="n"/>
      <c r="F5" s="47" t="n"/>
      <c r="G5" s="47" t="n"/>
      <c r="H5" s="47" t="n"/>
      <c r="I5" s="47" t="n"/>
    </row>
    <row r="6" ht="14.25" customHeight="1" s="281">
      <c r="A6" s="48" t="inlineStr">
        <is>
          <t>Metric</t>
        </is>
      </c>
      <c r="B6" s="48" t="inlineStr">
        <is>
          <t>Q1 2024</t>
        </is>
      </c>
      <c r="C6" s="48" t="inlineStr">
        <is>
          <t>Q2 2024</t>
        </is>
      </c>
      <c r="D6" s="48" t="inlineStr">
        <is>
          <t>Q3 2024</t>
        </is>
      </c>
      <c r="E6" s="48" t="inlineStr">
        <is>
          <t>Q4 2024</t>
        </is>
      </c>
      <c r="F6" s="48" t="inlineStr">
        <is>
          <t>Q1 2025</t>
        </is>
      </c>
      <c r="G6" s="48" t="inlineStr">
        <is>
          <t>Q2 2025</t>
        </is>
      </c>
      <c r="H6" s="48" t="inlineStr">
        <is>
          <t>Q3 2025</t>
        </is>
      </c>
      <c r="I6" s="48" t="inlineStr">
        <is>
          <t>Q4 2025</t>
        </is>
      </c>
      <c r="K6" s="49" t="inlineStr">
        <is>
          <t>Source</t>
        </is>
      </c>
    </row>
    <row r="7" ht="14.25" customHeight="1" s="281">
      <c r="A7" s="50" t="inlineStr">
        <is>
          <t>Opening MRR</t>
        </is>
      </c>
      <c r="B7" s="51">
        <f>Waterfall!B4</f>
        <v/>
      </c>
      <c r="C7" s="51">
        <f>B13</f>
        <v/>
      </c>
      <c r="D7" s="51">
        <f>C13</f>
        <v/>
      </c>
      <c r="E7" s="51">
        <f>D13</f>
        <v/>
      </c>
      <c r="F7" s="51">
        <f>E13</f>
        <v/>
      </c>
      <c r="G7" s="51">
        <f>F13</f>
        <v/>
      </c>
      <c r="H7" s="51">
        <f>G13</f>
        <v/>
      </c>
      <c r="I7" s="51">
        <f>H13</f>
        <v/>
      </c>
      <c r="K7" s="45" t="inlineStr">
        <is>
          <t>e.g. Waterfall tab, prior Q closing</t>
        </is>
      </c>
    </row>
    <row r="8" ht="14.25" customHeight="1" s="281">
      <c r="A8" s="50" t="inlineStr">
        <is>
          <t>+ New MRR</t>
        </is>
      </c>
      <c r="B8" s="51">
        <f>SUM(Waterfall!C4:C6)</f>
        <v/>
      </c>
      <c r="C8" s="51">
        <f>SUM(Waterfall!C7:C9)</f>
        <v/>
      </c>
      <c r="D8" s="51">
        <f>SUM(Waterfall!C10:C12)</f>
        <v/>
      </c>
      <c r="E8" s="51">
        <f>SUM(Waterfall!C13:C15)</f>
        <v/>
      </c>
      <c r="F8" s="51">
        <f>SUM(Waterfall!C16:C18)</f>
        <v/>
      </c>
      <c r="G8" s="51">
        <f>SUM(Waterfall!C19:C21)</f>
        <v/>
      </c>
      <c r="H8" s="51">
        <f>SUM(Waterfall!C22:C24)</f>
        <v/>
      </c>
      <c r="I8" s="51">
        <f>SUM(Waterfall!C25:C27)</f>
        <v/>
      </c>
      <c r="K8" s="45" t="inlineStr">
        <is>
          <t>Waterfall tab, sum of New column</t>
        </is>
      </c>
    </row>
    <row r="9" ht="14.25" customHeight="1" s="281">
      <c r="A9" s="50" t="inlineStr">
        <is>
          <t>+ Expansion MRR</t>
        </is>
      </c>
      <c r="B9" s="51">
        <f>SUM(Waterfall!D4:D6)</f>
        <v/>
      </c>
      <c r="C9" s="51">
        <f>SUM(Waterfall!D7:D9)</f>
        <v/>
      </c>
      <c r="D9" s="51">
        <f>SUM(Waterfall!D10:D12)</f>
        <v/>
      </c>
      <c r="E9" s="51">
        <f>SUM(Waterfall!D13:D15)</f>
        <v/>
      </c>
      <c r="F9" s="51">
        <f>SUM(Waterfall!D16:D18)</f>
        <v/>
      </c>
      <c r="G9" s="51">
        <f>SUM(Waterfall!D19:D21)</f>
        <v/>
      </c>
      <c r="H9" s="51">
        <f>SUM(Waterfall!D22:D24)</f>
        <v/>
      </c>
      <c r="I9" s="51">
        <f>SUM(Waterfall!D25:D27)</f>
        <v/>
      </c>
      <c r="K9" s="45" t="inlineStr">
        <is>
          <t>Waterfall tab, sum of Expansion column</t>
        </is>
      </c>
    </row>
    <row r="10" ht="14.25" customHeight="1" s="281">
      <c r="A10" s="50" t="inlineStr">
        <is>
          <t>− Contraction MRR</t>
        </is>
      </c>
      <c r="B10" s="51">
        <f>SUM(Waterfall!E4:E6)</f>
        <v/>
      </c>
      <c r="C10" s="51">
        <f>SUM(Waterfall!E7:E9)</f>
        <v/>
      </c>
      <c r="D10" s="51">
        <f>SUM(Waterfall!E10:E12)</f>
        <v/>
      </c>
      <c r="E10" s="51">
        <f>SUM(Waterfall!E13:E15)</f>
        <v/>
      </c>
      <c r="F10" s="51">
        <f>SUM(Waterfall!E16:E18)</f>
        <v/>
      </c>
      <c r="G10" s="51">
        <f>SUM(Waterfall!E19:E21)</f>
        <v/>
      </c>
      <c r="H10" s="51">
        <f>SUM(Waterfall!E22:E24)</f>
        <v/>
      </c>
      <c r="I10" s="51">
        <f>SUM(Waterfall!E25:E27)</f>
        <v/>
      </c>
      <c r="K10" s="45" t="inlineStr">
        <is>
          <t>Waterfall tab, sum of Contraction column</t>
        </is>
      </c>
    </row>
    <row r="11" ht="14.25" customHeight="1" s="281">
      <c r="A11" s="50" t="inlineStr">
        <is>
          <t>− Churned MRR</t>
        </is>
      </c>
      <c r="B11" s="51">
        <f>SUM(Waterfall!F4:F6)</f>
        <v/>
      </c>
      <c r="C11" s="51">
        <f>SUM(Waterfall!F7:F9)</f>
        <v/>
      </c>
      <c r="D11" s="51">
        <f>SUM(Waterfall!F10:F12)</f>
        <v/>
      </c>
      <c r="E11" s="51">
        <f>SUM(Waterfall!F13:F15)</f>
        <v/>
      </c>
      <c r="F11" s="51">
        <f>SUM(Waterfall!F16:F18)</f>
        <v/>
      </c>
      <c r="G11" s="51">
        <f>SUM(Waterfall!F19:F21)</f>
        <v/>
      </c>
      <c r="H11" s="51">
        <f>SUM(Waterfall!F22:F24)</f>
        <v/>
      </c>
      <c r="I11" s="51">
        <f>SUM(Waterfall!F25:F27)</f>
        <v/>
      </c>
      <c r="K11" s="45" t="inlineStr">
        <is>
          <t>Waterfall tab, sum of Churned column</t>
        </is>
      </c>
    </row>
    <row r="12" ht="14.25" customHeight="1" s="281">
      <c r="A12" s="52" t="inlineStr">
        <is>
          <t>Net New MRR</t>
        </is>
      </c>
      <c r="B12" s="53">
        <f>B13-B7</f>
        <v/>
      </c>
      <c r="C12" s="53">
        <f>C13-C7</f>
        <v/>
      </c>
      <c r="D12" s="53">
        <f>D13-D7</f>
        <v/>
      </c>
      <c r="E12" s="53">
        <f>E13-E7</f>
        <v/>
      </c>
      <c r="F12" s="53">
        <f>F13-F7</f>
        <v/>
      </c>
      <c r="G12" s="53">
        <f>G13-G7</f>
        <v/>
      </c>
      <c r="H12" s="53">
        <f>H13-H7</f>
        <v/>
      </c>
      <c r="I12" s="53">
        <f>I13-I7</f>
        <v/>
      </c>
      <c r="K12" s="45" t="inlineStr">
        <is>
          <t>Should equal Closing − Opening</t>
        </is>
      </c>
    </row>
    <row r="13" ht="14.25" customHeight="1" s="281">
      <c r="A13" s="52" t="inlineStr">
        <is>
          <t>Closing MRR</t>
        </is>
      </c>
      <c r="B13" s="53">
        <f>Waterfall!H6</f>
        <v/>
      </c>
      <c r="C13" s="53">
        <f>Waterfall!H9</f>
        <v/>
      </c>
      <c r="D13" s="53">
        <f>Waterfall!H12</f>
        <v/>
      </c>
      <c r="E13" s="53">
        <f>Waterfall!H15</f>
        <v/>
      </c>
      <c r="F13" s="53">
        <f>Waterfall!H18</f>
        <v/>
      </c>
      <c r="G13" s="53">
        <f>Waterfall!H21</f>
        <v/>
      </c>
      <c r="H13" s="53">
        <f>Waterfall!H24</f>
        <v/>
      </c>
      <c r="I13" s="53" t="n">
        <v>143069.5</v>
      </c>
      <c r="K13" s="45" t="inlineStr">
        <is>
          <t>Waterfall tab, last month of quarter</t>
        </is>
      </c>
    </row>
    <row r="14" ht="14.25" customHeight="1" s="281">
      <c r="B14" s="12" t="n"/>
      <c r="C14" s="12" t="n"/>
      <c r="D14" s="12" t="n"/>
      <c r="E14" s="12" t="n"/>
      <c r="F14" s="12" t="n"/>
      <c r="G14" s="12" t="n"/>
      <c r="H14" s="12" t="n"/>
      <c r="I14" s="12" t="n"/>
    </row>
    <row r="15" ht="14.25" customHeight="1" s="281">
      <c r="A15" s="46" t="inlineStr">
        <is>
          <t>CUSTOMERS &amp; SUBSCRIPTIONS</t>
        </is>
      </c>
      <c r="B15" s="47" t="n"/>
      <c r="C15" s="47" t="n"/>
      <c r="D15" s="47" t="n"/>
      <c r="E15" s="47" t="n"/>
      <c r="F15" s="47" t="n"/>
      <c r="G15" s="47" t="n"/>
      <c r="H15" s="47" t="n"/>
      <c r="I15" s="47" t="n"/>
    </row>
    <row r="16" ht="14.25" customHeight="1" s="281">
      <c r="A16" s="48" t="inlineStr">
        <is>
          <t>Metric</t>
        </is>
      </c>
      <c r="B16" s="48" t="inlineStr">
        <is>
          <t>Q1 2024</t>
        </is>
      </c>
      <c r="C16" s="48" t="inlineStr">
        <is>
          <t>Q2 2024</t>
        </is>
      </c>
      <c r="D16" s="48" t="inlineStr">
        <is>
          <t>Q3 2024</t>
        </is>
      </c>
      <c r="E16" s="48" t="inlineStr">
        <is>
          <t>Q4 2024</t>
        </is>
      </c>
      <c r="F16" s="48" t="inlineStr">
        <is>
          <t>Q1 2025</t>
        </is>
      </c>
      <c r="G16" s="48" t="inlineStr">
        <is>
          <t>Q2 2025</t>
        </is>
      </c>
      <c r="H16" s="48" t="inlineStr">
        <is>
          <t>Q3 2025</t>
        </is>
      </c>
      <c r="I16" s="48" t="inlineStr">
        <is>
          <t>Q4 2025</t>
        </is>
      </c>
      <c r="K16" s="49" t="inlineStr">
        <is>
          <t>Source</t>
        </is>
      </c>
    </row>
    <row r="17" ht="14.25" customHeight="1" s="281">
      <c r="A17" s="50" t="inlineStr">
        <is>
          <t>New customers</t>
        </is>
      </c>
      <c r="B17" s="54">
        <f>Retention!D19-0</f>
        <v/>
      </c>
      <c r="C17" s="54">
        <f>Retention!G19-Retention!D19</f>
        <v/>
      </c>
      <c r="D17" s="54">
        <f>Retention!J19-Retention!G19</f>
        <v/>
      </c>
      <c r="E17" s="54">
        <f>Retention!M19-Retention!J19</f>
        <v/>
      </c>
      <c r="F17" s="54">
        <f>Retention!Q19-Retention!N19</f>
        <v/>
      </c>
      <c r="G17" s="54">
        <f>Retention!T19-Retention!Q19</f>
        <v/>
      </c>
      <c r="H17" s="54">
        <f>Retention!V19-Retention!S19</f>
        <v/>
      </c>
      <c r="I17" s="55">
        <f>SUM('Unit Economics'!J76:J78)</f>
        <v/>
      </c>
      <c r="K17" s="45" t="inlineStr">
        <is>
          <t>S&amp;M data on Unit Economics tab</t>
        </is>
      </c>
    </row>
    <row r="18" ht="14.25" customHeight="1" s="281">
      <c r="A18" s="50" t="inlineStr">
        <is>
          <t>Churned subscriptions</t>
        </is>
      </c>
      <c r="B18" s="55">
        <f>SUM(Retention!B17:D17)</f>
        <v/>
      </c>
      <c r="C18" s="55">
        <f>SUM(Retention!E17:G17)</f>
        <v/>
      </c>
      <c r="D18" s="55">
        <f>SUM(Retention!H17:J17)</f>
        <v/>
      </c>
      <c r="E18" s="55">
        <f>SUM(Retention!K17:M17)</f>
        <v/>
      </c>
      <c r="F18" s="55">
        <f>SUM(Retention!N17:P17)</f>
        <v/>
      </c>
      <c r="G18" s="55">
        <f>SUM(Retention!Q17:S17)</f>
        <v/>
      </c>
      <c r="H18" s="55">
        <f>SUM(Retention!T17:V17)</f>
        <v/>
      </c>
      <c r="I18" s="55">
        <f>SUM(Retention!W17:Y17)</f>
        <v/>
      </c>
      <c r="K18" s="45" t="inlineStr">
        <is>
          <t>Retention tab</t>
        </is>
      </c>
    </row>
    <row r="19" ht="14.25" customHeight="1" s="281">
      <c r="A19" s="50" t="inlineStr">
        <is>
          <t>Active subscriptions (end of Q)</t>
        </is>
      </c>
      <c r="B19" s="55">
        <f>Retention!D16</f>
        <v/>
      </c>
      <c r="C19" s="55">
        <f>Retention!G16</f>
        <v/>
      </c>
      <c r="D19" s="55">
        <f>Retention!J16</f>
        <v/>
      </c>
      <c r="E19" s="55">
        <f>Retention!M16</f>
        <v/>
      </c>
      <c r="F19" s="55">
        <f>Retention!Q16</f>
        <v/>
      </c>
      <c r="G19" s="55">
        <f>Retention!T16</f>
        <v/>
      </c>
      <c r="H19" s="55">
        <f>Retention!W16</f>
        <v/>
      </c>
      <c r="I19" s="55">
        <f>Retention!Z16</f>
        <v/>
      </c>
      <c r="K19" s="45" t="inlineStr">
        <is>
          <t>Retention tab running count</t>
        </is>
      </c>
    </row>
    <row r="20" ht="14.25" customHeight="1" s="281">
      <c r="A20" s="50" t="inlineStr">
        <is>
          <t>Active customers (end of Q)</t>
        </is>
      </c>
      <c r="B20" s="55">
        <f>Retention!D19</f>
        <v/>
      </c>
      <c r="C20" s="55">
        <f>Retention!G19</f>
        <v/>
      </c>
      <c r="D20" s="55">
        <f>Retention!J19</f>
        <v/>
      </c>
      <c r="E20" s="55">
        <f>Retention!M19</f>
        <v/>
      </c>
      <c r="F20" s="55">
        <f>Retention!Q19</f>
        <v/>
      </c>
      <c r="G20" s="55">
        <f>Retention!T19</f>
        <v/>
      </c>
      <c r="H20" s="55">
        <f>Retention!W19</f>
        <v/>
      </c>
      <c r="I20" s="55">
        <f>Retention!Z19</f>
        <v/>
      </c>
      <c r="K20" s="45" t="inlineStr">
        <is>
          <t>Unique cust IDs with ≥1 active sub</t>
        </is>
      </c>
    </row>
    <row r="21" ht="14.25" customHeight="1" s="281"/>
    <row r="22" ht="14.25" customHeight="1" s="281">
      <c r="A22" s="46" t="inlineStr">
        <is>
          <t>P&amp;L SUMMARY</t>
        </is>
      </c>
      <c r="B22" s="47" t="n"/>
      <c r="C22" s="47" t="n"/>
      <c r="D22" s="47" t="n"/>
      <c r="E22" s="47" t="n"/>
      <c r="F22" s="47" t="n"/>
      <c r="G22" s="47" t="n"/>
      <c r="H22" s="47" t="n"/>
      <c r="I22" s="47" t="n"/>
    </row>
    <row r="23" ht="14.25" customHeight="1" s="281">
      <c r="A23" s="48" t="inlineStr">
        <is>
          <t>Metric</t>
        </is>
      </c>
      <c r="B23" s="48" t="inlineStr">
        <is>
          <t>Q1 2024</t>
        </is>
      </c>
      <c r="C23" s="48" t="inlineStr">
        <is>
          <t>Q2 2024</t>
        </is>
      </c>
      <c r="D23" s="48" t="inlineStr">
        <is>
          <t>Q3 2024</t>
        </is>
      </c>
      <c r="E23" s="48" t="inlineStr">
        <is>
          <t>Q4 2024</t>
        </is>
      </c>
      <c r="F23" s="48" t="inlineStr">
        <is>
          <t>Q1 2025</t>
        </is>
      </c>
      <c r="G23" s="48" t="inlineStr">
        <is>
          <t>Q2 2025</t>
        </is>
      </c>
      <c r="H23" s="48" t="inlineStr">
        <is>
          <t>Q3 2025</t>
        </is>
      </c>
      <c r="I23" s="48" t="inlineStr">
        <is>
          <t>Q4 2025</t>
        </is>
      </c>
      <c r="K23" s="49" t="inlineStr">
        <is>
          <t>Source</t>
        </is>
      </c>
    </row>
    <row r="24" ht="14.25" customHeight="1" s="281">
      <c r="A24" s="50" t="inlineStr">
        <is>
          <t>Revenue</t>
        </is>
      </c>
      <c r="B24" s="56">
        <f>B13*3</f>
        <v/>
      </c>
      <c r="C24" s="56">
        <f>C13*3</f>
        <v/>
      </c>
      <c r="D24" s="56">
        <f>D13*3</f>
        <v/>
      </c>
      <c r="E24" s="56">
        <f>E13*3</f>
        <v/>
      </c>
      <c r="F24" s="56">
        <f>F13*3</f>
        <v/>
      </c>
      <c r="G24" s="56">
        <f>G13*3</f>
        <v/>
      </c>
      <c r="H24" s="56">
        <f>H13*3</f>
        <v/>
      </c>
      <c r="I24" s="56">
        <f>I13*3</f>
        <v/>
      </c>
      <c r="K24" s="45" t="inlineStr">
        <is>
          <t>Sum of monthly MRR from workbook</t>
        </is>
      </c>
    </row>
    <row r="25" ht="14.25" customHeight="1" s="281">
      <c r="A25" s="50" t="inlineStr">
        <is>
          <t>COGS (30%)</t>
        </is>
      </c>
      <c r="B25" s="56">
        <f>B24*0.3</f>
        <v/>
      </c>
      <c r="C25" s="56">
        <f>C24*0.3</f>
        <v/>
      </c>
      <c r="D25" s="56">
        <f>D24*0.3</f>
        <v/>
      </c>
      <c r="E25" s="56">
        <f>E24*0.3</f>
        <v/>
      </c>
      <c r="F25" s="56">
        <f>F24*0.3</f>
        <v/>
      </c>
      <c r="G25" s="56">
        <f>G24*0.3</f>
        <v/>
      </c>
      <c r="H25" s="56">
        <f>H24*0.3</f>
        <v/>
      </c>
      <c r="I25" s="56">
        <f>I24*0.3</f>
        <v/>
      </c>
      <c r="K25" s="45" t="inlineStr">
        <is>
          <t>Revenue × 30%</t>
        </is>
      </c>
    </row>
    <row r="26" ht="14.25" customHeight="1" s="281">
      <c r="A26" s="52" t="inlineStr">
        <is>
          <t>Gross Profit</t>
        </is>
      </c>
      <c r="B26" s="57">
        <f>B24-B25</f>
        <v/>
      </c>
      <c r="C26" s="57">
        <f>C24-C25</f>
        <v/>
      </c>
      <c r="D26" s="57">
        <f>D24-D25</f>
        <v/>
      </c>
      <c r="E26" s="57">
        <f>E24-E25</f>
        <v/>
      </c>
      <c r="F26" s="57">
        <f>F24-F25</f>
        <v/>
      </c>
      <c r="G26" s="57">
        <f>G24-G25</f>
        <v/>
      </c>
      <c r="H26" s="57">
        <f>H24-H25</f>
        <v/>
      </c>
      <c r="I26" s="57">
        <f>I24-I25</f>
        <v/>
      </c>
      <c r="K26" s="45" t="inlineStr">
        <is>
          <t>Revenue − COGS</t>
        </is>
      </c>
    </row>
    <row r="27" ht="14.25" customHeight="1" s="281">
      <c r="A27" s="50" t="inlineStr">
        <is>
          <t>Gross Margin %</t>
        </is>
      </c>
      <c r="B27" s="58">
        <f>B26/B24</f>
        <v/>
      </c>
      <c r="C27" s="58">
        <f>C26/C24</f>
        <v/>
      </c>
      <c r="D27" s="58">
        <f>D26/D24</f>
        <v/>
      </c>
      <c r="E27" s="58">
        <f>E26/E24</f>
        <v/>
      </c>
      <c r="F27" s="58">
        <f>F26/F24</f>
        <v/>
      </c>
      <c r="G27" s="58">
        <f>G26/G24</f>
        <v/>
      </c>
      <c r="H27" s="58">
        <f>H26/H24</f>
        <v/>
      </c>
      <c r="I27" s="58">
        <f>I26/I24</f>
        <v/>
      </c>
      <c r="K27" s="45" t="inlineStr">
        <is>
          <t>GP / Revenue</t>
        </is>
      </c>
    </row>
    <row r="28" ht="14.25" customHeight="1" s="281">
      <c r="A28" s="50" t="inlineStr">
        <is>
          <t>S&amp;M</t>
        </is>
      </c>
      <c r="B28" s="56" t="n">
        <v>18500</v>
      </c>
      <c r="C28" s="56" t="n">
        <v>29000</v>
      </c>
      <c r="D28" s="56" t="n">
        <v>47000</v>
      </c>
      <c r="E28" s="56" t="n">
        <v>63000</v>
      </c>
      <c r="F28" s="56">
        <f>'Unit Economics'!I67+'Unit Economics'!I68+'Unit Economics'!I69</f>
        <v/>
      </c>
      <c r="G28" s="56">
        <f>'Unit Economics'!I70+'Unit Economics'!I71+'Unit Economics'!I72</f>
        <v/>
      </c>
      <c r="H28" s="56">
        <f>'Unit Economics'!I73+'Unit Economics'!I74+'Unit Economics'!I75</f>
        <v/>
      </c>
      <c r="I28" s="56">
        <f>'Unit Economics'!I76+'Unit Economics'!I77+'Unit Economics'!I78</f>
        <v/>
      </c>
      <c r="K28" s="45" t="inlineStr">
        <is>
          <t>Accounting data, Unit Economics tab</t>
        </is>
      </c>
    </row>
    <row r="29" ht="14.25" customHeight="1" s="281">
      <c r="A29" s="50" t="inlineStr">
        <is>
          <t>R&amp;D</t>
        </is>
      </c>
      <c r="B29" s="56" t="n">
        <v>15000</v>
      </c>
      <c r="C29" s="56" t="n">
        <v>25000</v>
      </c>
      <c r="D29" s="56" t="n">
        <v>42000</v>
      </c>
      <c r="E29" s="56" t="n">
        <v>57000</v>
      </c>
      <c r="F29" s="56" t="n">
        <v>62000</v>
      </c>
      <c r="G29" s="56" t="n">
        <v>68000</v>
      </c>
      <c r="H29" s="56" t="n">
        <v>72000</v>
      </c>
      <c r="I29" s="56" t="n">
        <v>65000</v>
      </c>
      <c r="K29" s="45" t="inlineStr">
        <is>
          <t>Company cost structure</t>
        </is>
      </c>
    </row>
    <row r="30" ht="14.25" customHeight="1" s="281">
      <c r="A30" s="50" t="inlineStr">
        <is>
          <t>G&amp;A</t>
        </is>
      </c>
      <c r="B30" s="56" t="n">
        <v>8000</v>
      </c>
      <c r="C30" s="56" t="n">
        <v>13000</v>
      </c>
      <c r="D30" s="56" t="n">
        <v>21000</v>
      </c>
      <c r="E30" s="56" t="n">
        <v>28000</v>
      </c>
      <c r="F30" s="56" t="n">
        <v>32000</v>
      </c>
      <c r="G30" s="56" t="n">
        <v>34000</v>
      </c>
      <c r="H30" s="56" t="n">
        <v>36000</v>
      </c>
      <c r="I30" s="56" t="n">
        <v>33000</v>
      </c>
      <c r="K30" s="45" t="inlineStr">
        <is>
          <t>Company cost structure</t>
        </is>
      </c>
    </row>
    <row r="31" ht="14.25" customHeight="1" s="281">
      <c r="A31" s="52" t="inlineStr">
        <is>
          <t>Total OpEx</t>
        </is>
      </c>
      <c r="B31" s="57">
        <f>B28+B29+B30</f>
        <v/>
      </c>
      <c r="C31" s="57">
        <f>C28+C29+C30</f>
        <v/>
      </c>
      <c r="D31" s="57">
        <f>D28+D29+D30</f>
        <v/>
      </c>
      <c r="E31" s="57">
        <f>E28+E29+E30</f>
        <v/>
      </c>
      <c r="F31" s="57">
        <f>F28+F29+F30</f>
        <v/>
      </c>
      <c r="G31" s="57">
        <f>G28+G29+G30</f>
        <v/>
      </c>
      <c r="H31" s="57">
        <f>H28+H29+H30</f>
        <v/>
      </c>
      <c r="I31" s="57">
        <f>I28+I29+I30</f>
        <v/>
      </c>
      <c r="K31" s="45" t="inlineStr">
        <is>
          <t>S&amp;M + R&amp;D + G&amp;A</t>
        </is>
      </c>
    </row>
    <row r="32" ht="14.25" customHeight="1" s="281">
      <c r="A32" s="52" t="inlineStr">
        <is>
          <t>EBITDA</t>
        </is>
      </c>
      <c r="B32" s="57">
        <f>B26-B31</f>
        <v/>
      </c>
      <c r="C32" s="57">
        <f>C26-C31</f>
        <v/>
      </c>
      <c r="D32" s="57">
        <f>D26-D31</f>
        <v/>
      </c>
      <c r="E32" s="57">
        <f>E26-E31</f>
        <v/>
      </c>
      <c r="F32" s="57">
        <f>F26-F31</f>
        <v/>
      </c>
      <c r="G32" s="57">
        <f>G26-G31</f>
        <v/>
      </c>
      <c r="H32" s="57">
        <f>H26-H31</f>
        <v/>
      </c>
      <c r="I32" s="57">
        <f>I26-I31</f>
        <v/>
      </c>
      <c r="K32" s="45" t="inlineStr">
        <is>
          <t>Gross Profit − Total OpEx</t>
        </is>
      </c>
    </row>
    <row r="33" ht="14.25" customHeight="1" s="281">
      <c r="A33" s="50" t="inlineStr">
        <is>
          <t>EBITDA Margin %</t>
        </is>
      </c>
      <c r="B33" s="58">
        <f>B32/B24</f>
        <v/>
      </c>
      <c r="C33" s="58">
        <f>C32/C24</f>
        <v/>
      </c>
      <c r="D33" s="58">
        <f>D32/D24</f>
        <v/>
      </c>
      <c r="E33" s="58">
        <f>E32/E24</f>
        <v/>
      </c>
      <c r="F33" s="58">
        <f>IF(F24=0,"",F32/F24)</f>
        <v/>
      </c>
      <c r="G33" s="58">
        <f>IF(G24=0,"",G32/G24)</f>
        <v/>
      </c>
      <c r="H33" s="58">
        <f>IF(H24=0,"",H32/H24)</f>
        <v/>
      </c>
      <c r="I33" s="58">
        <f>IF(I24=0,"",I32/I24)</f>
        <v/>
      </c>
      <c r="K33" s="45" t="inlineStr">
        <is>
          <t>EBITDA / Revenue</t>
        </is>
      </c>
    </row>
    <row r="34" ht="14.25" customHeight="1" s="281"/>
    <row r="35" ht="14.25" customHeight="1" s="281">
      <c r="A35" s="46" t="inlineStr">
        <is>
          <t>KEY RATES (CALCULATED)</t>
        </is>
      </c>
      <c r="B35" s="47" t="n"/>
      <c r="C35" s="47" t="n"/>
      <c r="D35" s="47" t="n"/>
      <c r="E35" s="47" t="n"/>
      <c r="F35" s="47" t="n"/>
      <c r="G35" s="47" t="n"/>
      <c r="H35" s="47" t="n"/>
      <c r="I35" s="47" t="n"/>
    </row>
    <row r="36" ht="14.25" customHeight="1" s="281">
      <c r="A36" s="48" t="inlineStr">
        <is>
          <t>Metric</t>
        </is>
      </c>
      <c r="B36" s="48" t="inlineStr">
        <is>
          <t>Q1 2024</t>
        </is>
      </c>
      <c r="C36" s="48" t="inlineStr">
        <is>
          <t>Q2 2024</t>
        </is>
      </c>
      <c r="D36" s="48" t="inlineStr">
        <is>
          <t>Q3 2024</t>
        </is>
      </c>
      <c r="E36" s="48" t="inlineStr">
        <is>
          <t>Q4 2024</t>
        </is>
      </c>
      <c r="F36" s="48" t="inlineStr">
        <is>
          <t>Q1 2025</t>
        </is>
      </c>
      <c r="G36" s="48" t="inlineStr">
        <is>
          <t>Q2 2025</t>
        </is>
      </c>
      <c r="H36" s="48" t="inlineStr">
        <is>
          <t>Q3 2025</t>
        </is>
      </c>
      <c r="I36" s="48" t="inlineStr">
        <is>
          <t>Q4 2025</t>
        </is>
      </c>
      <c r="K36" s="49" t="inlineStr">
        <is>
          <t>Source</t>
        </is>
      </c>
    </row>
    <row r="37" ht="14.25" customHeight="1" s="281">
      <c r="A37" s="50" t="inlineStr">
        <is>
          <t>MRR churn rate (quarterly)</t>
        </is>
      </c>
      <c r="B37" s="58">
        <f>IF(B7=0,"",ABS(B11)/B7)</f>
        <v/>
      </c>
      <c r="C37" s="58">
        <f>IF(C7=0,"",ABS(C11)/C7)</f>
        <v/>
      </c>
      <c r="D37" s="58">
        <f>IF(D7=0,"",ABS(D11)/D7)</f>
        <v/>
      </c>
      <c r="E37" s="58">
        <f>IF(E7=0,"",ABS(E11)/E7)</f>
        <v/>
      </c>
      <c r="F37" s="58">
        <f>IF(F7=0,"",ABS(F11)/F7)</f>
        <v/>
      </c>
      <c r="G37" s="58">
        <f>IF(G7=0,"",ABS(G11)/G7)</f>
        <v/>
      </c>
      <c r="H37" s="58">
        <f>IF(H7=0,"",ABS(H11)/H7)</f>
        <v/>
      </c>
      <c r="I37" s="58">
        <f>IF(I7=0,"",ABS(I11)/I7)</f>
        <v/>
      </c>
      <c r="K37" s="45" t="inlineStr">
        <is>
          <t>Churned MRR / Opening MRR</t>
        </is>
      </c>
    </row>
    <row r="38" ht="14.25" customHeight="1" s="281">
      <c r="A38" s="50" t="inlineStr">
        <is>
          <t>MRR expansion rate (quarterly)</t>
        </is>
      </c>
      <c r="B38" s="58">
        <f>IF(B7=0,"",B9/B7)</f>
        <v/>
      </c>
      <c r="C38" s="58">
        <f>IF(C7=0,"",C9/C7)</f>
        <v/>
      </c>
      <c r="D38" s="58">
        <f>IF(D7=0,"",D9/D7)</f>
        <v/>
      </c>
      <c r="E38" s="58">
        <f>IF(E7=0,"",E9/E7)</f>
        <v/>
      </c>
      <c r="F38" s="58">
        <f>IF(F7=0,"",F9/F7)</f>
        <v/>
      </c>
      <c r="G38" s="58">
        <f>IF(G7=0,"",G9/G7)</f>
        <v/>
      </c>
      <c r="H38" s="58">
        <f>IF(H7=0,"",H9/H7)</f>
        <v/>
      </c>
      <c r="I38" s="58">
        <f>IF(I7=0,"",I9/I7)</f>
        <v/>
      </c>
      <c r="K38" s="45" t="inlineStr">
        <is>
          <t>Expansion MRR / Opening MRR</t>
        </is>
      </c>
    </row>
    <row r="39" ht="14.25" customHeight="1" s="281">
      <c r="A39" s="50" t="inlineStr">
        <is>
          <t>Avg MRR per new customer</t>
        </is>
      </c>
      <c r="B39" s="56">
        <f>IF(B17=0,"",B8/B17)</f>
        <v/>
      </c>
      <c r="C39" s="56">
        <f>IF(C17=0,"",C8/C17)</f>
        <v/>
      </c>
      <c r="D39" s="56">
        <f>IF(D17=0,"",D8/D17)</f>
        <v/>
      </c>
      <c r="E39" s="56">
        <f>IF(E17=0,"",E8/E17)</f>
        <v/>
      </c>
      <c r="F39" s="56">
        <f>IF(F17=0,"",F8/F17)</f>
        <v/>
      </c>
      <c r="G39" s="56">
        <f>IF(G17=0,"",G8/G17)</f>
        <v/>
      </c>
      <c r="H39" s="56">
        <f>IF(H17=0,"",H8/H17)</f>
        <v/>
      </c>
      <c r="I39" s="56" t="inlineStr">
        <is>
          <t>N/A</t>
        </is>
      </c>
      <c r="K39" s="45" t="inlineStr">
        <is>
          <t>New MRR / New customers</t>
        </is>
      </c>
    </row>
    <row r="40" ht="14.25" customHeight="1" s="281">
      <c r="A40" s="50" t="inlineStr">
        <is>
          <t>CAC (quarterly S&amp;M / new custs)</t>
        </is>
      </c>
      <c r="B40" s="56">
        <f>IF(B17=0,"N/A",B28/B17)</f>
        <v/>
      </c>
      <c r="C40" s="56">
        <f>IF(C17=0,"N/A",C28/C17)</f>
        <v/>
      </c>
      <c r="D40" s="56">
        <f>IF(D17=0,"N/A",D28/D17)</f>
        <v/>
      </c>
      <c r="E40" s="56">
        <f>IF(E17=0,"N/A",E28/E17)</f>
        <v/>
      </c>
      <c r="F40" s="56">
        <f>IF(F17=0,"N/A",F28/F17)</f>
        <v/>
      </c>
      <c r="G40" s="56">
        <f>IF(G17=0,"N/A",G28/G17)</f>
        <v/>
      </c>
      <c r="H40" s="56">
        <f>IF(H17=0,"N/A",H28/H17)</f>
        <v/>
      </c>
      <c r="I40" s="56">
        <f>IF(I17=0,"N/A",I28/I17)</f>
        <v/>
      </c>
      <c r="K40" s="45" t="inlineStr">
        <is>
          <t>Only meaningful if new custs &gt; 0</t>
        </is>
      </c>
    </row>
    <row r="41" ht="14.25" customHeight="1" s="281"/>
    <row r="42" ht="14.25" customHeight="1" s="281"/>
    <row r="43" ht="14.25" customHeight="1" s="281">
      <c r="A43" s="46" t="inlineStr">
        <is>
          <t>RECONCILIATION NOTES</t>
        </is>
      </c>
    </row>
    <row r="44" ht="14.25" customHeight="1" s="281">
      <c r="A44" s="50" t="inlineStr">
        <is>
          <t>Dec 2025 closing MRR (this table):</t>
        </is>
      </c>
      <c r="B44" s="59">
        <f>I13</f>
        <v/>
      </c>
    </row>
    <row r="45" ht="14.25" customHeight="1" s="281">
      <c r="A45" s="50" t="inlineStr">
        <is>
          <t>Feb 2026 snapshot MRR:</t>
        </is>
      </c>
      <c r="B45" s="59">
        <f>'Unit Economics'!B6</f>
        <v/>
      </c>
    </row>
    <row r="46" ht="14.25" customHeight="1" s="281">
      <c r="A46" s="50" t="inlineStr">
        <is>
          <t>Difference:</t>
        </is>
      </c>
      <c r="B46" s="60">
        <f>B44-B45</f>
        <v/>
      </c>
    </row>
    <row r="47" ht="14.25" customHeight="1" s="281">
      <c r="A47" s="50" t="inlineStr">
        <is>
          <t>Explanation:</t>
        </is>
      </c>
      <c r="B47" s="282" t="inlineStr">
        <is>
          <t>Waterfall closing ($150,918.50) exceeds Snapshot ($144,185.50) by $6,733. This gap exists because Snapshot only reflects currently active subscriptions while Waterfall has all movements including churned subs after Dec 2025.</t>
        </is>
      </c>
    </row>
    <row r="48" ht="14.25" customHeight="1" s="281"/>
    <row r="49" ht="14.25" customHeight="1" s="281">
      <c r="A49" s="64" t="inlineStr">
        <is>
          <t>Which number are you using as the 2026 opening MRR, and why?</t>
        </is>
      </c>
      <c r="B49" s="282" t="inlineStr">
        <is>
          <t>Using $150,918.50 (Waterfall tab, Dec 2025 closing MRR, cell H26). This is the complete figure tied to month-by-month movement data.</t>
        </is>
      </c>
    </row>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2">
    <mergeCell ref="B49:H49"/>
    <mergeCell ref="B47:I47"/>
  </mergeCells>
  <pageMargins left="0.75" right="0.75" top="1" bottom="1" header="0" footer="0"/>
  <pageSetup orientation="landscape"/>
  <legacyDrawing xmlns:r="http://schemas.openxmlformats.org/officeDocument/2006/relationships" r:id="anysvml"/>
</worksheet>
</file>

<file path=xl/worksheets/sheet9.xml><?xml version="1.0" encoding="utf-8"?>
<worksheet xmlns="http://schemas.openxmlformats.org/spreadsheetml/2006/main">
  <sheetPr>
    <tabColor rgb="FF0070C0"/>
    <outlinePr summaryBelow="1" summaryRight="1"/>
    <pageSetUpPr/>
  </sheetPr>
  <dimension ref="A1:E35"/>
  <sheetViews>
    <sheetView workbookViewId="0">
      <selection activeCell="A1" sqref="A1"/>
    </sheetView>
  </sheetViews>
  <sheetFormatPr baseColWidth="8" defaultColWidth="14.43" defaultRowHeight="15" customHeight="1"/>
  <cols>
    <col width="30" customWidth="1" style="281" min="1" max="1"/>
    <col width="14" customWidth="1" style="281" min="2" max="5"/>
    <col width="4" customWidth="1" style="281" min="6" max="6"/>
    <col width="8.710000000000001" customWidth="1" style="281" min="7" max="26"/>
  </cols>
  <sheetData>
    <row r="1" ht="14.25" customHeight="1" s="281">
      <c r="A1" s="44" t="inlineStr">
        <is>
          <t>2026 FORECAST ASSUMPTIONS</t>
        </is>
      </c>
    </row>
    <row r="2" ht="14.25" customHeight="1" s="281">
      <c r="A2" s="45" t="inlineStr">
        <is>
          <t>From: David Chen, VP Finance — Leadership planning meeting, December 2025</t>
        </is>
      </c>
    </row>
    <row r="3" ht="14.25" customHeight="1" s="281">
      <c r="A3" s="45" t="inlineStr">
        <is>
          <t>All values are hardcoded inputs. Every formula on the Forecast tab must reference these cells.</t>
        </is>
      </c>
    </row>
    <row r="4" ht="14.25" customHeight="1" s="281"/>
    <row r="5" ht="14.25" customHeight="1" s="281">
      <c r="A5" s="46" t="inlineStr">
        <is>
          <t>STARTING POSITION</t>
        </is>
      </c>
      <c r="B5" s="47" t="n"/>
      <c r="C5" s="47" t="n"/>
      <c r="D5" s="47" t="n"/>
    </row>
    <row r="6" ht="14.25" customHeight="1" s="281">
      <c r="A6" s="50" t="inlineStr">
        <is>
          <t>Opening MRR (Jan 2026)</t>
        </is>
      </c>
      <c r="B6" s="65">
        <f>'Historical Baseline'!B44</f>
        <v/>
      </c>
      <c r="D6" s="64" t="inlineStr">
        <is>
          <t>← Pull from your Historical Baseline tab</t>
        </is>
      </c>
    </row>
    <row r="7" ht="14.25" customHeight="1" s="281">
      <c r="A7" s="50" t="inlineStr">
        <is>
          <t>Active subscriptions (Dec 2025)</t>
        </is>
      </c>
      <c r="B7" s="66">
        <f>'Historical Baseline'!I19</f>
        <v/>
      </c>
      <c r="D7" s="64" t="inlineStr">
        <is>
          <t>← Pull from your Historical Baseline tab</t>
        </is>
      </c>
    </row>
    <row r="8" ht="14.25" customHeight="1" s="281">
      <c r="A8" s="50" t="inlineStr">
        <is>
          <t>Active customers (Dec 2025)</t>
        </is>
      </c>
      <c r="B8" s="66">
        <f>'Historical Baseline'!I20</f>
        <v/>
      </c>
      <c r="D8" s="64" t="inlineStr">
        <is>
          <t>← Pull from your Historical Baseline tab</t>
        </is>
      </c>
    </row>
    <row r="9" ht="14.25" customHeight="1" s="281"/>
    <row r="10" ht="14.25" customHeight="1" s="281">
      <c r="A10" s="46" t="inlineStr">
        <is>
          <t>GROWTH ASSUMPTIONS</t>
        </is>
      </c>
      <c r="B10" s="47" t="n"/>
      <c r="C10" s="47" t="n"/>
      <c r="D10" s="47" t="n"/>
      <c r="E10" s="47" t="n"/>
    </row>
    <row r="11" ht="14.25" customHeight="1" s="281">
      <c r="A11" s="48" t="inlineStr">
        <is>
          <t>Metric</t>
        </is>
      </c>
      <c r="B11" s="48" t="inlineStr">
        <is>
          <t>Q1 2026</t>
        </is>
      </c>
      <c r="C11" s="48" t="inlineStr">
        <is>
          <t>Q2 2026</t>
        </is>
      </c>
      <c r="D11" s="48" t="inlineStr">
        <is>
          <t>Q3 2026</t>
        </is>
      </c>
      <c r="E11" s="48" t="inlineStr">
        <is>
          <t>Q4 2026</t>
        </is>
      </c>
    </row>
    <row r="12" ht="14.25" customHeight="1" s="281">
      <c r="A12" s="50" t="inlineStr">
        <is>
          <t>New customers</t>
        </is>
      </c>
      <c r="B12" s="67" t="n">
        <v>4</v>
      </c>
      <c r="C12" s="67" t="n">
        <v>6</v>
      </c>
      <c r="D12" s="67" t="n">
        <v>9</v>
      </c>
      <c r="E12" s="67" t="n">
        <v>9</v>
      </c>
    </row>
    <row r="13" ht="14.25" customHeight="1" s="281">
      <c r="A13" s="50" t="inlineStr">
        <is>
          <t>Avg MRR per new customer</t>
        </is>
      </c>
      <c r="B13" s="68" t="n">
        <v>3000</v>
      </c>
      <c r="C13" s="68" t="n">
        <v>3200</v>
      </c>
      <c r="D13" s="68" t="n">
        <v>3200</v>
      </c>
      <c r="E13" s="68" t="n">
        <v>3400</v>
      </c>
    </row>
    <row r="14" ht="14.25" customHeight="1" s="281">
      <c r="A14" s="50" t="inlineStr">
        <is>
          <t>Quarterly expansion rate</t>
        </is>
      </c>
      <c r="B14" s="69" t="n">
        <v>0.015</v>
      </c>
      <c r="C14" s="69" t="n">
        <v>0.015</v>
      </c>
      <c r="D14" s="69" t="n">
        <v>0.015</v>
      </c>
      <c r="E14" s="69" t="n">
        <v>0.015</v>
      </c>
    </row>
    <row r="15" ht="14.25" customHeight="1" s="281">
      <c r="A15" s="50" t="inlineStr">
        <is>
          <t>Quarterly churn rate</t>
        </is>
      </c>
      <c r="B15" s="69" t="n">
        <v>0.02</v>
      </c>
      <c r="C15" s="69" t="n">
        <v>0.02</v>
      </c>
      <c r="D15" s="69" t="n">
        <v>0.02</v>
      </c>
      <c r="E15" s="69" t="n">
        <v>0.02</v>
      </c>
    </row>
    <row r="16" ht="14.25" customHeight="1" s="281"/>
    <row r="17" ht="14.25" customHeight="1" s="281">
      <c r="A17" s="45" t="inlineStr">
        <is>
          <t>Expansion rate: 0.50%/month compounded to quarterly. Seat adds + upsells from existing base.</t>
        </is>
      </c>
    </row>
    <row r="18" ht="14.25" customHeight="1" s="281">
      <c r="A18" s="45" t="inlineStr">
        <is>
          <t>Churn rate: 0.67%/month compounded to quarterly. Target ~8% annual (down from 2025 actual).</t>
        </is>
      </c>
    </row>
    <row r="19" ht="14.25" customHeight="1" s="281">
      <c r="A19" s="70" t="inlineStr">
        <is>
          <t>Both rates apply to BEGINNING-of-quarter MRR, not ending.</t>
        </is>
      </c>
    </row>
    <row r="20" ht="14.25" customHeight="1" s="281"/>
    <row r="21" ht="14.25" customHeight="1" s="281">
      <c r="A21" s="46" t="inlineStr">
        <is>
          <t>MARGIN</t>
        </is>
      </c>
      <c r="B21" s="47" t="n"/>
      <c r="C21" s="47" t="n"/>
      <c r="D21" s="47" t="n"/>
      <c r="E21" s="47" t="n"/>
    </row>
    <row r="22" ht="14.25" customHeight="1" s="281">
      <c r="A22" s="50" t="inlineStr">
        <is>
          <t>Gross margin</t>
        </is>
      </c>
      <c r="B22" s="69" t="n">
        <v>0.7</v>
      </c>
      <c r="C22" s="45" t="inlineStr">
        <is>
          <t>Same across all quarters — no cost structure changes planned.</t>
        </is>
      </c>
    </row>
    <row r="23" ht="14.25" customHeight="1" s="281"/>
    <row r="24" ht="14.25" customHeight="1" s="281">
      <c r="A24" s="46" t="inlineStr">
        <is>
          <t>OPERATING EXPENSES</t>
        </is>
      </c>
      <c r="B24" s="47" t="n"/>
      <c r="C24" s="47" t="n"/>
      <c r="D24" s="47" t="n"/>
      <c r="E24" s="47" t="n"/>
    </row>
    <row r="25" ht="14.25" customHeight="1" s="281">
      <c r="A25" s="48" t="inlineStr">
        <is>
          <t>Metric</t>
        </is>
      </c>
      <c r="B25" s="48" t="inlineStr">
        <is>
          <t>Q1 2026</t>
        </is>
      </c>
      <c r="C25" s="48" t="inlineStr">
        <is>
          <t>Q2 2026</t>
        </is>
      </c>
      <c r="D25" s="48" t="inlineStr">
        <is>
          <t>Q3 2026</t>
        </is>
      </c>
      <c r="E25" s="48" t="inlineStr">
        <is>
          <t>Q4 2026</t>
        </is>
      </c>
    </row>
    <row r="26" ht="14.25" customHeight="1" s="281">
      <c r="A26" s="50" t="inlineStr">
        <is>
          <t>Sales &amp; Marketing</t>
        </is>
      </c>
      <c r="B26" s="68" t="n">
        <v>90000</v>
      </c>
      <c r="C26" s="68" t="n">
        <v>90000</v>
      </c>
      <c r="D26" s="68" t="n">
        <v>108000</v>
      </c>
      <c r="E26" s="68" t="n">
        <v>108000</v>
      </c>
    </row>
    <row r="27" ht="14.25" customHeight="1" s="281">
      <c r="A27" s="50" t="inlineStr">
        <is>
          <t>Research &amp; Development</t>
        </is>
      </c>
      <c r="B27" s="68" t="n">
        <v>75000</v>
      </c>
      <c r="C27" s="68" t="n">
        <v>75000</v>
      </c>
      <c r="D27" s="68" t="n">
        <v>75000</v>
      </c>
      <c r="E27" s="68" t="n">
        <v>75000</v>
      </c>
    </row>
    <row r="28" ht="14.25" customHeight="1" s="281">
      <c r="A28" s="50" t="inlineStr">
        <is>
          <t>General &amp; Administrative</t>
        </is>
      </c>
      <c r="B28" s="68" t="n">
        <v>57000</v>
      </c>
      <c r="C28" s="68" t="n">
        <v>57000</v>
      </c>
      <c r="D28" s="68" t="n">
        <v>57000</v>
      </c>
      <c r="E28" s="68" t="n">
        <v>57000</v>
      </c>
    </row>
    <row r="29" ht="14.25" customHeight="1" s="281">
      <c r="A29" s="52" t="inlineStr">
        <is>
          <t>Total OpEx</t>
        </is>
      </c>
      <c r="B29" s="71" t="n">
        <v>222000</v>
      </c>
      <c r="C29" s="71" t="n">
        <v>222000</v>
      </c>
      <c r="D29" s="71" t="n">
        <v>240000</v>
      </c>
      <c r="E29" s="71" t="n">
        <v>240000</v>
      </c>
    </row>
    <row r="30" ht="14.25" customHeight="1" s="281"/>
    <row r="31" ht="14.25" customHeight="1" s="281">
      <c r="A31" s="45" t="inlineStr">
        <is>
          <t>S&amp;M increases H2 to fund acquisition push. Not repeating H2 2025 drought.</t>
        </is>
      </c>
    </row>
    <row r="32" ht="14.25" customHeight="1" s="281"/>
    <row r="33" ht="14.25" customHeight="1" s="281">
      <c r="A33" s="46" t="inlineStr">
        <is>
          <t>REVENUE CONVENTION</t>
        </is>
      </c>
      <c r="B33" s="47" t="n"/>
      <c r="C33" s="47" t="n"/>
      <c r="D33" s="47" t="n"/>
      <c r="E33" s="47" t="n"/>
    </row>
    <row r="34" ht="14.25" customHeight="1" s="281">
      <c r="A34" s="50" t="inlineStr">
        <is>
          <t>Quarterly Revenue = Closing MRR × 3</t>
        </is>
      </c>
    </row>
    <row r="35" ht="14.25" customHeight="1" s="281">
      <c r="A35" s="45" t="inlineStr">
        <is>
          <t>This is the standard convention for forward-looking models: the ending run-rate × months in the period.</t>
        </is>
      </c>
    </row>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5" right="0.75" top="1" bottom="1" header="0" footer="0"/>
  <pageSetup orientation="landscape"/>
</worksheet>
</file>

<file path=xl/worksheets/sheet10.xml><?xml version="1.0" encoding="utf-8"?>
<worksheet xmlns="http://schemas.openxmlformats.org/spreadsheetml/2006/main">
  <sheetPr>
    <tabColor rgb="FF7030A0"/>
    <outlinePr summaryBelow="1" summaryRight="1"/>
    <pageSetUpPr/>
  </sheetPr>
  <dimension ref="A1:H66"/>
  <sheetViews>
    <sheetView workbookViewId="0">
      <selection activeCell="A1" sqref="A1"/>
    </sheetView>
  </sheetViews>
  <sheetFormatPr baseColWidth="8" defaultColWidth="14.43" defaultRowHeight="15" customHeight="1"/>
  <cols>
    <col width="32.71" customWidth="1" style="281" min="1" max="1"/>
    <col width="20" customWidth="1" style="281" min="2" max="2"/>
    <col width="58.14" customWidth="1" style="281" min="3" max="3"/>
    <col width="11.43" customWidth="1" style="281" min="4" max="4"/>
    <col width="11.29" customWidth="1" style="281" min="5" max="5"/>
    <col width="12.57" customWidth="1" style="281" min="6" max="6"/>
    <col width="8.710000000000001" customWidth="1" style="281" min="7" max="26"/>
  </cols>
  <sheetData>
    <row r="1" ht="14.25" customHeight="1" s="281">
      <c r="A1" s="27" t="inlineStr">
        <is>
          <t>MRR Waterfall</t>
        </is>
      </c>
    </row>
    <row r="2" ht="14.25" customHeight="1" s="281">
      <c r="A2" s="48" t="inlineStr">
        <is>
          <t>Metric</t>
        </is>
      </c>
      <c r="B2" s="48" t="inlineStr">
        <is>
          <t>Actual - Jan 26</t>
        </is>
      </c>
      <c r="C2" s="72" t="inlineStr">
        <is>
          <t>Forecast - Jan 26</t>
        </is>
      </c>
      <c r="D2" s="72" t="inlineStr">
        <is>
          <t>$ Variance</t>
        </is>
      </c>
      <c r="E2" s="72" t="inlineStr">
        <is>
          <t>% Variance</t>
        </is>
      </c>
      <c r="F2" s="72" t="inlineStr">
        <is>
          <t>F/U</t>
        </is>
      </c>
    </row>
    <row r="3" ht="14.25" customHeight="1" s="281">
      <c r="A3" s="50" t="inlineStr">
        <is>
          <t>Opening MRR</t>
        </is>
      </c>
      <c r="B3" s="73" t="n">
        <v>143069.5</v>
      </c>
      <c r="C3" s="73">
        <f>'2026 Forecast'!B7</f>
        <v/>
      </c>
      <c r="D3" s="73">
        <f>B3-C3</f>
        <v/>
      </c>
      <c r="E3" s="74">
        <f>IFERROR(B3/C3-1, 0)</f>
        <v/>
      </c>
      <c r="F3" s="75">
        <f t="array" ref="F3">IFS(D3&lt;0, "U", D3&gt;0, "F", D3=0, "-")</f>
        <v/>
      </c>
    </row>
    <row r="4" ht="14.25" customHeight="1" s="281">
      <c r="A4" s="50" t="inlineStr">
        <is>
          <t>+ New MRR</t>
        </is>
      </c>
      <c r="B4" s="73" t="n">
        <v>1710</v>
      </c>
      <c r="C4" s="73" t="n">
        <v>4000</v>
      </c>
      <c r="D4" s="73">
        <f>B4-C4</f>
        <v/>
      </c>
      <c r="E4" s="74">
        <f>IFERROR(B4/C4-1, 0)</f>
        <v/>
      </c>
      <c r="F4" s="75">
        <f t="array" ref="F4">IFS(D4&lt;0, "U", D4&gt;0, "F", D4=0, "-")</f>
        <v/>
      </c>
    </row>
    <row r="5" ht="14.25" customHeight="1" s="281">
      <c r="A5" s="50" t="inlineStr">
        <is>
          <t>+ Expansion MRR</t>
        </is>
      </c>
      <c r="B5" s="73" t="n">
        <v>0</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t="n">
        <v>0</v>
      </c>
      <c r="C7" s="73">
        <f>'2026 Forecast'!B10/3</f>
        <v/>
      </c>
      <c r="D7" s="73">
        <f>C7-B7</f>
        <v/>
      </c>
      <c r="E7" s="74">
        <f>IFERROR(B7/C7-1, 0)</f>
        <v/>
      </c>
      <c r="F7" s="75">
        <f t="array" ref="F7">IFS(D7&gt;0, "U", D7&lt;0, "F", D7=0, "-")</f>
        <v/>
      </c>
    </row>
    <row r="8" ht="14.25" customHeight="1" s="281">
      <c r="A8" s="52" t="inlineStr">
        <is>
          <t>Net New MRR</t>
        </is>
      </c>
      <c r="B8" s="76">
        <f>B4+B5-B7</f>
        <v/>
      </c>
      <c r="C8" s="76">
        <f>C4+C5-C7</f>
        <v/>
      </c>
      <c r="D8" s="76">
        <f>B8-C8</f>
        <v/>
      </c>
      <c r="E8" s="77">
        <f>B8/C8-1</f>
        <v/>
      </c>
      <c r="F8" s="78">
        <f t="array" ref="F8">IFS(D8&lt;0, "U", D8&gt;0, "F", D8=0, "-")</f>
        <v/>
      </c>
    </row>
    <row r="9" ht="14.25" customHeight="1" s="281">
      <c r="A9" s="52" t="inlineStr">
        <is>
          <t>Closing MRR</t>
        </is>
      </c>
      <c r="B9" s="76">
        <f>B3+B4+B5-B7</f>
        <v/>
      </c>
      <c r="C9" s="76">
        <f>C3+C8</f>
        <v/>
      </c>
      <c r="D9" s="76">
        <f>B9-C9</f>
        <v/>
      </c>
      <c r="E9" s="77">
        <f>B9/C9-1</f>
        <v/>
      </c>
      <c r="F9" s="78">
        <f t="array" ref="F9">IFS(D9&lt;0, "U", D9&gt;0, "F", D9=0, "-")</f>
        <v/>
      </c>
    </row>
    <row r="10" ht="14.25" customHeight="1" s="281">
      <c r="A10" s="52" t="inlineStr">
        <is>
          <t>Closing ARR</t>
        </is>
      </c>
      <c r="B10" s="76">
        <f>B9*12</f>
        <v/>
      </c>
      <c r="C10" s="71">
        <f>C9*12</f>
        <v/>
      </c>
      <c r="D10" s="71">
        <f>B10-C10</f>
        <v/>
      </c>
      <c r="E10" s="77">
        <f>B10/C10-1</f>
        <v/>
      </c>
      <c r="F10" s="78">
        <f t="array" ref="F10">IFS(D10&lt;0, "U", D10&gt;0, "F", D10=0, "-")</f>
        <v/>
      </c>
    </row>
    <row r="11" ht="14.25" customHeight="1" s="281"/>
    <row r="12" ht="14.25" customHeight="1" s="281">
      <c r="A12" s="79" t="inlineStr">
        <is>
          <t>P&amp;L</t>
        </is>
      </c>
    </row>
    <row r="13" ht="14.25" customHeight="1" s="281">
      <c r="A13" s="48" t="inlineStr">
        <is>
          <t>Metric</t>
        </is>
      </c>
      <c r="B13" s="48" t="inlineStr">
        <is>
          <t>Actual - Jan 26</t>
        </is>
      </c>
      <c r="C13" s="72" t="inlineStr">
        <is>
          <t>Forecast - Jan 26</t>
        </is>
      </c>
      <c r="D13" s="72" t="inlineStr">
        <is>
          <t>$ Variance</t>
        </is>
      </c>
      <c r="E13" s="72" t="inlineStr">
        <is>
          <t>% Variance</t>
        </is>
      </c>
      <c r="F13" s="72" t="inlineStr">
        <is>
          <t>F/U</t>
        </is>
      </c>
    </row>
    <row r="14" ht="14.25" customHeight="1" s="281">
      <c r="A14" s="50" t="inlineStr">
        <is>
          <t>Revenue</t>
        </is>
      </c>
      <c r="B14" s="166">
        <f>B9</f>
        <v/>
      </c>
      <c r="C14" s="166">
        <f>C9</f>
        <v/>
      </c>
      <c r="D14" s="166">
        <f>B14-C14</f>
        <v/>
      </c>
      <c r="E14" s="81">
        <f>B14/C14-1</f>
        <v/>
      </c>
      <c r="F14" s="75">
        <f t="array" ref="F14">IFS(D14&lt;0, "U", D14&gt;0, "F", D14=0, "-")</f>
        <v/>
      </c>
      <c r="H14" s="45" t="n"/>
    </row>
    <row r="15" ht="14.25" customHeight="1" s="281">
      <c r="A15" s="50" t="inlineStr">
        <is>
          <t>COGS</t>
        </is>
      </c>
      <c r="B15" s="166">
        <f>B14*(1-B17)</f>
        <v/>
      </c>
      <c r="C15" s="166">
        <f>C14*0.3</f>
        <v/>
      </c>
      <c r="D15" s="166">
        <f>B15-C15</f>
        <v/>
      </c>
      <c r="E15" s="81">
        <f>B15/C15-1</f>
        <v/>
      </c>
      <c r="F15" s="75">
        <f t="array" ref="F15">IFS(D15&gt;0, "U", D15&lt;0, "F", D15=0, "-")</f>
        <v/>
      </c>
      <c r="H15" s="45" t="inlineStr">
        <is>
          <t>→ Revenue × (1 − gross margin)</t>
        </is>
      </c>
    </row>
    <row r="16" ht="14.25" customHeight="1" s="281">
      <c r="A16" s="52" t="inlineStr">
        <is>
          <t>Gross Profit</t>
        </is>
      </c>
      <c r="B16" s="82">
        <f>B14-B15</f>
        <v/>
      </c>
      <c r="C16" s="82">
        <f>C14-C15</f>
        <v/>
      </c>
      <c r="D16" s="166">
        <f>B16-C16</f>
        <v/>
      </c>
      <c r="E16" s="81">
        <f>B16/C16-1</f>
        <v/>
      </c>
      <c r="F16" s="75">
        <f t="array" ref="F16">IFS(D16&lt;0, "U", D16&gt;0, "F", D16=0, "-")</f>
        <v/>
      </c>
      <c r="H16" s="45" t="inlineStr">
        <is>
          <t>→ Revenue − COGS</t>
        </is>
      </c>
    </row>
    <row r="17" ht="14.25" customHeight="1" s="281">
      <c r="A17" s="50" t="inlineStr">
        <is>
          <t>Gross Margin %</t>
        </is>
      </c>
      <c r="B17" s="81" t="n">
        <v>0.7</v>
      </c>
      <c r="C17" s="81">
        <f>C16/C14</f>
        <v/>
      </c>
      <c r="D17" s="166" t="n"/>
      <c r="E17" s="81">
        <f>B17/C17-1</f>
        <v/>
      </c>
      <c r="F17" s="75">
        <f t="array" ref="F17">IFS(D17&lt;0, "U", D17&gt;0, "F", D17=0, "-")</f>
        <v/>
      </c>
      <c r="H17" s="45" t="inlineStr">
        <is>
          <t>→ GP / Revenue</t>
        </is>
      </c>
    </row>
    <row r="18" ht="14.25" customHeight="1" s="281">
      <c r="A18" s="50" t="inlineStr">
        <is>
          <t>Sales &amp; Marketing</t>
        </is>
      </c>
      <c r="B18" s="166">
        <f>'Forecast Assumptions'!B26/3</f>
        <v/>
      </c>
      <c r="C18" s="166">
        <f>'2026 Forecast'!B25/3</f>
        <v/>
      </c>
      <c r="D18" s="166">
        <f>B18-C18</f>
        <v/>
      </c>
      <c r="E18" s="81">
        <f>B18/C18-1</f>
        <v/>
      </c>
      <c r="F18" s="75">
        <f t="array" ref="F18">IFS(D18&lt;0, "U", D18&gt;0, "F", D18=0, "-")</f>
        <v/>
      </c>
      <c r="H18" s="45" t="inlineStr">
        <is>
          <t>← From Assumptions tab</t>
        </is>
      </c>
    </row>
    <row r="19" ht="14.25" customHeight="1" s="281">
      <c r="A19" s="50" t="inlineStr">
        <is>
          <t>Research &amp; Development</t>
        </is>
      </c>
      <c r="B19" s="166">
        <f>'Forecast Assumptions'!B27/3</f>
        <v/>
      </c>
      <c r="C19" s="166">
        <f>'2026 Forecast'!B26/3</f>
        <v/>
      </c>
      <c r="D19" s="166">
        <f>B19-C19</f>
        <v/>
      </c>
      <c r="E19" s="81">
        <f>B19/C19-1</f>
        <v/>
      </c>
      <c r="F19" s="75">
        <f t="array" ref="F19">IFS(D19&lt;0, "U", D19&gt;0, "F", D19=0, "-")</f>
        <v/>
      </c>
      <c r="H19" s="45" t="inlineStr">
        <is>
          <t>← From Assumptions tab</t>
        </is>
      </c>
    </row>
    <row r="20" ht="14.25" customHeight="1" s="281">
      <c r="A20" s="50" t="inlineStr">
        <is>
          <t>General &amp; Administrative</t>
        </is>
      </c>
      <c r="B20" s="166">
        <f>'Forecast Assumptions'!B28/3</f>
        <v/>
      </c>
      <c r="C20" s="166">
        <f>'2026 Forecast'!B27/3</f>
        <v/>
      </c>
      <c r="D20" s="166">
        <f>B20-C20</f>
        <v/>
      </c>
      <c r="E20" s="81">
        <f>B20/C20-1</f>
        <v/>
      </c>
      <c r="F20" s="75">
        <f t="array" ref="F20">IFS(D20&lt;0, "U", D20&gt;0, "F", D20=0, "-")</f>
        <v/>
      </c>
      <c r="H20" s="45" t="inlineStr">
        <is>
          <t>← From Assumptions tab</t>
        </is>
      </c>
    </row>
    <row r="21" ht="14.25" customHeight="1" s="281">
      <c r="A21" s="52" t="inlineStr">
        <is>
          <t>Total OpEx</t>
        </is>
      </c>
      <c r="B21" s="82">
        <f>SUM(B18:B20)</f>
        <v/>
      </c>
      <c r="C21" s="82">
        <f>'2026 Forecast'!B28/3</f>
        <v/>
      </c>
      <c r="D21" s="166">
        <f>B21-C21</f>
        <v/>
      </c>
      <c r="E21" s="81">
        <f>B21/C21-1</f>
        <v/>
      </c>
      <c r="F21" s="75">
        <f t="array" ref="F21">IFS(D21&lt;0, "U", D21&gt;0, "F", D21=0, "-")</f>
        <v/>
      </c>
      <c r="H21" s="45" t="inlineStr">
        <is>
          <t>S&amp;M + R&amp;D + G&amp;A</t>
        </is>
      </c>
    </row>
    <row r="22" ht="14.25" customHeight="1" s="281">
      <c r="A22" s="52" t="inlineStr">
        <is>
          <t>EBITDA</t>
        </is>
      </c>
      <c r="B22" s="82">
        <f>B16-B21</f>
        <v/>
      </c>
      <c r="C22" s="82">
        <f>C16-C21</f>
        <v/>
      </c>
      <c r="D22" s="166">
        <f>B22-C22</f>
        <v/>
      </c>
      <c r="E22" s="81">
        <f>B22/C22-1</f>
        <v/>
      </c>
      <c r="F22" s="75">
        <f t="array" ref="F22">IFS(D22&lt;0, "U", D22&gt;0, "F", D22=0, "-")</f>
        <v/>
      </c>
      <c r="H22" s="45" t="inlineStr">
        <is>
          <t>→ Gross Profit − Total OpEx</t>
        </is>
      </c>
    </row>
    <row r="23" ht="14.25" customHeight="1" s="281">
      <c r="A23" s="50" t="inlineStr">
        <is>
          <t>EBITDA Margin %</t>
        </is>
      </c>
      <c r="B23" s="81">
        <f>B22/B14</f>
        <v/>
      </c>
      <c r="C23" s="81">
        <f>C22/C14</f>
        <v/>
      </c>
      <c r="D23" s="81">
        <f>B23-C23</f>
        <v/>
      </c>
      <c r="E23" s="81">
        <f>B23/C23-1</f>
        <v/>
      </c>
      <c r="F23" s="75">
        <f t="array" ref="F23">IFS(D23&lt;0, "U", D23&gt;0, "F", D23=0, "-")</f>
        <v/>
      </c>
      <c r="H23" s="45" t="inlineStr">
        <is>
          <t>→ EBITDA / Revenue</t>
        </is>
      </c>
    </row>
    <row r="24" ht="14.25" customHeight="1" s="281"/>
    <row r="25" ht="14.25" customHeight="1" s="281">
      <c r="A25" s="27" t="inlineStr">
        <is>
          <t>Summary:</t>
        </is>
      </c>
    </row>
    <row r="26" ht="14.25" customHeight="1" s="281">
      <c r="A26" s="230" t="inlineStr">
        <is>
          <t xml:space="preserve">January closed with an MRR of $144,780, -$2,051.55 (-1.4%) below expectation. </t>
        </is>
      </c>
    </row>
    <row r="27" ht="14.25" customHeight="1" s="281">
      <c r="A27" s="230" t="inlineStr">
        <is>
          <t xml:space="preserve">This is due to the lack of new customers acquired this month. </t>
        </is>
      </c>
    </row>
    <row r="28" ht="14.25" customHeight="1" s="281">
      <c r="A28" s="230" t="inlineStr">
        <is>
          <t xml:space="preserve">There was only 1 new customer signing this month which is less than the expected 1.3 new customers </t>
        </is>
      </c>
    </row>
    <row r="29" ht="14.25" customHeight="1" s="281">
      <c r="A29" s="230" t="inlineStr">
        <is>
          <t>The customers revenue was $1,710 which is 43% less than the planned rate of $3000 per customer.</t>
        </is>
      </c>
    </row>
    <row r="30" ht="14.25" customHeight="1" s="281">
      <c r="A30" s="230" t="inlineStr">
        <is>
          <t>There was no expansion recorded this month versus the expected $715.35.</t>
        </is>
      </c>
    </row>
    <row r="31" ht="14.25" customHeight="1" s="281">
      <c r="A31" s="230" t="inlineStr">
        <is>
          <t>Offsetting this was the lack of churned MRR this month which resulted in a favorable variance of $954.</t>
        </is>
      </c>
    </row>
    <row r="32" ht="14.25" customHeight="1" s="281">
      <c r="A32" s="230" t="inlineStr">
        <is>
          <t>EBITDA of $27,345.65 was 5% lower than the expected $28,781.74. This was driven by the shortfall in Gross Profit due to the Closing MRR being less than anticipated.</t>
        </is>
      </c>
    </row>
    <row r="33" ht="14.25" customHeight="1" s="281">
      <c r="A33" s="230" t="inlineStr">
        <is>
          <t>Operating Expenses were in line with expectation.</t>
        </is>
      </c>
    </row>
    <row r="34" ht="14.25" customHeight="1" s="281">
      <c r="A34" s="230" t="inlineStr">
        <is>
          <t>Currently, Q1 is approximately $6000 less than planned, which could be fixed with a strong performance in February.</t>
        </is>
      </c>
    </row>
    <row r="35" ht="14.25" customHeight="1" s="281"/>
    <row r="36" ht="14.25" customHeight="1" s="281">
      <c r="A36" s="144" t="inlineStr">
        <is>
          <t>January 2026 — SaaS KPIs</t>
        </is>
      </c>
    </row>
    <row r="37" ht="14.25" customHeight="1" s="281"/>
    <row r="38" ht="14.25" customHeight="1" s="281">
      <c r="A38" s="84" t="inlineStr">
        <is>
          <t>Metric</t>
        </is>
      </c>
      <c r="B38" s="84" t="inlineStr">
        <is>
          <t>Value</t>
        </is>
      </c>
      <c r="C38" s="84" t="inlineStr">
        <is>
          <t>Notes</t>
        </is>
      </c>
    </row>
    <row r="39" ht="14.25" customHeight="1" s="281">
      <c r="A39" s="230" t="inlineStr">
        <is>
          <t>Active Customers</t>
        </is>
      </c>
      <c r="B39" s="85" t="n">
        <v>39</v>
      </c>
      <c r="C39" s="230" t="inlineStr">
        <is>
          <t>From your Jan 31 SQL snapshot</t>
        </is>
      </c>
    </row>
    <row r="40" ht="14.25" customHeight="1" s="281">
      <c r="A40" s="230" t="inlineStr">
        <is>
          <t>Active Subscriptions</t>
        </is>
      </c>
      <c r="B40" s="85" t="n">
        <v>52</v>
      </c>
      <c r="C40" s="230" t="inlineStr">
        <is>
          <t>From your Jan 31 SQL snapshot</t>
        </is>
      </c>
    </row>
    <row r="41" ht="14.25" customHeight="1" s="281">
      <c r="A41" s="230" t="inlineStr">
        <is>
          <t>ARPA</t>
        </is>
      </c>
      <c r="B41" s="166">
        <f>'Jan 2026 A vs F '!B9/'Jan 2026 A vs F '!B39</f>
        <v/>
      </c>
      <c r="C41" s="230" t="inlineStr">
        <is>
          <t>Excel 04</t>
        </is>
      </c>
    </row>
    <row r="42" ht="14.25" customHeight="1" s="281">
      <c r="A42" s="230" t="inlineStr">
        <is>
          <t>Gross Margin</t>
        </is>
      </c>
      <c r="B42" s="175">
        <f>B17</f>
        <v/>
      </c>
      <c r="C42" s="230" t="inlineStr">
        <is>
          <t>Already in your P&amp;L</t>
        </is>
      </c>
    </row>
    <row r="43" ht="14.25" customHeight="1" s="281">
      <c r="A43" s="230" t="inlineStr">
        <is>
          <t>GRR</t>
        </is>
      </c>
      <c r="B43" s="175">
        <f>Retention!Z6</f>
        <v/>
      </c>
      <c r="C43" s="230" t="inlineStr">
        <is>
          <t>Excel 03</t>
        </is>
      </c>
    </row>
    <row r="44" ht="14.25" customHeight="1" s="281">
      <c r="A44" s="230" t="inlineStr">
        <is>
          <t>NRR</t>
        </is>
      </c>
      <c r="B44" s="175">
        <f>Retention!Z7</f>
        <v/>
      </c>
      <c r="C44" s="230" t="inlineStr">
        <is>
          <t>Excel 03</t>
        </is>
      </c>
    </row>
    <row r="45" ht="14.25" customHeight="1" s="281">
      <c r="A45" s="230" t="inlineStr">
        <is>
          <t>Quick Ratio</t>
        </is>
      </c>
      <c r="B45" s="230" t="inlineStr">
        <is>
          <t>N/A — no losses</t>
        </is>
      </c>
      <c r="C45" s="230" t="inlineStr">
        <is>
          <t xml:space="preserve">Excel 02 </t>
        </is>
      </c>
    </row>
    <row r="46" ht="14.25" customHeight="1" s="281">
      <c r="A46" s="230" t="inlineStr">
        <is>
          <t>S&amp;M (actual)</t>
        </is>
      </c>
      <c r="B46" s="184">
        <f>B18</f>
        <v/>
      </c>
      <c r="C46" s="230" t="inlineStr">
        <is>
          <t>From Lisa's monthly close message</t>
        </is>
      </c>
    </row>
    <row r="47" ht="14.25" customHeight="1" s="281">
      <c r="A47" s="230" t="inlineStr">
        <is>
          <t>CAC — this month</t>
        </is>
      </c>
      <c r="B47" s="184">
        <f>B46/1</f>
        <v/>
      </c>
      <c r="C47" s="230" t="inlineStr">
        <is>
          <t>Excel 04 — S&amp;M ÷ new customers acquired this month (= 1 new logo Jan)</t>
        </is>
      </c>
    </row>
    <row r="48" ht="14.25" customHeight="1" s="281">
      <c r="A48" s="230" t="inlineStr">
        <is>
          <t>LTV</t>
        </is>
      </c>
      <c r="B48" s="230" t="inlineStr">
        <is>
          <t>—</t>
        </is>
      </c>
      <c r="C48" s="230" t="inlineStr">
        <is>
          <t>Quarterly metric — calculated at Q1 close</t>
        </is>
      </c>
    </row>
    <row r="49" ht="14.25" customHeight="1" s="281">
      <c r="A49" s="230" t="inlineStr">
        <is>
          <t>LTV:CAC</t>
        </is>
      </c>
      <c r="B49" s="230" t="inlineStr">
        <is>
          <t>—</t>
        </is>
      </c>
      <c r="C49" s="230" t="inlineStr">
        <is>
          <t>Quarterly metric — calculated at Q1 close</t>
        </is>
      </c>
    </row>
    <row r="50" ht="14.25" customHeight="1" s="281">
      <c r="A50" s="230" t="inlineStr">
        <is>
          <t>CAC Payback</t>
        </is>
      </c>
      <c r="B50" s="230" t="inlineStr">
        <is>
          <t>—</t>
        </is>
      </c>
      <c r="C50" s="230" t="inlineStr">
        <is>
          <t>Quarterly metric — calculated at Q1 close</t>
        </is>
      </c>
    </row>
    <row r="51" ht="14.25" customHeight="1" s="281"/>
    <row r="52" ht="14.25" customHeight="1" s="281">
      <c r="A52" s="88" t="inlineStr">
        <is>
          <t>* Monthly CAC note:</t>
        </is>
      </c>
    </row>
    <row r="53" ht="14.25" customHeight="1" s="281">
      <c r="A53" s="88" t="inlineStr">
        <is>
          <t>Monthly CAC is noisy with one customer. Q1 CAC will be calculated after March closes using total Q1 S&amp;M spend ÷ total new customers acquired.</t>
        </is>
      </c>
    </row>
    <row r="54" ht="14.25" customHeight="1" s="281"/>
    <row r="55" ht="14.25" customHeight="1" s="281">
      <c r="A55" s="88" t="inlineStr">
        <is>
          <t>† Quarterly metrics note:</t>
        </is>
      </c>
    </row>
    <row r="56" ht="14.25" customHeight="1" s="281">
      <c r="A56" s="88" t="inlineStr">
        <is>
          <t>LTV, LTV:CAC, and CAC Payback are calculated quarterly using the trailing 12-month gross churn rate. See Q1 Roll-Up (coming in 06d).</t>
        </is>
      </c>
    </row>
    <row r="57" ht="14.25" customHeight="1" s="281"/>
    <row r="58" ht="14.25" customHeight="1" s="281"/>
    <row r="59" ht="14.25" customHeight="1" s="281">
      <c r="A59" s="89" t="inlineStr">
        <is>
          <t>Self-Check — KPIs</t>
        </is>
      </c>
    </row>
    <row r="60" ht="14.25" customHeight="1" s="281"/>
    <row r="61" ht="14.25" customHeight="1" s="281">
      <c r="A61" s="84" t="inlineStr">
        <is>
          <t>Metric</t>
        </is>
      </c>
      <c r="B61" s="84" t="inlineStr">
        <is>
          <t>Your value</t>
        </is>
      </c>
    </row>
    <row r="62" ht="14.25" customHeight="1" s="281">
      <c r="A62" s="230" t="inlineStr">
        <is>
          <t>ARPA</t>
        </is>
      </c>
      <c r="B62" s="166">
        <f>B41</f>
        <v/>
      </c>
    </row>
    <row r="63" ht="14.25" customHeight="1" s="281">
      <c r="A63" s="230" t="inlineStr">
        <is>
          <t>GRR</t>
        </is>
      </c>
      <c r="B63" s="175">
        <f>B43</f>
        <v/>
      </c>
    </row>
    <row r="64" ht="14.25" customHeight="1" s="281">
      <c r="A64" s="230" t="inlineStr">
        <is>
          <t>NRR</t>
        </is>
      </c>
      <c r="B64" s="175">
        <f>B44</f>
        <v/>
      </c>
    </row>
    <row r="65" ht="14.25" customHeight="1" s="281">
      <c r="A65" s="230" t="inlineStr">
        <is>
          <t>Quick Ratio</t>
        </is>
      </c>
      <c r="B65" s="230">
        <f>B45</f>
        <v/>
      </c>
    </row>
    <row r="66" ht="14.25" customHeight="1" s="281">
      <c r="A66" s="230" t="inlineStr">
        <is>
          <t>CAC (monthly)</t>
        </is>
      </c>
      <c r="B66" s="184">
        <f>B47</f>
        <v/>
      </c>
    </row>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portrait"/>
</worksheet>
</file>

<file path=xl/worksheets/sheet11.xml><?xml version="1.0" encoding="utf-8"?>
<worksheet xmlns="http://schemas.openxmlformats.org/spreadsheetml/2006/main">
  <sheetPr>
    <tabColor rgb="FF31859B"/>
    <outlinePr summaryBelow="1" summaryRight="1"/>
    <pageSetUpPr/>
  </sheetPr>
  <dimension ref="A1:H64"/>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8.710000000000001" customWidth="1" style="281" min="9" max="26"/>
  </cols>
  <sheetData>
    <row r="1" ht="14.25" customHeight="1" s="281">
      <c r="A1" s="27" t="inlineStr">
        <is>
          <t>MRR Waterfall</t>
        </is>
      </c>
    </row>
    <row r="2" ht="14.25" customHeight="1" s="281">
      <c r="A2" s="140" t="inlineStr">
        <is>
          <t>Metric</t>
        </is>
      </c>
      <c r="B2" s="140" t="inlineStr">
        <is>
          <t>Actual - Feb 26</t>
        </is>
      </c>
      <c r="C2" s="140" t="inlineStr">
        <is>
          <t>Forecast - Feb 26</t>
        </is>
      </c>
      <c r="D2" s="140" t="inlineStr">
        <is>
          <t>$ Variance</t>
        </is>
      </c>
      <c r="E2" s="140" t="inlineStr">
        <is>
          <t>% Variance</t>
        </is>
      </c>
      <c r="F2" s="140" t="inlineStr">
        <is>
          <t>F/U</t>
        </is>
      </c>
    </row>
    <row r="3" ht="14.25" customHeight="1" s="281">
      <c r="A3" s="50" t="inlineStr">
        <is>
          <t>Opening MRR</t>
        </is>
      </c>
      <c r="B3" s="73">
        <f>'Jan 2026 A vs F '!B9</f>
        <v/>
      </c>
      <c r="C3" s="73" t="n">
        <v>146831.05</v>
      </c>
      <c r="D3" s="73">
        <f>B3-C3</f>
        <v/>
      </c>
      <c r="E3" s="74">
        <f>IFERROR(B3/C3-1, 0)</f>
        <v/>
      </c>
      <c r="F3" s="75">
        <f t="array" ref="F3">IFS(D3&lt;0, "U", D3&gt;0, "F", D3=0, "-")</f>
        <v/>
      </c>
    </row>
    <row r="4" ht="14.25" customHeight="1" s="281">
      <c r="A4" s="91" t="inlineStr">
        <is>
          <t>+ New MRR</t>
        </is>
      </c>
      <c r="B4" s="73" t="n">
        <v>6120</v>
      </c>
      <c r="C4" s="73" t="n">
        <v>4000</v>
      </c>
      <c r="D4" s="73">
        <f>B4-C4</f>
        <v/>
      </c>
      <c r="E4" s="74">
        <f>IFERROR(B4/C4-1, 0)</f>
        <v/>
      </c>
      <c r="F4" s="75">
        <f t="array" ref="F4">IFS(D4&lt;0, "U", D4&gt;0, "F", D4=0, "-")</f>
        <v/>
      </c>
    </row>
    <row r="5" ht="14.25" customHeight="1" s="281">
      <c r="A5" s="91" t="inlineStr">
        <is>
          <t>+ Expansion MRR</t>
        </is>
      </c>
      <c r="B5" s="73" t="n">
        <v>0</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t="n">
        <v>594</v>
      </c>
      <c r="C7" s="73">
        <f>'2026 Forecast'!B10/3</f>
        <v/>
      </c>
      <c r="D7" s="73">
        <f>C7-B7</f>
        <v/>
      </c>
      <c r="E7" s="74">
        <f>IFERROR(B7/C7-1, 0)</f>
        <v/>
      </c>
      <c r="F7" s="92">
        <f t="array" ref="F7">IFS(D7&gt;0, "F", D7&lt;0, "U", D7=0, "-")</f>
        <v/>
      </c>
    </row>
    <row r="8" ht="14.25" customHeight="1" s="281">
      <c r="A8" s="93" t="inlineStr">
        <is>
          <t>Net New MRR</t>
        </is>
      </c>
      <c r="B8" s="94">
        <f>B4+B5-B7</f>
        <v/>
      </c>
      <c r="C8" s="94">
        <f>C4+C5-C7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t="inlineStr">
        <is>
          <t>Actual - Feb 26</t>
        </is>
      </c>
      <c r="C13" s="140" t="inlineStr">
        <is>
          <t>Forecast - Feb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t="n">
        <v>31000</v>
      </c>
      <c r="C18" s="166">
        <f>'2026 Forecast'!B25/3</f>
        <v/>
      </c>
      <c r="D18" s="166">
        <f>B18-C18</f>
        <v/>
      </c>
      <c r="E18" s="81">
        <f>B18/C18-1</f>
        <v/>
      </c>
      <c r="F18" s="75">
        <f t="array" ref="F18">IFS(D18&lt;0, "U", D18&gt;0, "F", D18=0, "-")</f>
        <v/>
      </c>
      <c r="H18" s="45" t="inlineStr">
        <is>
          <t>← From Assumptions tab</t>
        </is>
      </c>
    </row>
    <row r="19" ht="14.25" customHeight="1" s="281">
      <c r="A19" s="79" t="inlineStr">
        <is>
          <t>Research &amp; Development</t>
        </is>
      </c>
      <c r="B19" s="166">
        <f>'Forecast Assumptions'!B27/3</f>
        <v/>
      </c>
      <c r="C19" s="166">
        <f>'2026 Forecast'!B26/3</f>
        <v/>
      </c>
      <c r="D19" s="166">
        <f>B19-C19</f>
        <v/>
      </c>
      <c r="E19" s="81">
        <f>B19/C19-1</f>
        <v/>
      </c>
      <c r="F19" s="75">
        <f t="array" ref="F19">IFS(D19&lt;0, "U", D19&gt;0, "F", D19=0, "-")</f>
        <v/>
      </c>
      <c r="H19" s="45" t="inlineStr">
        <is>
          <t>← From Assumptions tab</t>
        </is>
      </c>
    </row>
    <row r="20" ht="14.25" customHeight="1" s="281">
      <c r="A20" s="79" t="inlineStr">
        <is>
          <t>General &amp; Administrative</t>
        </is>
      </c>
      <c r="B20" s="166">
        <f>'Forecast Assumptions'!B28/3</f>
        <v/>
      </c>
      <c r="C20" s="166">
        <f>'2026 Forecast'!B27/3</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'2026 Forecast'!B28/3</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81">
        <f>B22/B14</f>
        <v/>
      </c>
      <c r="C23" s="81">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February 2026 — SaaS KPIs</t>
        </is>
      </c>
    </row>
    <row r="28" ht="14.25" customHeight="1" s="281"/>
    <row r="29" ht="14.25" customHeight="1" s="281">
      <c r="A29" s="84" t="inlineStr">
        <is>
          <t>Metric</t>
        </is>
      </c>
      <c r="B29" s="84" t="inlineStr">
        <is>
          <t>Value</t>
        </is>
      </c>
      <c r="C29" s="84" t="inlineStr">
        <is>
          <t>vs Jan 2026</t>
        </is>
      </c>
      <c r="D29" s="84" t="inlineStr">
        <is>
          <t>Notes</t>
        </is>
      </c>
    </row>
    <row r="30" ht="14.25" customHeight="1" s="281">
      <c r="A30" s="181" t="inlineStr">
        <is>
          <t>Active Customers</t>
        </is>
      </c>
      <c r="B30" s="85" t="n">
        <v>41</v>
      </c>
      <c r="C30" s="181">
        <f t="array" ref="C30">IFERROR(B30-XLOOKUP("Active Customers",'KPI Tracker'!$A$4:$A$16,'KPI Tracker'!$B$4:$B$16),"—")</f>
        <v/>
      </c>
      <c r="D30" s="181" t="inlineStr">
        <is>
          <t>From your Feb 28 SQL snapshot</t>
        </is>
      </c>
    </row>
    <row r="31" ht="14.25" customHeight="1" s="281">
      <c r="A31" s="181" t="inlineStr">
        <is>
          <t>Active Subscriptions</t>
        </is>
      </c>
      <c r="B31" s="85" t="n">
        <v>53</v>
      </c>
      <c r="C31" s="181">
        <f t="array" ref="C31">IFERROR(B31-XLOOKUP("Active Subscriptions",'KPI Tracker'!$A$4:$A$16,'KPI Tracker'!$B$4:$B$16),"—")</f>
        <v/>
      </c>
      <c r="D31" s="181" t="inlineStr">
        <is>
          <t>From your Feb 28 SQL snapshot</t>
        </is>
      </c>
    </row>
    <row r="32" ht="14.25" customHeight="1" s="281">
      <c r="A32" s="181" t="inlineStr">
        <is>
          <t>ARPA</t>
        </is>
      </c>
      <c r="B32" s="166">
        <f>B9/B30</f>
        <v/>
      </c>
      <c r="C32" s="166">
        <f t="array" ref="C32">IFERROR(B32-XLOOKUP("ARPA",'KPI Tracker'!$A$4:$A$16,'KPI Tracker'!$B$4:$B$16),"—")</f>
        <v/>
      </c>
      <c r="D32" s="181" t="inlineStr">
        <is>
          <t>Excel 04</t>
        </is>
      </c>
    </row>
    <row r="33" ht="14.25" customHeight="1" s="281">
      <c r="A33" s="181" t="inlineStr">
        <is>
          <t>Gross Margin</t>
        </is>
      </c>
      <c r="B33" s="175">
        <f>B17</f>
        <v/>
      </c>
      <c r="C33" s="175">
        <f t="array" ref="C33">IFERROR(B33-XLOOKUP("Gross Margin",'KPI Tracker'!$A$4:$A$16,'KPI Tracker'!$B$4:$B$16),"—")</f>
        <v/>
      </c>
      <c r="D33" s="181" t="inlineStr">
        <is>
          <t>Already in your P&amp;L</t>
        </is>
      </c>
    </row>
    <row r="34" ht="14.25" customHeight="1" s="281">
      <c r="A34" s="181" t="inlineStr">
        <is>
          <t>GRR</t>
        </is>
      </c>
      <c r="B34" s="175">
        <f>Retention!AA6</f>
        <v/>
      </c>
      <c r="C34" s="175">
        <f t="array" ref="C34">IFERROR(B34-XLOOKUP("GRR",'KPI Tracker'!$A$4:$A$16,'KPI Tracker'!$B$4:$B$16),"—")</f>
        <v/>
      </c>
      <c r="D34" s="181" t="inlineStr">
        <is>
          <t>Excel 03</t>
        </is>
      </c>
    </row>
    <row r="35" ht="14.25" customHeight="1" s="281">
      <c r="A35" s="181" t="inlineStr">
        <is>
          <t>NRR</t>
        </is>
      </c>
      <c r="B35" s="175">
        <f>Retention!AA7</f>
        <v/>
      </c>
      <c r="C35" s="175">
        <f t="array" ref="C35">IFERROR(B35-XLOOKUP("NRR",'KPI Tracker'!$A$4:$A$16,'KPI Tracker'!$B$4:$B$16),"—")</f>
        <v/>
      </c>
      <c r="D35" s="181" t="inlineStr">
        <is>
          <t>Excel 03</t>
        </is>
      </c>
    </row>
    <row r="36" ht="14.25" customHeight="1" s="281">
      <c r="A36" s="181" t="inlineStr">
        <is>
          <t>Quick Ratio</t>
        </is>
      </c>
      <c r="B36" s="181">
        <f>IFERROR(IF((B6+B7)=0,"N/A — no losses",(B4+B5)/(B6+B7)),"N/A")</f>
        <v/>
      </c>
      <c r="C36" s="181">
        <f t="array" ref="C36">IFERROR(IF(ISNUMBER(B36),B36-XLOOKUP("Quick Ratio",'KPI Tracker'!$A$4:$A$16,'KPI Tracker'!$B$4:$B$16),"—"),"—")</f>
        <v/>
      </c>
      <c r="D36" s="181" t="inlineStr">
        <is>
          <t>Excel 02</t>
        </is>
      </c>
    </row>
    <row r="37" ht="14.25" customHeight="1" s="281">
      <c r="A37" s="181" t="inlineStr">
        <is>
          <t>S&amp;M (actual)</t>
        </is>
      </c>
      <c r="B37" s="184">
        <f>B18</f>
        <v/>
      </c>
      <c r="C37" s="184">
        <f t="array" ref="C37">IFERROR(B37-XLOOKUP("S&amp;M (actual)",'KPI Tracker'!$A$4:$A$16,'KPI Tracker'!$B$4:$B$16),"—")</f>
        <v/>
      </c>
      <c r="D37" s="181" t="inlineStr">
        <is>
          <t>From Lisa's monthly close message</t>
        </is>
      </c>
    </row>
    <row r="38" ht="14.25" customHeight="1" s="281">
      <c r="A38" s="181" t="inlineStr">
        <is>
          <t>CAC — this month</t>
        </is>
      </c>
      <c r="B38" s="184">
        <f>IFERROR(IF(B39=0,"—",B37/B39),"—")</f>
        <v/>
      </c>
      <c r="C38" s="184">
        <f t="array" ref="C38">IFERROR(IF(ISNUMBER(B38),B38-XLOOKUP("CAC — monthly",'KPI Tracker'!$A$4:$A$16,'KPI Tracker'!$B$4:$B$16),"—"),"—")</f>
        <v/>
      </c>
      <c r="D38" s="181" t="inlineStr">
        <is>
          <t>Excel 04 — S&amp;M ÷ new customers acquired this month</t>
        </is>
      </c>
    </row>
    <row r="39" ht="14.25" customHeight="1" s="281">
      <c r="A39" s="146" t="inlineStr">
        <is>
          <t xml:space="preserve">  New customers acquired</t>
        </is>
      </c>
      <c r="B39" s="118" t="n">
        <v>2</v>
      </c>
      <c r="C39" s="181" t="inlineStr">
        <is>
          <t>—</t>
        </is>
      </c>
      <c r="D39" s="146" t="inlineStr">
        <is>
          <t>Enter count of new logos signed in Feb</t>
        </is>
      </c>
    </row>
    <row r="40" ht="14.25" customHeight="1" s="281">
      <c r="A40" s="181" t="inlineStr">
        <is>
          <t>CAC — Q1 to date</t>
        </is>
      </c>
      <c r="B40" s="184">
        <f>IFERROR(IF(('Jan 2026 A vs F '!B46/'Jan 2026 A vs F '!B47+B39)=0,"—",('Jan 2026 A vs F '!B46+B37)/('Jan 2026 A vs F '!B46/'Jan 2026 A vs F '!B47+B39)),"—")</f>
        <v/>
      </c>
      <c r="C40" s="181" t="inlineStr">
        <is>
          <t>—</t>
        </is>
      </c>
      <c r="D40" s="181" t="inlineStr">
        <is>
          <t>Cumulative S&amp;M ÷ cumulative new customers in Q1 so far</t>
        </is>
      </c>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Retention!AA6</f>
        <v/>
      </c>
    </row>
    <row r="56" ht="14.25" customHeight="1" s="281">
      <c r="A56" s="181" t="inlineStr">
        <is>
          <t>NRR</t>
        </is>
      </c>
      <c r="B56" s="175">
        <f>B35</f>
        <v/>
      </c>
      <c r="C56" s="175">
        <f>Retention!AA7</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230" t="inlineStr">
        <is>
          <t>February finished with a Closing MRR of $150,306. This is $1,764 above what we expected to have currently and has driven EBITDA to $30,214 which is $235 more than our current forecast and provides a margin of 20.1% compared to the planned 20.2%.</t>
        </is>
      </c>
    </row>
    <row r="62" ht="14.25" customHeight="1" s="281">
      <c r="A62" s="230" t="inlineStr">
        <is>
          <t>Our New MRR of $6,120 beat the plan by $2,120 (a 53% plus) based on the strength of our 2 new logos vs the expected 1.3 per month from Q1. There was no Expansion MRR in this month which is a miss compared to the expected $715 and offsets some of the gain of the New MRR.</t>
        </is>
      </c>
    </row>
    <row r="63" ht="14.25" customHeight="1" s="281">
      <c r="A63" s="230" t="inlineStr">
        <is>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is>
      </c>
    </row>
    <row r="64" ht="14.25" customHeight="1" s="281">
      <c r="A64" s="230" t="inlineStr">
        <is>
          <t>OpEx ran $1000 more than anticipated. The revenue beat was partially offset by the overrun in costs and the variance in COGS is due to the increase in revenue meaning it is mechanical and expected.  Overall, this leaves a EBITDA beat of $235</t>
        </is>
      </c>
    </row>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12.xml><?xml version="1.0" encoding="utf-8"?>
<worksheet xmlns="http://schemas.openxmlformats.org/spreadsheetml/2006/main">
  <sheetPr>
    <tabColor rgb="FF31859B"/>
    <outlinePr summaryBelow="1" summaryRight="1"/>
    <pageSetUpPr/>
  </sheetPr>
  <dimension ref="A1:N101"/>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14.57" customWidth="1" style="281" min="9" max="9"/>
    <col width="8.710000000000001" customWidth="1" style="281" min="10" max="26"/>
  </cols>
  <sheetData>
    <row r="1" ht="14.25" customHeight="1" s="281">
      <c r="A1" s="27" t="inlineStr">
        <is>
          <t>MRR Waterfall</t>
        </is>
      </c>
      <c r="H1" s="119" t="inlineStr">
        <is>
          <t>MONTHLY CONFIG</t>
        </is>
      </c>
      <c r="I1" s="120" t="n"/>
      <c r="J1" s="120" t="n"/>
    </row>
    <row r="2" ht="14.25" customHeight="1" s="281">
      <c r="A2" s="140" t="inlineStr">
        <is>
          <t>Metric</t>
        </is>
      </c>
      <c r="B2" s="140">
        <f>"Actual - "&amp;TEXT($I$2,"mmm yy")</f>
        <v/>
      </c>
      <c r="C2" s="140" t="inlineStr">
        <is>
          <t>Forecast - Mar 26</t>
        </is>
      </c>
      <c r="D2" s="140" t="inlineStr">
        <is>
          <t>$ Variance</t>
        </is>
      </c>
      <c r="E2" s="140" t="inlineStr">
        <is>
          <t>% Variance</t>
        </is>
      </c>
      <c r="F2" s="140" t="inlineStr">
        <is>
          <t>F/U</t>
        </is>
      </c>
      <c r="H2" s="121" t="inlineStr">
        <is>
          <t>Current month:</t>
        </is>
      </c>
      <c r="I2" s="141" t="n">
        <v>46082</v>
      </c>
      <c r="J2" s="45" t="inlineStr">
        <is>
          <t>← change this when creating a new month</t>
        </is>
      </c>
    </row>
    <row r="3" ht="14.25" customHeight="1" s="281">
      <c r="A3" s="50" t="inlineStr">
        <is>
          <t>Opening MRR</t>
        </is>
      </c>
      <c r="B3" s="73">
        <f t="array" ref="B3">INDEX(Actuals!$B$2:$Y$2,MATCH($I$2,Actuals!$B$1:$Y$1,0))</f>
        <v/>
      </c>
      <c r="C3" s="73" t="n">
        <v>150592.6</v>
      </c>
      <c r="D3" s="73">
        <f>B3-C3</f>
        <v/>
      </c>
      <c r="E3" s="74">
        <f>IFERROR(B3/C3-1, 0)</f>
        <v/>
      </c>
      <c r="F3" s="75">
        <f t="array" ref="F3">IFS(D3&lt;0, "U", D3&gt;0, "F", D3=0, "-")</f>
        <v/>
      </c>
      <c r="H3" s="123" t="inlineStr">
        <is>
          <t>Prior month tab:</t>
        </is>
      </c>
      <c r="I3" s="142" t="inlineStr">
        <is>
          <t>Feb 2026 A vs F</t>
        </is>
      </c>
      <c r="J3" s="45" t="inlineStr">
        <is>
          <t>← change this when creating a new month</t>
        </is>
      </c>
    </row>
    <row r="4" ht="14.25" customHeight="1" s="281">
      <c r="A4" s="91" t="inlineStr">
        <is>
          <t>+ New MRR</t>
        </is>
      </c>
      <c r="B4" s="73">
        <f t="array" ref="B4">INDEX(Actuals!$B$3:$Y$3,MATCH($I$2,Actuals!$B$1:$Y$1,0))</f>
        <v/>
      </c>
      <c r="C4" s="73" t="n">
        <v>4000</v>
      </c>
      <c r="D4" s="73">
        <f>B4-C4</f>
        <v/>
      </c>
      <c r="E4" s="74">
        <f>IFERROR(B4/C4-1, 0)</f>
        <v/>
      </c>
      <c r="F4" s="75">
        <f t="array" ref="F4">IFS(D4&lt;0, "U", D4&gt;0, "F", D4=0, "-")</f>
        <v/>
      </c>
      <c r="H4" s="123" t="inlineStr">
        <is>
          <t>Month-end date:</t>
        </is>
      </c>
      <c r="I4" s="125">
        <f>EOMONTH(I2,0)</f>
        <v/>
      </c>
      <c r="J4" s="45" t="inlineStr">
        <is>
          <t>← formula: last day of current month</t>
        </is>
      </c>
    </row>
    <row r="5" ht="14.25" customHeight="1" s="281">
      <c r="A5" s="91" t="inlineStr">
        <is>
          <t>+ Expansion MRR</t>
        </is>
      </c>
      <c r="B5" s="73">
        <f t="array" ref="B5">INDEX(Actuals!$B$4:$Y$4,MATCH($I$2,Actuals!$B$1:$Y$1,0))</f>
        <v/>
      </c>
      <c r="C5" s="73">
        <f>'2026 Forecast'!B9/3</f>
        <v/>
      </c>
      <c r="D5" s="73">
        <f>B5-C5</f>
        <v/>
      </c>
      <c r="E5" s="74">
        <f>IFERROR(B5/C5-1, 0)</f>
        <v/>
      </c>
      <c r="F5" s="75">
        <f t="array" ref="F5">IFS(D5&lt;0, "U", D5&gt;0, "F", D5=0, "-")</f>
        <v/>
      </c>
    </row>
    <row r="6" ht="14.25" customHeight="1" s="281">
      <c r="A6" s="50" t="inlineStr">
        <is>
          <t xml:space="preserve"> - Contraction MRR</t>
        </is>
      </c>
      <c r="B6" s="73" t="n">
        <v>0</v>
      </c>
      <c r="C6" s="73" t="n">
        <v>0</v>
      </c>
      <c r="D6" s="73">
        <f>B6-C6</f>
        <v/>
      </c>
      <c r="E6" s="74">
        <f>IFERROR(B6/C6-1, 0)</f>
        <v/>
      </c>
      <c r="F6" s="75">
        <f t="array" ref="F6">IFS(D6&lt;0, "U", D6&gt;0, "F", D6=0, "-")</f>
        <v/>
      </c>
    </row>
    <row r="7" ht="14.25" customHeight="1" s="281">
      <c r="A7" s="50" t="inlineStr">
        <is>
          <t>− Churned MRR</t>
        </is>
      </c>
      <c r="B7" s="73">
        <f t="array" ref="B7">INDEX(Actuals!$B$5:$Y$5,MATCH($I$2,Actuals!$B$1:$Y$1,0))</f>
        <v/>
      </c>
      <c r="C7" s="73">
        <f>'2026 Forecast'!B10/3</f>
        <v/>
      </c>
      <c r="D7" s="73">
        <f>C7-B7</f>
        <v/>
      </c>
      <c r="E7" s="74">
        <f>IFERROR(B7/C7-1, 0)</f>
        <v/>
      </c>
      <c r="F7" s="92">
        <f t="array" ref="F7">IFS(D7&gt;0, "F", D7&lt;0, "U", D7=0, "-")</f>
        <v/>
      </c>
      <c r="J7" s="126">
        <f t="array" ref="J7">INDEX(Actuals!$B$7:$Y$7,MATCH($I$2,Actuals!$B$1:$Y$1,0))</f>
        <v/>
      </c>
    </row>
    <row r="8" ht="14.25" customHeight="1" s="281">
      <c r="A8" s="93" t="inlineStr">
        <is>
          <t>Net New MRR</t>
        </is>
      </c>
      <c r="B8" s="94">
        <f>B4+B5-B7</f>
        <v/>
      </c>
      <c r="C8" s="94">
        <f>C4+C5-C7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f>"Actual - "&amp;TEXT($I$2,"mmm yy")</f>
        <v/>
      </c>
      <c r="C13" s="140" t="inlineStr">
        <is>
          <t>Forecast - Mar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f t="array" ref="B18">INDEX(Actuals!$B$7:$Y$7,MATCH($I$2,Actuals!$B$1:$Y$1,0))</f>
        <v/>
      </c>
      <c r="C18" s="166">
        <f>'2026 Forecast'!B25/3</f>
        <v/>
      </c>
      <c r="D18" s="166">
        <f>B18-C18</f>
        <v/>
      </c>
      <c r="E18" s="81">
        <f>B18/C18-1</f>
        <v/>
      </c>
      <c r="F18" s="75">
        <f t="array" ref="F18">IFS(D18&lt;0, "U", D18&gt;0, "F", D18=0, "-")</f>
        <v/>
      </c>
      <c r="H18" s="45" t="inlineStr">
        <is>
          <t>← From Assumptions tab</t>
        </is>
      </c>
    </row>
    <row r="19" ht="14.25" customHeight="1" s="281">
      <c r="A19" s="79" t="inlineStr">
        <is>
          <t>Research &amp; Development</t>
        </is>
      </c>
      <c r="B19" s="166">
        <f t="array" ref="B19">INDEX(Actuals!$B$8:$Y$8,MATCH($I$2,Actuals!$B$1:$Y$1,0))</f>
        <v/>
      </c>
      <c r="C19" s="166">
        <f>'2026 Forecast'!B26/3</f>
        <v/>
      </c>
      <c r="D19" s="166">
        <f>B19-C19</f>
        <v/>
      </c>
      <c r="E19" s="81">
        <f>B19/C19-1</f>
        <v/>
      </c>
      <c r="F19" s="75">
        <f t="array" ref="F19">IFS(D19&lt;0, "U", D19&gt;0, "F", D19=0, "-")</f>
        <v/>
      </c>
      <c r="H19" s="45" t="inlineStr">
        <is>
          <t>← From Assumptions tab</t>
        </is>
      </c>
    </row>
    <row r="20" ht="14.25" customHeight="1" s="281">
      <c r="A20" s="79" t="inlineStr">
        <is>
          <t>General &amp; Administrative</t>
        </is>
      </c>
      <c r="B20" s="166">
        <f t="array" ref="B20">INDEX(Actuals!$B$9:$Y$9,MATCH($I$2,Actuals!$B$1:$Y$1,0))</f>
        <v/>
      </c>
      <c r="C20" s="166">
        <f>'2026 Forecast'!B27/3</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'2026 Forecast'!B28/3</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175">
        <f>B22/B14</f>
        <v/>
      </c>
      <c r="C23" s="175">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March 2026 — SaaS KPIs</t>
        </is>
      </c>
    </row>
    <row r="28" ht="14.25" customHeight="1" s="281">
      <c r="H28" s="127" t="n"/>
    </row>
    <row r="29" ht="14.25" customHeight="1" s="281">
      <c r="A29" s="84" t="inlineStr">
        <is>
          <t>Metric</t>
        </is>
      </c>
      <c r="B29" s="84" t="inlineStr">
        <is>
          <t>Value</t>
        </is>
      </c>
      <c r="C29" s="84">
        <f>"vs "&amp;TEXT(EOMONTH($I$2,-1),"mmm yyyy")</f>
        <v/>
      </c>
      <c r="D29" s="84" t="inlineStr">
        <is>
          <t>Notes</t>
        </is>
      </c>
    </row>
    <row r="30" ht="14.25" customHeight="1" s="281">
      <c r="A30" s="181" t="inlineStr">
        <is>
          <t>Active Customers</t>
        </is>
      </c>
      <c r="B30" s="128">
        <f t="array" ref="B30">INDEX(Actuals!$B$15:$Y$15,MATCH($I$2,Actuals!$B$1:$Y$1,0))</f>
        <v/>
      </c>
      <c r="C30" s="181">
        <f t="array" ref="C30">IFERROR(B30-XLOOKUP("Active Customers",'KPI Tracker'!$A$4:$A$16,'KPI Tracker'!$C$4:$C$16),"—")</f>
        <v/>
      </c>
      <c r="D30" s="181" t="inlineStr">
        <is>
          <t>From your Mar 31SQL snapshot</t>
        </is>
      </c>
    </row>
    <row r="31" ht="14.25" customHeight="1" s="281">
      <c r="A31" s="181" t="inlineStr">
        <is>
          <t>Active Subscriptions</t>
        </is>
      </c>
      <c r="B31" s="128">
        <f t="array" ref="B31">INDEX(Actuals!$B$16:$Y$16,MATCH($I$2,Actuals!$B$1:$Y$1,0))</f>
        <v/>
      </c>
      <c r="C31" s="169">
        <f t="array" ref="C31">B31-INDEX(Actuals!$B$16:$Y$16,MATCH(DATE(YEAR($I$2),MONTH($I$2)-1,1),Actuals!$B$1:$Y$1,0))</f>
        <v/>
      </c>
      <c r="D31" s="181" t="inlineStr">
        <is>
          <t>From your Mar 31 SQL snapshot</t>
        </is>
      </c>
      <c r="N31" s="230" t="inlineStr">
        <is>
          <t>  </t>
        </is>
      </c>
    </row>
    <row r="32" ht="14.25" customHeight="1" s="281">
      <c r="A32" s="181" t="inlineStr">
        <is>
          <t>ARPA</t>
        </is>
      </c>
      <c r="B32" s="166">
        <f>B9/B30</f>
        <v/>
      </c>
      <c r="C32" s="166">
        <f t="array" ref="C32">IFERROR(B32-INDEX(Actuals!$B$6:$Y$6,MATCH(DATE(YEAR($I$2),MONTH($I$2)-1,1),Actuals!$B$1:$Y$1,0))/INDEX(Actuals!$B$15:$Y$15,MATCH(DATE(YEAR($I$2),MONTH($I$2)-1,1),Actuals!$B$1:$Y$1,0)),"—")</f>
        <v/>
      </c>
      <c r="D32" s="181" t="inlineStr">
        <is>
          <t>Excel 04</t>
        </is>
      </c>
    </row>
    <row r="33" ht="14.25" customHeight="1" s="281">
      <c r="A33" s="181" t="inlineStr">
        <is>
          <t>Gross Margin</t>
        </is>
      </c>
      <c r="B33" s="175">
        <f>B17</f>
        <v/>
      </c>
      <c r="C33" s="175">
        <f>0</f>
        <v/>
      </c>
      <c r="D33" s="181" t="inlineStr">
        <is>
          <t>Already in your P&amp;L</t>
        </is>
      </c>
    </row>
    <row r="34" ht="14.25" customHeight="1" s="281">
      <c r="A34" s="181" t="inlineStr">
        <is>
          <t>GRR</t>
        </is>
      </c>
      <c r="B34" s="175">
        <f t="array" ref="B34">INDEX(Retention!$B$6:$BJ$6,MATCH($I$2,Retention!$B$4:$BJ$4,0))</f>
        <v/>
      </c>
      <c r="C34" s="175">
        <f t="array" ref="C34">B34-INDEX(Retention!$B$6:$BJ$6,MATCH(DATE(YEAR($I$2),MONTH($I$2)-1,1),Retention!$B$4:$BJ$4,0))</f>
        <v/>
      </c>
      <c r="D34" s="181" t="inlineStr">
        <is>
          <t>Excel 03</t>
        </is>
      </c>
    </row>
    <row r="35" ht="14.25" customHeight="1" s="281">
      <c r="A35" s="181" t="inlineStr">
        <is>
          <t>NRR</t>
        </is>
      </c>
      <c r="B35" s="175">
        <f t="array" ref="B35">INDEX(Retention!$B$7:$BJ$7,MATCH($I$2,Retention!$B$4:$BJ$4,0))</f>
        <v/>
      </c>
      <c r="C35" s="175">
        <f t="array" ref="C35">B35-INDEX(Retention!$B$7:$BJ$7,MATCH(DATE(YEAR($I$2),MONTH($I$2)-1,1),Retention!$B$4:$BJ$4,0))</f>
        <v/>
      </c>
      <c r="D35" s="181" t="inlineStr">
        <is>
          <t>Excel 03</t>
        </is>
      </c>
    </row>
    <row r="36" ht="14.25" customHeight="1" s="281">
      <c r="A36" s="181" t="inlineStr">
        <is>
          <t>Quick Ratio</t>
        </is>
      </c>
      <c r="B36" s="181">
        <f>IFERROR(IF((B6+B7)=0,"N/A — no losses",(B4+B5)/(B6+B7)),"N/A")</f>
        <v/>
      </c>
      <c r="C36" s="181">
        <f t="array" ref="C36">IFERROR(IF(ISNUMBER(B36),B36-XLOOKUP("Quick Ratio",'KPI Tracker'!$A$4:$A$16,'KPI Tracker'!$B$4:$B$16),"—"),"—")</f>
        <v/>
      </c>
      <c r="D36" s="181" t="inlineStr">
        <is>
          <t>Excel 02</t>
        </is>
      </c>
    </row>
    <row r="37" ht="14.25" customHeight="1" s="281">
      <c r="A37" s="181" t="inlineStr">
        <is>
          <t>S&amp;M (actual)</t>
        </is>
      </c>
      <c r="B37" s="184">
        <f>B18</f>
        <v/>
      </c>
      <c r="C37" s="184">
        <f t="array" ref="C37">B37-INDEX(Actuals!$B$7:$Y$7,MATCH(DATE(YEAR($I$2),MONTH($I$2)-1,1),Actuals!$B$1:$Y$1,0))</f>
        <v/>
      </c>
      <c r="D37" s="181" t="inlineStr">
        <is>
          <t>From Lisa's monthly close message</t>
        </is>
      </c>
    </row>
    <row r="38" ht="14.25" customHeight="1" s="281">
      <c r="A38" s="181" t="inlineStr">
        <is>
          <t>CAC — this month</t>
        </is>
      </c>
      <c r="B38" s="184">
        <f>IFERROR(IF(B39=0,"—",B37/B39),"—")</f>
        <v/>
      </c>
      <c r="C38" s="184">
        <f t="array" ref="C38">IFERROR(B38-INDEX(Actuals!$B$7:$Y$7,MATCH(DATE(YEAR($I$2),MONTH($I$2)-1,1),Actuals!$B$1:$Y$1,0))/INDEX(Actuals!$B$14:$Y$14,MATCH(DATE(YEAR($I$2),MONTH($I$2)-1,1),Actuals!$B$1:$Y$1,0)),"—")</f>
        <v/>
      </c>
      <c r="D38" s="181" t="inlineStr">
        <is>
          <t>Excel 04 — S&amp;M ÷ new customers acquired this month</t>
        </is>
      </c>
    </row>
    <row r="39" ht="14.25" customHeight="1" s="281">
      <c r="A39" s="146" t="inlineStr">
        <is>
          <t xml:space="preserve">  New customers acquired</t>
        </is>
      </c>
      <c r="B39" s="128">
        <f t="array" ref="B39">INDEX(Actuals!$B$14:$Y$14,MATCH($I$2,Actuals!$B$1:$Y$1,0))</f>
        <v/>
      </c>
      <c r="C39" s="181" t="inlineStr">
        <is>
          <t>—</t>
        </is>
      </c>
      <c r="D39" s="146" t="inlineStr">
        <is>
          <t>Enter count of new logos signed in Mar</t>
        </is>
      </c>
    </row>
    <row r="40" ht="14.25" customHeight="1" s="281">
      <c r="A40" s="181" t="inlineStr">
        <is>
          <t>CAC — Q1 to date</t>
        </is>
      </c>
      <c r="B40" s="184">
        <f>IFERROR(IF(('Jan 2026 A vs F '!B46/'Jan 2026 A vs F '!B47+'Feb 2026 A vs F'!B39+B39)=0,"—",('Jan 2026 A vs F '!B46+'Feb 2026 A vs F'!B37+B37)/('Jan 2026 A vs F '!B46/'Jan 2026 A vs F '!B47+'Feb 2026 A vs F'!B39+B39)),"—")</f>
        <v/>
      </c>
      <c r="C40" s="181" t="inlineStr">
        <is>
          <t>—</t>
        </is>
      </c>
      <c r="D40" s="181" t="inlineStr">
        <is>
          <t>Cumulative S&amp;M ÷ cumulative new customers in Q1 so far</t>
        </is>
      </c>
      <c r="K40" s="130" t="n"/>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 t="array" ref="C55">INDEX(Retention!$B$6:$BJ$6, MATCH($I$2, Retention!$B$4:$BJ$4,0))</f>
        <v/>
      </c>
      <c r="E55" s="230" t="inlineStr">
        <is>
          <t>INDEX(Retention!$B$6:$AZ$6,MATCH($I$2,Retention!$B$4:$AZ$4,0))</t>
        </is>
      </c>
    </row>
    <row r="56" ht="14.25" customHeight="1" s="281">
      <c r="A56" s="181" t="inlineStr">
        <is>
          <t>NRR</t>
        </is>
      </c>
      <c r="B56" s="175">
        <f>B35</f>
        <v/>
      </c>
      <c r="C56" s="175">
        <f t="array" ref="C56">INDEX(Retention!$B$7:$BJ$7, MATCH($I$2, Retention!$B$4:$BJ$4,0))</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131">
        <f>TEXT($I$2,"mmmm yyyy")&amp;" — Closing MRR: "&amp;TEXT(B9,"$#,##0")&amp;" | NRR: "&amp;TEXT(B35,"0.0%")&amp;" | EBITDA margin: "&amp;TEXT(B23,"0.0%")</f>
        <v/>
      </c>
    </row>
    <row r="62" ht="14.25" customHeight="1" s="281">
      <c r="A62" s="147" t="inlineStr">
        <is>
          <t>March closed at $153,686 MRR, bringing Q1 total net new MRR to $10,616, which is a 7.4% gain on the opening value of $143,070.</t>
        </is>
      </c>
    </row>
    <row r="63" ht="14.25" customHeight="1" s="281">
      <c r="A63" s="147" t="inlineStr">
        <is>
          <t>Every month in Q1 had NRR reaching 100%. $380 of expansion MRR from an existing account, combined with zero churn for the second consecutive month, signals that the installed base is healthy and beginning to grow.</t>
        </is>
      </c>
    </row>
    <row r="64" ht="14.25" customHeight="1" s="281">
      <c r="A64" s="147" t="inlineStr">
        <is>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is>
      </c>
    </row>
    <row r="65" ht="14.25" customHeight="1" s="281">
      <c r="A65" s="147" t="inlineStr">
        <is>
          <t>The key watch item for Q2 is new logo conversion. New MRR missed forecast in every month of Q1 ($10,830 actual vs. $12,000 planned) and the March expansion signal came from a single account. If this trend doesn't change, Q2 could face the same issue.</t>
        </is>
      </c>
    </row>
    <row r="66" ht="14.25" customHeight="1" s="281"/>
    <row r="67" ht="14.25" customHeight="1" s="281">
      <c r="A67" s="133" t="inlineStr">
        <is>
          <t>Q1 2026 Roll-Up</t>
        </is>
      </c>
    </row>
    <row r="68" ht="14.25" customHeight="1" s="281"/>
    <row r="69" ht="14.25" customHeight="1" s="281">
      <c r="A69" s="134" t="inlineStr">
        <is>
          <t>Q1 MRR Summary</t>
        </is>
      </c>
    </row>
    <row r="70" ht="14.25" customHeight="1" s="281">
      <c r="A70" s="140" t="inlineStr">
        <is>
          <t>Movement</t>
        </is>
      </c>
      <c r="B70" s="140" t="inlineStr">
        <is>
          <t>Q1 Total</t>
        </is>
      </c>
    </row>
    <row r="71" ht="14.25" customHeight="1" s="281">
      <c r="A71" s="50" t="inlineStr">
        <is>
          <t>Q1 Total New MRR</t>
        </is>
      </c>
      <c r="B71" s="135">
        <f>'Jan 2026 A vs F '!B4+'Feb 2026 A vs F'!B4+'Mar 2026 A vs F'!B4</f>
        <v/>
      </c>
    </row>
    <row r="72" ht="14.25" customHeight="1" s="281">
      <c r="A72" s="50" t="inlineStr">
        <is>
          <t>Q1 Total Expansion MRR</t>
        </is>
      </c>
      <c r="B72" s="135">
        <f>'Jan 2026 A vs F '!B5+'Feb 2026 A vs F'!B5+'Mar 2026 A vs F'!B5</f>
        <v/>
      </c>
    </row>
    <row r="73" ht="14.25" customHeight="1" s="281">
      <c r="A73" s="50" t="inlineStr">
        <is>
          <t>Q1 Total Churned MRR</t>
        </is>
      </c>
      <c r="B73" s="135">
        <f>'Jan 2026 A vs F '!B7+'Feb 2026 A vs F'!B7+'Mar 2026 A vs F'!B7</f>
        <v/>
      </c>
    </row>
    <row r="74" ht="14.25" customHeight="1" s="281">
      <c r="A74" s="50" t="inlineStr">
        <is>
          <t>Q1 Net New MRR</t>
        </is>
      </c>
      <c r="B74" s="135">
        <f>'Jan 2026 A vs F '!B8+'Feb 2026 A vs F'!B8+'Mar 2026 A vs F'!B8</f>
        <v/>
      </c>
    </row>
    <row r="75" ht="14.25" customHeight="1" s="281">
      <c r="A75" s="79" t="inlineStr">
        <is>
          <t>Q1 Closing MRR</t>
        </is>
      </c>
      <c r="B75" s="136">
        <f>'Mar 2026 A vs F'!B9</f>
        <v/>
      </c>
    </row>
    <row r="76" ht="14.25" customHeight="1" s="281"/>
    <row r="77" ht="14.25" customHeight="1" s="281">
      <c r="A77" s="134" t="inlineStr">
        <is>
          <t>Q1 P&amp;L Summary</t>
        </is>
      </c>
    </row>
    <row r="78" ht="14.25" customHeight="1" s="281">
      <c r="A78" s="140" t="inlineStr">
        <is>
          <t>Line</t>
        </is>
      </c>
      <c r="B78" s="140" t="inlineStr">
        <is>
          <t>Q1 Total</t>
        </is>
      </c>
    </row>
    <row r="79" ht="14.25" customHeight="1" s="281">
      <c r="A79" s="50" t="inlineStr">
        <is>
          <t>Q1 Revenue</t>
        </is>
      </c>
      <c r="B79" s="135">
        <f>'Jan 2026 A vs F '!B14+'Feb 2026 A vs F'!B14+'Mar 2026 A vs F'!B14</f>
        <v/>
      </c>
      <c r="C79" s="137" t="n"/>
    </row>
    <row r="80" ht="14.25" customHeight="1" s="281">
      <c r="A80" s="50" t="inlineStr">
        <is>
          <t>Q1 COGS</t>
        </is>
      </c>
      <c r="B80" s="135">
        <f>'Jan 2026 A vs F '!B15+'Feb 2026 A vs F'!B15+'Mar 2026 A vs F'!B15</f>
        <v/>
      </c>
    </row>
    <row r="81" ht="14.25" customHeight="1" s="281">
      <c r="A81" s="79" t="inlineStr">
        <is>
          <t>Q1 Gross Profit</t>
        </is>
      </c>
      <c r="B81" s="136">
        <f>B79-B80</f>
        <v/>
      </c>
    </row>
    <row r="82" ht="14.25" customHeight="1" s="281">
      <c r="A82" s="50" t="inlineStr">
        <is>
          <t>Q1 Gross Margin %</t>
        </is>
      </c>
      <c r="B82" s="138">
        <f>B81/B79</f>
        <v/>
      </c>
    </row>
    <row r="83" ht="14.25" customHeight="1" s="281">
      <c r="A83" s="50" t="inlineStr">
        <is>
          <t>Q1 S&amp;M</t>
        </is>
      </c>
      <c r="B83" s="135">
        <f>'Jan 2026 A vs F '!B18+'Feb 2026 A vs F'!B18+'Mar 2026 A vs F'!B18</f>
        <v/>
      </c>
    </row>
    <row r="84" ht="14.25" customHeight="1" s="281">
      <c r="A84" s="50" t="inlineStr">
        <is>
          <t>Q1 R&amp;D + G&amp;A</t>
        </is>
      </c>
      <c r="B84" s="135">
        <f>'Jan 2026 A vs F '!B19+'Jan 2026 A vs F '!B20+'Feb 2026 A vs F'!B19+'Feb 2026 A vs F'!B20+'Mar 2026 A vs F'!B19+'Mar 2026 A vs F'!B20</f>
        <v/>
      </c>
    </row>
    <row r="85" ht="14.25" customHeight="1" s="281">
      <c r="A85" s="79" t="inlineStr">
        <is>
          <t>Q1 Total OpEx</t>
        </is>
      </c>
      <c r="B85" s="136">
        <f>'Jan 2026 A vs F '!B21+'Feb 2026 A vs F'!B21+'Mar 2026 A vs F'!B21</f>
        <v/>
      </c>
    </row>
    <row r="86" ht="14.25" customHeight="1" s="281">
      <c r="A86" s="79" t="inlineStr">
        <is>
          <t>Q1 EBITDA</t>
        </is>
      </c>
      <c r="B86" s="136">
        <f>B81-B85</f>
        <v/>
      </c>
    </row>
    <row r="87" ht="14.25" customHeight="1" s="281">
      <c r="A87" s="50" t="inlineStr">
        <is>
          <t>Q1 EBITDA Margin %</t>
        </is>
      </c>
      <c r="B87" s="138">
        <f>B86/B79</f>
        <v/>
      </c>
    </row>
    <row r="88" ht="14.25" customHeight="1" s="281"/>
    <row r="89" ht="14.25" customHeight="1" s="281">
      <c r="A89" s="134" t="inlineStr">
        <is>
          <t>Q1 Quarterly KPI's</t>
        </is>
      </c>
    </row>
    <row r="90" ht="14.25" customHeight="1" s="281">
      <c r="A90" s="140" t="inlineStr">
        <is>
          <t>Metric</t>
        </is>
      </c>
      <c r="B90" s="140" t="inlineStr">
        <is>
          <t>Q1 Total</t>
        </is>
      </c>
    </row>
    <row r="91" ht="14.25" customHeight="1" s="281">
      <c r="A91" s="230" t="inlineStr">
        <is>
          <t>Q1 New Customers</t>
        </is>
      </c>
      <c r="B91" s="169">
        <f>Actuals!B14+Actuals!C14+Actuals!D14</f>
        <v/>
      </c>
    </row>
    <row r="92" ht="14.25" customHeight="1" s="281">
      <c r="A92" s="230" t="inlineStr">
        <is>
          <t>Quarterly CAC</t>
        </is>
      </c>
      <c r="B92" s="166">
        <f>B83/B91</f>
        <v/>
      </c>
    </row>
    <row r="93" ht="14.25" customHeight="1" s="281">
      <c r="A93" s="230" t="inlineStr">
        <is>
          <t>LTV</t>
        </is>
      </c>
      <c r="B93" s="166">
        <f>(B82/((B73/'Jan 2026 A vs F '!B3)*12)*'Mar 2026 A vs F'!B54)</f>
        <v/>
      </c>
    </row>
    <row r="94" ht="14.25" customHeight="1" s="281">
      <c r="A94" s="230" t="inlineStr">
        <is>
          <t>LTV:CAC</t>
        </is>
      </c>
      <c r="B94" s="139">
        <f>B93/B92</f>
        <v/>
      </c>
    </row>
    <row r="95" ht="14.25" customHeight="1" s="281">
      <c r="A95" s="230" t="inlineStr">
        <is>
          <t>CAC Payback (months)</t>
        </is>
      </c>
      <c r="B95" s="139">
        <f>B92/(B54*B82)</f>
        <v/>
      </c>
    </row>
    <row r="96" ht="14.25" customHeight="1" s="281"/>
    <row r="97" ht="14.25" customHeight="1" s="281">
      <c r="A97" s="133" t="inlineStr">
        <is>
          <t>Q1 Commentary:</t>
        </is>
      </c>
    </row>
    <row r="98" ht="14.25" customHeight="1" s="281">
      <c r="A98" s="147" t="inlineStr">
        <is>
          <t>Q1 closed with $448,771 in revenue and $92,139.5 of EBITDA at a 20.5% margin. A solid first quarter, with margins expanding every month as the cost base remained largely fixed against compounding MRR.</t>
        </is>
      </c>
    </row>
    <row r="99" ht="14.25" customHeight="1" s="281">
      <c r="A99" s="147" t="inlineStr">
        <is>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is>
      </c>
    </row>
    <row r="100" ht="14.25" customHeight="1" s="281">
      <c r="A100" s="147" t="inlineStr">
        <is>
          <t>Across the quarter, MRR grew every month (+7.3% overall), EBITDA margin improved steadily, and March produced the first expansion MRR of Q1. The trend is directionally positive, though NRR spent two of three months exactly at 100% with no expansion.</t>
        </is>
      </c>
    </row>
    <row r="101" ht="14.25" customHeight="1" s="281">
      <c r="A101" s="147" t="inlineStr">
        <is>
          <t>For Q2, the data points to one clear priority: expanding on our current logos. This would result in an improved LTV, push NRR above 100%,  and reduce our dependancy on new logo volume since it has underperformed the entire quarter.</t>
        </is>
      </c>
    </row>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worksheet>
</file>

<file path=xl/worksheets/sheet13.xml><?xml version="1.0" encoding="utf-8"?>
<worksheet xmlns="http://schemas.openxmlformats.org/spreadsheetml/2006/main">
  <sheetPr>
    <tabColor rgb="FF31859B"/>
    <outlinePr summaryBelow="1" summaryRight="1"/>
    <pageSetUpPr/>
  </sheetPr>
  <dimension ref="A1:N65"/>
  <sheetViews>
    <sheetView workbookViewId="0">
      <selection activeCell="A1" sqref="A1"/>
    </sheetView>
  </sheetViews>
  <sheetFormatPr baseColWidth="8" defaultColWidth="14.43" defaultRowHeight="15" customHeight="1"/>
  <cols>
    <col width="40" customWidth="1" style="281" min="1" max="1"/>
    <col width="21.86" customWidth="1" style="281" min="2" max="3"/>
    <col width="18.14" customWidth="1" style="281" min="4" max="4"/>
    <col width="14.57" customWidth="1" style="281" min="5" max="5"/>
    <col width="9.140000000000001" customWidth="1" style="281" min="6" max="6"/>
    <col width="8.710000000000001" customWidth="1" style="281" min="7" max="7"/>
    <col width="36.43" customWidth="1" style="281" min="8" max="8"/>
    <col width="19" customWidth="1" style="281" min="9" max="9"/>
    <col width="8.710000000000001" customWidth="1" style="281" min="10" max="26"/>
  </cols>
  <sheetData>
    <row r="1" ht="14.25" customHeight="1" s="281">
      <c r="A1" s="27" t="inlineStr">
        <is>
          <t>MRR Waterfall</t>
        </is>
      </c>
      <c r="H1" s="119" t="inlineStr">
        <is>
          <t>MONTHLY CONFIG</t>
        </is>
      </c>
      <c r="I1" s="120" t="n"/>
      <c r="J1" s="120" t="n"/>
    </row>
    <row r="2" ht="14.25" customHeight="1" s="281">
      <c r="A2" s="140" t="inlineStr">
        <is>
          <t>Metric</t>
        </is>
      </c>
      <c r="B2" s="140">
        <f>"Actual - "&amp;TEXT($I$2,"mmm yy")</f>
        <v/>
      </c>
      <c r="C2" s="140" t="inlineStr">
        <is>
          <t>Forecast - Apr 26</t>
        </is>
      </c>
      <c r="D2" s="140" t="inlineStr">
        <is>
          <t>$ Variance</t>
        </is>
      </c>
      <c r="E2" s="140" t="inlineStr">
        <is>
          <t>% Variance</t>
        </is>
      </c>
      <c r="F2" s="140" t="inlineStr">
        <is>
          <t>F/U</t>
        </is>
      </c>
      <c r="H2" s="121" t="inlineStr">
        <is>
          <t>Current month:</t>
        </is>
      </c>
      <c r="I2" s="141" t="n">
        <v>46113</v>
      </c>
      <c r="J2" s="45" t="inlineStr">
        <is>
          <t>← change this when creating a new month</t>
        </is>
      </c>
    </row>
    <row r="3" ht="14.25" customHeight="1" s="281">
      <c r="A3" s="50" t="inlineStr">
        <is>
          <t>Opening MRR</t>
        </is>
      </c>
      <c r="B3" s="73">
        <f t="array" ref="B3">INDEX(Actuals!$B$2:$Y$2,MATCH($I$2,Actuals!$B$1:$Y$1,0))</f>
        <v/>
      </c>
      <c r="C3" s="73">
        <f>'Mar 2026 A vs F'!C3</f>
        <v/>
      </c>
      <c r="D3" s="73">
        <f>B3-C3</f>
        <v/>
      </c>
      <c r="E3" s="74">
        <f>IFERROR(B3/C3-1, 0)</f>
        <v/>
      </c>
      <c r="F3" s="75">
        <f t="array" ref="F3">IFS(D3&lt;0, "U", D3&gt;0, "F", D3=0, "-")</f>
        <v/>
      </c>
      <c r="H3" s="123" t="inlineStr">
        <is>
          <t>Prior month tab:</t>
        </is>
      </c>
      <c r="I3" s="142" t="inlineStr">
        <is>
          <t>Mar 2026 A vs F</t>
        </is>
      </c>
      <c r="J3" s="45" t="inlineStr">
        <is>
          <t>← change this when creating a new month</t>
        </is>
      </c>
    </row>
    <row r="4" ht="14.25" customHeight="1" s="281">
      <c r="A4" s="91" t="inlineStr">
        <is>
          <t>+ New MRR</t>
        </is>
      </c>
      <c r="B4" s="73">
        <f t="array" ref="B4">INDEX(Actuals!$B$3:$Y$3,MATCH($I$2,Actuals!$B$1:$Y$1,0))</f>
        <v/>
      </c>
      <c r="C4" s="73">
        <f>'Mar 2026 A vs F'!C4</f>
        <v/>
      </c>
      <c r="D4" s="73">
        <f>B4-C4</f>
        <v/>
      </c>
      <c r="E4" s="74">
        <f>IFERROR(B4/C4-1, 0)</f>
        <v/>
      </c>
      <c r="F4" s="75">
        <f t="array" ref="F4">IFS(D4&lt;0, "U", D4&gt;0, "F", D4=0, "-")</f>
        <v/>
      </c>
      <c r="H4" s="123" t="inlineStr">
        <is>
          <t>Month-end date:</t>
        </is>
      </c>
      <c r="I4" s="125">
        <f>EOMONTH(I2,0)</f>
        <v/>
      </c>
      <c r="J4" s="45" t="inlineStr">
        <is>
          <t>← formula: last day of current month</t>
        </is>
      </c>
    </row>
    <row r="5" ht="14.25" customHeight="1" s="281">
      <c r="A5" s="91" t="inlineStr">
        <is>
          <t>+ Expansion MRR</t>
        </is>
      </c>
      <c r="B5" s="73">
        <f t="array" ref="B5">INDEX(Actuals!$B$4:$Y$4,MATCH($I$2,Actuals!$B$1:$Y$1,0))</f>
        <v/>
      </c>
      <c r="C5" s="73">
        <f>'Mar 2026 A vs F'!C5</f>
        <v/>
      </c>
      <c r="D5" s="73">
        <f>B5-C5</f>
        <v/>
      </c>
      <c r="E5" s="74">
        <f>IFERROR(B5/C5-1, 0)</f>
        <v/>
      </c>
      <c r="F5" s="75">
        <f t="array" ref="F5">IFS(D5&lt;0, "U", D5&gt;0, "F", D5=0, "-")</f>
        <v/>
      </c>
    </row>
    <row r="6" ht="14.25" customHeight="1" s="281">
      <c r="A6" s="50" t="inlineStr">
        <is>
          <t xml:space="preserve"> - Contraction MRR</t>
        </is>
      </c>
      <c r="B6" s="73" t="n">
        <v>0</v>
      </c>
      <c r="C6" s="73">
        <f>'Mar 2026 A vs F'!C6</f>
        <v/>
      </c>
      <c r="D6" s="73">
        <f>B6-C6</f>
        <v/>
      </c>
      <c r="E6" s="74">
        <f>IFERROR(B6/C6-1, 0)</f>
        <v/>
      </c>
      <c r="F6" s="75">
        <f t="array" ref="F6">IFS(D6&lt;0, "U", D6&gt;0, "F", D6=0, "-")</f>
        <v/>
      </c>
    </row>
    <row r="7" ht="14.25" customHeight="1" s="281">
      <c r="A7" s="50" t="inlineStr">
        <is>
          <t>− Churned MRR</t>
        </is>
      </c>
      <c r="B7" s="73">
        <f t="array" ref="B7">INDEX(Actuals!$B$5:$Y$5,MATCH($I$2,Actuals!$B$1:$Y$1,0))</f>
        <v/>
      </c>
      <c r="C7" s="73">
        <f>'Mar 2026 A vs F'!C7</f>
        <v/>
      </c>
      <c r="D7" s="73">
        <f>C7-B7</f>
        <v/>
      </c>
      <c r="E7" s="74">
        <f>IFERROR(B7/C7-1, 0)</f>
        <v/>
      </c>
      <c r="F7" s="92">
        <f t="array" ref="F7">IFS(D7&gt;0, "F", D7&lt;0, "U", D7=0, "-")</f>
        <v/>
      </c>
    </row>
    <row r="8" ht="14.25" customHeight="1" s="281">
      <c r="A8" s="93" t="inlineStr">
        <is>
          <t>Net New MRR</t>
        </is>
      </c>
      <c r="B8" s="94">
        <f>B4+B5-B7</f>
        <v/>
      </c>
      <c r="C8" s="94">
        <f>C4+C5-C7</f>
        <v/>
      </c>
      <c r="D8" s="94">
        <f>B8-C8</f>
        <v/>
      </c>
      <c r="E8" s="95">
        <f>B8/C8-1</f>
        <v/>
      </c>
      <c r="F8" s="96">
        <f t="array" ref="F8">IFS(D8&lt;0, "U", D8&gt;0, "F", D8=0, "-")</f>
        <v/>
      </c>
    </row>
    <row r="9" ht="14.25" customHeight="1" s="281">
      <c r="A9" s="97" t="inlineStr">
        <is>
          <t>Closing MRR</t>
        </is>
      </c>
      <c r="B9" s="98">
        <f>B3+B4+B5-B7</f>
        <v/>
      </c>
      <c r="C9" s="98">
        <f>C3+C8</f>
        <v/>
      </c>
      <c r="D9" s="98">
        <f>B9-C9</f>
        <v/>
      </c>
      <c r="E9" s="99">
        <f>B9/C9-1</f>
        <v/>
      </c>
      <c r="F9" s="100">
        <f t="array" ref="F9">IFS(D9&lt;0, "U", D9&gt;0, "F", D9=0, "-")</f>
        <v/>
      </c>
    </row>
    <row r="10" ht="14.25" customHeight="1" s="281">
      <c r="A10" s="79" t="inlineStr">
        <is>
          <t>Closing ARR</t>
        </is>
      </c>
      <c r="B10" s="101">
        <f>B9*12</f>
        <v/>
      </c>
      <c r="C10" s="101">
        <f>C9*12</f>
        <v/>
      </c>
      <c r="D10" s="101">
        <f>B10-C10</f>
        <v/>
      </c>
      <c r="E10" s="102">
        <f>B10/C10-1</f>
        <v/>
      </c>
      <c r="F10" s="103">
        <f t="array" ref="F10">IFS(D10&lt;0, "U", D10&gt;0, "F", D10=0, "-")</f>
        <v/>
      </c>
    </row>
    <row r="11" ht="14.25" customHeight="1" s="281">
      <c r="A11" s="104" t="n"/>
      <c r="B11" s="104" t="n"/>
      <c r="C11" s="104" t="n"/>
      <c r="D11" s="104" t="n"/>
      <c r="E11" s="104" t="n"/>
      <c r="F11" s="104" t="n"/>
    </row>
    <row r="12" ht="14.25" customHeight="1" s="281">
      <c r="A12" s="79" t="inlineStr">
        <is>
          <t>P&amp;L</t>
        </is>
      </c>
    </row>
    <row r="13" ht="14.25" customHeight="1" s="281">
      <c r="A13" s="140" t="inlineStr">
        <is>
          <t>Metric</t>
        </is>
      </c>
      <c r="B13" s="140">
        <f>"Actual - "&amp;TEXT($I$2,"mmm yy")</f>
        <v/>
      </c>
      <c r="C13" s="140" t="inlineStr">
        <is>
          <t>Forecast - Apr 26</t>
        </is>
      </c>
      <c r="D13" s="140" t="inlineStr">
        <is>
          <t>$ Variance</t>
        </is>
      </c>
      <c r="E13" s="140" t="inlineStr">
        <is>
          <t>% Variance</t>
        </is>
      </c>
      <c r="F13" s="140" t="inlineStr">
        <is>
          <t>F/U</t>
        </is>
      </c>
    </row>
    <row r="14" ht="14.25" customHeight="1" s="281">
      <c r="A14" s="79" t="inlineStr">
        <is>
          <t>Revenue</t>
        </is>
      </c>
      <c r="B14" s="166">
        <f>B9</f>
        <v/>
      </c>
      <c r="C14" s="166">
        <f>C9</f>
        <v/>
      </c>
      <c r="D14" s="166">
        <f>B14-C14</f>
        <v/>
      </c>
      <c r="E14" s="81">
        <f>B14/C14-1</f>
        <v/>
      </c>
      <c r="F14" s="75">
        <f t="array" ref="F14">IFS(D14&lt;0, "U", D14&gt;0, "F", D14=0, "-")</f>
        <v/>
      </c>
      <c r="H14" s="45" t="inlineStr">
        <is>
          <t>→ Revenue × (1 − gross margin)</t>
        </is>
      </c>
    </row>
    <row r="15" ht="14.25" customHeight="1" s="281">
      <c r="A15" s="79" t="inlineStr">
        <is>
          <t>COGS</t>
        </is>
      </c>
      <c r="B15" s="166">
        <f>B14*(1-B17)</f>
        <v/>
      </c>
      <c r="C15" s="166">
        <f>C14*0.3</f>
        <v/>
      </c>
      <c r="D15" s="166">
        <f>B15-C15</f>
        <v/>
      </c>
      <c r="E15" s="81">
        <f>B15/C15-1</f>
        <v/>
      </c>
      <c r="F15" s="75">
        <f t="array" ref="F15">IFS(D15&gt;0, "U", D15&lt;0, "F", D15=0, "-")</f>
        <v/>
      </c>
      <c r="H15" s="45" t="inlineStr">
        <is>
          <t>→ Revenue − COGS</t>
        </is>
      </c>
    </row>
    <row r="16" ht="14.25" customHeight="1" s="281">
      <c r="A16" s="93" t="inlineStr">
        <is>
          <t>Gross Profit</t>
        </is>
      </c>
      <c r="B16" s="105">
        <f>B14-B15</f>
        <v/>
      </c>
      <c r="C16" s="105">
        <f>C14-C15</f>
        <v/>
      </c>
      <c r="D16" s="105">
        <f>B16-C16</f>
        <v/>
      </c>
      <c r="E16" s="106">
        <f>B16/C16-1</f>
        <v/>
      </c>
      <c r="F16" s="107">
        <f t="array" ref="F16">IFS(D16&lt;0, "U", D16&gt;0, "F", D16=0, "-")</f>
        <v/>
      </c>
      <c r="H16" s="45" t="inlineStr">
        <is>
          <t>→ GP / Revenue</t>
        </is>
      </c>
    </row>
    <row r="17" ht="14.25" customHeight="1" s="281">
      <c r="A17" s="97" t="inlineStr">
        <is>
          <t>Gross Margin %</t>
        </is>
      </c>
      <c r="B17" s="108" t="n">
        <v>0.7</v>
      </c>
      <c r="C17" s="109">
        <f>C16/C14</f>
        <v/>
      </c>
      <c r="D17" s="109">
        <f>B17-C17</f>
        <v/>
      </c>
      <c r="E17" s="109">
        <f>B17/C17-1</f>
        <v/>
      </c>
      <c r="F17" s="110">
        <f t="array" ref="F17">IFS(D17&lt;0, "U", D17&gt;0, "F", D17=0, "-")</f>
        <v/>
      </c>
      <c r="H17" s="45" t="inlineStr">
        <is>
          <t>← From Assumptions tab</t>
        </is>
      </c>
    </row>
    <row r="18" ht="14.25" customHeight="1" s="281">
      <c r="A18" s="79" t="inlineStr">
        <is>
          <t>Sales &amp; Marketing</t>
        </is>
      </c>
      <c r="B18" s="166">
        <f>Actuals!E7</f>
        <v/>
      </c>
      <c r="C18" s="166">
        <f>INDEX('Monthly Forecast'!$B$20:$M$20,MATCH($I$2,'Monthly Forecast'!$B$4:$M$4,0))</f>
        <v/>
      </c>
      <c r="D18" s="166">
        <f>B18-C18</f>
        <v/>
      </c>
      <c r="E18" s="81">
        <f>B18/C18-1</f>
        <v/>
      </c>
      <c r="F18" s="75">
        <f t="array" ref="F18">IFS(D18&lt;0, "U", D18&gt;0, "F", D18=0, "-")</f>
        <v/>
      </c>
      <c r="H18" s="45" t="inlineStr">
        <is>
          <t>← From Assumptions tab</t>
        </is>
      </c>
    </row>
    <row r="19" ht="14.25" customHeight="1" s="281">
      <c r="A19" s="79" t="inlineStr">
        <is>
          <t>Research &amp; Development</t>
        </is>
      </c>
      <c r="B19" s="166">
        <f>Actuals!E8</f>
        <v/>
      </c>
      <c r="C19" s="166">
        <f>INDEX('Monthly Forecast'!$B$21:$M$21,MATCH($I$2,'Monthly Forecast'!$B$4:$M$4,0))</f>
        <v/>
      </c>
      <c r="D19" s="166">
        <f>B19-C19</f>
        <v/>
      </c>
      <c r="E19" s="81">
        <f>B19/C19-1</f>
        <v/>
      </c>
      <c r="F19" s="75">
        <f t="array" ref="F19">IFS(D19&lt;0, "U", D19&gt;0, "F", D19=0, "-")</f>
        <v/>
      </c>
      <c r="H19" s="45" t="inlineStr">
        <is>
          <t>← From Assumptions tab</t>
        </is>
      </c>
    </row>
    <row r="20" ht="14.25" customHeight="1" s="281">
      <c r="A20" s="79" t="inlineStr">
        <is>
          <t>General &amp; Administrative</t>
        </is>
      </c>
      <c r="B20" s="166">
        <f>Actuals!E9</f>
        <v/>
      </c>
      <c r="C20" s="166">
        <f>INDEX('Monthly Forecast'!$B$22:$M$22,MATCH($I$2,'Monthly Forecast'!$B$4:$M$4,0))</f>
        <v/>
      </c>
      <c r="D20" s="166">
        <f>B20-C20</f>
        <v/>
      </c>
      <c r="E20" s="81">
        <f>B20/C20-1</f>
        <v/>
      </c>
      <c r="F20" s="75">
        <f t="array" ref="F20">IFS(D20&lt;0, "U", D20&gt;0, "F", D20=0, "-")</f>
        <v/>
      </c>
      <c r="H20" s="45" t="inlineStr">
        <is>
          <t>S&amp;M + R&amp;D + G&amp;A</t>
        </is>
      </c>
    </row>
    <row r="21" ht="14.25" customHeight="1" s="281">
      <c r="A21" s="93" t="inlineStr">
        <is>
          <t>Total OpEx</t>
        </is>
      </c>
      <c r="B21" s="105">
        <f>SUM(B18:B20)</f>
        <v/>
      </c>
      <c r="C21" s="105">
        <f>SUM(C18:C20)</f>
        <v/>
      </c>
      <c r="D21" s="105">
        <f>B21-C21</f>
        <v/>
      </c>
      <c r="E21" s="111">
        <f>B21/C21-1</f>
        <v/>
      </c>
      <c r="F21" s="107">
        <f t="array" ref="F21">IFS(D21&lt;0, "U", D21&gt;0, "F", D21=0, "-")</f>
        <v/>
      </c>
      <c r="H21" s="45" t="inlineStr">
        <is>
          <t>→ Gross Profit − Total OpEx</t>
        </is>
      </c>
    </row>
    <row r="22" ht="14.25" customHeight="1" s="281">
      <c r="A22" s="112" t="inlineStr">
        <is>
          <t>EBITDA</t>
        </is>
      </c>
      <c r="B22" s="113">
        <f>B16-B21</f>
        <v/>
      </c>
      <c r="C22" s="113">
        <f>C16-C21</f>
        <v/>
      </c>
      <c r="D22" s="113">
        <f>B22-C22</f>
        <v/>
      </c>
      <c r="E22" s="114">
        <f>B22/C22-1</f>
        <v/>
      </c>
      <c r="F22" s="115">
        <f t="array" ref="F22">IFS(D22&lt;0, "U", D22&gt;0, "F", D22=0, "-")</f>
        <v/>
      </c>
      <c r="H22" s="45" t="inlineStr">
        <is>
          <t>→ EBITDA / Revenue</t>
        </is>
      </c>
    </row>
    <row r="23" ht="14.25" customHeight="1" s="281">
      <c r="A23" s="79" t="inlineStr">
        <is>
          <t>EBITDA Margin %</t>
        </is>
      </c>
      <c r="B23" s="175">
        <f>B22/B14</f>
        <v/>
      </c>
      <c r="C23" s="175">
        <f>C22/C14</f>
        <v/>
      </c>
      <c r="D23" s="81">
        <f>B23-C23</f>
        <v/>
      </c>
      <c r="E23" s="81">
        <f>B23/C23-1</f>
        <v/>
      </c>
      <c r="F23" s="75">
        <f t="array" ref="F23">IFERROR(IFS(D23&lt;0, "U", D23&gt;0, "F", D23=0, "-"), "-")</f>
        <v/>
      </c>
    </row>
    <row r="24" ht="14.25" customHeight="1" s="281"/>
    <row r="25" ht="14.25" customHeight="1" s="281">
      <c r="A25" s="116" t="n"/>
    </row>
    <row r="26" ht="14.25" customHeight="1" s="281"/>
    <row r="27" ht="14.25" customHeight="1" s="281">
      <c r="A27" s="144" t="inlineStr">
        <is>
          <t>April 2026 — SaaS KPIs</t>
        </is>
      </c>
    </row>
    <row r="28" ht="14.25" customHeight="1" s="281">
      <c r="H28" s="127" t="n"/>
    </row>
    <row r="29" ht="14.25" customHeight="1" s="281">
      <c r="A29" s="84" t="inlineStr">
        <is>
          <t>Metric</t>
        </is>
      </c>
      <c r="B29" s="84" t="inlineStr">
        <is>
          <t>Value</t>
        </is>
      </c>
      <c r="C29" s="84">
        <f>"vs "&amp;TEXT(EOMONTH($I$2,-1),"mmm yyyy")</f>
        <v/>
      </c>
      <c r="D29" s="84" t="inlineStr">
        <is>
          <t>Notes</t>
        </is>
      </c>
    </row>
    <row r="30" ht="14.25" customHeight="1" s="281">
      <c r="A30" s="181" t="inlineStr">
        <is>
          <t>Active Customers</t>
        </is>
      </c>
      <c r="B30" s="128">
        <f t="array" ref="B30">INDEX(Actuals!$B$15:$Y$15,MATCH($I$2,Actuals!$B$1:$Y$1,0))</f>
        <v/>
      </c>
      <c r="C30" s="169">
        <f t="array" ref="C30">B30-INDEX(Actuals!$B$15:$Y$15,MATCH(DATE(YEAR($I$2),MONTH($I$2)-1,1),Actuals!$B$1:$Y$1,0))</f>
        <v/>
      </c>
      <c r="D30" s="181" t="inlineStr">
        <is>
          <t>From your Apr 30 SQL snapshot</t>
        </is>
      </c>
    </row>
    <row r="31" ht="14.25" customHeight="1" s="281">
      <c r="A31" s="181" t="inlineStr">
        <is>
          <t>Active Subscriptions</t>
        </is>
      </c>
      <c r="B31" s="128">
        <f t="array" ref="B31">INDEX(Actuals!$B$16:$Y$16,MATCH($I$2,Actuals!$B$1:$Y$1,0))</f>
        <v/>
      </c>
      <c r="C31" s="169">
        <f t="array" ref="C31">B31-INDEX(Actuals!$B$16:$Y$16,MATCH(DATE(YEAR($I$2),MONTH($I$2)-1,1),Actuals!$B$1:$Y$1,0))</f>
        <v/>
      </c>
      <c r="D31" s="181" t="inlineStr">
        <is>
          <t>From your Apr 30 SQL snapshot</t>
        </is>
      </c>
      <c r="N31" s="230" t="inlineStr">
        <is>
          <t>  </t>
        </is>
      </c>
    </row>
    <row r="32" ht="14.25" customHeight="1" s="281">
      <c r="A32" s="181" t="inlineStr">
        <is>
          <t>ARPA</t>
        </is>
      </c>
      <c r="B32" s="166">
        <f>B9/B30</f>
        <v/>
      </c>
      <c r="C32" s="166">
        <f t="array" ref="C32">IFERROR(B32-INDEX(Actuals!$B$6:$Y$6,MATCH(DATE(YEAR($I$2),MONTH($I$2)-1,1),Actuals!$B$1:$Y$1,0))/INDEX(Actuals!$B$15:$Y$15,MATCH(DATE(YEAR($I$2),MONTH($I$2)-1,1),Actuals!$B$1:$Y$1,0)),"—")</f>
        <v/>
      </c>
      <c r="D32" s="181" t="inlineStr">
        <is>
          <t>Excel 04</t>
        </is>
      </c>
    </row>
    <row r="33" ht="14.25" customHeight="1" s="281">
      <c r="A33" s="181" t="inlineStr">
        <is>
          <t>Gross Margin</t>
        </is>
      </c>
      <c r="B33" s="175">
        <f>B17</f>
        <v/>
      </c>
      <c r="C33" s="175">
        <f>0</f>
        <v/>
      </c>
      <c r="D33" s="181" t="inlineStr">
        <is>
          <t>Already in your P&amp;L</t>
        </is>
      </c>
    </row>
    <row r="34" ht="14.25" customHeight="1" s="281">
      <c r="A34" s="181" t="inlineStr">
        <is>
          <t>GRR</t>
        </is>
      </c>
      <c r="B34" s="175">
        <f t="array" ref="B34">INDEX(Retention!$B$6:$BJ$6,MATCH($I$2,Retention!$B$4:$BJ$4,0))</f>
        <v/>
      </c>
      <c r="C34" s="175">
        <f t="array" ref="C34">B34-INDEX(Retention!$B$6:$BJ$6,MATCH(DATE(YEAR($I$2),MONTH($I$2)-1,1),Retention!$B$4:$BJ$4,0))</f>
        <v/>
      </c>
      <c r="D34" s="181" t="inlineStr">
        <is>
          <t>Excel 03</t>
        </is>
      </c>
      <c r="K34" s="230">
        <f>vlookup('KPI Tracker'!A10,'KPI Tracker'!A4:F16,3)</f>
        <v/>
      </c>
    </row>
    <row r="35" ht="14.25" customHeight="1" s="281">
      <c r="A35" s="181" t="inlineStr">
        <is>
          <t>NRR</t>
        </is>
      </c>
      <c r="B35" s="175">
        <f t="array" ref="B35">INDEX(Retention!$B$7:$BJ$7,MATCH($I$2,Retention!$B$4:$BJ$4,0))</f>
        <v/>
      </c>
      <c r="C35" s="175">
        <f t="array" ref="C35">B35-INDEX(Retention!$B$7:$BJ$7,MATCH(DATE(YEAR($I$2),MONTH($I$2)-1,1),Retention!$B$4:$BJ$4,0))</f>
        <v/>
      </c>
      <c r="D35" s="181" t="inlineStr">
        <is>
          <t>Excel 03</t>
        </is>
      </c>
    </row>
    <row r="36" ht="14.25" customHeight="1" s="281">
      <c r="A36" s="181" t="inlineStr">
        <is>
          <t>Quick Ratio</t>
        </is>
      </c>
      <c r="B36" s="181">
        <f>IFERROR(IF((B6+B7)=0,"N/A — no losses",(B4+B5)/(B6+B7)),"N/A")</f>
        <v/>
      </c>
      <c r="C36" s="181">
        <f>IFERROR(IF(ISNUMBER(B36),B36-INDEX('KPI Tracker'!$B$10:$F$10,MATCH(DATE(YEAR($I$2),MONTH($I$2)-1,1),'KPI Tracker'!$B$3:$F$3,0)),"—"),"—")</f>
        <v/>
      </c>
      <c r="D36" s="181" t="inlineStr">
        <is>
          <t>Excel 02</t>
        </is>
      </c>
    </row>
    <row r="37" ht="14.25" customHeight="1" s="281">
      <c r="A37" s="181" t="inlineStr">
        <is>
          <t>S&amp;M (actual)</t>
        </is>
      </c>
      <c r="B37" s="184">
        <f>B18</f>
        <v/>
      </c>
      <c r="C37" s="184">
        <f t="array" ref="C37">B37-INDEX(Actuals!$B$7:$Y$7,MATCH(DATE(YEAR($I$2),MONTH($I$2)-1,1),Actuals!$B$1:$Y$1,0))</f>
        <v/>
      </c>
      <c r="D37" s="181" t="inlineStr">
        <is>
          <t>From Lisa's monthly close message</t>
        </is>
      </c>
    </row>
    <row r="38" ht="14.25" customHeight="1" s="281">
      <c r="A38" s="181" t="inlineStr">
        <is>
          <t>CAC — this month</t>
        </is>
      </c>
      <c r="B38" s="184">
        <f>IFERROR(IF(B39=0,"—",B37/B39),"—")</f>
        <v/>
      </c>
      <c r="C38" s="184">
        <f t="array" ref="C38">IFERROR(B38-INDEX(Actuals!$B$7:$Y$7,MATCH(DATE(YEAR($I$2),MONTH($I$2)-1,1),Actuals!$B$1:$Y$1,0))/INDEX(Actuals!$B$14:$Y$14,MATCH(DATE(YEAR($I$2),MONTH($I$2)-1,1),Actuals!$B$1:$Y$1,0)),"—")</f>
        <v/>
      </c>
      <c r="D38" s="181" t="inlineStr">
        <is>
          <t>Excel 04 — S&amp;M ÷ new customers acquired this month</t>
        </is>
      </c>
    </row>
    <row r="39" ht="14.25" customHeight="1" s="281">
      <c r="A39" s="146" t="inlineStr">
        <is>
          <t xml:space="preserve">  New customers acquired</t>
        </is>
      </c>
      <c r="B39" s="128">
        <f t="array" ref="B39">INDEX(Actuals!$B$14:$Y$14,MATCH($I$2,Actuals!$B$1:$Y$1,0))</f>
        <v/>
      </c>
      <c r="C39" s="181" t="inlineStr">
        <is>
          <t>—</t>
        </is>
      </c>
      <c r="D39" s="146" t="inlineStr">
        <is>
          <t>Enter count of new logos signed in Apr</t>
        </is>
      </c>
    </row>
    <row r="40" ht="14.25" customHeight="1" s="281">
      <c r="A40" s="181" t="inlineStr">
        <is>
          <t>CAC — Q1 to date</t>
        </is>
      </c>
      <c r="B40" s="184">
        <f>IFERROR(IF(('Jan 2026 A vs F '!B46/'Jan 2026 A vs F '!B47+'Feb 2026 A vs F'!B39+B39)=0,"—",('Jan 2026 A vs F '!B46+'Feb 2026 A vs F'!B37+B37)/('Jan 2026 A vs F '!B46/'Jan 2026 A vs F '!B47+'Feb 2026 A vs F'!B39+B39)),"—")</f>
        <v/>
      </c>
      <c r="C40" s="181" t="inlineStr">
        <is>
          <t>—</t>
        </is>
      </c>
      <c r="D40" s="181" t="inlineStr">
        <is>
          <t>Cumulative S&amp;M ÷ cumulative new customers in Q1 so far</t>
        </is>
      </c>
      <c r="K40" s="130" t="n"/>
    </row>
    <row r="41" ht="14.25" customHeight="1" s="281">
      <c r="A41" s="181" t="inlineStr">
        <is>
          <t>LTV</t>
        </is>
      </c>
      <c r="B41" s="181" t="inlineStr">
        <is>
          <t>—</t>
        </is>
      </c>
      <c r="C41" s="181" t="inlineStr">
        <is>
          <t>—</t>
        </is>
      </c>
      <c r="D41" s="181" t="inlineStr">
        <is>
          <t>Quarterly metric — calculated at Q1 close</t>
        </is>
      </c>
    </row>
    <row r="42" ht="14.25" customHeight="1" s="281">
      <c r="A42" s="181" t="inlineStr">
        <is>
          <t>LTV:CAC</t>
        </is>
      </c>
      <c r="B42" s="181" t="inlineStr">
        <is>
          <t>—</t>
        </is>
      </c>
      <c r="C42" s="181" t="inlineStr">
        <is>
          <t>—</t>
        </is>
      </c>
      <c r="D42" s="181" t="inlineStr">
        <is>
          <t>Quarterly metric — calculated at Q1 close</t>
        </is>
      </c>
    </row>
    <row r="43" ht="14.25" customHeight="1" s="281">
      <c r="A43" s="181" t="inlineStr">
        <is>
          <t>CAC Payback</t>
        </is>
      </c>
      <c r="B43" s="181" t="inlineStr">
        <is>
          <t>—</t>
        </is>
      </c>
      <c r="C43" s="181" t="inlineStr">
        <is>
          <t>—</t>
        </is>
      </c>
      <c r="D43" s="181" t="inlineStr">
        <is>
          <t>Quarterly metric — calculated at Q1 close</t>
        </is>
      </c>
    </row>
    <row r="44" ht="14.25" customHeight="1" s="281">
      <c r="A44" s="88" t="inlineStr">
        <is>
          <t>* Monthly CAC note:</t>
        </is>
      </c>
    </row>
    <row r="45" ht="14.25" customHeight="1" s="281">
      <c r="A45" s="88" t="inlineStr">
        <is>
          <t>Monthly CAC is noisy with small customer counts. Q1 CAC will be the definitive figure after March closes using total Q1 S&amp;M ÷ total Q1 new customers.</t>
        </is>
      </c>
    </row>
    <row r="46" ht="14.25" customHeight="1" s="281"/>
    <row r="47" ht="14.25" customHeight="1" s="281">
      <c r="A47" s="88" t="inlineStr">
        <is>
          <t>† Quarterly metrics note:</t>
        </is>
      </c>
    </row>
    <row r="48" ht="14.25" customHeight="1" s="281">
      <c r="A48" s="88" t="inlineStr">
        <is>
          <t>LTV, LTV:CAC, and CAC Payback are calculated quarterly using the trailing 12-month gross churn rate. See Q1 Roll-Up (coming in 06d).</t>
        </is>
      </c>
    </row>
    <row r="49" ht="14.25" customHeight="1" s="281"/>
    <row r="50" ht="14.25" customHeight="1" s="281"/>
    <row r="51" ht="14.25" customHeight="1" s="281">
      <c r="A51" s="89" t="inlineStr">
        <is>
          <t>Self-Check — KPIs</t>
        </is>
      </c>
    </row>
    <row r="52" ht="14.25" customHeight="1" s="281"/>
    <row r="53" ht="14.25" customHeight="1" s="281">
      <c r="A53" s="84" t="inlineStr">
        <is>
          <t>Metric</t>
        </is>
      </c>
      <c r="B53" s="84" t="inlineStr">
        <is>
          <t>Your value</t>
        </is>
      </c>
      <c r="C53" s="84" t="inlineStr">
        <is>
          <t>Formula check</t>
        </is>
      </c>
    </row>
    <row r="54" ht="14.25" customHeight="1" s="281">
      <c r="A54" s="181" t="inlineStr">
        <is>
          <t>ARPA</t>
        </is>
      </c>
      <c r="B54" s="166">
        <f>B32</f>
        <v/>
      </c>
      <c r="C54" s="166">
        <f>B9/B30</f>
        <v/>
      </c>
    </row>
    <row r="55" ht="14.25" customHeight="1" s="281">
      <c r="A55" s="181" t="inlineStr">
        <is>
          <t>GRR</t>
        </is>
      </c>
      <c r="B55" s="175">
        <f>B34</f>
        <v/>
      </c>
      <c r="C55" s="175">
        <f t="array" ref="C55">INDEX(Retention!$B$6:$BJ$6, MATCH($I$2, Retention!$B$4:$BJ$4,0))</f>
        <v/>
      </c>
      <c r="E55" s="230" t="inlineStr">
        <is>
          <t>INDEX(Retention!$B$6:$AZ$6,MATCH($I$2,Retention!$B$4:$AZ$4,0))</t>
        </is>
      </c>
    </row>
    <row r="56" ht="14.25" customHeight="1" s="281">
      <c r="A56" s="181" t="inlineStr">
        <is>
          <t>NRR</t>
        </is>
      </c>
      <c r="B56" s="175">
        <f>B35</f>
        <v/>
      </c>
      <c r="C56" s="175">
        <f t="array" ref="C56">INDEX(Retention!$B$7:$BJ$7, MATCH($I$2, Retention!$B$4:$BJ$4,0))</f>
        <v/>
      </c>
    </row>
    <row r="57" ht="14.25" customHeight="1" s="281">
      <c r="A57" s="181" t="inlineStr">
        <is>
          <t>Quick Ratio</t>
        </is>
      </c>
      <c r="B57" s="181">
        <f>B36</f>
        <v/>
      </c>
      <c r="C57" s="181">
        <f>IFERROR(IF((B6+B7)=0,"N/A — no losses",(B4+B5)/(B6+B7)),"N/A")</f>
        <v/>
      </c>
    </row>
    <row r="58" ht="14.25" customHeight="1" s="281">
      <c r="A58" s="181" t="inlineStr">
        <is>
          <t>CAC (monthly)</t>
        </is>
      </c>
      <c r="B58" s="184">
        <f>B38</f>
        <v/>
      </c>
      <c r="C58" s="184">
        <f>IFERROR(IF(B39=0,"—",B37/B39),"—")</f>
        <v/>
      </c>
    </row>
    <row r="59" ht="14.25" customHeight="1" s="281"/>
    <row r="60" ht="14.25" customHeight="1" s="281">
      <c r="A60" s="27" t="inlineStr">
        <is>
          <t>Summary:</t>
        </is>
      </c>
    </row>
    <row r="61" ht="14.25" customHeight="1" s="281">
      <c r="A61" s="131">
        <f>TEXT($I$2,"mmmm yyyy")&amp;" — Closing MRR: "&amp;TEXT(B9,"$#,##0")&amp;" | NRR: "&amp;TEXT(B35,"0.0%")&amp;" | EBITDA margin: "&amp;TEXT(B23,"0.0%")</f>
        <v/>
      </c>
    </row>
    <row r="62" ht="14.25" customHeight="1" s="281">
      <c r="A62" s="147" t="inlineStr">
        <is>
          <t>April finished with a Closing MRR of $156,830.50. This is $2,476.35 above what we expected to have currently and has driven EBITDA to $34,781.35 which is $733.44 more than our current forecast and provides a margin of 22.2% compared to the planned 22.1%.</t>
        </is>
      </c>
    </row>
    <row r="63" ht="14.25" customHeight="1" s="281">
      <c r="A63" s="230" t="inlineStr">
        <is>
          <t>Our New MRR of $3,810 was $190 below plan (a 5% miss), driven by lower new-logo ARPA rather than volume — we signed 2 new logos this month, in line with the ~1.3/month Q1 pace. Expansion MRR of $440 came in $275 short of the expected $715.</t>
        </is>
      </c>
    </row>
    <row r="64" ht="14.25" customHeight="1" s="281">
      <c r="A64" s="230" t="inlineStr">
        <is>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is>
      </c>
    </row>
    <row r="65" ht="14.25" customHeight="1" s="281">
      <c r="A65" s="230" t="inlineStr">
        <is>
          <t>OpEx ran $1,000 over plan, from higher S&amp;M and G&amp;A (S&amp;M +$2,000, G&amp;A +$1,000). The S&amp;M step-up ties to acquiring 2 new customers this month. Even so, EBITDA landed $733 above plan, keeping us on track.</t>
        </is>
      </c>
    </row>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sheetData>
  <pageMargins left="0.7" right="0.7" top="0.75" bottom="0.75" header="0" footer="0"/>
  <pageSetup orientation="landscape"/>
</worksheet>
</file>

<file path=xl/worksheets/sheet14.xml><?xml version="1.0" encoding="utf-8"?>
<worksheet xmlns="http://schemas.openxmlformats.org/spreadsheetml/2006/main">
  <sheetPr>
    <tabColor rgb="FF00B050"/>
    <outlinePr summaryBelow="1" summaryRight="1"/>
    <pageSetUpPr/>
  </sheetPr>
  <dimension ref="A1:I54"/>
  <sheetViews>
    <sheetView workbookViewId="0">
      <pane ySplit="6" topLeftCell="A7" activePane="bottomLeft" state="frozen"/>
      <selection pane="bottomLeft" activeCell="B8" sqref="B8"/>
    </sheetView>
  </sheetViews>
  <sheetFormatPr baseColWidth="8" defaultColWidth="14.43" defaultRowHeight="15" customHeight="1"/>
  <cols>
    <col width="30" customWidth="1" style="281" min="1" max="1"/>
    <col width="14" customWidth="1" style="281" min="2" max="5"/>
    <col width="4" customWidth="1" style="281" min="6" max="6"/>
    <col width="14" customWidth="1" style="281" min="7" max="7"/>
    <col width="8.710000000000001" customWidth="1" style="281" min="8" max="8"/>
    <col width="48" customWidth="1" style="281" min="9" max="9"/>
    <col width="8.710000000000001" customWidth="1" style="281" min="10" max="26"/>
  </cols>
  <sheetData>
    <row r="1" ht="14.25" customHeight="1" s="281">
      <c r="A1" s="44" t="inlineStr">
        <is>
          <t> </t>
        </is>
      </c>
    </row>
    <row r="2" ht="14.25" customHeight="1" s="281">
      <c r="A2" s="45" t="inlineStr">
        <is>
          <t>Build formulas referencing the Assumptions tab. No hardcoded numbers.</t>
        </is>
      </c>
    </row>
    <row r="3" ht="14.25" customHeight="1" s="281">
      <c r="A3" s="45" t="inlineStr">
        <is>
          <t>Black font = formulas. Green font = cross-tab references.</t>
        </is>
      </c>
    </row>
    <row r="4" ht="14.25" customHeight="1" s="281"/>
    <row r="5" ht="14.25" customHeight="1" s="281">
      <c r="A5" s="46" t="inlineStr">
        <is>
          <t>MRR WATERFALL</t>
        </is>
      </c>
      <c r="B5" s="47" t="n"/>
      <c r="C5" s="47" t="n"/>
      <c r="D5" s="47" t="n"/>
      <c r="E5" s="47" t="n"/>
      <c r="F5" s="47" t="n"/>
    </row>
    <row r="6" ht="14.25" customHeight="1" s="281">
      <c r="A6" s="48" t="inlineStr">
        <is>
          <t>Metric</t>
        </is>
      </c>
      <c r="B6" s="48" t="inlineStr">
        <is>
          <t>Q1 2026</t>
        </is>
      </c>
      <c r="C6" s="48" t="inlineStr">
        <is>
          <t>Q2 2026</t>
        </is>
      </c>
      <c r="D6" s="48" t="inlineStr">
        <is>
          <t>Q3 2026</t>
        </is>
      </c>
      <c r="E6" s="48" t="inlineStr">
        <is>
          <t>Q4 2026</t>
        </is>
      </c>
      <c r="G6" s="140" t="inlineStr">
        <is>
          <t>FY 2026</t>
        </is>
      </c>
      <c r="I6" s="148" t="inlineStr">
        <is>
          <t>Formula hints</t>
        </is>
      </c>
    </row>
    <row r="7" ht="14.25" customHeight="1" s="281">
      <c r="A7" s="50" t="inlineStr">
        <is>
          <t>Opening MRR</t>
        </is>
      </c>
      <c r="B7" s="73">
        <f>'Forecast Assumptions'!B6</f>
        <v/>
      </c>
      <c r="C7" s="73">
        <f>B12</f>
        <v/>
      </c>
      <c r="D7" s="73">
        <f>C12</f>
        <v/>
      </c>
      <c r="E7" s="73">
        <f>D12</f>
        <v/>
      </c>
      <c r="G7" s="73">
        <f>B7</f>
        <v/>
      </c>
      <c r="I7" s="45" t="inlineStr">
        <is>
          <t>Q1 = Opening from Assumptions. Q2+ = prior Q closing.</t>
        </is>
      </c>
    </row>
    <row r="8" ht="14.25" customHeight="1" s="281">
      <c r="A8" s="50" t="inlineStr">
        <is>
          <t>+ New MRR</t>
        </is>
      </c>
      <c r="B8" s="73">
        <f>'Forecast Assumptions'!B12*'Forecast Assumptions'!B13</f>
        <v/>
      </c>
      <c r="C8" s="73">
        <f>'Forecast Assumptions'!C12*'Forecast Assumptions'!C13</f>
        <v/>
      </c>
      <c r="D8" s="73">
        <f>'Forecast Assumptions'!D12*'Forecast Assumptions'!D13</f>
        <v/>
      </c>
      <c r="E8" s="73">
        <f>'Forecast Assumptions'!E12*'Forecast Assumptions'!E13</f>
        <v/>
      </c>
      <c r="G8" s="73">
        <f>B8+C8+D8+E8</f>
        <v/>
      </c>
      <c r="I8" s="45" t="inlineStr">
        <is>
          <t>→ New customers × Avg MRR per new customer</t>
        </is>
      </c>
    </row>
    <row r="9" ht="14.25" customHeight="1" s="281">
      <c r="A9" s="50" t="inlineStr">
        <is>
          <t>+ Expansion MRR</t>
        </is>
      </c>
      <c r="B9" s="73">
        <f>B7*'Forecast Assumptions'!B14</f>
        <v/>
      </c>
      <c r="C9" s="73">
        <f>C7*'Forecast Assumptions'!C14</f>
        <v/>
      </c>
      <c r="D9" s="73">
        <f>D7*'Forecast Assumptions'!D14</f>
        <v/>
      </c>
      <c r="E9" s="73">
        <f>E7*'Forecast Assumptions'!E14</f>
        <v/>
      </c>
      <c r="G9" s="73">
        <f>B9+C9+D9+E9</f>
        <v/>
      </c>
      <c r="I9" s="45" t="inlineStr">
        <is>
          <t>→ Opening MRR × quarterly expansion rate</t>
        </is>
      </c>
    </row>
    <row r="10" ht="14.25" customHeight="1" s="281">
      <c r="A10" s="50" t="inlineStr">
        <is>
          <t>− Churned MRR</t>
        </is>
      </c>
      <c r="B10" s="73">
        <f>B7*'Forecast Assumptions'!B15</f>
        <v/>
      </c>
      <c r="C10" s="73">
        <f>C7*'Forecast Assumptions'!C15</f>
        <v/>
      </c>
      <c r="D10" s="73">
        <f>D7*'Forecast Assumptions'!D15</f>
        <v/>
      </c>
      <c r="E10" s="73">
        <f>E7*'Forecast Assumptions'!E15</f>
        <v/>
      </c>
      <c r="G10" s="73">
        <f>B10+C10+D10+E10</f>
        <v/>
      </c>
      <c r="I10" s="45" t="inlineStr">
        <is>
          <t>→ Opening MRR × quarterly churn rate</t>
        </is>
      </c>
    </row>
    <row r="11" ht="14.25" customHeight="1" s="281">
      <c r="A11" s="52" t="inlineStr">
        <is>
          <t>Net New MRR</t>
        </is>
      </c>
      <c r="B11" s="76">
        <f>B8+B9-B10</f>
        <v/>
      </c>
      <c r="C11" s="76">
        <f>C8+C9-C10</f>
        <v/>
      </c>
      <c r="D11" s="76">
        <f>D8+D9-D10</f>
        <v/>
      </c>
      <c r="E11" s="76">
        <f>E8+E9-E10</f>
        <v/>
      </c>
      <c r="G11" s="76">
        <f>G8+G9-G10</f>
        <v/>
      </c>
      <c r="I11" s="45" t="inlineStr">
        <is>
          <t>→ New + Expansion − Churned</t>
        </is>
      </c>
    </row>
    <row r="12" ht="14.25" customHeight="1" s="281">
      <c r="A12" s="52" t="inlineStr">
        <is>
          <t>Closing MRR</t>
        </is>
      </c>
      <c r="B12" s="76">
        <f>B7+B11</f>
        <v/>
      </c>
      <c r="C12" s="76">
        <f>C7+C11</f>
        <v/>
      </c>
      <c r="D12" s="76">
        <f>D7+D11</f>
        <v/>
      </c>
      <c r="E12" s="76">
        <f>E7+E11</f>
        <v/>
      </c>
      <c r="G12" s="76">
        <f>E12</f>
        <v/>
      </c>
      <c r="I12" s="45" t="inlineStr">
        <is>
          <t>→ Opening + Net New</t>
        </is>
      </c>
    </row>
    <row r="13" ht="14.25" customHeight="1" s="281">
      <c r="A13" s="52" t="inlineStr">
        <is>
          <t>Closing ARR</t>
        </is>
      </c>
      <c r="B13" s="71">
        <f>B12*12</f>
        <v/>
      </c>
      <c r="C13" s="71">
        <f>C12*12</f>
        <v/>
      </c>
      <c r="D13" s="71">
        <f>D12*12</f>
        <v/>
      </c>
      <c r="E13" s="71">
        <f>E12*12</f>
        <v/>
      </c>
      <c r="G13" s="71">
        <f>G12*12</f>
        <v/>
      </c>
      <c r="I13" s="45" t="inlineStr">
        <is>
          <t>→ Closing MRR × 12</t>
        </is>
      </c>
    </row>
    <row r="14" ht="14.25" customHeight="1" s="281">
      <c r="G14" s="45" t="inlineStr">
        <is>
          <t>← Opening = Q1</t>
        </is>
      </c>
    </row>
    <row r="15" ht="14.25" customHeight="1" s="281">
      <c r="G15" s="45" t="inlineStr">
        <is>
          <t>← Sums for flows</t>
        </is>
      </c>
    </row>
    <row r="16" ht="14.25" customHeight="1" s="281">
      <c r="G16" s="45" t="inlineStr">
        <is>
          <t>← Q4 closing for balances</t>
        </is>
      </c>
    </row>
    <row r="17" ht="14.25" customHeight="1" s="281"/>
    <row r="18" ht="14.25" customHeight="1" s="281">
      <c r="A18" s="46" t="inlineStr">
        <is>
          <t>PROFIT &amp; LOSS</t>
        </is>
      </c>
      <c r="B18" s="47" t="n"/>
      <c r="C18" s="47" t="n"/>
      <c r="D18" s="47" t="n"/>
      <c r="E18" s="47" t="n"/>
      <c r="F18" s="47" t="n"/>
    </row>
    <row r="19" ht="14.25" customHeight="1" s="281">
      <c r="A19" s="48" t="inlineStr">
        <is>
          <t>Metric</t>
        </is>
      </c>
      <c r="B19" s="48" t="inlineStr">
        <is>
          <t>Q1 2026</t>
        </is>
      </c>
      <c r="C19" s="48" t="inlineStr">
        <is>
          <t>Q2 2026</t>
        </is>
      </c>
      <c r="D19" s="48" t="inlineStr">
        <is>
          <t>Q3 2026</t>
        </is>
      </c>
      <c r="E19" s="48" t="inlineStr">
        <is>
          <t>Q4 2026</t>
        </is>
      </c>
      <c r="G19" s="140" t="inlineStr">
        <is>
          <t>FY 2026</t>
        </is>
      </c>
    </row>
    <row r="20" ht="14.25" customHeight="1" s="281">
      <c r="A20" s="50" t="inlineStr">
        <is>
          <t>Revenue</t>
        </is>
      </c>
      <c r="B20" s="149">
        <f>B12*3</f>
        <v/>
      </c>
      <c r="C20" s="149">
        <f>C12*3</f>
        <v/>
      </c>
      <c r="D20" s="149">
        <f>D12*3</f>
        <v/>
      </c>
      <c r="E20" s="149">
        <f>E12*3</f>
        <v/>
      </c>
      <c r="G20" s="149">
        <f>B20+C20+D20+E20</f>
        <v/>
      </c>
      <c r="I20" s="45" t="inlineStr">
        <is>
          <t>→ Closing MRR × 3</t>
        </is>
      </c>
    </row>
    <row r="21" ht="14.25" customHeight="1" s="281">
      <c r="A21" s="50" t="inlineStr">
        <is>
          <t>COGS</t>
        </is>
      </c>
      <c r="B21" s="149">
        <f>B20*(1-'Forecast Assumptions'!B22)</f>
        <v/>
      </c>
      <c r="C21" s="149">
        <f>C20*(1-'Forecast Assumptions'!B22)</f>
        <v/>
      </c>
      <c r="D21" s="149">
        <f>D20*(1-'Forecast Assumptions'!B22)</f>
        <v/>
      </c>
      <c r="E21" s="149">
        <f>E20*(1-'Forecast Assumptions'!B22)</f>
        <v/>
      </c>
      <c r="G21" s="149">
        <f>B21+C21+D21+E21</f>
        <v/>
      </c>
      <c r="I21" s="45" t="inlineStr">
        <is>
          <t>→ Revenue × (1 − gross margin)</t>
        </is>
      </c>
    </row>
    <row r="22" ht="14.25" customHeight="1" s="281">
      <c r="A22" s="52" t="inlineStr">
        <is>
          <t>Gross Profit</t>
        </is>
      </c>
      <c r="B22" s="71">
        <f>B20-B21</f>
        <v/>
      </c>
      <c r="C22" s="71">
        <f>C20-C21</f>
        <v/>
      </c>
      <c r="D22" s="71">
        <f>D20-D21</f>
        <v/>
      </c>
      <c r="E22" s="71">
        <f>E20-E21</f>
        <v/>
      </c>
      <c r="G22" s="71">
        <f>B22+C22+D22+E22</f>
        <v/>
      </c>
      <c r="I22" s="45" t="inlineStr">
        <is>
          <t>→ Revenue − COGS</t>
        </is>
      </c>
    </row>
    <row r="23" ht="14.25" customHeight="1" s="281">
      <c r="A23" s="50" t="inlineStr">
        <is>
          <t>Gross Margin %</t>
        </is>
      </c>
      <c r="B23" s="175">
        <f>B22/B20</f>
        <v/>
      </c>
      <c r="C23" s="175">
        <f>C22/C20</f>
        <v/>
      </c>
      <c r="D23" s="175">
        <f>D22/D20</f>
        <v/>
      </c>
      <c r="E23" s="175">
        <f>E22/E20</f>
        <v/>
      </c>
      <c r="G23" s="175">
        <f>G22/G20</f>
        <v/>
      </c>
      <c r="I23" s="45" t="inlineStr">
        <is>
          <t>→ GP / Revenue</t>
        </is>
      </c>
    </row>
    <row r="24" ht="14.25" customHeight="1" s="281">
      <c r="A24" s="50" t="n"/>
      <c r="I24" s="45" t="n"/>
    </row>
    <row r="25" ht="14.25" customHeight="1" s="281">
      <c r="A25" s="50" t="inlineStr">
        <is>
          <t>Sales &amp; Marketing</t>
        </is>
      </c>
      <c r="B25" s="149">
        <f>'Forecast Assumptions'!B26</f>
        <v/>
      </c>
      <c r="C25" s="149">
        <f>'Forecast Assumptions'!C26</f>
        <v/>
      </c>
      <c r="D25" s="149">
        <f>'Forecast Assumptions'!D26</f>
        <v/>
      </c>
      <c r="E25" s="149">
        <f>'Forecast Assumptions'!E26</f>
        <v/>
      </c>
      <c r="G25" s="149">
        <f>B25+C25+D25+E25</f>
        <v/>
      </c>
      <c r="I25" s="45" t="inlineStr">
        <is>
          <t>← From Assumptions tab</t>
        </is>
      </c>
    </row>
    <row r="26" ht="14.25" customHeight="1" s="281">
      <c r="A26" s="50" t="inlineStr">
        <is>
          <t>Research &amp; Development</t>
        </is>
      </c>
      <c r="B26" s="149">
        <f>'Forecast Assumptions'!B27</f>
        <v/>
      </c>
      <c r="C26" s="149">
        <f>'Forecast Assumptions'!C27</f>
        <v/>
      </c>
      <c r="D26" s="149">
        <f>'Forecast Assumptions'!D27</f>
        <v/>
      </c>
      <c r="E26" s="149">
        <f>'Forecast Assumptions'!E27</f>
        <v/>
      </c>
      <c r="G26" s="149">
        <f>B26+C26+D26+E26</f>
        <v/>
      </c>
      <c r="I26" s="45" t="inlineStr">
        <is>
          <t>← From Assumptions tab</t>
        </is>
      </c>
    </row>
    <row r="27" ht="14.25" customHeight="1" s="281">
      <c r="A27" s="50" t="inlineStr">
        <is>
          <t>General &amp; Administrative</t>
        </is>
      </c>
      <c r="B27" s="149">
        <f>'Forecast Assumptions'!B28</f>
        <v/>
      </c>
      <c r="C27" s="149">
        <f>'Forecast Assumptions'!C28</f>
        <v/>
      </c>
      <c r="D27" s="149">
        <f>'Forecast Assumptions'!D28</f>
        <v/>
      </c>
      <c r="E27" s="149">
        <f>'Forecast Assumptions'!E28</f>
        <v/>
      </c>
      <c r="G27" s="149">
        <f>B27+C27+D27+E27</f>
        <v/>
      </c>
      <c r="I27" s="45" t="inlineStr">
        <is>
          <t>← From Assumptions tab</t>
        </is>
      </c>
    </row>
    <row r="28" ht="14.25" customHeight="1" s="281">
      <c r="A28" s="52" t="inlineStr">
        <is>
          <t>Total OpEx</t>
        </is>
      </c>
      <c r="B28" s="71">
        <f>B25+B26+B27</f>
        <v/>
      </c>
      <c r="C28" s="71">
        <f>C25+C26+C27</f>
        <v/>
      </c>
      <c r="D28" s="71">
        <f>D25+D26+D27</f>
        <v/>
      </c>
      <c r="E28" s="71">
        <f>E25+E26+E27</f>
        <v/>
      </c>
      <c r="G28" s="71">
        <f>G25+G26+G27</f>
        <v/>
      </c>
      <c r="I28" s="45" t="inlineStr">
        <is>
          <t>S&amp;M + R&amp;D + G&amp;A</t>
        </is>
      </c>
    </row>
    <row r="29" ht="14.25" customHeight="1" s="281">
      <c r="A29" s="50" t="n"/>
      <c r="I29" s="45" t="n"/>
    </row>
    <row r="30" ht="14.25" customHeight="1" s="281">
      <c r="A30" s="52" t="inlineStr">
        <is>
          <t>EBITDA</t>
        </is>
      </c>
      <c r="B30" s="150">
        <f>B22-B28</f>
        <v/>
      </c>
      <c r="C30" s="150">
        <f>C22-C28</f>
        <v/>
      </c>
      <c r="D30" s="150">
        <f>D22-D28</f>
        <v/>
      </c>
      <c r="E30" s="150">
        <f>E22-E28</f>
        <v/>
      </c>
      <c r="G30" s="150">
        <f>B30+C30+D30+E30</f>
        <v/>
      </c>
      <c r="I30" s="45" t="inlineStr">
        <is>
          <t>→ Gross Profit − Total OpEx</t>
        </is>
      </c>
    </row>
    <row r="31" ht="14.25" customHeight="1" s="281">
      <c r="A31" s="50" t="inlineStr">
        <is>
          <t>EBITDA Margin %</t>
        </is>
      </c>
      <c r="B31" s="175">
        <f>B30/B20</f>
        <v/>
      </c>
      <c r="C31" s="175">
        <f>C30/C20</f>
        <v/>
      </c>
      <c r="D31" s="175">
        <f>D30/D20</f>
        <v/>
      </c>
      <c r="E31" s="175">
        <f>E30/E20</f>
        <v/>
      </c>
      <c r="G31" s="175">
        <f>G30/G20</f>
        <v/>
      </c>
      <c r="I31" s="45" t="inlineStr">
        <is>
          <t>→ EBITDA / Revenue</t>
        </is>
      </c>
    </row>
    <row r="32" ht="14.25" customHeight="1" s="281"/>
    <row r="33" ht="14.25" customHeight="1" s="281">
      <c r="A33" s="46" t="inlineStr">
        <is>
          <t>KEY METRICS</t>
        </is>
      </c>
      <c r="B33" s="47" t="n"/>
      <c r="C33" s="47" t="n"/>
      <c r="D33" s="47" t="n"/>
      <c r="E33" s="47" t="n"/>
      <c r="F33" s="47" t="n"/>
    </row>
    <row r="34" ht="14.25" customHeight="1" s="281">
      <c r="A34" s="50" t="inlineStr">
        <is>
          <t>Dec 2026 MRR</t>
        </is>
      </c>
      <c r="B34" s="137">
        <f>E12</f>
        <v/>
      </c>
      <c r="I34" s="45" t="inlineStr">
        <is>
          <t>→ Q4 Closing MRR</t>
        </is>
      </c>
    </row>
    <row r="35" ht="14.25" customHeight="1" s="281">
      <c r="A35" s="50" t="inlineStr">
        <is>
          <t>Dec 2026 ARR</t>
        </is>
      </c>
      <c r="B35" s="149">
        <f>B34*12</f>
        <v/>
      </c>
      <c r="I35" s="45" t="inlineStr">
        <is>
          <t>→ Dec MRR × 12</t>
        </is>
      </c>
    </row>
    <row r="36" ht="14.25" customHeight="1" s="281">
      <c r="A36" s="50" t="inlineStr">
        <is>
          <t>FY Revenue</t>
        </is>
      </c>
      <c r="B36" s="149">
        <f>G20</f>
        <v/>
      </c>
      <c r="I36" s="45" t="inlineStr">
        <is>
          <t>→ Sum of quarterly revenue</t>
        </is>
      </c>
    </row>
    <row r="37" ht="14.25" customHeight="1" s="281">
      <c r="A37" s="50" t="inlineStr">
        <is>
          <t>MRR Growth %</t>
        </is>
      </c>
      <c r="B37" s="175">
        <f>(E12-B7)/B7</f>
        <v/>
      </c>
      <c r="I37" s="45" t="inlineStr">
        <is>
          <t>→ (Closing − Opening) / Opening</t>
        </is>
      </c>
    </row>
    <row r="38" ht="14.25" customHeight="1" s="281">
      <c r="A38" s="50" t="inlineStr">
        <is>
          <t>New Customers (FY)</t>
        </is>
      </c>
      <c r="B38" s="54">
        <f>'Forecast Assumptions'!B12+'Forecast Assumptions'!C12+'Forecast Assumptions'!D12+'Forecast Assumptions'!E12</f>
        <v/>
      </c>
      <c r="I38" s="45" t="inlineStr">
        <is>
          <t>→ Sum from Assumptions</t>
        </is>
      </c>
    </row>
    <row r="39" ht="14.25" customHeight="1" s="281">
      <c r="A39" s="50" t="inlineStr">
        <is>
          <t>Blended CAC</t>
        </is>
      </c>
      <c r="B39" s="149">
        <f>G25/B38</f>
        <v/>
      </c>
      <c r="I39" s="45" t="inlineStr">
        <is>
          <t>Total S&amp;M / New customers</t>
        </is>
      </c>
    </row>
    <row r="40" ht="14.25" customHeight="1" s="281">
      <c r="A40" s="50" t="inlineStr">
        <is>
          <t>CMGR</t>
        </is>
      </c>
      <c r="B40" s="175">
        <f>(E12/B7)^(1/12)-1</f>
        <v/>
      </c>
      <c r="I40" s="45" t="inlineStr">
        <is>
          <t>→ (Dec MRR / Jan Opening MRR)^(1/12) − 1  [monthly rate, standard]</t>
        </is>
      </c>
    </row>
    <row r="41" ht="14.25" customHeight="1" s="281"/>
    <row r="42" ht="14.25" customHeight="1" s="281"/>
    <row r="43" ht="14.25" customHeight="1" s="281">
      <c r="A43" s="151" t="inlineStr">
        <is>
          <t>SELF-CHECK VALUES</t>
        </is>
      </c>
      <c r="B43" s="152" t="n"/>
      <c r="C43" s="152" t="n"/>
      <c r="D43" s="152" t="n"/>
      <c r="E43" s="153" t="inlineStr">
        <is>
          <t>Assumes opening MRR = $143,069.50. Our opening is $150,918.50 (Waterfall tab, Dec 2025 closing).  Same model logic, different starting MRR.</t>
        </is>
      </c>
    </row>
    <row r="44" ht="14.25" customHeight="1" s="281">
      <c r="A44" s="154" t="inlineStr">
        <is>
          <t>Check</t>
        </is>
      </c>
      <c r="B44" s="154" t="inlineStr">
        <is>
          <t>Expected</t>
        </is>
      </c>
      <c r="C44" s="154" t="inlineStr">
        <is>
          <t>Your Value</t>
        </is>
      </c>
      <c r="D44" s="154" t="inlineStr">
        <is>
          <t>Match?</t>
        </is>
      </c>
    </row>
    <row r="45" ht="14.25" customHeight="1" s="281">
      <c r="A45" s="50" t="inlineStr">
        <is>
          <t>Q1 Closing MRR</t>
        </is>
      </c>
      <c r="B45" s="73" t="n">
        <v>154354.15</v>
      </c>
      <c r="C45" s="155">
        <f>B12</f>
        <v/>
      </c>
      <c r="D45" s="156">
        <f>IF(ROUND(C45,2)=ROUND(B45,2),"✓","✗ diff: "&amp;TEXT(C45-B45,"$#,##0.00"))</f>
        <v/>
      </c>
    </row>
    <row r="46" ht="14.25" customHeight="1" s="281">
      <c r="A46" s="50" t="inlineStr">
        <is>
          <t>Q2 Closing MRR</t>
        </is>
      </c>
      <c r="B46" s="73" t="n">
        <v>172782.38</v>
      </c>
      <c r="C46" s="155">
        <f>C12</f>
        <v/>
      </c>
      <c r="D46" s="156">
        <f>IF(ROUND(C46,2)=ROUND(B46,2),"✓","✗ diff: "&amp;TEXT(C46-B46,"$#,##0.00"))</f>
        <v/>
      </c>
    </row>
    <row r="47" ht="14.25" customHeight="1" s="281">
      <c r="A47" s="50" t="inlineStr">
        <is>
          <t>Q3 Closing MRR</t>
        </is>
      </c>
      <c r="B47" s="73" t="n">
        <v>200718.47</v>
      </c>
      <c r="C47" s="155">
        <f>D12</f>
        <v/>
      </c>
      <c r="D47" s="156">
        <f>IF(ROUND(C47,2)=ROUND(B47,2),"✓","✗ diff: "&amp;TEXT(C47-B47,"$#,##0.00"))</f>
        <v/>
      </c>
    </row>
    <row r="48" ht="14.25" customHeight="1" s="281">
      <c r="A48" s="50" t="inlineStr">
        <is>
          <t>Q4 Closing MRR</t>
        </is>
      </c>
      <c r="B48" s="73" t="n">
        <v>230314.88</v>
      </c>
      <c r="C48" s="155">
        <f>E12</f>
        <v/>
      </c>
      <c r="D48" s="156">
        <f>IF(ROUND(C48,2)=ROUND(B48,2),"✓","✗ diff: "&amp;TEXT(C48-B48,"$#,##0.00"))</f>
        <v/>
      </c>
    </row>
    <row r="49" ht="14.25" customHeight="1" s="281">
      <c r="A49" s="50" t="inlineStr">
        <is>
          <t>FY Revenue</t>
        </is>
      </c>
      <c r="B49" s="73" t="n">
        <v>2274509.64</v>
      </c>
      <c r="C49" s="155">
        <f>G20</f>
        <v/>
      </c>
      <c r="D49" s="156">
        <f>IF(ROUND(C49,2)=ROUND(B49,2),"✓","✗ diff: "&amp;TEXT(C49-B49,"$#,##0.00"))</f>
        <v/>
      </c>
    </row>
    <row r="50" ht="14.25" customHeight="1" s="281">
      <c r="A50" s="50" t="inlineStr">
        <is>
          <t>FY EBITDA</t>
        </is>
      </c>
      <c r="B50" s="73" t="n">
        <v>668156.75</v>
      </c>
      <c r="C50" s="155">
        <f>G30</f>
        <v/>
      </c>
      <c r="D50" s="156">
        <f>IF(ROUND(C50,2)=ROUND(B50,2),"✓","✗ diff: "&amp;TEXT(C50-B50,"$#,##0.00"))</f>
        <v/>
      </c>
    </row>
    <row r="51" ht="14.25" customHeight="1" s="281">
      <c r="A51" s="50" t="inlineStr">
        <is>
          <t>EBITDA Margin</t>
        </is>
      </c>
      <c r="B51" s="157" t="n">
        <v>0.294</v>
      </c>
      <c r="C51" s="58">
        <f>G31</f>
        <v/>
      </c>
      <c r="D51" s="156">
        <f>IF(ROUND(C51,3)=ROUND(B51,3),"✓","✗ diff: "&amp;TEXT(C51-B51,"0.0%"))</f>
        <v/>
      </c>
    </row>
    <row r="52" ht="14.25" customHeight="1" s="281">
      <c r="A52" s="50" t="inlineStr">
        <is>
          <t>Total New Customers</t>
        </is>
      </c>
      <c r="B52" s="158" t="n">
        <v>28</v>
      </c>
      <c r="C52" s="159">
        <f>B38</f>
        <v/>
      </c>
      <c r="D52" s="156">
        <f>IF(C52=B52,"✓","✗ diff: "&amp;(C52-B52))</f>
        <v/>
      </c>
    </row>
    <row r="53" ht="14.25" customHeight="1" s="281">
      <c r="A53" s="50" t="inlineStr">
        <is>
          <t>Blended CAC</t>
        </is>
      </c>
      <c r="B53" s="73" t="n">
        <v>14142.86</v>
      </c>
      <c r="C53" s="155">
        <f>B39</f>
        <v/>
      </c>
      <c r="D53" s="156">
        <f>IF(ROUND(C53,2)=ROUND(B53,2),"✓","✗ diff: "&amp;TEXT(C53-B53,"$#,##0.00"))</f>
        <v/>
      </c>
    </row>
    <row r="54" ht="14.25" customHeight="1" s="281">
      <c r="A54" s="50" t="inlineStr">
        <is>
          <t>CMGR (monthly)</t>
        </is>
      </c>
      <c r="B54" s="157" t="n">
        <v>0.04</v>
      </c>
      <c r="C54" s="58">
        <f>B40</f>
        <v/>
      </c>
      <c r="D54" s="156">
        <f>IF(ROUND(C54,2)=ROUND(B54,2),"✓","✗ diff: "&amp;TEXT(C54-B54,"0.00%"))</f>
        <v/>
      </c>
    </row>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5" right="0.75" top="1" bottom="1" header="0" footer="0"/>
  <pageSetup orientation="landscape"/>
</worksheet>
</file>

<file path=xl/worksheets/sheet15.xml><?xml version="1.0" encoding="utf-8"?>
<worksheet xmlns="http://schemas.openxmlformats.org/spreadsheetml/2006/main">
  <sheetPr>
    <tabColor rgb="FF974806"/>
    <outlinePr summaryBelow="1" summaryRight="1"/>
    <pageSetUpPr/>
  </sheetPr>
  <dimension ref="A1:R18"/>
  <sheetViews>
    <sheetView workbookViewId="0">
      <selection activeCell="A1" sqref="A1"/>
    </sheetView>
  </sheetViews>
  <sheetFormatPr baseColWidth="8" defaultColWidth="14.43" defaultRowHeight="15" customHeight="1"/>
  <cols>
    <col width="29.14" customWidth="1" style="281" min="1" max="1"/>
    <col width="20" customWidth="1" style="281" min="2" max="4"/>
    <col width="23.57" customWidth="1" style="281" min="5" max="5"/>
    <col width="13.57" customWidth="1" style="281" min="6" max="6"/>
    <col width="8.710000000000001" customWidth="1" style="281" min="7" max="17"/>
    <col width="12.57" customWidth="1" style="281" min="18" max="18"/>
    <col width="8.710000000000001" customWidth="1" style="281" min="19" max="26"/>
  </cols>
  <sheetData>
    <row r="1" ht="14.25" customHeight="1" s="281">
      <c r="A1" s="160" t="inlineStr">
        <is>
          <t>KPI Tracker</t>
        </is>
      </c>
    </row>
    <row r="2" ht="14.25" customHeight="1" s="281"/>
    <row r="3" ht="14.25" customHeight="1" s="281">
      <c r="A3" s="161" t="inlineStr">
        <is>
          <t>Metric</t>
        </is>
      </c>
      <c r="B3" s="162" t="n">
        <v>46023</v>
      </c>
      <c r="C3" s="162" t="n">
        <v>46054</v>
      </c>
      <c r="D3" s="162" t="n">
        <v>46082</v>
      </c>
      <c r="E3" s="163" t="inlineStr">
        <is>
          <t>Q1 2026</t>
        </is>
      </c>
      <c r="F3" s="164" t="n">
        <v>46113</v>
      </c>
      <c r="J3" s="165">
        <f t="array" ref="J3">XLOOKUP('Apr 2026 A vs F '!A36,$A$4:$A$16,XLOOKUP('Apr 2026 A vs F '!I2,$B$3:$F$3,$B$4:$F$16))</f>
        <v/>
      </c>
    </row>
    <row r="4" ht="14.25" customHeight="1" s="281">
      <c r="A4" s="230" t="inlineStr">
        <is>
          <t>Closing MRR</t>
        </is>
      </c>
      <c r="B4" s="166">
        <f>'Jan 2026 A vs F '!B9</f>
        <v/>
      </c>
      <c r="C4" s="166">
        <f>'Feb 2026 A vs F'!B9</f>
        <v/>
      </c>
      <c r="D4" s="166">
        <f>'Mar 2026 A vs F'!B9</f>
        <v/>
      </c>
      <c r="E4" s="167">
        <f>'Mar 2026 A vs F'!B75</f>
        <v/>
      </c>
      <c r="F4" s="168">
        <f>'Apr 2026 A vs F '!B9</f>
        <v/>
      </c>
    </row>
    <row r="5" ht="14.25" customHeight="1" s="281">
      <c r="A5" s="230" t="inlineStr">
        <is>
          <t>Active Customers</t>
        </is>
      </c>
      <c r="B5" s="169">
        <f>'Jan 2026 A vs F '!B39</f>
        <v/>
      </c>
      <c r="C5" s="169">
        <f>'Feb 2026 A vs F'!B30</f>
        <v/>
      </c>
      <c r="D5" s="170">
        <f>'Mar 2026 A vs F'!B30</f>
        <v/>
      </c>
      <c r="E5" s="171">
        <f>'Mar 2026 A vs F'!B30</f>
        <v/>
      </c>
      <c r="F5" s="172">
        <f>'Apr 2026 A vs F '!B30</f>
        <v/>
      </c>
      <c r="J5" s="230">
        <f t="array" ref="J5">index(B4:F16, match('Apr 2026 A vs F '!A36,A4:A16,0), match('Apr 2026 A vs F '!I32,B3:F3,0))</f>
        <v/>
      </c>
      <c r="Q5" s="173" t="n">
        <v>46054</v>
      </c>
      <c r="R5" s="230" t="inlineStr">
        <is>
          <t>Q1 2026</t>
        </is>
      </c>
    </row>
    <row r="6" ht="14.25" customHeight="1" s="281">
      <c r="A6" s="230" t="inlineStr">
        <is>
          <t>ARPA</t>
        </is>
      </c>
      <c r="B6" s="166">
        <f>'Jan 2026 A vs F '!B41</f>
        <v/>
      </c>
      <c r="C6" s="166">
        <f>'Feb 2026 A vs F'!B32</f>
        <v/>
      </c>
      <c r="D6" s="166">
        <f>'Mar 2026 A vs F'!B32</f>
        <v/>
      </c>
      <c r="E6" s="167">
        <f>'Mar 2026 A vs F'!B75/'Mar 2026 A vs F'!B30</f>
        <v/>
      </c>
      <c r="F6" s="174">
        <f>'Apr 2026 A vs F '!B32</f>
        <v/>
      </c>
    </row>
    <row r="7" ht="14.25" customHeight="1" s="281">
      <c r="A7" s="230" t="inlineStr">
        <is>
          <t>Gross Margin</t>
        </is>
      </c>
      <c r="B7" s="175">
        <f>'Jan 2026 A vs F '!B42</f>
        <v/>
      </c>
      <c r="C7" s="175">
        <f>'Feb 2026 A vs F'!B33</f>
        <v/>
      </c>
      <c r="D7" s="175">
        <f>'Mar 2026 A vs F'!B33</f>
        <v/>
      </c>
      <c r="E7" s="176">
        <f>'Mar 2026 A vs F'!B82</f>
        <v/>
      </c>
      <c r="F7" s="177">
        <f>'Apr 2026 A vs F '!B33</f>
        <v/>
      </c>
      <c r="J7" s="178">
        <f t="array" ref="J7">index(B4:F16,match(A8,A4:A16,0), match('Apr 2026 A vs F '!I32,B3:F3,0))</f>
        <v/>
      </c>
    </row>
    <row r="8" ht="14.25" customHeight="1" s="281">
      <c r="A8" s="230" t="inlineStr">
        <is>
          <t>GRR</t>
        </is>
      </c>
      <c r="B8" s="175">
        <f>'Jan 2026 A vs F '!B43</f>
        <v/>
      </c>
      <c r="C8" s="175">
        <f>'Feb 2026 A vs F'!B34</f>
        <v/>
      </c>
      <c r="D8" s="175">
        <f>'Mar 2026 A vs F'!B34</f>
        <v/>
      </c>
      <c r="E8" s="179">
        <f>'Mar 2026 A vs F'!B34</f>
        <v/>
      </c>
      <c r="F8" s="180">
        <f>'Apr 2026 A vs F '!B34</f>
        <v/>
      </c>
    </row>
    <row r="9" ht="14.25" customHeight="1" s="281">
      <c r="A9" s="230" t="inlineStr">
        <is>
          <t>NRR</t>
        </is>
      </c>
      <c r="B9" s="175">
        <f>'Jan 2026 A vs F '!B44</f>
        <v/>
      </c>
      <c r="C9" s="175">
        <f>'Feb 2026 A vs F'!B35</f>
        <v/>
      </c>
      <c r="D9" s="175">
        <f>'Mar 2026 A vs F'!B35</f>
        <v/>
      </c>
      <c r="E9" s="176">
        <f>'Mar 2026 A vs F'!B35</f>
        <v/>
      </c>
      <c r="F9" s="177">
        <f>'Apr 2026 A vs F '!B35</f>
        <v/>
      </c>
      <c r="J9" s="230">
        <f t="array" ref="J9">xlookup(A10,A4:A16,xlookup('Apr 2026 A vs F '!I32,B3:F3,B4:F16))</f>
        <v/>
      </c>
    </row>
    <row r="10" ht="14.25" customHeight="1" s="281">
      <c r="A10" s="230" t="inlineStr">
        <is>
          <t>Quick Ratio</t>
        </is>
      </c>
      <c r="B10" s="230" t="n"/>
      <c r="C10" s="181">
        <f>'Feb 2026 A vs F'!B36</f>
        <v/>
      </c>
      <c r="D10" s="230">
        <f>'Mar 2026 A vs F'!B36</f>
        <v/>
      </c>
      <c r="E10" s="182" t="inlineStr">
        <is>
          <t>—</t>
        </is>
      </c>
      <c r="F10" s="183">
        <f>'Apr 2026 A vs F '!B36</f>
        <v/>
      </c>
    </row>
    <row r="11" ht="14.25" customHeight="1" s="281">
      <c r="A11" s="230" t="inlineStr">
        <is>
          <t>S&amp;M (actual)</t>
        </is>
      </c>
      <c r="B11" s="184">
        <f>'Jan 2026 A vs F '!B46</f>
        <v/>
      </c>
      <c r="C11" s="184">
        <f>'Feb 2026 A vs F'!B37</f>
        <v/>
      </c>
      <c r="D11" s="184">
        <f>'Mar 2026 A vs F'!B37</f>
        <v/>
      </c>
      <c r="E11" s="185">
        <f>'Mar 2026 A vs F'!B83</f>
        <v/>
      </c>
      <c r="F11" s="186">
        <f>'Apr 2026 A vs F '!B37</f>
        <v/>
      </c>
      <c r="J11" s="230">
        <f t="array" ref="J11">index(B4:F16,match(A4,A4:A16,0), match('Apr 2026 A vs F '!I32,B3:F3,0))</f>
        <v/>
      </c>
    </row>
    <row r="12" ht="14.25" customHeight="1" s="281">
      <c r="A12" s="230" t="inlineStr">
        <is>
          <t>CAC — monthly</t>
        </is>
      </c>
      <c r="B12" s="184">
        <f>'Jan 2026 A vs F '!B47</f>
        <v/>
      </c>
      <c r="C12" s="184">
        <f>'Feb 2026 A vs F'!B38</f>
        <v/>
      </c>
      <c r="D12" s="184">
        <f>'Mar 2026 A vs F'!B38</f>
        <v/>
      </c>
      <c r="E12" s="187">
        <f>'Mar 2026 A vs F'!B92</f>
        <v/>
      </c>
      <c r="F12" s="188">
        <f>'Apr 2026 A vs F '!B38</f>
        <v/>
      </c>
      <c r="J12" s="126">
        <f t="array" ref="J12">index(B4:F16,match(A6,A4:A16,0), match(R5,B3:F3,0))</f>
        <v/>
      </c>
    </row>
    <row r="13" ht="14.25" customHeight="1" s="281">
      <c r="A13" s="189" t="inlineStr">
        <is>
          <t>CAC — trailing Q</t>
        </is>
      </c>
      <c r="B13" s="190" t="n">
        <v>0</v>
      </c>
      <c r="C13" s="190" t="n"/>
      <c r="D13" s="190" t="n"/>
      <c r="E13" s="191">
        <f>'Mar 2026 A vs F'!B92</f>
        <v/>
      </c>
      <c r="F13" s="192" t="n"/>
      <c r="M13" s="126">
        <f t="array" ref="M13">index(B4:F16,match(A5,A3:A16,0), match(Q5,B3:F3,0))</f>
        <v/>
      </c>
    </row>
    <row r="14" ht="14.25" customHeight="1" s="281">
      <c r="A14" s="189" t="inlineStr">
        <is>
          <t>LTV</t>
        </is>
      </c>
      <c r="B14" s="190" t="n">
        <v>0</v>
      </c>
      <c r="C14" s="190" t="n"/>
      <c r="D14" s="190" t="n"/>
      <c r="E14" s="193">
        <f>'Mar 2026 A vs F'!B93</f>
        <v/>
      </c>
      <c r="F14" s="192" t="n"/>
      <c r="J14" s="194">
        <f t="array" ref="J14">index(B4:F16,match(A16,A4:A16,0), match(R5,B3:F3,0))</f>
        <v/>
      </c>
    </row>
    <row r="15" ht="14.25" customHeight="1" s="281">
      <c r="A15" s="189" t="inlineStr">
        <is>
          <t>LTV:CAC</t>
        </is>
      </c>
      <c r="B15" s="190" t="n">
        <v>0</v>
      </c>
      <c r="C15" s="190" t="n"/>
      <c r="D15" s="190" t="n"/>
      <c r="E15" s="195">
        <f>'Mar 2026 A vs F'!B94</f>
        <v/>
      </c>
      <c r="F15" s="192" t="n"/>
    </row>
    <row r="16" ht="14.25" customHeight="1" s="281">
      <c r="A16" s="189" t="inlineStr">
        <is>
          <t>CAC Payback</t>
        </is>
      </c>
      <c r="B16" s="190" t="n">
        <v>0</v>
      </c>
      <c r="C16" s="190" t="n"/>
      <c r="D16" s="190" t="n"/>
      <c r="E16" s="196">
        <f>'Mar 2026 A vs F'!B95</f>
        <v/>
      </c>
      <c r="F16" s="192" t="n"/>
    </row>
    <row r="17" ht="14.25" customHeight="1" s="281"/>
    <row r="18" ht="30" customHeight="1" s="281">
      <c r="A18" s="283" t="inlineStr">
        <is>
          <t>LTV, LTV:CAC, and CAC Payback appear in the Q1 column only. Monthly figures are too sensitive to single-month churn swings to be meaningful.</t>
        </is>
      </c>
      <c r="D18" s="198" t="n"/>
      <c r="E18" s="198" t="n"/>
    </row>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1">
    <mergeCell ref="A18:C18"/>
  </mergeCells>
  <pageMargins left="0.7" right="0.7" top="0.75" bottom="0.75" header="0" footer="0"/>
  <pageSetup orientation="landscape"/>
  <tableParts count="1">
    <tablePart xmlns:r="http://schemas.openxmlformats.org/officeDocument/2006/relationships" r:id="rId1"/>
  </tableParts>
</worksheet>
</file>

<file path=xl/worksheets/sheet16.xml><?xml version="1.0" encoding="utf-8"?>
<worksheet xmlns="http://schemas.openxmlformats.org/spreadsheetml/2006/main">
  <sheetPr>
    <tabColor rgb="FF205867"/>
    <outlinePr summaryBelow="1" summaryRight="1"/>
    <pageSetUpPr/>
  </sheetPr>
  <dimension ref="A1:H29"/>
  <sheetViews>
    <sheetView workbookViewId="0">
      <selection activeCell="A1" sqref="A1"/>
    </sheetView>
  </sheetViews>
  <sheetFormatPr baseColWidth="8" defaultColWidth="14.43" defaultRowHeight="15" customHeight="1"/>
  <cols>
    <col width="8.859999999999999" customWidth="1" style="281" min="1" max="1"/>
    <col width="15" customWidth="1" style="281" min="2" max="2"/>
    <col width="11.71" customWidth="1" style="281" min="3" max="4"/>
    <col width="10.29" customWidth="1" style="281" min="5" max="5"/>
    <col width="8.710000000000001" customWidth="1" style="281" min="6" max="25"/>
  </cols>
  <sheetData>
    <row r="1" ht="14.25" customHeight="1" s="281">
      <c r="A1" s="13" t="inlineStr">
        <is>
          <t>Month</t>
        </is>
      </c>
      <c r="B1" s="13" t="inlineStr">
        <is>
          <t>Movement</t>
        </is>
      </c>
      <c r="C1" s="13" t="inlineStr">
        <is>
          <t>Actual</t>
        </is>
      </c>
      <c r="D1" s="13" t="inlineStr">
        <is>
          <t>Forecast</t>
        </is>
      </c>
      <c r="E1" s="13" t="inlineStr">
        <is>
          <t>Variance</t>
        </is>
      </c>
    </row>
    <row r="2" ht="14.25" customHeight="1" s="281">
      <c r="A2" s="199" t="n">
        <v>46023</v>
      </c>
      <c r="B2" s="230" t="inlineStr">
        <is>
          <t>Opening MRR</t>
        </is>
      </c>
      <c r="C2" s="166">
        <f>'Jan 2026 A vs F '!B3</f>
        <v/>
      </c>
      <c r="D2" s="166">
        <f>'Jan 2026 A vs F '!C3</f>
        <v/>
      </c>
      <c r="E2" s="166">
        <f>'Jan 2026 A vs F '!D3</f>
        <v/>
      </c>
    </row>
    <row r="3" ht="14.25" customHeight="1" s="281">
      <c r="A3" s="199" t="n">
        <v>46023</v>
      </c>
      <c r="B3" s="230" t="inlineStr">
        <is>
          <t>New MRR</t>
        </is>
      </c>
      <c r="C3" s="166">
        <f>'Jan 2026 A vs F '!B4</f>
        <v/>
      </c>
      <c r="D3" s="166">
        <f>'Jan 2026 A vs F '!C4</f>
        <v/>
      </c>
      <c r="E3" s="166">
        <f>'Jan 2026 A vs F '!D4</f>
        <v/>
      </c>
    </row>
    <row r="4" ht="14.25" customHeight="1" s="281">
      <c r="A4" s="199" t="n">
        <v>46023</v>
      </c>
      <c r="B4" s="230" t="inlineStr">
        <is>
          <t>Expansion MRR</t>
        </is>
      </c>
      <c r="C4" s="166">
        <f>'Jan 2026 A vs F '!B5</f>
        <v/>
      </c>
      <c r="D4" s="166">
        <f>'Jan 2026 A vs F '!C5</f>
        <v/>
      </c>
      <c r="E4" s="166">
        <f>'Jan 2026 A vs F '!D5</f>
        <v/>
      </c>
    </row>
    <row r="5" ht="14.25" customHeight="1" s="281">
      <c r="A5" s="199" t="n">
        <v>46023</v>
      </c>
      <c r="B5" s="230" t="inlineStr">
        <is>
          <t>Contraction MRR</t>
        </is>
      </c>
      <c r="C5" s="166">
        <f>'Jan 2026 A vs F '!B6</f>
        <v/>
      </c>
      <c r="D5" s="166">
        <f>'Jan 2026 A vs F '!C6</f>
        <v/>
      </c>
      <c r="E5" s="166">
        <f>C5-D5</f>
        <v/>
      </c>
    </row>
    <row r="6" ht="14.25" customHeight="1" s="281">
      <c r="A6" s="199" t="n">
        <v>46023</v>
      </c>
      <c r="B6" s="230" t="inlineStr">
        <is>
          <t>Churned MRR</t>
        </is>
      </c>
      <c r="C6" s="166">
        <f>'Jan 2026 A vs F '!B7</f>
        <v/>
      </c>
      <c r="D6" s="166">
        <f>'Jan 2026 A vs F '!C7</f>
        <v/>
      </c>
      <c r="E6" s="167">
        <f>D6-C6</f>
        <v/>
      </c>
    </row>
    <row r="7" ht="14.25" customHeight="1" s="281">
      <c r="A7" s="199" t="n">
        <v>46023</v>
      </c>
      <c r="B7" s="230" t="inlineStr">
        <is>
          <t>Net New MRR</t>
        </is>
      </c>
      <c r="C7" s="166">
        <f>'Jan 2026 A vs F '!B8</f>
        <v/>
      </c>
      <c r="D7" s="166">
        <f>'Jan 2026 A vs F '!C8</f>
        <v/>
      </c>
      <c r="E7" s="166">
        <f>'Jan 2026 A vs F '!D8</f>
        <v/>
      </c>
    </row>
    <row r="8" ht="14.25" customHeight="1" s="281">
      <c r="A8" s="199" t="n">
        <v>46023</v>
      </c>
      <c r="B8" s="230" t="inlineStr">
        <is>
          <t>Closing MRR</t>
        </is>
      </c>
      <c r="C8" s="166">
        <f>'Jan 2026 A vs F '!B9</f>
        <v/>
      </c>
      <c r="D8" s="166">
        <f>'Jan 2026 A vs F '!C9</f>
        <v/>
      </c>
      <c r="E8" s="166">
        <f>'Jan 2026 A vs F '!D9</f>
        <v/>
      </c>
    </row>
    <row r="9" ht="14.25" customHeight="1" s="281">
      <c r="A9" s="199">
        <f>TEXT(DATE(2026,2,1),"mmm-yy")</f>
        <v/>
      </c>
      <c r="B9" s="200" t="inlineStr">
        <is>
          <t>Opening MRR</t>
        </is>
      </c>
      <c r="C9" s="167">
        <f>'Feb 2026 A vs F'!B3</f>
        <v/>
      </c>
      <c r="D9" s="167">
        <f>'Feb 2026 A vs F'!C3</f>
        <v/>
      </c>
      <c r="E9" s="167">
        <f>C9-D9</f>
        <v/>
      </c>
    </row>
    <row r="10" ht="14.25" customHeight="1" s="281">
      <c r="A10" s="199">
        <f>TEXT(DATE(2026,2,1),"mmm-yy")</f>
        <v/>
      </c>
      <c r="B10" s="201" t="inlineStr">
        <is>
          <t>New MRR</t>
        </is>
      </c>
      <c r="C10" s="202">
        <f>'Feb 2026 A vs F'!B4</f>
        <v/>
      </c>
      <c r="D10" s="202">
        <f>'Feb 2026 A vs F'!C4</f>
        <v/>
      </c>
      <c r="E10" s="202">
        <f>C10-D10</f>
        <v/>
      </c>
    </row>
    <row r="11" ht="14.25" customHeight="1" s="281">
      <c r="A11" s="199">
        <f>TEXT(DATE(2026,2,1),"mmm-yy")</f>
        <v/>
      </c>
      <c r="B11" s="200" t="inlineStr">
        <is>
          <t>Expansion MRR</t>
        </is>
      </c>
      <c r="C11" s="167">
        <f>'Feb 2026 A vs F'!B5</f>
        <v/>
      </c>
      <c r="D11" s="167">
        <f>'Feb 2026 A vs F'!C5</f>
        <v/>
      </c>
      <c r="E11" s="167">
        <f>C11-D11</f>
        <v/>
      </c>
    </row>
    <row r="12" ht="14.25" customHeight="1" s="281">
      <c r="A12" s="199">
        <f>TEXT(DATE(2026,2,1),"mmm-yy")</f>
        <v/>
      </c>
      <c r="B12" s="201" t="inlineStr">
        <is>
          <t>Contraction MRR</t>
        </is>
      </c>
      <c r="C12" s="202">
        <f>'Feb 2026 A vs F'!B6</f>
        <v/>
      </c>
      <c r="D12" s="202">
        <f>'Feb 2026 A vs F'!C6</f>
        <v/>
      </c>
      <c r="E12" s="202">
        <f>D12-C12</f>
        <v/>
      </c>
    </row>
    <row r="13" ht="14.25" customHeight="1" s="281">
      <c r="A13" s="199">
        <f>TEXT(DATE(2026,2,1),"mmm-yy")</f>
        <v/>
      </c>
      <c r="B13" s="200" t="inlineStr">
        <is>
          <t>Churned MRR</t>
        </is>
      </c>
      <c r="C13" s="167">
        <f>'Feb 2026 A vs F'!B7</f>
        <v/>
      </c>
      <c r="D13" s="167">
        <f>'Feb 2026 A vs F'!C7</f>
        <v/>
      </c>
      <c r="E13" s="167">
        <f>D13-C13</f>
        <v/>
      </c>
    </row>
    <row r="14" ht="14.25" customHeight="1" s="281">
      <c r="A14" s="199">
        <f>TEXT(DATE(2026,2,1),"mmm-yy")</f>
        <v/>
      </c>
      <c r="B14" s="201" t="inlineStr">
        <is>
          <t>Net New MRR</t>
        </is>
      </c>
      <c r="C14" s="202">
        <f>'Feb 2026 A vs F'!B8</f>
        <v/>
      </c>
      <c r="D14" s="202">
        <f>'Feb 2026 A vs F'!C8</f>
        <v/>
      </c>
      <c r="E14" s="202">
        <f>C14-D14</f>
        <v/>
      </c>
    </row>
    <row r="15" ht="14.25" customHeight="1" s="281">
      <c r="A15" s="199">
        <f>TEXT(DATE(2026,2,1),"mmm-yy")</f>
        <v/>
      </c>
      <c r="B15" s="200" t="inlineStr">
        <is>
          <t>Closing MRR</t>
        </is>
      </c>
      <c r="C15" s="167">
        <f>'Feb 2026 A vs F'!B9</f>
        <v/>
      </c>
      <c r="D15" s="167">
        <f>'Feb 2026 A vs F'!C9</f>
        <v/>
      </c>
      <c r="E15" s="167">
        <f>C15-D15</f>
        <v/>
      </c>
    </row>
    <row r="16" ht="14.25" customHeight="1" s="281">
      <c r="A16" s="199">
        <f>TEXT(DATE(2026,3,1),"mmm-yy")</f>
        <v/>
      </c>
      <c r="B16" s="203" t="inlineStr">
        <is>
          <t>Opening MRR</t>
        </is>
      </c>
      <c r="C16" s="204">
        <f>'Mar 2026 A vs F'!B3</f>
        <v/>
      </c>
      <c r="D16" s="204">
        <f>'Mar 2026 A vs F'!C3</f>
        <v/>
      </c>
      <c r="E16" s="205">
        <f>'Mar 2026 A vs F'!D3</f>
        <v/>
      </c>
    </row>
    <row r="17" ht="14.25" customHeight="1" s="281">
      <c r="A17" s="199">
        <f>TEXT(DATE(2026,3,1),"mmm-yy")</f>
        <v/>
      </c>
      <c r="B17" s="206" t="inlineStr">
        <is>
          <t>New MRR</t>
        </is>
      </c>
      <c r="C17" s="207">
        <f>'Mar 2026 A vs F'!B4</f>
        <v/>
      </c>
      <c r="D17" s="207">
        <f>'Mar 2026 A vs F'!C4</f>
        <v/>
      </c>
      <c r="E17" s="208">
        <f>'Mar 2026 A vs F'!D4</f>
        <v/>
      </c>
    </row>
    <row r="18" ht="14.25" customHeight="1" s="281">
      <c r="A18" s="199">
        <f>TEXT(DATE(2026,3,1),"mmm-yy")</f>
        <v/>
      </c>
      <c r="B18" s="209" t="inlineStr">
        <is>
          <t>Expansion MRR</t>
        </is>
      </c>
      <c r="C18" s="210">
        <f>'Mar 2026 A vs F'!B5</f>
        <v/>
      </c>
      <c r="D18" s="210">
        <f>'Mar 2026 A vs F'!C5</f>
        <v/>
      </c>
      <c r="E18" s="211">
        <f>'Mar 2026 A vs F'!D5</f>
        <v/>
      </c>
      <c r="H18" s="230" t="inlineStr">
        <is>
          <t>  </t>
        </is>
      </c>
    </row>
    <row r="19" ht="14.25" customHeight="1" s="281">
      <c r="A19" s="199">
        <f>TEXT(DATE(2026,3,1),"mmm-yy")</f>
        <v/>
      </c>
      <c r="B19" s="212" t="inlineStr">
        <is>
          <t>Contraction MRR</t>
        </is>
      </c>
      <c r="C19" s="213">
        <f>'Mar 2026 A vs F'!B6</f>
        <v/>
      </c>
      <c r="D19" s="213">
        <f>'Mar 2026 A vs F'!C6</f>
        <v/>
      </c>
      <c r="E19" s="214">
        <f>D19-C19</f>
        <v/>
      </c>
    </row>
    <row r="20" ht="14.25" customHeight="1" s="281">
      <c r="A20" s="199">
        <f>TEXT(DATE(2026,3,1),"mmm-yy")</f>
        <v/>
      </c>
      <c r="B20" s="209" t="inlineStr">
        <is>
          <t>Churned MRR</t>
        </is>
      </c>
      <c r="C20" s="210">
        <f>'Mar 2026 A vs F'!B7</f>
        <v/>
      </c>
      <c r="D20" s="210">
        <f>'Mar 2026 A vs F'!C7</f>
        <v/>
      </c>
      <c r="E20" s="211">
        <f>'Mar 2026 A vs F'!D7</f>
        <v/>
      </c>
    </row>
    <row r="21" ht="14.25" customHeight="1" s="281">
      <c r="A21" s="199">
        <f>TEXT(DATE(2026,3,1),"mmm-yy")</f>
        <v/>
      </c>
      <c r="B21" s="212" t="inlineStr">
        <is>
          <t>Net New MRR</t>
        </is>
      </c>
      <c r="C21" s="213">
        <f>'Mar 2026 A vs F'!B8</f>
        <v/>
      </c>
      <c r="D21" s="213">
        <f>'Mar 2026 A vs F'!C8</f>
        <v/>
      </c>
      <c r="E21" s="214">
        <f>'Mar 2026 A vs F'!D8</f>
        <v/>
      </c>
    </row>
    <row r="22" ht="14.25" customHeight="1" s="281">
      <c r="A22" s="199">
        <f>TEXT(DATE(2026,3,1),"mmm-yy")</f>
        <v/>
      </c>
      <c r="B22" s="215" t="inlineStr">
        <is>
          <t>Closing MRR</t>
        </is>
      </c>
      <c r="C22" s="216">
        <f>'Mar 2026 A vs F'!B9</f>
        <v/>
      </c>
      <c r="D22" s="216">
        <f>'Mar 2026 A vs F'!C9</f>
        <v/>
      </c>
      <c r="E22" s="217">
        <f>'Mar 2026 A vs F'!D9</f>
        <v/>
      </c>
    </row>
    <row r="23" ht="14.25" customHeight="1" s="281">
      <c r="A23" s="199">
        <f>TEXT(DATE(2026,4,1),"mmm-yy")</f>
        <v/>
      </c>
      <c r="B23" s="203" t="inlineStr">
        <is>
          <t>Opening MRR</t>
        </is>
      </c>
      <c r="C23" s="204">
        <f>'Apr 2026 A vs F '!B3</f>
        <v/>
      </c>
      <c r="D23" s="204">
        <f>'Apr 2026 A vs F '!C3</f>
        <v/>
      </c>
      <c r="E23" s="204">
        <f>'Apr 2026 A vs F '!D3</f>
        <v/>
      </c>
    </row>
    <row r="24" ht="14.25" customHeight="1" s="281">
      <c r="A24" s="199">
        <f>TEXT(DATE(2026,4,1),"mmm-yy")</f>
        <v/>
      </c>
      <c r="B24" s="206" t="inlineStr">
        <is>
          <t>New MRR</t>
        </is>
      </c>
      <c r="C24" s="207">
        <f>'Apr 2026 A vs F '!B4</f>
        <v/>
      </c>
      <c r="D24" s="207">
        <f>'Apr 2026 A vs F '!C4</f>
        <v/>
      </c>
      <c r="E24" s="207">
        <f>'Apr 2026 A vs F '!D4</f>
        <v/>
      </c>
    </row>
    <row r="25" ht="14.25" customHeight="1" s="281">
      <c r="A25" s="199">
        <f>TEXT(DATE(2026,4,1),"mmm-yy")</f>
        <v/>
      </c>
      <c r="B25" s="209" t="inlineStr">
        <is>
          <t>Expansion MRR</t>
        </is>
      </c>
      <c r="C25" s="210">
        <f>'Apr 2026 A vs F '!B5</f>
        <v/>
      </c>
      <c r="D25" s="210">
        <f>'Apr 2026 A vs F '!C5</f>
        <v/>
      </c>
      <c r="E25" s="210">
        <f>'Apr 2026 A vs F '!D5</f>
        <v/>
      </c>
    </row>
    <row r="26" ht="14.25" customHeight="1" s="281">
      <c r="A26" s="199">
        <f>TEXT(DATE(2026,4,1),"mmm-yy")</f>
        <v/>
      </c>
      <c r="B26" s="212" t="inlineStr">
        <is>
          <t>Contraction MRR</t>
        </is>
      </c>
      <c r="C26" s="213">
        <f>'Apr 2026 A vs F '!B6</f>
        <v/>
      </c>
      <c r="D26" s="213">
        <f>'Apr 2026 A vs F '!C6</f>
        <v/>
      </c>
      <c r="E26" s="213">
        <f>'Apr 2026 A vs F '!D6</f>
        <v/>
      </c>
    </row>
    <row r="27" ht="14.25" customHeight="1" s="281">
      <c r="A27" s="199">
        <f>TEXT(DATE(2026,4,1),"mmm-yy")</f>
        <v/>
      </c>
      <c r="B27" s="209" t="inlineStr">
        <is>
          <t>Churned MRR</t>
        </is>
      </c>
      <c r="C27" s="210">
        <f>'Apr 2026 A vs F '!B7</f>
        <v/>
      </c>
      <c r="D27" s="210">
        <f>'Apr 2026 A vs F '!C7</f>
        <v/>
      </c>
      <c r="E27" s="210">
        <f>'Apr 2026 A vs F '!D7</f>
        <v/>
      </c>
    </row>
    <row r="28" ht="14.25" customHeight="1" s="281">
      <c r="A28" s="199">
        <f>TEXT(DATE(2026,4,1),"mmm-yy")</f>
        <v/>
      </c>
      <c r="B28" s="212" t="inlineStr">
        <is>
          <t>Net New MRR</t>
        </is>
      </c>
      <c r="C28" s="213">
        <f>'Apr 2026 A vs F '!B8</f>
        <v/>
      </c>
      <c r="D28" s="213">
        <f>'Apr 2026 A vs F '!C8</f>
        <v/>
      </c>
      <c r="E28" s="213">
        <f>'Apr 2026 A vs F '!D8</f>
        <v/>
      </c>
    </row>
    <row r="29" ht="14.25" customHeight="1" s="281">
      <c r="A29" s="199">
        <f>TEXT(DATE(2026,4,1),"mmm-yy")</f>
        <v/>
      </c>
      <c r="B29" s="215" t="inlineStr">
        <is>
          <t>Closing MRR</t>
        </is>
      </c>
      <c r="C29" s="216">
        <f>'Apr 2026 A vs F '!B9</f>
        <v/>
      </c>
      <c r="D29" s="216">
        <f>'Apr 2026 A vs F '!C9</f>
        <v/>
      </c>
      <c r="E29" s="216">
        <f>'Apr 2026 A vs F '!D9</f>
        <v/>
      </c>
    </row>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V1002"/>
  <sheetViews>
    <sheetView workbookViewId="0">
      <pane ySplit="1" topLeftCell="A2" activePane="bottomLeft" state="frozen"/>
      <selection pane="bottomLeft" activeCell="B3" sqref="B3"/>
    </sheetView>
  </sheetViews>
  <sheetFormatPr baseColWidth="8" defaultColWidth="14.43" defaultRowHeight="15" customHeight="1"/>
  <cols>
    <col width="14.14" customWidth="1" style="281" min="1" max="1"/>
    <col width="20.71" customWidth="1" style="281" min="2" max="2"/>
    <col width="17.86" customWidth="1" style="281" min="3" max="3"/>
    <col width="29.57" customWidth="1" style="281" min="4" max="4"/>
    <col width="17.86" customWidth="1" style="281" min="5" max="5"/>
    <col width="16" customWidth="1" style="281" min="6" max="6"/>
    <col width="20.29" customWidth="1" style="281" min="7" max="7"/>
    <col width="16.43" customWidth="1" style="281" min="8" max="8"/>
    <col width="15.14" customWidth="1" style="281" min="9" max="9"/>
    <col width="17" customWidth="1" style="281" min="10" max="10"/>
    <col width="19.43" customWidth="1" style="281" min="11" max="11"/>
    <col width="53.86" customWidth="1" style="281" min="12" max="12"/>
    <col width="21" customWidth="1" style="281" min="13" max="13"/>
    <col width="17.86" customWidth="1" style="281" min="14" max="14"/>
    <col width="11.43" customWidth="1" style="281" min="15" max="15"/>
    <col width="20" customWidth="1" style="281" min="16" max="16"/>
    <col width="22.57" customWidth="1" style="281" min="17" max="17"/>
    <col width="16.29" customWidth="1" style="281" min="18" max="18"/>
    <col width="18.71" customWidth="1" style="281" min="19" max="19"/>
    <col width="17.14" customWidth="1" style="281" min="20" max="20"/>
    <col width="18.43" customWidth="1" style="281" min="21" max="21"/>
    <col width="23.86" customWidth="1" style="281" min="22" max="22"/>
    <col width="8.710000000000001" customWidth="1" style="281" min="23" max="25"/>
  </cols>
  <sheetData>
    <row r="1" ht="14.25" customHeight="1" s="281">
      <c r="A1" s="218" t="inlineStr">
        <is>
          <t>event_id</t>
        </is>
      </c>
      <c r="B1" s="218" t="inlineStr">
        <is>
          <t>subscription_id</t>
        </is>
      </c>
      <c r="C1" s="218" t="inlineStr">
        <is>
          <t>customer_id</t>
        </is>
      </c>
      <c r="D1" s="218" t="inlineStr">
        <is>
          <t>company_name</t>
        </is>
      </c>
      <c r="E1" s="218" t="inlineStr">
        <is>
          <t>region</t>
        </is>
      </c>
      <c r="F1" s="218" t="inlineStr">
        <is>
          <t>month</t>
        </is>
      </c>
      <c r="G1" s="218" t="inlineStr">
        <is>
          <t>event_date</t>
        </is>
      </c>
      <c r="H1" s="218" t="inlineStr">
        <is>
          <t>event_type</t>
        </is>
      </c>
      <c r="I1" s="218" t="inlineStr">
        <is>
          <t>old_value</t>
        </is>
      </c>
      <c r="J1" s="218" t="inlineStr">
        <is>
          <t>new_value</t>
        </is>
      </c>
      <c r="K1" s="218" t="inlineStr">
        <is>
          <t>field_changed</t>
        </is>
      </c>
      <c r="L1" s="218" t="inlineStr">
        <is>
          <t>reason</t>
        </is>
      </c>
      <c r="M1" s="218" t="inlineStr">
        <is>
          <t>plan_name</t>
        </is>
      </c>
      <c r="N1" s="218" t="inlineStr">
        <is>
          <t>billing_cycle</t>
        </is>
      </c>
      <c r="O1" s="218" t="inlineStr">
        <is>
          <t>seats</t>
        </is>
      </c>
      <c r="P1" s="218" t="inlineStr">
        <is>
          <t>price_per_seat</t>
        </is>
      </c>
      <c r="Q1" s="218" t="inlineStr">
        <is>
          <t>discount_percent</t>
        </is>
      </c>
      <c r="R1" s="218" t="inlineStr">
        <is>
          <t>movement</t>
        </is>
      </c>
      <c r="S1" s="219" t="inlineStr">
        <is>
          <t>mrr_delta</t>
        </is>
      </c>
      <c r="T1" s="220" t="inlineStr">
        <is>
          <t>is_new_logo</t>
        </is>
      </c>
      <c r="U1" s="220" t="inlineStr">
        <is>
          <t>is_logo_churn</t>
        </is>
      </c>
      <c r="V1" s="220" t="inlineStr">
        <is>
          <t>is_logo_reactivation</t>
        </is>
      </c>
    </row>
    <row r="2" hidden="1" ht="14.25" customHeight="1" s="281">
      <c r="A2" s="225" t="inlineStr">
        <is>
          <t>EVT001</t>
        </is>
      </c>
      <c r="B2" s="225" t="inlineStr">
        <is>
          <t>SUB001</t>
        </is>
      </c>
      <c r="C2" s="225" t="inlineStr">
        <is>
          <t>CUST001</t>
        </is>
      </c>
      <c r="D2" s="225" t="inlineStr">
        <is>
          <t>TechVision Solutions</t>
        </is>
      </c>
      <c r="E2" s="225" t="inlineStr">
        <is>
          <t>Eastern Canada</t>
        </is>
      </c>
      <c r="F2" s="222" t="n">
        <v>45292</v>
      </c>
      <c r="G2" s="223" t="n">
        <v>45299</v>
      </c>
      <c r="H2" s="225" t="inlineStr">
        <is>
          <t>created</t>
        </is>
      </c>
      <c r="M2" s="225" t="inlineStr">
        <is>
          <t>Analytics Growth</t>
        </is>
      </c>
      <c r="N2" s="225" t="inlineStr">
        <is>
          <t>Monthly</t>
        </is>
      </c>
      <c r="O2" s="225" t="n">
        <v>20</v>
      </c>
      <c r="P2" s="225" t="n">
        <v>95</v>
      </c>
      <c r="Q2" s="225" t="n">
        <v>0</v>
      </c>
      <c r="R2" s="225">
        <f t="array" ref="R2">IFS(H2="created", "New", H2="cancelled", "Churned", AND(H2="seats_change", J2 &gt; I2), "Expansion", AND(H2="seats_change", J2 &lt; I2), "Contraction", AND(H2="price_change", J2 &gt; I2), "Expansion", AND(H2="price_change", J2 &lt; I2), "Contraction", H2="plan_upgrade", "Expansion", H2="plan_downgrade", "Contraction", H2="discount_added", "Contraction")</f>
        <v/>
      </c>
      <c r="S2" s="224">
        <f t="array" ref="S2">IF(N2="Monthly",IFS(H2="created",O2*P2*(1-Q2/100),H2="cancelled",-(O2*P2*(1-Q2/100)),H2="seats_change",(J2-I2)*P2*(1-Q2/100),H2="price_change",(J2-I2)*O2*(1-Q2/100),H2="discount_added",-(O2*P2*(J2-I2)/100),H2="plan_upgrade",O2*(XLOOKUP(J2,$M:$M,$P:$P)-XLOOKUP(I2,$M:$M,$P:$P))*(1-Q2/100),H2="plan_downgrade",O2*(XLOOKUP(J2,$M:$M,$P:$P)-XLOOKUP(I2,$M:$M,$P:$P))*(1-Q2/100)),IFS(H2="created",O2*P2*(1-Q2/100)/12,H2="cancelled",-(O2*P2*(1-Q2/100))/12,H2="seats_change",(J2-I2)*P2*(1-Q2/100)/12,H2="price_change",(J2-I2)*O2*(1-Q2/100)/12,H2="plan_upgrade",(O2*(XLOOKUP(J2,$M:$M,$P:$P)-XLOOKUP(I2,$M:$M,$P:$P))*(1-Q2/100))/12,H2="plan_downgrade",(O2*(XLOOKUP(J2,$M:$M,$P:$P)-XLOOKUP(I2,$M:$M,$P:$P))*(1-Q2/100))/12,H2="discount_added",-(O2*P2*(J2-I2)/100)/12))</f>
        <v/>
      </c>
      <c r="T2" s="225">
        <f>IF(H2&lt;&gt;"created",0,IF(COUNTIFS($C$1:C1,$C2,$H$1:H1,"created")=0,1,0))</f>
        <v/>
      </c>
      <c r="U2" s="225">
        <f>IF(H2&lt;&gt;"cancelled",0,IF(COUNTIFS($C$2:$C$102,$C2,$H$2:$H$102,"created",$F$2:$F$102,"&lt;="&amp;F2)-COUNTIFS($C$2:$C$102,$C2,$H$2:$H$102,"cancelled",$F$2:$F$102,"&lt;="&amp;F2)=0,1,0))</f>
        <v/>
      </c>
      <c r="V2" s="225">
        <f>IF(AND(H2="created",T2=0,COUNTIFS($C$2:$C$102,$C2,$H$2:$H$102,"cancelled",$F$2:$F$102,"&lt;"&amp;F2)&gt;0,COUNTIFS($C$2:$C$102,$C2,$H$2:$H$102,"created",$F$2:$F$102,"&lt;"&amp;F2)-COUNTIFS($C$2:$C$102,$C2,$H$2:$H$102,"cancelled",$F$2:$F$102,"&lt;"&amp;F2)=0),1,0)</f>
        <v/>
      </c>
    </row>
    <row r="3" ht="14.25" customHeight="1" s="281">
      <c r="A3" s="225" t="inlineStr">
        <is>
          <t>EVT002</t>
        </is>
      </c>
      <c r="B3" s="225" t="inlineStr">
        <is>
          <t>SUB002</t>
        </is>
      </c>
      <c r="C3" s="225" t="inlineStr">
        <is>
          <t>CUST002</t>
        </is>
      </c>
      <c r="D3" s="225" t="inlineStr">
        <is>
          <t>Pacific Analytics Inc</t>
        </is>
      </c>
      <c r="E3" s="225" t="inlineStr">
        <is>
          <t>Western Canada</t>
        </is>
      </c>
      <c r="F3" s="222" t="n">
        <v>45292</v>
      </c>
      <c r="G3" s="223" t="n">
        <v>45313</v>
      </c>
      <c r="H3" s="225" t="inlineStr">
        <is>
          <t>created</t>
        </is>
      </c>
      <c r="M3" s="225" t="inlineStr">
        <is>
          <t>Platform Suite</t>
        </is>
      </c>
      <c r="N3" s="225" t="inlineStr">
        <is>
          <t>Annual</t>
        </is>
      </c>
      <c r="O3" s="225" t="n">
        <v>26</v>
      </c>
      <c r="P3" s="225" t="n">
        <v>1800</v>
      </c>
      <c r="Q3" s="225" t="n">
        <v>0</v>
      </c>
      <c r="R3" s="225">
        <f t="array" ref="R3">IFS(H3="created", "New", H3="cancelled", "Churned", AND(H3="seats_change", J3 &gt; I3), "Expansion", AND(H3="seats_change", J3 &lt; I3), "Contraction", AND(H3="price_change", J3 &gt; I3), "Expansion", AND(H3="price_change", J3 &lt; I3), "Contraction", H3="plan_upgrade", "Expansion", H3="plan_downgrade", "Contraction", H3="discount_added", "Contraction")</f>
        <v/>
      </c>
      <c r="S3" s="224">
        <f t="array" ref="S3">IF(N3="Monthly",IFS(H3="created",O3*P3*(1-Q3/100),H3="cancelled",-(O3*P3*(1-Q3/100)),H3="seats_change",(J3-I3)*P3*(1-Q3/100),H3="price_change",(J3-I3)*O3*(1-Q3/100),H3="discount_added",-(O3*P3*(J3-I3)/100),H3="plan_upgrade",O3*(XLOOKUP(J3,$M:$M,$P:$P)-XLOOKUP(I3,$M:$M,$P:$P))*(1-Q3/100),H3="plan_downgrade",O3*(XLOOKUP(J3,$M:$M,$P:$P)-XLOOKUP(I3,$M:$M,$P:$P))*(1-Q3/100)),IFS(H3="created",O3*P3*(1-Q3/100)/12,H3="cancelled",-(O3*P3*(1-Q3/100))/12,H3="seats_change",(J3-I3)*P3*(1-Q3/100)/12,H3="price_change",(J3-I3)*O3*(1-Q3/100)/12,H3="plan_upgrade",(O3*(XLOOKUP(J3,$M:$M,$P:$P)-XLOOKUP(I3,$M:$M,$P:$P))*(1-Q3/100))/12,H3="plan_downgrade",(O3*(XLOOKUP(J3,$M:$M,$P:$P)-XLOOKUP(I3,$M:$M,$P:$P))*(1-Q3/100))/12,H3="discount_added",-(O3*P3*(J3-I3)/100)/12))</f>
        <v/>
      </c>
      <c r="T3" s="225">
        <f>IF(H3&lt;&gt;"created",0,IF(COUNTIFS($C$1:C2,$C3,$H$1:H2,"created")=0,1,0))</f>
        <v/>
      </c>
      <c r="U3" s="225">
        <f>IF(H3&lt;&gt;"cancelled",0,IF(COUNTIFS($C$2:$C$102,$C3,$H$2:$H$102,"created",$F$2:$F$102,"&lt;="&amp;F3)-COUNTIFS($C$2:$C$102,$C3,$H$2:$H$102,"cancelled",$F$2:$F$102,"&lt;="&amp;F3)=0,1,0))</f>
        <v/>
      </c>
      <c r="V3" s="225">
        <f>IF(AND(H3="created",T3=0,COUNTIFS($C$2:$C$102,$C3,$H$2:$H$102,"cancelled",$F$2:$F$102,"&lt;"&amp;F3)&gt;0,COUNTIFS($C$2:$C$102,$C3,$H$2:$H$102,"created",$F$2:$F$102,"&lt;"&amp;F3)-COUNTIFS($C$2:$C$102,$C3,$H$2:$H$102,"cancelled",$F$2:$F$102,"&lt;"&amp;F3)=0),1,0)</f>
        <v/>
      </c>
    </row>
    <row r="4" hidden="1" ht="14.25" customHeight="1" s="281">
      <c r="A4" s="225" t="inlineStr">
        <is>
          <t>EVT003</t>
        </is>
      </c>
      <c r="B4" s="225" t="inlineStr">
        <is>
          <t>SUB003</t>
        </is>
      </c>
      <c r="C4" s="225" t="inlineStr">
        <is>
          <t>CUST003</t>
        </is>
      </c>
      <c r="D4" s="225" t="inlineStr">
        <is>
          <t>Maple Healthcare Systems</t>
        </is>
      </c>
      <c r="E4" s="225" t="inlineStr">
        <is>
          <t>Eastern Canada</t>
        </is>
      </c>
      <c r="F4" s="222" t="n">
        <v>45323</v>
      </c>
      <c r="G4" s="223" t="n">
        <v>45327</v>
      </c>
      <c r="H4" s="225" t="inlineStr">
        <is>
          <t>created</t>
        </is>
      </c>
      <c r="M4" s="225" t="inlineStr">
        <is>
          <t>Marketing Pro</t>
        </is>
      </c>
      <c r="N4" s="225" t="inlineStr">
        <is>
          <t>Monthly</t>
        </is>
      </c>
      <c r="O4" s="225" t="n">
        <v>23</v>
      </c>
      <c r="P4" s="225" t="n">
        <v>85</v>
      </c>
      <c r="Q4" s="225" t="n">
        <v>0</v>
      </c>
      <c r="R4" s="225">
        <f t="array" ref="R4">IFS(H4="created", "New", H4="cancelled", "Churned", AND(H4="seats_change", J4 &gt; I4), "Expansion", AND(H4="seats_change", J4 &lt; I4), "Contraction", AND(H4="price_change", J4 &gt; I4), "Expansion", AND(H4="price_change", J4 &lt; I4), "Contraction", H4="plan_upgrade", "Expansion", H4="plan_downgrade", "Contraction", H4="discount_added", "Contraction")</f>
        <v/>
      </c>
      <c r="S4" s="224">
        <f t="array" ref="S4">IF(N4="Monthly",IFS(H4="created",O4*P4*(1-Q4/100),H4="cancelled",-(O4*P4*(1-Q4/100)),H4="seats_change",(J4-I4)*P4*(1-Q4/100),H4="price_change",(J4-I4)*O4*(1-Q4/100),H4="discount_added",-(O4*P4*(J4-I4)/100),H4="plan_upgrade",O4*(XLOOKUP(J4,$M:$M,$P:$P)-XLOOKUP(I4,$M:$M,$P:$P))*(1-Q4/100),H4="plan_downgrade",O4*(XLOOKUP(J4,$M:$M,$P:$P)-XLOOKUP(I4,$M:$M,$P:$P))*(1-Q4/100)),IFS(H4="created",O4*P4*(1-Q4/100)/12,H4="cancelled",-(O4*P4*(1-Q4/100))/12,H4="seats_change",(J4-I4)*P4*(1-Q4/100)/12,H4="price_change",(J4-I4)*O4*(1-Q4/100)/12,H4="plan_upgrade",(O4*(XLOOKUP(J4,$M:$M,$P:$P)-XLOOKUP(I4,$M:$M,$P:$P))*(1-Q4/100))/12,H4="plan_downgrade",(O4*(XLOOKUP(J4,$M:$M,$P:$P)-XLOOKUP(I4,$M:$M,$P:$P))*(1-Q4/100))/12,H4="discount_added",-(O4*P4*(J4-I4)/100)/12))</f>
        <v/>
      </c>
      <c r="T4" s="225">
        <f>IF(H4&lt;&gt;"created",0,IF(COUNTIFS($C$1:C3,$C4,$H$1:H3,"created")=0,1,0))</f>
        <v/>
      </c>
      <c r="U4" s="225">
        <f>IF(H4&lt;&gt;"cancelled",0,IF(COUNTIFS($C$2:$C$102,$C4,$H$2:$H$102,"created",$F$2:$F$102,"&lt;="&amp;F4)-COUNTIFS($C$2:$C$102,$C4,$H$2:$H$102,"cancelled",$F$2:$F$102,"&lt;="&amp;F4)=0,1,0))</f>
        <v/>
      </c>
      <c r="V4" s="225">
        <f>IF(AND(H4="created",T4=0,COUNTIFS($C$2:$C$102,$C4,$H$2:$H$102,"cancelled",$F$2:$F$102,"&lt;"&amp;F4)&gt;0,COUNTIFS($C$2:$C$102,$C4,$H$2:$H$102,"created",$F$2:$F$102,"&lt;"&amp;F4)-COUNTIFS($C$2:$C$102,$C4,$H$2:$H$102,"cancelled",$F$2:$F$102,"&lt;"&amp;F4)=0),1,0)</f>
        <v/>
      </c>
    </row>
    <row r="5" hidden="1" ht="14.25" customHeight="1" s="281">
      <c r="A5" s="225" t="inlineStr">
        <is>
          <t>EVT004</t>
        </is>
      </c>
      <c r="B5" s="225" t="inlineStr">
        <is>
          <t>SUB004</t>
        </is>
      </c>
      <c r="C5" s="225" t="inlineStr">
        <is>
          <t>CUST004</t>
        </is>
      </c>
      <c r="D5" s="225" t="inlineStr">
        <is>
          <t>Prairie Commerce Group</t>
        </is>
      </c>
      <c r="E5" s="225" t="inlineStr">
        <is>
          <t>Western Canada</t>
        </is>
      </c>
      <c r="F5" s="222" t="n">
        <v>45323</v>
      </c>
      <c r="G5" s="223" t="n">
        <v>45341</v>
      </c>
      <c r="H5" s="225" t="inlineStr">
        <is>
          <t>created</t>
        </is>
      </c>
      <c r="M5" s="225" t="inlineStr">
        <is>
          <t>Sales Hub</t>
        </is>
      </c>
      <c r="N5" s="225" t="inlineStr">
        <is>
          <t>Monthly</t>
        </is>
      </c>
      <c r="O5" s="225" t="n">
        <v>18</v>
      </c>
      <c r="P5" s="225" t="n">
        <v>110</v>
      </c>
      <c r="Q5" s="225" t="n">
        <v>0</v>
      </c>
      <c r="R5" s="225">
        <f t="array" ref="R5">IFS(H5="created", "New", H5="cancelled", "Churned", AND(H5="seats_change", J5 &gt; I5), "Expansion", AND(H5="seats_change", J5 &lt; I5), "Contraction", AND(H5="price_change", J5 &gt; I5), "Expansion", AND(H5="price_change", J5 &lt; I5), "Contraction", H5="plan_upgrade", "Expansion", H5="plan_downgrade", "Contraction", H5="discount_added", "Contraction")</f>
        <v/>
      </c>
      <c r="S5" s="224">
        <f t="array" ref="S5">IF(N5="Monthly",IFS(H5="created",O5*P5*(1-Q5/100),H5="cancelled",-(O5*P5*(1-Q5/100)),H5="seats_change",(J5-I5)*P5*(1-Q5/100),H5="price_change",(J5-I5)*O5*(1-Q5/100),H5="discount_added",-(O5*P5*(J5-I5)/100),H5="plan_upgrade",O5*(XLOOKUP(J5,$M:$M,$P:$P)-XLOOKUP(I5,$M:$M,$P:$P))*(1-Q5/100),H5="plan_downgrade",O5*(XLOOKUP(J5,$M:$M,$P:$P)-XLOOKUP(I5,$M:$M,$P:$P))*(1-Q5/100)),IFS(H5="created",O5*P5*(1-Q5/100)/12,H5="cancelled",-(O5*P5*(1-Q5/100))/12,H5="seats_change",(J5-I5)*P5*(1-Q5/100)/12,H5="price_change",(J5-I5)*O5*(1-Q5/100)/12,H5="plan_upgrade",(O5*(XLOOKUP(J5,$M:$M,$P:$P)-XLOOKUP(I5,$M:$M,$P:$P))*(1-Q5/100))/12,H5="plan_downgrade",(O5*(XLOOKUP(J5,$M:$M,$P:$P)-XLOOKUP(I5,$M:$M,$P:$P))*(1-Q5/100))/12,H5="discount_added",-(O5*P5*(J5-I5)/100)/12))</f>
        <v/>
      </c>
      <c r="T5" s="225">
        <f>IF(H5&lt;&gt;"created",0,IF(COUNTIFS($C$1:C4,$C5,$H$1:H4,"created")=0,1,0))</f>
        <v/>
      </c>
      <c r="U5" s="225">
        <f>IF(H5&lt;&gt;"cancelled",0,IF(COUNTIFS($C$2:$C$102,$C5,$H$2:$H$102,"created",$F$2:$F$102,"&lt;="&amp;F5)-COUNTIFS($C$2:$C$102,$C5,$H$2:$H$102,"cancelled",$F$2:$F$102,"&lt;="&amp;F5)=0,1,0))</f>
        <v/>
      </c>
      <c r="V5" s="225">
        <f>IF(AND(H5="created",T5=0,COUNTIFS($C$2:$C$102,$C5,$H$2:$H$102,"cancelled",$F$2:$F$102,"&lt;"&amp;F5)&gt;0,COUNTIFS($C$2:$C$102,$C5,$H$2:$H$102,"created",$F$2:$F$102,"&lt;"&amp;F5)-COUNTIFS($C$2:$C$102,$C5,$H$2:$H$102,"cancelled",$F$2:$F$102,"&lt;"&amp;F5)=0),1,0)</f>
        <v/>
      </c>
    </row>
    <row r="6" hidden="1" ht="14.25" customHeight="1" s="281">
      <c r="A6" s="225" t="inlineStr">
        <is>
          <t>EVT005</t>
        </is>
      </c>
      <c r="B6" s="225" t="inlineStr">
        <is>
          <t>SUB055</t>
        </is>
      </c>
      <c r="C6" s="225" t="inlineStr">
        <is>
          <t>CUST004</t>
        </is>
      </c>
      <c r="D6" s="225" t="inlineStr">
        <is>
          <t>Prairie Commerce Group</t>
        </is>
      </c>
      <c r="E6" s="225" t="inlineStr">
        <is>
          <t>Western Canada</t>
        </is>
      </c>
      <c r="F6" s="222" t="n">
        <v>45323</v>
      </c>
      <c r="G6" s="223" t="n">
        <v>45341</v>
      </c>
      <c r="H6" s="225" t="inlineStr">
        <is>
          <t>created</t>
        </is>
      </c>
      <c r="M6" s="225" t="inlineStr">
        <is>
          <t>Analytics Enterprise</t>
        </is>
      </c>
      <c r="N6" s="225" t="inlineStr">
        <is>
          <t>Monthly</t>
        </is>
      </c>
      <c r="O6" s="225" t="n">
        <v>26</v>
      </c>
      <c r="P6" s="225" t="n">
        <v>180</v>
      </c>
      <c r="Q6" s="225" t="n">
        <v>0</v>
      </c>
      <c r="R6" s="225">
        <f t="array" ref="R6">IFS(H6="created", "New", H6="cancelled", "Churned", AND(H6="seats_change", J6 &gt; I6), "Expansion", AND(H6="seats_change", J6 &lt; I6), "Contraction", AND(H6="price_change", J6 &gt; I6), "Expansion", AND(H6="price_change", J6 &lt; I6), "Contraction", H6="plan_upgrade", "Expansion", H6="plan_downgrade", "Contraction", H6="discount_added", "Contraction")</f>
        <v/>
      </c>
      <c r="S6" s="224">
        <f t="array" ref="S6">IF(N6="Monthly",IFS(H6="created",O6*P6*(1-Q6/100),H6="cancelled",-(O6*P6*(1-Q6/100)),H6="seats_change",(J6-I6)*P6*(1-Q6/100),H6="price_change",(J6-I6)*O6*(1-Q6/100),H6="discount_added",-(O6*P6*(J6-I6)/100),H6="plan_upgrade",O6*(XLOOKUP(J6,$M:$M,$P:$P)-XLOOKUP(I6,$M:$M,$P:$P))*(1-Q6/100),H6="plan_downgrade",O6*(XLOOKUP(J6,$M:$M,$P:$P)-XLOOKUP(I6,$M:$M,$P:$P))*(1-Q6/100)),IFS(H6="created",O6*P6*(1-Q6/100)/12,H6="cancelled",-(O6*P6*(1-Q6/100))/12,H6="seats_change",(J6-I6)*P6*(1-Q6/100)/12,H6="price_change",(J6-I6)*O6*(1-Q6/100)/12,H6="plan_upgrade",(O6*(XLOOKUP(J6,$M:$M,$P:$P)-XLOOKUP(I6,$M:$M,$P:$P))*(1-Q6/100))/12,H6="plan_downgrade",(O6*(XLOOKUP(J6,$M:$M,$P:$P)-XLOOKUP(I6,$M:$M,$P:$P))*(1-Q6/100))/12,H6="discount_added",-(O6*P6*(J6-I6)/100)/12))</f>
        <v/>
      </c>
      <c r="T6" s="225">
        <f>IF(H6&lt;&gt;"created",0,IF(COUNTIFS($C$1:C5,$C6,$H$1:H5,"created")=0,1,0))</f>
        <v/>
      </c>
      <c r="U6" s="225">
        <f>IF(H6&lt;&gt;"cancelled",0,IF(COUNTIFS($C$2:$C$102,$C6,$H$2:$H$102,"created",$F$2:$F$102,"&lt;="&amp;F6)-COUNTIFS($C$2:$C$102,$C6,$H$2:$H$102,"cancelled",$F$2:$F$102,"&lt;="&amp;F6)=0,1,0))</f>
        <v/>
      </c>
      <c r="V6" s="225">
        <f>IF(AND(H6="created",T6=0,COUNTIFS($C$2:$C$102,$C6,$H$2:$H$102,"cancelled",$F$2:$F$102,"&lt;"&amp;F6)&gt;0,COUNTIFS($C$2:$C$102,$C6,$H$2:$H$102,"created",$F$2:$F$102,"&lt;"&amp;F6)-COUNTIFS($C$2:$C$102,$C6,$H$2:$H$102,"cancelled",$F$2:$F$102,"&lt;"&amp;F6)=0),1,0)</f>
        <v/>
      </c>
    </row>
    <row r="7" hidden="1" ht="14.25" customHeight="1" s="281">
      <c r="A7" s="225" t="inlineStr">
        <is>
          <t>EVT006</t>
        </is>
      </c>
      <c r="B7" s="225" t="inlineStr">
        <is>
          <t>SUB005</t>
        </is>
      </c>
      <c r="C7" s="225" t="inlineStr">
        <is>
          <t>CUST005</t>
        </is>
      </c>
      <c r="D7" s="225" t="inlineStr">
        <is>
          <t>Atlantic Media Corp</t>
        </is>
      </c>
      <c r="E7" s="225" t="inlineStr">
        <is>
          <t>Eastern Canada</t>
        </is>
      </c>
      <c r="F7" s="222" t="n">
        <v>45352</v>
      </c>
      <c r="G7" s="223" t="n">
        <v>45355</v>
      </c>
      <c r="H7" s="225" t="inlineStr">
        <is>
          <t>created</t>
        </is>
      </c>
      <c r="M7" s="225" t="inlineStr">
        <is>
          <t>Analytics Starter</t>
        </is>
      </c>
      <c r="N7" s="225" t="inlineStr">
        <is>
          <t>Monthly</t>
        </is>
      </c>
      <c r="O7" s="225" t="n">
        <v>11</v>
      </c>
      <c r="P7" s="225" t="n">
        <v>45</v>
      </c>
      <c r="Q7" s="225" t="n">
        <v>0</v>
      </c>
      <c r="R7" s="225">
        <f t="array" ref="R7">IFS(H7="created", "New", H7="cancelled", "Churned", AND(H7="seats_change", J7 &gt; I7), "Expansion", AND(H7="seats_change", J7 &lt; I7), "Contraction", AND(H7="price_change", J7 &gt; I7), "Expansion", AND(H7="price_change", J7 &lt; I7), "Contraction", H7="plan_upgrade", "Expansion", H7="plan_downgrade", "Contraction", H7="discount_added", "Contraction")</f>
        <v/>
      </c>
      <c r="S7" s="224">
        <f t="array" ref="S7">IF(N7="Monthly",IFS(H7="created",O7*P7*(1-Q7/100),H7="cancelled",-(O7*P7*(1-Q7/100)),H7="seats_change",(J7-I7)*P7*(1-Q7/100),H7="price_change",(J7-I7)*O7*(1-Q7/100),H7="discount_added",-(O7*P7*(J7-I7)/100),H7="plan_upgrade",O7*(XLOOKUP(J7,$M:$M,$P:$P)-XLOOKUP(I7,$M:$M,$P:$P))*(1-Q7/100),H7="plan_downgrade",O7*(XLOOKUP(J7,$M:$M,$P:$P)-XLOOKUP(I7,$M:$M,$P:$P))*(1-Q7/100)),IFS(H7="created",O7*P7*(1-Q7/100)/12,H7="cancelled",-(O7*P7*(1-Q7/100))/12,H7="seats_change",(J7-I7)*P7*(1-Q7/100)/12,H7="price_change",(J7-I7)*O7*(1-Q7/100)/12,H7="plan_upgrade",(O7*(XLOOKUP(J7,$M:$M,$P:$P)-XLOOKUP(I7,$M:$M,$P:$P))*(1-Q7/100))/12,H7="plan_downgrade",(O7*(XLOOKUP(J7,$M:$M,$P:$P)-XLOOKUP(I7,$M:$M,$P:$P))*(1-Q7/100))/12,H7="discount_added",-(O7*P7*(J7-I7)/100)/12))</f>
        <v/>
      </c>
      <c r="T7" s="225">
        <f>IF(H7&lt;&gt;"created",0,IF(COUNTIFS($C$1:C6,$C7,$H$1:H6,"created")=0,1,0))</f>
        <v/>
      </c>
      <c r="U7" s="225">
        <f>IF(H7&lt;&gt;"cancelled",0,IF(COUNTIFS($C$2:$C$102,$C7,$H$2:$H$102,"created",$F$2:$F$102,"&lt;="&amp;F7)-COUNTIFS($C$2:$C$102,$C7,$H$2:$H$102,"cancelled",$F$2:$F$102,"&lt;="&amp;F7)=0,1,0))</f>
        <v/>
      </c>
      <c r="V7" s="225">
        <f>IF(AND(H7="created",T7=0,COUNTIFS($C$2:$C$102,$C7,$H$2:$H$102,"cancelled",$F$2:$F$102,"&lt;"&amp;F7)&gt;0,COUNTIFS($C$2:$C$102,$C7,$H$2:$H$102,"created",$F$2:$F$102,"&lt;"&amp;F7)-COUNTIFS($C$2:$C$102,$C7,$H$2:$H$102,"cancelled",$F$2:$F$102,"&lt;"&amp;F7)=0),1,0)</f>
        <v/>
      </c>
    </row>
    <row r="8" ht="14.25" customHeight="1" s="281">
      <c r="A8" s="225" t="inlineStr">
        <is>
          <t>EVT007</t>
        </is>
      </c>
      <c r="B8" s="225" t="inlineStr">
        <is>
          <t>SUB006</t>
        </is>
      </c>
      <c r="C8" s="225" t="inlineStr">
        <is>
          <t>CUST006</t>
        </is>
      </c>
      <c r="D8" s="225" t="inlineStr">
        <is>
          <t>Northern Retail Solutions</t>
        </is>
      </c>
      <c r="E8" s="225" t="inlineStr">
        <is>
          <t>Western Canada</t>
        </is>
      </c>
      <c r="F8" s="222" t="n">
        <v>45352</v>
      </c>
      <c r="G8" s="223" t="n">
        <v>45369</v>
      </c>
      <c r="H8" s="225" t="inlineStr">
        <is>
          <t>created</t>
        </is>
      </c>
      <c r="M8" s="225" t="inlineStr">
        <is>
          <t>Analytics Enterprise</t>
        </is>
      </c>
      <c r="N8" s="225" t="inlineStr">
        <is>
          <t>Annual</t>
        </is>
      </c>
      <c r="O8" s="225" t="n">
        <v>31</v>
      </c>
      <c r="P8" s="225" t="n">
        <v>2160</v>
      </c>
      <c r="Q8" s="225" t="n">
        <v>0</v>
      </c>
      <c r="R8" s="225">
        <f t="array" ref="R8">IFS(H8="created", "New", H8="cancelled", "Churned", AND(H8="seats_change", J8 &gt; I8), "Expansion", AND(H8="seats_change", J8 &lt; I8), "Contraction", AND(H8="price_change", J8 &gt; I8), "Expansion", AND(H8="price_change", J8 &lt; I8), "Contraction", H8="plan_upgrade", "Expansion", H8="plan_downgrade", "Contraction", H8="discount_added", "Contraction")</f>
        <v/>
      </c>
      <c r="S8" s="224">
        <f t="array" ref="S8">IF(N8="Monthly",IFS(H8="created",O8*P8*(1-Q8/100),H8="cancelled",-(O8*P8*(1-Q8/100)),H8="seats_change",(J8-I8)*P8*(1-Q8/100),H8="price_change",(J8-I8)*O8*(1-Q8/100),H8="discount_added",-(O8*P8*(J8-I8)/100),H8="plan_upgrade",O8*(XLOOKUP(J8,$M:$M,$P:$P)-XLOOKUP(I8,$M:$M,$P:$P))*(1-Q8/100),H8="plan_downgrade",O8*(XLOOKUP(J8,$M:$M,$P:$P)-XLOOKUP(I8,$M:$M,$P:$P))*(1-Q8/100)),IFS(H8="created",O8*P8*(1-Q8/100)/12,H8="cancelled",-(O8*P8*(1-Q8/100))/12,H8="seats_change",(J8-I8)*P8*(1-Q8/100)/12,H8="price_change",(J8-I8)*O8*(1-Q8/100)/12,H8="plan_upgrade",(O8*(XLOOKUP(J8,$M:$M,$P:$P)-XLOOKUP(I8,$M:$M,$P:$P))*(1-Q8/100))/12,H8="plan_downgrade",(O8*(XLOOKUP(J8,$M:$M,$P:$P)-XLOOKUP(I8,$M:$M,$P:$P))*(1-Q8/100))/12,H8="discount_added",-(O8*P8*(J8-I8)/100)/12))</f>
        <v/>
      </c>
      <c r="T8" s="225">
        <f>IF(H8&lt;&gt;"created",0,IF(COUNTIFS($C$1:C7,$C8,$H$1:H7,"created")=0,1,0))</f>
        <v/>
      </c>
      <c r="U8" s="225">
        <f>IF(H8&lt;&gt;"cancelled",0,IF(COUNTIFS($C$2:$C$102,$C8,$H$2:$H$102,"created",$F$2:$F$102,"&lt;="&amp;F8)-COUNTIFS($C$2:$C$102,$C8,$H$2:$H$102,"cancelled",$F$2:$F$102,"&lt;="&amp;F8)=0,1,0))</f>
        <v/>
      </c>
      <c r="V8" s="225">
        <f>IF(AND(H8="created",T8=0,COUNTIFS($C$2:$C$102,$C8,$H$2:$H$102,"cancelled",$F$2:$F$102,"&lt;"&amp;F8)&gt;0,COUNTIFS($C$2:$C$102,$C8,$H$2:$H$102,"created",$F$2:$F$102,"&lt;"&amp;F8)-COUNTIFS($C$2:$C$102,$C8,$H$2:$H$102,"cancelled",$F$2:$F$102,"&lt;"&amp;F8)=0),1,0)</f>
        <v/>
      </c>
    </row>
    <row r="9" hidden="1" ht="14.25" customHeight="1" s="281">
      <c r="A9" s="225" t="inlineStr">
        <is>
          <t>EVT008</t>
        </is>
      </c>
      <c r="B9" s="225" t="inlineStr">
        <is>
          <t>SUB007</t>
        </is>
      </c>
      <c r="C9" s="225" t="inlineStr">
        <is>
          <t>CUST007</t>
        </is>
      </c>
      <c r="D9" s="225" t="inlineStr">
        <is>
          <t>Ontario Manufacturing Tech</t>
        </is>
      </c>
      <c r="E9" s="225" t="inlineStr">
        <is>
          <t>Eastern Canada</t>
        </is>
      </c>
      <c r="F9" s="222" t="n">
        <v>45383</v>
      </c>
      <c r="G9" s="223" t="n">
        <v>45383</v>
      </c>
      <c r="H9" s="225" t="inlineStr">
        <is>
          <t>created</t>
        </is>
      </c>
      <c r="M9" s="225" t="inlineStr">
        <is>
          <t>Marketing Pro</t>
        </is>
      </c>
      <c r="N9" s="225" t="inlineStr">
        <is>
          <t>Monthly</t>
        </is>
      </c>
      <c r="O9" s="225" t="n">
        <v>16</v>
      </c>
      <c r="P9" s="225" t="n">
        <v>85</v>
      </c>
      <c r="Q9" s="225" t="n">
        <v>0</v>
      </c>
      <c r="R9" s="225">
        <f t="array" ref="R9">IFS(H9="created", "New", H9="cancelled", "Churned", AND(H9="seats_change", J9 &gt; I9), "Expansion", AND(H9="seats_change", J9 &lt; I9), "Contraction", AND(H9="price_change", J9 &gt; I9), "Expansion", AND(H9="price_change", J9 &lt; I9), "Contraction", H9="plan_upgrade", "Expansion", H9="plan_downgrade", "Contraction", H9="discount_added", "Contraction")</f>
        <v/>
      </c>
      <c r="S9" s="224">
        <f t="array" ref="S9">IF(N9="Monthly",IFS(H9="created",O9*P9*(1-Q9/100),H9="cancelled",-(O9*P9*(1-Q9/100)),H9="seats_change",(J9-I9)*P9*(1-Q9/100),H9="price_change",(J9-I9)*O9*(1-Q9/100),H9="discount_added",-(O9*P9*(J9-I9)/100),H9="plan_upgrade",O9*(XLOOKUP(J9,$M:$M,$P:$P)-XLOOKUP(I9,$M:$M,$P:$P))*(1-Q9/100),H9="plan_downgrade",O9*(XLOOKUP(J9,$M:$M,$P:$P)-XLOOKUP(I9,$M:$M,$P:$P))*(1-Q9/100)),IFS(H9="created",O9*P9*(1-Q9/100)/12,H9="cancelled",-(O9*P9*(1-Q9/100))/12,H9="seats_change",(J9-I9)*P9*(1-Q9/100)/12,H9="price_change",(J9-I9)*O9*(1-Q9/100)/12,H9="plan_upgrade",(O9*(XLOOKUP(J9,$M:$M,$P:$P)-XLOOKUP(I9,$M:$M,$P:$P))*(1-Q9/100))/12,H9="plan_downgrade",(O9*(XLOOKUP(J9,$M:$M,$P:$P)-XLOOKUP(I9,$M:$M,$P:$P))*(1-Q9/100))/12,H9="discount_added",-(O9*P9*(J9-I9)/100)/12))</f>
        <v/>
      </c>
      <c r="T9" s="225">
        <f>IF(H9&lt;&gt;"created",0,IF(COUNTIFS($C$1:C8,$C9,$H$1:H8,"created")=0,1,0))</f>
        <v/>
      </c>
      <c r="U9" s="225">
        <f>IF(H9&lt;&gt;"cancelled",0,IF(COUNTIFS($C$2:$C$102,$C9,$H$2:$H$102,"created",$F$2:$F$102,"&lt;="&amp;F9)-COUNTIFS($C$2:$C$102,$C9,$H$2:$H$102,"cancelled",$F$2:$F$102,"&lt;="&amp;F9)=0,1,0))</f>
        <v/>
      </c>
      <c r="V9" s="225">
        <f>IF(AND(H9="created",T9=0,COUNTIFS($C$2:$C$102,$C9,$H$2:$H$102,"cancelled",$F$2:$F$102,"&lt;"&amp;F9)&gt;0,COUNTIFS($C$2:$C$102,$C9,$H$2:$H$102,"created",$F$2:$F$102,"&lt;"&amp;F9)-COUNTIFS($C$2:$C$102,$C9,$H$2:$H$102,"cancelled",$F$2:$F$102,"&lt;"&amp;F9)=0),1,0)</f>
        <v/>
      </c>
    </row>
    <row r="10" hidden="1" ht="14.25" customHeight="1" s="281">
      <c r="A10" s="225" t="inlineStr">
        <is>
          <t>EVT009</t>
        </is>
      </c>
      <c r="B10" s="225" t="inlineStr">
        <is>
          <t>SUB050</t>
        </is>
      </c>
      <c r="C10" s="225" t="inlineStr">
        <is>
          <t>CUST007</t>
        </is>
      </c>
      <c r="D10" s="225" t="inlineStr">
        <is>
          <t>Ontario Manufacturing Tech</t>
        </is>
      </c>
      <c r="E10" s="225" t="inlineStr">
        <is>
          <t>Eastern Canada</t>
        </is>
      </c>
      <c r="F10" s="222" t="n">
        <v>45383</v>
      </c>
      <c r="G10" s="223" t="n">
        <v>45383</v>
      </c>
      <c r="H10" s="225" t="inlineStr">
        <is>
          <t>created</t>
        </is>
      </c>
      <c r="M10" s="225" t="inlineStr">
        <is>
          <t>Analytics Starter</t>
        </is>
      </c>
      <c r="N10" s="225" t="inlineStr">
        <is>
          <t>Monthly</t>
        </is>
      </c>
      <c r="O10" s="225" t="n">
        <v>15</v>
      </c>
      <c r="P10" s="225" t="n">
        <v>45</v>
      </c>
      <c r="Q10" s="225" t="n">
        <v>12</v>
      </c>
      <c r="R10" s="225">
        <f t="array" ref="R10">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
      </c>
      <c r="S10" s="224">
        <f t="array" ref="S10">IF(N10="Monthly",IFS(H10="created",O10*P10*(1-Q10/100),H10="cancelled",-(O10*P10*(1-Q10/100)),H10="seats_change",(J10-I10)*P10*(1-Q10/100),H10="price_change",(J10-I10)*O10*(1-Q10/100),H10="discount_added",-(O10*P10*(J10-I10)/100),H10="plan_upgrade",O10*(XLOOKUP(J10,$M:$M,$P:$P)-XLOOKUP(I10,$M:$M,$P:$P))*(1-Q10/100),H10="plan_downgrade",O10*(XLOOKUP(J10,$M:$M,$P:$P)-XLOOKUP(I10,$M:$M,$P:$P))*(1-Q10/100)),IFS(H10="created",O10*P10*(1-Q10/100)/12,H10="cancelled",-(O10*P10*(1-Q10/100))/12,H10="seats_change",(J10-I10)*P10*(1-Q10/100)/12,H10="price_change",(J10-I10)*O10*(1-Q10/100)/12,H10="plan_upgrade",(O10*(XLOOKUP(J10,$M:$M,$P:$P)-XLOOKUP(I10,$M:$M,$P:$P))*(1-Q10/100))/12,H10="plan_downgrade",(O10*(XLOOKUP(J10,$M:$M,$P:$P)-XLOOKUP(I10,$M:$M,$P:$P))*(1-Q10/100))/12,H10="discount_added",-(O10*P10*(J10-I10)/100)/12))</f>
        <v/>
      </c>
      <c r="T10" s="225">
        <f>IF(H10&lt;&gt;"created",0,IF(COUNTIFS($C$1:C9,$C10,$H$1:H9,"created")=0,1,0))</f>
        <v/>
      </c>
      <c r="U10" s="225">
        <f>IF(H10&lt;&gt;"cancelled",0,IF(COUNTIFS($C$2:$C$102,$C10,$H$2:$H$102,"created",$F$2:$F$102,"&lt;="&amp;F10)-COUNTIFS($C$2:$C$102,$C10,$H$2:$H$102,"cancelled",$F$2:$F$102,"&lt;="&amp;F10)=0,1,0))</f>
        <v/>
      </c>
      <c r="V10" s="225">
        <f>IF(AND(H10="created",T10=0,COUNTIFS($C$2:$C$102,$C10,$H$2:$H$102,"cancelled",$F$2:$F$102,"&lt;"&amp;F10)&gt;0,COUNTIFS($C$2:$C$102,$C10,$H$2:$H$102,"created",$F$2:$F$102,"&lt;"&amp;F10)-COUNTIFS($C$2:$C$102,$C10,$H$2:$H$102,"cancelled",$F$2:$F$102,"&lt;"&amp;F10)=0),1,0)</f>
        <v/>
      </c>
    </row>
    <row r="11" hidden="1" ht="14.25" customHeight="1" s="281">
      <c r="A11" s="225" t="inlineStr">
        <is>
          <t>EVT010</t>
        </is>
      </c>
      <c r="B11" s="225" t="inlineStr">
        <is>
          <t>SUB008</t>
        </is>
      </c>
      <c r="C11" s="225" t="inlineStr">
        <is>
          <t>CUST008</t>
        </is>
      </c>
      <c r="D11" s="225" t="inlineStr">
        <is>
          <t>Quantum Education Platform</t>
        </is>
      </c>
      <c r="E11" s="225" t="inlineStr">
        <is>
          <t>Eastern Canada</t>
        </is>
      </c>
      <c r="F11" s="222" t="n">
        <v>45383</v>
      </c>
      <c r="G11" s="223" t="n">
        <v>45397</v>
      </c>
      <c r="H11" s="225" t="inlineStr">
        <is>
          <t>created</t>
        </is>
      </c>
      <c r="M11" s="225" t="inlineStr">
        <is>
          <t>Analytics Growth</t>
        </is>
      </c>
      <c r="N11" s="225" t="inlineStr">
        <is>
          <t>Monthly</t>
        </is>
      </c>
      <c r="O11" s="225" t="n">
        <v>22</v>
      </c>
      <c r="P11" s="225" t="n">
        <v>95</v>
      </c>
      <c r="Q11" s="225" t="n">
        <v>0</v>
      </c>
      <c r="R11" s="225">
        <f t="array" ref="R11">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
      </c>
      <c r="S11" s="224">
        <f t="array" ref="S11">IF(N11="Monthly",IFS(H11="created",O11*P11*(1-Q11/100),H11="cancelled",-(O11*P11*(1-Q11/100)),H11="seats_change",(J11-I11)*P11*(1-Q11/100),H11="price_change",(J11-I11)*O11*(1-Q11/100),H11="discount_added",-(O11*P11*(J11-I11)/100),H11="plan_upgrade",O11*(XLOOKUP(J11,$M:$M,$P:$P)-XLOOKUP(I11,$M:$M,$P:$P))*(1-Q11/100),H11="plan_downgrade",O11*(XLOOKUP(J11,$M:$M,$P:$P)-XLOOKUP(I11,$M:$M,$P:$P))*(1-Q11/100)),IFS(H11="created",O11*P11*(1-Q11/100)/12,H11="cancelled",-(O11*P11*(1-Q11/100))/12,H11="seats_change",(J11-I11)*P11*(1-Q11/100)/12,H11="price_change",(J11-I11)*O11*(1-Q11/100)/12,H11="plan_upgrade",(O11*(XLOOKUP(J11,$M:$M,$P:$P)-XLOOKUP(I11,$M:$M,$P:$P))*(1-Q11/100))/12,H11="plan_downgrade",(O11*(XLOOKUP(J11,$M:$M,$P:$P)-XLOOKUP(I11,$M:$M,$P:$P))*(1-Q11/100))/12,H11="discount_added",-(O11*P11*(J11-I11)/100)/12))</f>
        <v/>
      </c>
      <c r="T11" s="225">
        <f>IF(H11&lt;&gt;"created",0,IF(COUNTIFS($C$1:C10,$C11,$H$1:H10,"created")=0,1,0))</f>
        <v/>
      </c>
      <c r="U11" s="225">
        <f>IF(H11&lt;&gt;"cancelled",0,IF(COUNTIFS($C$2:$C$102,$C11,$H$2:$H$102,"created",$F$2:$F$102,"&lt;="&amp;F11)-COUNTIFS($C$2:$C$102,$C11,$H$2:$H$102,"cancelled",$F$2:$F$102,"&lt;="&amp;F11)=0,1,0))</f>
        <v/>
      </c>
      <c r="V11" s="225">
        <f>IF(AND(H11="created",T11=0,COUNTIFS($C$2:$C$102,$C11,$H$2:$H$102,"cancelled",$F$2:$F$102,"&lt;"&amp;F11)&gt;0,COUNTIFS($C$2:$C$102,$C11,$H$2:$H$102,"created",$F$2:$F$102,"&lt;"&amp;F11)-COUNTIFS($C$2:$C$102,$C11,$H$2:$H$102,"cancelled",$F$2:$F$102,"&lt;"&amp;F11)=0),1,0)</f>
        <v/>
      </c>
    </row>
    <row r="12" ht="14.25" customHeight="1" s="281">
      <c r="A12" s="225" t="inlineStr">
        <is>
          <t>EVT011</t>
        </is>
      </c>
      <c r="B12" s="225" t="inlineStr">
        <is>
          <t>SUB009</t>
        </is>
      </c>
      <c r="C12" s="225" t="inlineStr">
        <is>
          <t>CUST009</t>
        </is>
      </c>
      <c r="D12" s="225" t="inlineStr">
        <is>
          <t>West Coast Logistics</t>
        </is>
      </c>
      <c r="E12" s="225" t="inlineStr">
        <is>
          <t>Western Canada</t>
        </is>
      </c>
      <c r="F12" s="222" t="n">
        <v>45383</v>
      </c>
      <c r="G12" s="223" t="n">
        <v>45411</v>
      </c>
      <c r="H12" s="225" t="inlineStr">
        <is>
          <t>created</t>
        </is>
      </c>
      <c r="M12" s="225" t="inlineStr">
        <is>
          <t>Platform Suite</t>
        </is>
      </c>
      <c r="N12" s="225" t="inlineStr">
        <is>
          <t>Annual</t>
        </is>
      </c>
      <c r="O12" s="225" t="n">
        <v>36</v>
      </c>
      <c r="P12" s="225" t="n">
        <v>1800</v>
      </c>
      <c r="Q12" s="225" t="n">
        <v>0</v>
      </c>
      <c r="R12" s="225">
        <f t="array" ref="R12">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
      </c>
      <c r="S12" s="224">
        <f t="array" ref="S12">IF(N12="Monthly",IFS(H12="created",O12*P12*(1-Q12/100),H12="cancelled",-(O12*P12*(1-Q12/100)),H12="seats_change",(J12-I12)*P12*(1-Q12/100),H12="price_change",(J12-I12)*O12*(1-Q12/100),H12="discount_added",-(O12*P12*(J12-I12)/100),H12="plan_upgrade",O12*(XLOOKUP(J12,$M:$M,$P:$P)-XLOOKUP(I12,$M:$M,$P:$P))*(1-Q12/100),H12="plan_downgrade",O12*(XLOOKUP(J12,$M:$M,$P:$P)-XLOOKUP(I12,$M:$M,$P:$P))*(1-Q12/100)),IFS(H12="created",O12*P12*(1-Q12/100)/12,H12="cancelled",-(O12*P12*(1-Q12/100))/12,H12="seats_change",(J12-I12)*P12*(1-Q12/100)/12,H12="price_change",(J12-I12)*O12*(1-Q12/100)/12,H12="plan_upgrade",(O12*(XLOOKUP(J12,$M:$M,$P:$P)-XLOOKUP(I12,$M:$M,$P:$P))*(1-Q12/100))/12,H12="plan_downgrade",(O12*(XLOOKUP(J12,$M:$M,$P:$P)-XLOOKUP(I12,$M:$M,$P:$P))*(1-Q12/100))/12,H12="discount_added",-(O12*P12*(J12-I12)/100)/12))</f>
        <v/>
      </c>
      <c r="T12" s="225">
        <f>IF(H12&lt;&gt;"created",0,IF(COUNTIFS($C$1:C11,$C12,$H$1:H11,"created")=0,1,0))</f>
        <v/>
      </c>
      <c r="U12" s="225">
        <f>IF(H12&lt;&gt;"cancelled",0,IF(COUNTIFS($C$2:$C$102,$C12,$H$2:$H$102,"created",$F$2:$F$102,"&lt;="&amp;F12)-COUNTIFS($C$2:$C$102,$C12,$H$2:$H$102,"cancelled",$F$2:$F$102,"&lt;="&amp;F12)=0,1,0))</f>
        <v/>
      </c>
      <c r="V12" s="225">
        <f>IF(AND(H12="created",T12=0,COUNTIFS($C$2:$C$102,$C12,$H$2:$H$102,"cancelled",$F$2:$F$102,"&lt;"&amp;F12)&gt;0,COUNTIFS($C$2:$C$102,$C12,$H$2:$H$102,"created",$F$2:$F$102,"&lt;"&amp;F12)-COUNTIFS($C$2:$C$102,$C12,$H$2:$H$102,"cancelled",$F$2:$F$102,"&lt;"&amp;F12)=0),1,0)</f>
        <v/>
      </c>
    </row>
    <row r="13" hidden="1" ht="14.25" customHeight="1" s="281">
      <c r="A13" s="225" t="inlineStr">
        <is>
          <t>EVT012</t>
        </is>
      </c>
      <c r="B13" s="225" t="inlineStr">
        <is>
          <t>SUB010</t>
        </is>
      </c>
      <c r="C13" s="225" t="inlineStr">
        <is>
          <t>CUST010</t>
        </is>
      </c>
      <c r="D13" s="225" t="inlineStr">
        <is>
          <t>Montreal Finance Hub</t>
        </is>
      </c>
      <c r="E13" s="225" t="inlineStr">
        <is>
          <t>Eastern Canada</t>
        </is>
      </c>
      <c r="F13" s="222" t="n">
        <v>45413</v>
      </c>
      <c r="G13" s="223" t="n">
        <v>45425</v>
      </c>
      <c r="H13" s="225" t="inlineStr">
        <is>
          <t>created</t>
        </is>
      </c>
      <c r="M13" s="225" t="inlineStr">
        <is>
          <t>Analytics Starter</t>
        </is>
      </c>
      <c r="N13" s="225" t="inlineStr">
        <is>
          <t>Monthly</t>
        </is>
      </c>
      <c r="O13" s="225" t="n">
        <v>13</v>
      </c>
      <c r="P13" s="225" t="n">
        <v>45</v>
      </c>
      <c r="Q13" s="225" t="n">
        <v>0</v>
      </c>
      <c r="R13" s="225">
        <f t="array" ref="R13">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
      </c>
      <c r="S13" s="224">
        <f t="array" ref="S13">IF(N13="Monthly",IFS(H13="created",O13*P13*(1-Q13/100),H13="cancelled",-(O13*P13*(1-Q13/100)),H13="seats_change",(J13-I13)*P13*(1-Q13/100),H13="price_change",(J13-I13)*O13*(1-Q13/100),H13="discount_added",-(O13*P13*(J13-I13)/100),H13="plan_upgrade",O13*(XLOOKUP(J13,$M:$M,$P:$P)-XLOOKUP(I13,$M:$M,$P:$P))*(1-Q13/100),H13="plan_downgrade",O13*(XLOOKUP(J13,$M:$M,$P:$P)-XLOOKUP(I13,$M:$M,$P:$P))*(1-Q13/100)),IFS(H13="created",O13*P13*(1-Q13/100)/12,H13="cancelled",-(O13*P13*(1-Q13/100))/12,H13="seats_change",(J13-I13)*P13*(1-Q13/100)/12,H13="price_change",(J13-I13)*O13*(1-Q13/100)/12,H13="plan_upgrade",(O13*(XLOOKUP(J13,$M:$M,$P:$P)-XLOOKUP(I13,$M:$M,$P:$P))*(1-Q13/100))/12,H13="plan_downgrade",(O13*(XLOOKUP(J13,$M:$M,$P:$P)-XLOOKUP(I13,$M:$M,$P:$P))*(1-Q13/100))/12,H13="discount_added",-(O13*P13*(J13-I13)/100)/12))</f>
        <v/>
      </c>
      <c r="T13" s="225">
        <f>IF(H13&lt;&gt;"created",0,IF(COUNTIFS($C$1:C12,$C13,$H$1:H12,"created")=0,1,0))</f>
        <v/>
      </c>
      <c r="U13" s="225">
        <f>IF(H13&lt;&gt;"cancelled",0,IF(COUNTIFS($C$2:$C$102,$C13,$H$2:$H$102,"created",$F$2:$F$102,"&lt;="&amp;F13)-COUNTIFS($C$2:$C$102,$C13,$H$2:$H$102,"cancelled",$F$2:$F$102,"&lt;="&amp;F13)=0,1,0))</f>
        <v/>
      </c>
      <c r="V13" s="225">
        <f>IF(AND(H13="created",T13=0,COUNTIFS($C$2:$C$102,$C13,$H$2:$H$102,"cancelled",$F$2:$F$102,"&lt;"&amp;F13)&gt;0,COUNTIFS($C$2:$C$102,$C13,$H$2:$H$102,"created",$F$2:$F$102,"&lt;"&amp;F13)-COUNTIFS($C$2:$C$102,$C13,$H$2:$H$102,"cancelled",$F$2:$F$102,"&lt;"&amp;F13)=0),1,0)</f>
        <v/>
      </c>
    </row>
    <row r="14" hidden="1" ht="14.25" customHeight="1" s="281">
      <c r="A14" s="225" t="inlineStr">
        <is>
          <t>EVT013</t>
        </is>
      </c>
      <c r="B14" s="225" t="inlineStr">
        <is>
          <t>SUB011</t>
        </is>
      </c>
      <c r="C14" s="225" t="inlineStr">
        <is>
          <t>CUST011</t>
        </is>
      </c>
      <c r="D14" s="225" t="inlineStr">
        <is>
          <t>Prairie Health Connect</t>
        </is>
      </c>
      <c r="E14" s="225" t="inlineStr">
        <is>
          <t>Central Canada</t>
        </is>
      </c>
      <c r="F14" s="222" t="n">
        <v>45413</v>
      </c>
      <c r="G14" s="223" t="n">
        <v>45439</v>
      </c>
      <c r="H14" s="225" t="inlineStr">
        <is>
          <t>created</t>
        </is>
      </c>
      <c r="M14" s="225" t="inlineStr">
        <is>
          <t>Sales Hub</t>
        </is>
      </c>
      <c r="N14" s="225" t="inlineStr">
        <is>
          <t>Monthly</t>
        </is>
      </c>
      <c r="O14" s="225" t="n">
        <v>18</v>
      </c>
      <c r="P14" s="225" t="n">
        <v>110</v>
      </c>
      <c r="Q14" s="225" t="n">
        <v>0</v>
      </c>
      <c r="R14" s="225">
        <f t="array" ref="R14">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
      </c>
      <c r="S14" s="224">
        <f t="array" ref="S14">IF(N14="Monthly",IFS(H14="created",O14*P14*(1-Q14/100),H14="cancelled",-(O14*P14*(1-Q14/100)),H14="seats_change",(J14-I14)*P14*(1-Q14/100),H14="price_change",(J14-I14)*O14*(1-Q14/100),H14="discount_added",-(O14*P14*(J14-I14)/100),H14="plan_upgrade",O14*(XLOOKUP(J14,$M:$M,$P:$P)-XLOOKUP(I14,$M:$M,$P:$P))*(1-Q14/100),H14="plan_downgrade",O14*(XLOOKUP(J14,$M:$M,$P:$P)-XLOOKUP(I14,$M:$M,$P:$P))*(1-Q14/100)),IFS(H14="created",O14*P14*(1-Q14/100)/12,H14="cancelled",-(O14*P14*(1-Q14/100))/12,H14="seats_change",(J14-I14)*P14*(1-Q14/100)/12,H14="price_change",(J14-I14)*O14*(1-Q14/100)/12,H14="plan_upgrade",(O14*(XLOOKUP(J14,$M:$M,$P:$P)-XLOOKUP(I14,$M:$M,$P:$P))*(1-Q14/100))/12,H14="plan_downgrade",(O14*(XLOOKUP(J14,$M:$M,$P:$P)-XLOOKUP(I14,$M:$M,$P:$P))*(1-Q14/100))/12,H14="discount_added",-(O14*P14*(J14-I14)/100)/12))</f>
        <v/>
      </c>
      <c r="T14" s="225">
        <f>IF(H14&lt;&gt;"created",0,IF(COUNTIFS($C$1:C13,$C14,$H$1:H13,"created")=0,1,0))</f>
        <v/>
      </c>
      <c r="U14" s="225">
        <f>IF(H14&lt;&gt;"cancelled",0,IF(COUNTIFS($C$2:$C$102,$C14,$H$2:$H$102,"created",$F$2:$F$102,"&lt;="&amp;F14)-COUNTIFS($C$2:$C$102,$C14,$H$2:$H$102,"cancelled",$F$2:$F$102,"&lt;="&amp;F14)=0,1,0))</f>
        <v/>
      </c>
      <c r="V14" s="225">
        <f>IF(AND(H14="created",T14=0,COUNTIFS($C$2:$C$102,$C14,$H$2:$H$102,"cancelled",$F$2:$F$102,"&lt;"&amp;F14)&gt;0,COUNTIFS($C$2:$C$102,$C14,$H$2:$H$102,"created",$F$2:$F$102,"&lt;"&amp;F14)-COUNTIFS($C$2:$C$102,$C14,$H$2:$H$102,"cancelled",$F$2:$F$102,"&lt;"&amp;F14)=0),1,0)</f>
        <v/>
      </c>
    </row>
    <row r="15" hidden="1" ht="14.25" customHeight="1" s="281">
      <c r="A15" s="225" t="inlineStr">
        <is>
          <t>EVT014</t>
        </is>
      </c>
      <c r="B15" s="225" t="inlineStr">
        <is>
          <t>SUB012</t>
        </is>
      </c>
      <c r="C15" s="225" t="inlineStr">
        <is>
          <t>CUST012</t>
        </is>
      </c>
      <c r="D15" s="225" t="inlineStr">
        <is>
          <t>Maritime E-commerce</t>
        </is>
      </c>
      <c r="E15" s="225" t="inlineStr">
        <is>
          <t>Eastern Canada</t>
        </is>
      </c>
      <c r="F15" s="222" t="n">
        <v>45444</v>
      </c>
      <c r="G15" s="223" t="n">
        <v>45453</v>
      </c>
      <c r="H15" s="225" t="inlineStr">
        <is>
          <t>created</t>
        </is>
      </c>
      <c r="M15" s="225" t="inlineStr">
        <is>
          <t>Analytics Growth</t>
        </is>
      </c>
      <c r="N15" s="225" t="inlineStr">
        <is>
          <t>Monthly</t>
        </is>
      </c>
      <c r="O15" s="225" t="n">
        <v>23</v>
      </c>
      <c r="P15" s="225" t="n">
        <v>95</v>
      </c>
      <c r="Q15" s="225" t="n">
        <v>0</v>
      </c>
      <c r="R15" s="225">
        <f t="array" ref="R15">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
      </c>
      <c r="S15" s="224">
        <f t="array" ref="S15">IF(N15="Monthly",IFS(H15="created",O15*P15*(1-Q15/100),H15="cancelled",-(O15*P15*(1-Q15/100)),H15="seats_change",(J15-I15)*P15*(1-Q15/100),H15="price_change",(J15-I15)*O15*(1-Q15/100),H15="discount_added",-(O15*P15*(J15-I15)/100),H15="plan_upgrade",O15*(XLOOKUP(J15,$M:$M,$P:$P)-XLOOKUP(I15,$M:$M,$P:$P))*(1-Q15/100),H15="plan_downgrade",O15*(XLOOKUP(J15,$M:$M,$P:$P)-XLOOKUP(I15,$M:$M,$P:$P))*(1-Q15/100)),IFS(H15="created",O15*P15*(1-Q15/100)/12,H15="cancelled",-(O15*P15*(1-Q15/100))/12,H15="seats_change",(J15-I15)*P15*(1-Q15/100)/12,H15="price_change",(J15-I15)*O15*(1-Q15/100)/12,H15="plan_upgrade",(O15*(XLOOKUP(J15,$M:$M,$P:$P)-XLOOKUP(I15,$M:$M,$P:$P))*(1-Q15/100))/12,H15="plan_downgrade",(O15*(XLOOKUP(J15,$M:$M,$P:$P)-XLOOKUP(I15,$M:$M,$P:$P))*(1-Q15/100))/12,H15="discount_added",-(O15*P15*(J15-I15)/100)/12))</f>
        <v/>
      </c>
      <c r="T15" s="225">
        <f>IF(H15&lt;&gt;"created",0,IF(COUNTIFS($C$1:C14,$C15,$H$1:H14,"created")=0,1,0))</f>
        <v/>
      </c>
      <c r="U15" s="225">
        <f>IF(H15&lt;&gt;"cancelled",0,IF(COUNTIFS($C$2:$C$102,$C15,$H$2:$H$102,"created",$F$2:$F$102,"&lt;="&amp;F15)-COUNTIFS($C$2:$C$102,$C15,$H$2:$H$102,"cancelled",$F$2:$F$102,"&lt;="&amp;F15)=0,1,0))</f>
        <v/>
      </c>
      <c r="V15" s="225">
        <f>IF(AND(H15="created",T15=0,COUNTIFS($C$2:$C$102,$C15,$H$2:$H$102,"cancelled",$F$2:$F$102,"&lt;"&amp;F15)&gt;0,COUNTIFS($C$2:$C$102,$C15,$H$2:$H$102,"created",$F$2:$F$102,"&lt;"&amp;F15)-COUNTIFS($C$2:$C$102,$C15,$H$2:$H$102,"cancelled",$F$2:$F$102,"&lt;"&amp;F15)=0),1,0)</f>
        <v/>
      </c>
    </row>
    <row r="16" hidden="1" ht="14.25" customHeight="1" s="281">
      <c r="A16" s="225" t="inlineStr">
        <is>
          <t>EVT015</t>
        </is>
      </c>
      <c r="B16" s="225" t="inlineStr">
        <is>
          <t>SUB049</t>
        </is>
      </c>
      <c r="C16" s="225" t="inlineStr">
        <is>
          <t>CUST012</t>
        </is>
      </c>
      <c r="D16" s="225" t="inlineStr">
        <is>
          <t>Maritime E-commerce</t>
        </is>
      </c>
      <c r="E16" s="225" t="inlineStr">
        <is>
          <t>Eastern Canada</t>
        </is>
      </c>
      <c r="F16" s="222" t="n">
        <v>45444</v>
      </c>
      <c r="G16" s="223" t="n">
        <v>45453</v>
      </c>
      <c r="H16" s="225" t="inlineStr">
        <is>
          <t>created</t>
        </is>
      </c>
      <c r="M16" s="225" t="inlineStr">
        <is>
          <t>Analytics Starter</t>
        </is>
      </c>
      <c r="N16" s="225" t="inlineStr">
        <is>
          <t>Monthly</t>
        </is>
      </c>
      <c r="O16" s="225" t="n">
        <v>19</v>
      </c>
      <c r="P16" s="225" t="n">
        <v>45</v>
      </c>
      <c r="Q16" s="225" t="n">
        <v>0</v>
      </c>
      <c r="R16" s="225">
        <f t="array" ref="R16">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
      </c>
      <c r="S16" s="224">
        <f t="array" ref="S16">IF(N16="Monthly",IFS(H16="created",O16*P16*(1-Q16/100),H16="cancelled",-(O16*P16*(1-Q16/100)),H16="seats_change",(J16-I16)*P16*(1-Q16/100),H16="price_change",(J16-I16)*O16*(1-Q16/100),H16="discount_added",-(O16*P16*(J16-I16)/100),H16="plan_upgrade",O16*(XLOOKUP(J16,$M:$M,$P:$P)-XLOOKUP(I16,$M:$M,$P:$P))*(1-Q16/100),H16="plan_downgrade",O16*(XLOOKUP(J16,$M:$M,$P:$P)-XLOOKUP(I16,$M:$M,$P:$P))*(1-Q16/100)),IFS(H16="created",O16*P16*(1-Q16/100)/12,H16="cancelled",-(O16*P16*(1-Q16/100))/12,H16="seats_change",(J16-I16)*P16*(1-Q16/100)/12,H16="price_change",(J16-I16)*O16*(1-Q16/100)/12,H16="plan_upgrade",(O16*(XLOOKUP(J16,$M:$M,$P:$P)-XLOOKUP(I16,$M:$M,$P:$P))*(1-Q16/100))/12,H16="plan_downgrade",(O16*(XLOOKUP(J16,$M:$M,$P:$P)-XLOOKUP(I16,$M:$M,$P:$P))*(1-Q16/100))/12,H16="discount_added",-(O16*P16*(J16-I16)/100)/12))</f>
        <v/>
      </c>
      <c r="T16" s="225">
        <f>IF(H16&lt;&gt;"created",0,IF(COUNTIFS($C$1:C15,$C16,$H$1:H15,"created")=0,1,0))</f>
        <v/>
      </c>
      <c r="U16" s="225">
        <f>IF(H16&lt;&gt;"cancelled",0,IF(COUNTIFS($C$2:$C$102,$C16,$H$2:$H$102,"created",$F$2:$F$102,"&lt;="&amp;F16)-COUNTIFS($C$2:$C$102,$C16,$H$2:$H$102,"cancelled",$F$2:$F$102,"&lt;="&amp;F16)=0,1,0))</f>
        <v/>
      </c>
      <c r="V16" s="225">
        <f>IF(AND(H16="created",T16=0,COUNTIFS($C$2:$C$102,$C16,$H$2:$H$102,"cancelled",$F$2:$F$102,"&lt;"&amp;F16)&gt;0,COUNTIFS($C$2:$C$102,$C16,$H$2:$H$102,"created",$F$2:$F$102,"&lt;"&amp;F16)-COUNTIFS($C$2:$C$102,$C16,$H$2:$H$102,"cancelled",$F$2:$F$102,"&lt;"&amp;F16)=0),1,0)</f>
        <v/>
      </c>
    </row>
    <row r="17" hidden="1" ht="14.25" customHeight="1" s="281">
      <c r="A17" s="225" t="inlineStr">
        <is>
          <t>EVT016</t>
        </is>
      </c>
      <c r="B17" s="225" t="inlineStr">
        <is>
          <t>SUB013</t>
        </is>
      </c>
      <c r="C17" s="225" t="inlineStr">
        <is>
          <t>CUST013</t>
        </is>
      </c>
      <c r="D17" s="225" t="inlineStr">
        <is>
          <t>Alberta Tech Innovators</t>
        </is>
      </c>
      <c r="E17" s="225" t="inlineStr">
        <is>
          <t>Western Canada</t>
        </is>
      </c>
      <c r="F17" s="222" t="n">
        <v>45444</v>
      </c>
      <c r="G17" s="223" t="n">
        <v>45467</v>
      </c>
      <c r="H17" s="225" t="inlineStr">
        <is>
          <t>created</t>
        </is>
      </c>
      <c r="M17" s="225" t="inlineStr">
        <is>
          <t>Analytics Starter</t>
        </is>
      </c>
      <c r="N17" s="225" t="inlineStr">
        <is>
          <t>Monthly</t>
        </is>
      </c>
      <c r="O17" s="225" t="n">
        <v>10</v>
      </c>
      <c r="P17" s="225" t="n">
        <v>45</v>
      </c>
      <c r="Q17" s="225" t="n">
        <v>0</v>
      </c>
      <c r="R17" s="225">
        <f t="array" ref="R17">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
      </c>
      <c r="S17" s="224">
        <f t="array" ref="S17">IF(N17="Monthly",IFS(H17="created",O17*P17*(1-Q17/100),H17="cancelled",-(O17*P17*(1-Q17/100)),H17="seats_change",(J17-I17)*P17*(1-Q17/100),H17="price_change",(J17-I17)*O17*(1-Q17/100),H17="discount_added",-(O17*P17*(J17-I17)/100),H17="plan_upgrade",O17*(XLOOKUP(J17,$M:$M,$P:$P)-XLOOKUP(I17,$M:$M,$P:$P))*(1-Q17/100),H17="plan_downgrade",O17*(XLOOKUP(J17,$M:$M,$P:$P)-XLOOKUP(I17,$M:$M,$P:$P))*(1-Q17/100)),IFS(H17="created",O17*P17*(1-Q17/100)/12,H17="cancelled",-(O17*P17*(1-Q17/100))/12,H17="seats_change",(J17-I17)*P17*(1-Q17/100)/12,H17="price_change",(J17-I17)*O17*(1-Q17/100)/12,H17="plan_upgrade",(O17*(XLOOKUP(J17,$M:$M,$P:$P)-XLOOKUP(I17,$M:$M,$P:$P))*(1-Q17/100))/12,H17="plan_downgrade",(O17*(XLOOKUP(J17,$M:$M,$P:$P)-XLOOKUP(I17,$M:$M,$P:$P))*(1-Q17/100))/12,H17="discount_added",-(O17*P17*(J17-I17)/100)/12))</f>
        <v/>
      </c>
      <c r="T17" s="225">
        <f>IF(H17&lt;&gt;"created",0,IF(COUNTIFS($C$1:C16,$C17,$H$1:H16,"created")=0,1,0))</f>
        <v/>
      </c>
      <c r="U17" s="225">
        <f>IF(H17&lt;&gt;"cancelled",0,IF(COUNTIFS($C$2:$C$102,$C17,$H$2:$H$102,"created",$F$2:$F$102,"&lt;="&amp;F17)-COUNTIFS($C$2:$C$102,$C17,$H$2:$H$102,"cancelled",$F$2:$F$102,"&lt;="&amp;F17)=0,1,0))</f>
        <v/>
      </c>
      <c r="V17" s="225">
        <f>IF(AND(H17="created",T17=0,COUNTIFS($C$2:$C$102,$C17,$H$2:$H$102,"cancelled",$F$2:$F$102,"&lt;"&amp;F17)&gt;0,COUNTIFS($C$2:$C$102,$C17,$H$2:$H$102,"created",$F$2:$F$102,"&lt;"&amp;F17)-COUNTIFS($C$2:$C$102,$C17,$H$2:$H$102,"cancelled",$F$2:$F$102,"&lt;"&amp;F17)=0),1,0)</f>
        <v/>
      </c>
    </row>
    <row r="18" hidden="1" ht="14.25" customHeight="1" s="281">
      <c r="A18" s="225" t="inlineStr">
        <is>
          <t>EVT017</t>
        </is>
      </c>
      <c r="B18" s="225" t="inlineStr">
        <is>
          <t>SUB014</t>
        </is>
      </c>
      <c r="C18" s="225" t="inlineStr">
        <is>
          <t>CUST014</t>
        </is>
      </c>
      <c r="D18" s="225" t="inlineStr">
        <is>
          <t>Toronto Media Group</t>
        </is>
      </c>
      <c r="E18" s="225" t="inlineStr">
        <is>
          <t>Eastern Canada</t>
        </is>
      </c>
      <c r="F18" s="222" t="n">
        <v>45474</v>
      </c>
      <c r="G18" s="223" t="n">
        <v>45481</v>
      </c>
      <c r="H18" s="225" t="inlineStr">
        <is>
          <t>created</t>
        </is>
      </c>
      <c r="M18" s="225" t="inlineStr">
        <is>
          <t>Marketing Pro</t>
        </is>
      </c>
      <c r="N18" s="225" t="inlineStr">
        <is>
          <t>Monthly</t>
        </is>
      </c>
      <c r="O18" s="225" t="n">
        <v>28</v>
      </c>
      <c r="P18" s="225" t="n">
        <v>85</v>
      </c>
      <c r="Q18" s="225" t="n">
        <v>0</v>
      </c>
      <c r="R18" s="225">
        <f t="array" ref="R18">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
      </c>
      <c r="S18" s="224">
        <f t="array" ref="S18">IF(N18="Monthly",IFS(H18="created",O18*P18*(1-Q18/100),H18="cancelled",-(O18*P18*(1-Q18/100)),H18="seats_change",(J18-I18)*P18*(1-Q18/100),H18="price_change",(J18-I18)*O18*(1-Q18/100),H18="discount_added",-(O18*P18*(J18-I18)/100),H18="plan_upgrade",O18*(XLOOKUP(J18,$M:$M,$P:$P)-XLOOKUP(I18,$M:$M,$P:$P))*(1-Q18/100),H18="plan_downgrade",O18*(XLOOKUP(J18,$M:$M,$P:$P)-XLOOKUP(I18,$M:$M,$P:$P))*(1-Q18/100)),IFS(H18="created",O18*P18*(1-Q18/100)/12,H18="cancelled",-(O18*P18*(1-Q18/100))/12,H18="seats_change",(J18-I18)*P18*(1-Q18/100)/12,H18="price_change",(J18-I18)*O18*(1-Q18/100)/12,H18="plan_upgrade",(O18*(XLOOKUP(J18,$M:$M,$P:$P)-XLOOKUP(I18,$M:$M,$P:$P))*(1-Q18/100))/12,H18="plan_downgrade",(O18*(XLOOKUP(J18,$M:$M,$P:$P)-XLOOKUP(I18,$M:$M,$P:$P))*(1-Q18/100))/12,H18="discount_added",-(O18*P18*(J18-I18)/100)/12))</f>
        <v/>
      </c>
      <c r="T18" s="225">
        <f>IF(H18&lt;&gt;"created",0,IF(COUNTIFS($C$1:C17,$C18,$H$1:H17,"created")=0,1,0))</f>
        <v/>
      </c>
      <c r="U18" s="225">
        <f>IF(H18&lt;&gt;"cancelled",0,IF(COUNTIFS($C$2:$C$102,$C18,$H$2:$H$102,"created",$F$2:$F$102,"&lt;="&amp;F18)-COUNTIFS($C$2:$C$102,$C18,$H$2:$H$102,"cancelled",$F$2:$F$102,"&lt;="&amp;F18)=0,1,0))</f>
        <v/>
      </c>
      <c r="V18" s="225">
        <f>IF(AND(H18="created",T18=0,COUNTIFS($C$2:$C$102,$C18,$H$2:$H$102,"cancelled",$F$2:$F$102,"&lt;"&amp;F18)&gt;0,COUNTIFS($C$2:$C$102,$C18,$H$2:$H$102,"created",$F$2:$F$102,"&lt;"&amp;F18)-COUNTIFS($C$2:$C$102,$C18,$H$2:$H$102,"cancelled",$F$2:$F$102,"&lt;"&amp;F18)=0),1,0)</f>
        <v/>
      </c>
    </row>
    <row r="19" hidden="1" ht="14.25" customHeight="1" s="281">
      <c r="A19" s="225" t="inlineStr">
        <is>
          <t>EVT018</t>
        </is>
      </c>
      <c r="B19" s="225" t="inlineStr">
        <is>
          <t>SUB041</t>
        </is>
      </c>
      <c r="C19" s="225" t="inlineStr">
        <is>
          <t>CUST001</t>
        </is>
      </c>
      <c r="D19" s="225" t="inlineStr">
        <is>
          <t>TechVision Solutions</t>
        </is>
      </c>
      <c r="E19" s="225" t="inlineStr">
        <is>
          <t>Eastern Canada</t>
        </is>
      </c>
      <c r="F19" s="222" t="n">
        <v>45474</v>
      </c>
      <c r="G19" s="223" t="n">
        <v>45488</v>
      </c>
      <c r="H19" s="225" t="inlineStr">
        <is>
          <t>created</t>
        </is>
      </c>
      <c r="M19" s="225" t="inlineStr">
        <is>
          <t>Sales Hub</t>
        </is>
      </c>
      <c r="N19" s="225" t="inlineStr">
        <is>
          <t>Monthly</t>
        </is>
      </c>
      <c r="O19" s="225" t="n">
        <v>16</v>
      </c>
      <c r="P19" s="225" t="n">
        <v>110</v>
      </c>
      <c r="Q19" s="225" t="n">
        <v>0</v>
      </c>
      <c r="R19" s="225">
        <f t="array" ref="R19">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
      </c>
      <c r="S19" s="224">
        <f t="array" ref="S19">IF(N19="Monthly",IFS(H19="created",O19*P19*(1-Q19/100),H19="cancelled",-(O19*P19*(1-Q19/100)),H19="seats_change",(J19-I19)*P19*(1-Q19/100),H19="price_change",(J19-I19)*O19*(1-Q19/100),H19="discount_added",-(O19*P19*(J19-I19)/100),H19="plan_upgrade",O19*(XLOOKUP(J19,$M:$M,$P:$P)-XLOOKUP(I19,$M:$M,$P:$P))*(1-Q19/100),H19="plan_downgrade",O19*(XLOOKUP(J19,$M:$M,$P:$P)-XLOOKUP(I19,$M:$M,$P:$P))*(1-Q19/100)),IFS(H19="created",O19*P19*(1-Q19/100)/12,H19="cancelled",-(O19*P19*(1-Q19/100))/12,H19="seats_change",(J19-I19)*P19*(1-Q19/100)/12,H19="price_change",(J19-I19)*O19*(1-Q19/100)/12,H19="plan_upgrade",(O19*(XLOOKUP(J19,$M:$M,$P:$P)-XLOOKUP(I19,$M:$M,$P:$P))*(1-Q19/100))/12,H19="plan_downgrade",(O19*(XLOOKUP(J19,$M:$M,$P:$P)-XLOOKUP(I19,$M:$M,$P:$P))*(1-Q19/100))/12,H19="discount_added",-(O19*P19*(J19-I19)/100)/12))</f>
        <v/>
      </c>
      <c r="T19" s="225">
        <f>IF(H19&lt;&gt;"created",0,IF(COUNTIFS($C$1:C18,$C19,$H$1:H18,"created")=0,1,0))</f>
        <v/>
      </c>
      <c r="U19" s="225">
        <f>IF(H19&lt;&gt;"cancelled",0,IF(COUNTIFS($C$2:$C$102,$C19,$H$2:$H$102,"created",$F$2:$F$102,"&lt;="&amp;F19)-COUNTIFS($C$2:$C$102,$C19,$H$2:$H$102,"cancelled",$F$2:$F$102,"&lt;="&amp;F19)=0,1,0))</f>
        <v/>
      </c>
      <c r="V19" s="225">
        <f>IF(AND(H19="created",T19=0,COUNTIFS($C$2:$C$102,$C19,$H$2:$H$102,"cancelled",$F$2:$F$102,"&lt;"&amp;F19)&gt;0,COUNTIFS($C$2:$C$102,$C19,$H$2:$H$102,"created",$F$2:$F$102,"&lt;"&amp;F19)-COUNTIFS($C$2:$C$102,$C19,$H$2:$H$102,"cancelled",$F$2:$F$102,"&lt;"&amp;F19)=0),1,0)</f>
        <v/>
      </c>
    </row>
    <row r="20" hidden="1" ht="14.25" customHeight="1" s="281">
      <c r="A20" s="225" t="inlineStr">
        <is>
          <t>EVT019</t>
        </is>
      </c>
      <c r="B20" s="225" t="inlineStr">
        <is>
          <t>SUB015</t>
        </is>
      </c>
      <c r="C20" s="225" t="inlineStr">
        <is>
          <t>CUST015</t>
        </is>
      </c>
      <c r="D20" s="225" t="inlineStr">
        <is>
          <t>BC Retail Networks</t>
        </is>
      </c>
      <c r="E20" s="225" t="inlineStr">
        <is>
          <t>Western Canada</t>
        </is>
      </c>
      <c r="F20" s="222" t="n">
        <v>45474</v>
      </c>
      <c r="G20" s="223" t="n">
        <v>45495</v>
      </c>
      <c r="H20" s="225" t="inlineStr">
        <is>
          <t>created</t>
        </is>
      </c>
      <c r="M20" s="225" t="inlineStr">
        <is>
          <t>Analytics Growth</t>
        </is>
      </c>
      <c r="N20" s="225" t="inlineStr">
        <is>
          <t>Monthly</t>
        </is>
      </c>
      <c r="O20" s="225" t="n">
        <v>19</v>
      </c>
      <c r="P20" s="225" t="n">
        <v>95</v>
      </c>
      <c r="Q20" s="225" t="n">
        <v>10</v>
      </c>
      <c r="R20" s="225">
        <f t="array" ref="R20">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
      </c>
      <c r="S20" s="224">
        <f t="array" ref="S20">IF(N20="Monthly",IFS(H20="created",O20*P20*(1-Q20/100),H20="cancelled",-(O20*P20*(1-Q20/100)),H20="seats_change",(J20-I20)*P20*(1-Q20/100),H20="price_change",(J20-I20)*O20*(1-Q20/100),H20="discount_added",-(O20*P20*(J20-I20)/100),H20="plan_upgrade",O20*(XLOOKUP(J20,$M:$M,$P:$P)-XLOOKUP(I20,$M:$M,$P:$P))*(1-Q20/100),H20="plan_downgrade",O20*(XLOOKUP(J20,$M:$M,$P:$P)-XLOOKUP(I20,$M:$M,$P:$P))*(1-Q20/100)),IFS(H20="created",O20*P20*(1-Q20/100)/12,H20="cancelled",-(O20*P20*(1-Q20/100))/12,H20="seats_change",(J20-I20)*P20*(1-Q20/100)/12,H20="price_change",(J20-I20)*O20*(1-Q20/100)/12,H20="plan_upgrade",(O20*(XLOOKUP(J20,$M:$M,$P:$P)-XLOOKUP(I20,$M:$M,$P:$P))*(1-Q20/100))/12,H20="plan_downgrade",(O20*(XLOOKUP(J20,$M:$M,$P:$P)-XLOOKUP(I20,$M:$M,$P:$P))*(1-Q20/100))/12,H20="discount_added",-(O20*P20*(J20-I20)/100)/12))</f>
        <v/>
      </c>
      <c r="T20" s="225">
        <f>IF(H20&lt;&gt;"created",0,IF(COUNTIFS($C$1:C19,$C20,$H$1:H19,"created")=0,1,0))</f>
        <v/>
      </c>
      <c r="U20" s="225">
        <f>IF(H20&lt;&gt;"cancelled",0,IF(COUNTIFS($C$2:$C$102,$C20,$H$2:$H$102,"created",$F$2:$F$102,"&lt;="&amp;F20)-COUNTIFS($C$2:$C$102,$C20,$H$2:$H$102,"cancelled",$F$2:$F$102,"&lt;="&amp;F20)=0,1,0))</f>
        <v/>
      </c>
      <c r="V20" s="225">
        <f>IF(AND(H20="created",T20=0,COUNTIFS($C$2:$C$102,$C20,$H$2:$H$102,"cancelled",$F$2:$F$102,"&lt;"&amp;F20)&gt;0,COUNTIFS($C$2:$C$102,$C20,$H$2:$H$102,"created",$F$2:$F$102,"&lt;"&amp;F20)-COUNTIFS($C$2:$C$102,$C20,$H$2:$H$102,"cancelled",$F$2:$F$102,"&lt;"&amp;F20)=0),1,0)</f>
        <v/>
      </c>
    </row>
    <row r="21" hidden="1" ht="14.25" customHeight="1" s="281">
      <c r="A21" s="225" t="inlineStr">
        <is>
          <t>EVT020</t>
        </is>
      </c>
      <c r="B21" s="225" t="inlineStr">
        <is>
          <t>SUB046</t>
        </is>
      </c>
      <c r="C21" s="225" t="inlineStr">
        <is>
          <t>CUST015</t>
        </is>
      </c>
      <c r="D21" s="225" t="inlineStr">
        <is>
          <t>BC Retail Networks</t>
        </is>
      </c>
      <c r="E21" s="225" t="inlineStr">
        <is>
          <t>Western Canada</t>
        </is>
      </c>
      <c r="F21" s="222" t="n">
        <v>45474</v>
      </c>
      <c r="G21" s="223" t="n">
        <v>45495</v>
      </c>
      <c r="H21" s="225" t="inlineStr">
        <is>
          <t>created</t>
        </is>
      </c>
      <c r="M21" s="225" t="inlineStr">
        <is>
          <t>Analytics Enterprise</t>
        </is>
      </c>
      <c r="N21" s="225" t="inlineStr">
        <is>
          <t>Monthly</t>
        </is>
      </c>
      <c r="O21" s="225" t="n">
        <v>20</v>
      </c>
      <c r="P21" s="225" t="n">
        <v>180</v>
      </c>
      <c r="Q21" s="225" t="n">
        <v>0</v>
      </c>
      <c r="R21" s="225">
        <f t="array" ref="R21">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
      </c>
      <c r="S21" s="224">
        <f t="array" ref="S21">IF(N21="Monthly",IFS(H21="created",O21*P21*(1-Q21/100),H21="cancelled",-(O21*P21*(1-Q21/100)),H21="seats_change",(J21-I21)*P21*(1-Q21/100),H21="price_change",(J21-I21)*O21*(1-Q21/100),H21="discount_added",-(O21*P21*(J21-I21)/100),H21="plan_upgrade",O21*(XLOOKUP(J21,$M:$M,$P:$P)-XLOOKUP(I21,$M:$M,$P:$P))*(1-Q21/100),H21="plan_downgrade",O21*(XLOOKUP(J21,$M:$M,$P:$P)-XLOOKUP(I21,$M:$M,$P:$P))*(1-Q21/100)),IFS(H21="created",O21*P21*(1-Q21/100)/12,H21="cancelled",-(O21*P21*(1-Q21/100))/12,H21="seats_change",(J21-I21)*P21*(1-Q21/100)/12,H21="price_change",(J21-I21)*O21*(1-Q21/100)/12,H21="plan_upgrade",(O21*(XLOOKUP(J21,$M:$M,$P:$P)-XLOOKUP(I21,$M:$M,$P:$P))*(1-Q21/100))/12,H21="plan_downgrade",(O21*(XLOOKUP(J21,$M:$M,$P:$P)-XLOOKUP(I21,$M:$M,$P:$P))*(1-Q21/100))/12,H21="discount_added",-(O21*P21*(J21-I21)/100)/12))</f>
        <v/>
      </c>
      <c r="T21" s="225">
        <f>IF(H21&lt;&gt;"created",0,IF(COUNTIFS($C$1:C20,$C21,$H$1:H20,"created")=0,1,0))</f>
        <v/>
      </c>
      <c r="U21" s="225">
        <f>IF(H21&lt;&gt;"cancelled",0,IF(COUNTIFS($C$2:$C$102,$C21,$H$2:$H$102,"created",$F$2:$F$102,"&lt;="&amp;F21)-COUNTIFS($C$2:$C$102,$C21,$H$2:$H$102,"cancelled",$F$2:$F$102,"&lt;="&amp;F21)=0,1,0))</f>
        <v/>
      </c>
      <c r="V21" s="225">
        <f>IF(AND(H21="created",T21=0,COUNTIFS($C$2:$C$102,$C21,$H$2:$H$102,"cancelled",$F$2:$F$102,"&lt;"&amp;F21)&gt;0,COUNTIFS($C$2:$C$102,$C21,$H$2:$H$102,"created",$F$2:$F$102,"&lt;"&amp;F21)-COUNTIFS($C$2:$C$102,$C21,$H$2:$H$102,"cancelled",$F$2:$F$102,"&lt;"&amp;F21)=0),1,0)</f>
        <v/>
      </c>
    </row>
    <row r="22" ht="14.25" customHeight="1" s="281">
      <c r="A22" s="225" t="inlineStr">
        <is>
          <t>EVT021</t>
        </is>
      </c>
      <c r="B22" s="225" t="inlineStr">
        <is>
          <t>SUB016</t>
        </is>
      </c>
      <c r="C22" s="225" t="inlineStr">
        <is>
          <t>CUST016</t>
        </is>
      </c>
      <c r="D22" s="225" t="inlineStr">
        <is>
          <t>Quebec Manufacturing</t>
        </is>
      </c>
      <c r="E22" s="225" t="inlineStr">
        <is>
          <t>Eastern Canada</t>
        </is>
      </c>
      <c r="F22" s="222" t="n">
        <v>45505</v>
      </c>
      <c r="G22" s="223" t="n">
        <v>45509</v>
      </c>
      <c r="H22" s="225" t="inlineStr">
        <is>
          <t>created</t>
        </is>
      </c>
      <c r="M22" s="225" t="inlineStr">
        <is>
          <t>Platform Suite</t>
        </is>
      </c>
      <c r="N22" s="225" t="inlineStr">
        <is>
          <t>Annual</t>
        </is>
      </c>
      <c r="O22" s="225" t="n">
        <v>42</v>
      </c>
      <c r="P22" s="225" t="n">
        <v>1800</v>
      </c>
      <c r="Q22" s="225" t="n">
        <v>0</v>
      </c>
      <c r="R22" s="225">
        <f t="array" ref="R22">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
      </c>
      <c r="S22" s="224">
        <f t="array" ref="S22">IF(N22="Monthly",IFS(H22="created",O22*P22*(1-Q22/100),H22="cancelled",-(O22*P22*(1-Q22/100)),H22="seats_change",(J22-I22)*P22*(1-Q22/100),H22="price_change",(J22-I22)*O22*(1-Q22/100),H22="discount_added",-(O22*P22*(J22-I22)/100),H22="plan_upgrade",O22*(XLOOKUP(J22,$M:$M,$P:$P)-XLOOKUP(I22,$M:$M,$P:$P))*(1-Q22/100),H22="plan_downgrade",O22*(XLOOKUP(J22,$M:$M,$P:$P)-XLOOKUP(I22,$M:$M,$P:$P))*(1-Q22/100)),IFS(H22="created",O22*P22*(1-Q22/100)/12,H22="cancelled",-(O22*P22*(1-Q22/100))/12,H22="seats_change",(J22-I22)*P22*(1-Q22/100)/12,H22="price_change",(J22-I22)*O22*(1-Q22/100)/12,H22="plan_upgrade",(O22*(XLOOKUP(J22,$M:$M,$P:$P)-XLOOKUP(I22,$M:$M,$P:$P))*(1-Q22/100))/12,H22="plan_downgrade",(O22*(XLOOKUP(J22,$M:$M,$P:$P)-XLOOKUP(I22,$M:$M,$P:$P))*(1-Q22/100))/12,H22="discount_added",-(O22*P22*(J22-I22)/100)/12))</f>
        <v/>
      </c>
      <c r="T22" s="225">
        <f>IF(H22&lt;&gt;"created",0,IF(COUNTIFS($C$1:C21,$C22,$H$1:H21,"created")=0,1,0))</f>
        <v/>
      </c>
      <c r="U22" s="225">
        <f>IF(H22&lt;&gt;"cancelled",0,IF(COUNTIFS($C$2:$C$102,$C22,$H$2:$H$102,"created",$F$2:$F$102,"&lt;="&amp;F22)-COUNTIFS($C$2:$C$102,$C22,$H$2:$H$102,"cancelled",$F$2:$F$102,"&lt;="&amp;F22)=0,1,0))</f>
        <v/>
      </c>
      <c r="V22" s="225">
        <f>IF(AND(H22="created",T22=0,COUNTIFS($C$2:$C$102,$C22,$H$2:$H$102,"cancelled",$F$2:$F$102,"&lt;"&amp;F22)&gt;0,COUNTIFS($C$2:$C$102,$C22,$H$2:$H$102,"created",$F$2:$F$102,"&lt;"&amp;F22)-COUNTIFS($C$2:$C$102,$C22,$H$2:$H$102,"cancelled",$F$2:$F$102,"&lt;"&amp;F22)=0),1,0)</f>
        <v/>
      </c>
    </row>
    <row r="23" hidden="1" ht="14.25" customHeight="1" s="281">
      <c r="A23" s="225" t="inlineStr">
        <is>
          <t>EVT022</t>
        </is>
      </c>
      <c r="B23" s="225" t="inlineStr">
        <is>
          <t>SUB017</t>
        </is>
      </c>
      <c r="C23" s="225" t="inlineStr">
        <is>
          <t>CUST017</t>
        </is>
      </c>
      <c r="D23" s="225" t="inlineStr">
        <is>
          <t>Capital Education Tech</t>
        </is>
      </c>
      <c r="E23" s="225" t="inlineStr">
        <is>
          <t>Eastern Canada</t>
        </is>
      </c>
      <c r="F23" s="222" t="n">
        <v>45505</v>
      </c>
      <c r="G23" s="223" t="n">
        <v>45523</v>
      </c>
      <c r="H23" s="225" t="inlineStr">
        <is>
          <t>created</t>
        </is>
      </c>
      <c r="M23" s="225" t="inlineStr">
        <is>
          <t>Analytics Starter</t>
        </is>
      </c>
      <c r="N23" s="225" t="inlineStr">
        <is>
          <t>Monthly</t>
        </is>
      </c>
      <c r="O23" s="225" t="n">
        <v>12</v>
      </c>
      <c r="P23" s="225" t="n">
        <v>45</v>
      </c>
      <c r="Q23" s="225" t="n">
        <v>0</v>
      </c>
      <c r="R23" s="225">
        <f t="array" ref="R23">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
      </c>
      <c r="S23" s="224">
        <f t="array" ref="S23">IF(N23="Monthly",IFS(H23="created",O23*P23*(1-Q23/100),H23="cancelled",-(O23*P23*(1-Q23/100)),H23="seats_change",(J23-I23)*P23*(1-Q23/100),H23="price_change",(J23-I23)*O23*(1-Q23/100),H23="discount_added",-(O23*P23*(J23-I23)/100),H23="plan_upgrade",O23*(XLOOKUP(J23,$M:$M,$P:$P)-XLOOKUP(I23,$M:$M,$P:$P))*(1-Q23/100),H23="plan_downgrade",O23*(XLOOKUP(J23,$M:$M,$P:$P)-XLOOKUP(I23,$M:$M,$P:$P))*(1-Q23/100)),IFS(H23="created",O23*P23*(1-Q23/100)/12,H23="cancelled",-(O23*P23*(1-Q23/100))/12,H23="seats_change",(J23-I23)*P23*(1-Q23/100)/12,H23="price_change",(J23-I23)*O23*(1-Q23/100)/12,H23="plan_upgrade",(O23*(XLOOKUP(J23,$M:$M,$P:$P)-XLOOKUP(I23,$M:$M,$P:$P))*(1-Q23/100))/12,H23="plan_downgrade",(O23*(XLOOKUP(J23,$M:$M,$P:$P)-XLOOKUP(I23,$M:$M,$P:$P))*(1-Q23/100))/12,H23="discount_added",-(O23*P23*(J23-I23)/100)/12))</f>
        <v/>
      </c>
      <c r="T23" s="225">
        <f>IF(H23&lt;&gt;"created",0,IF(COUNTIFS($C$1:C22,$C23,$H$1:H22,"created")=0,1,0))</f>
        <v/>
      </c>
      <c r="U23" s="225">
        <f>IF(H23&lt;&gt;"cancelled",0,IF(COUNTIFS($C$2:$C$102,$C23,$H$2:$H$102,"created",$F$2:$F$102,"&lt;="&amp;F23)-COUNTIFS($C$2:$C$102,$C23,$H$2:$H$102,"cancelled",$F$2:$F$102,"&lt;="&amp;F23)=0,1,0))</f>
        <v/>
      </c>
      <c r="V23" s="225">
        <f>IF(AND(H23="created",T23=0,COUNTIFS($C$2:$C$102,$C23,$H$2:$H$102,"cancelled",$F$2:$F$102,"&lt;"&amp;F23)&gt;0,COUNTIFS($C$2:$C$102,$C23,$H$2:$H$102,"created",$F$2:$F$102,"&lt;"&amp;F23)-COUNTIFS($C$2:$C$102,$C23,$H$2:$H$102,"cancelled",$F$2:$F$102,"&lt;"&amp;F23)=0),1,0)</f>
        <v/>
      </c>
    </row>
    <row r="24" hidden="1" ht="14.25" customHeight="1" s="281">
      <c r="A24" s="225" t="inlineStr">
        <is>
          <t>EVT023</t>
        </is>
      </c>
      <c r="B24" s="225" t="inlineStr">
        <is>
          <t>SUB001</t>
        </is>
      </c>
      <c r="C24" s="225" t="inlineStr">
        <is>
          <t>CUST001</t>
        </is>
      </c>
      <c r="D24" s="225" t="inlineStr">
        <is>
          <t>TechVision Solutions</t>
        </is>
      </c>
      <c r="E24" s="225" t="inlineStr">
        <is>
          <t>Eastern Canada</t>
        </is>
      </c>
      <c r="F24" s="222" t="n">
        <v>45505</v>
      </c>
      <c r="G24" s="223" t="n">
        <v>45531</v>
      </c>
      <c r="H24" s="225" t="inlineStr">
        <is>
          <t>cancelled</t>
        </is>
      </c>
      <c r="I24" s="225" t="inlineStr">
        <is>
          <t>active</t>
        </is>
      </c>
      <c r="J24" s="225" t="inlineStr">
        <is>
          <t>churned</t>
        </is>
      </c>
      <c r="K24" s="225" t="inlineStr">
        <is>
          <t>status</t>
        </is>
      </c>
      <c r="L24" s="225" t="inlineStr">
        <is>
          <t>Missing features</t>
        </is>
      </c>
      <c r="M24" s="225" t="inlineStr">
        <is>
          <t>Analytics Growth</t>
        </is>
      </c>
      <c r="N24" s="225" t="inlineStr">
        <is>
          <t>Monthly</t>
        </is>
      </c>
      <c r="O24" s="225" t="n">
        <v>20</v>
      </c>
      <c r="P24" s="225" t="n">
        <v>95</v>
      </c>
      <c r="Q24" s="225" t="n">
        <v>0</v>
      </c>
      <c r="R24" s="225">
        <f t="array" ref="R24">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
      </c>
      <c r="S24" s="224">
        <f t="array" ref="S24">IF(N24="Monthly",IFS(H24="created",O24*P24*(1-Q24/100),H24="cancelled",-(O24*P24*(1-Q24/100)),H24="seats_change",(J24-I24)*P24*(1-Q24/100),H24="price_change",(J24-I24)*O24*(1-Q24/100),H24="discount_added",-(O24*P24*(J24-I24)/100),H24="plan_upgrade",O24*(XLOOKUP(J24,$M:$M,$P:$P)-XLOOKUP(I24,$M:$M,$P:$P))*(1-Q24/100),H24="plan_downgrade",O24*(XLOOKUP(J24,$M:$M,$P:$P)-XLOOKUP(I24,$M:$M,$P:$P))*(1-Q24/100)),IFS(H24="created",O24*P24*(1-Q24/100)/12,H24="cancelled",-(O24*P24*(1-Q24/100))/12,H24="seats_change",(J24-I24)*P24*(1-Q24/100)/12,H24="price_change",(J24-I24)*O24*(1-Q24/100)/12,H24="plan_upgrade",(O24*(XLOOKUP(J24,$M:$M,$P:$P)-XLOOKUP(I24,$M:$M,$P:$P))*(1-Q24/100))/12,H24="plan_downgrade",(O24*(XLOOKUP(J24,$M:$M,$P:$P)-XLOOKUP(I24,$M:$M,$P:$P))*(1-Q24/100))/12,H24="discount_added",-(O24*P24*(J24-I24)/100)/12))</f>
        <v/>
      </c>
      <c r="T24" s="225">
        <f>IF(H24&lt;&gt;"created",0,IF(COUNTIFS($C$1:C23,$C24,$H$1:H23,"created")=0,1,0))</f>
        <v/>
      </c>
      <c r="U24" s="225">
        <f>IF(H24&lt;&gt;"cancelled",0,IF(COUNTIFS($C$2:$C$102,$C24,$H$2:$H$102,"created",$F$2:$F$102,"&lt;="&amp;F24)-COUNTIFS($C$2:$C$102,$C24,$H$2:$H$102,"cancelled",$F$2:$F$102,"&lt;="&amp;F24)=0,1,0))</f>
        <v/>
      </c>
      <c r="V24" s="225">
        <f>IF(AND(H24="created",T24=0,COUNTIFS($C$2:$C$102,$C24,$H$2:$H$102,"cancelled",$F$2:$F$102,"&lt;"&amp;F24)&gt;0,COUNTIFS($C$2:$C$102,$C24,$H$2:$H$102,"created",$F$2:$F$102,"&lt;"&amp;F24)-COUNTIFS($C$2:$C$102,$C24,$H$2:$H$102,"cancelled",$F$2:$F$102,"&lt;"&amp;F24)=0),1,0)</f>
        <v/>
      </c>
    </row>
    <row r="25" hidden="1" ht="14.25" customHeight="1" s="281">
      <c r="A25" s="225" t="inlineStr">
        <is>
          <t>EVT024</t>
        </is>
      </c>
      <c r="B25" s="225" t="inlineStr">
        <is>
          <t>SUB018</t>
        </is>
      </c>
      <c r="C25" s="225" t="inlineStr">
        <is>
          <t>CUST018</t>
        </is>
      </c>
      <c r="D25" s="225" t="inlineStr">
        <is>
          <t>Vancouver FinTech Labs</t>
        </is>
      </c>
      <c r="E25" s="225" t="inlineStr">
        <is>
          <t>Western Canada</t>
        </is>
      </c>
      <c r="F25" s="222" t="n">
        <v>45536</v>
      </c>
      <c r="G25" s="223" t="n">
        <v>45537</v>
      </c>
      <c r="H25" s="225" t="inlineStr">
        <is>
          <t>created</t>
        </is>
      </c>
      <c r="M25" s="225" t="inlineStr">
        <is>
          <t>Analytics Enterprise</t>
        </is>
      </c>
      <c r="N25" s="225" t="inlineStr">
        <is>
          <t>Monthly</t>
        </is>
      </c>
      <c r="O25" s="225" t="n">
        <v>35</v>
      </c>
      <c r="P25" s="225" t="n">
        <v>180</v>
      </c>
      <c r="Q25" s="225" t="n">
        <v>0</v>
      </c>
      <c r="R25" s="225">
        <f t="array" ref="R25">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
      </c>
      <c r="S25" s="224">
        <f t="array" ref="S25">IF(N25="Monthly",IFS(H25="created",O25*P25*(1-Q25/100),H25="cancelled",-(O25*P25*(1-Q25/100)),H25="seats_change",(J25-I25)*P25*(1-Q25/100),H25="price_change",(J25-I25)*O25*(1-Q25/100),H25="discount_added",-(O25*P25*(J25-I25)/100),H25="plan_upgrade",O25*(XLOOKUP(J25,$M:$M,$P:$P)-XLOOKUP(I25,$M:$M,$P:$P))*(1-Q25/100),H25="plan_downgrade",O25*(XLOOKUP(J25,$M:$M,$P:$P)-XLOOKUP(I25,$M:$M,$P:$P))*(1-Q25/100)),IFS(H25="created",O25*P25*(1-Q25/100)/12,H25="cancelled",-(O25*P25*(1-Q25/100))/12,H25="seats_change",(J25-I25)*P25*(1-Q25/100)/12,H25="price_change",(J25-I25)*O25*(1-Q25/100)/12,H25="plan_upgrade",(O25*(XLOOKUP(J25,$M:$M,$P:$P)-XLOOKUP(I25,$M:$M,$P:$P))*(1-Q25/100))/12,H25="plan_downgrade",(O25*(XLOOKUP(J25,$M:$M,$P:$P)-XLOOKUP(I25,$M:$M,$P:$P))*(1-Q25/100))/12,H25="discount_added",-(O25*P25*(J25-I25)/100)/12))</f>
        <v/>
      </c>
      <c r="T25" s="225">
        <f>IF(H25&lt;&gt;"created",0,IF(COUNTIFS($C$1:C24,$C25,$H$1:H24,"created")=0,1,0))</f>
        <v/>
      </c>
      <c r="U25" s="225">
        <f>IF(H25&lt;&gt;"cancelled",0,IF(COUNTIFS($C$2:$C$102,$C25,$H$2:$H$102,"created",$F$2:$F$102,"&lt;="&amp;F25)-COUNTIFS($C$2:$C$102,$C25,$H$2:$H$102,"cancelled",$F$2:$F$102,"&lt;="&amp;F25)=0,1,0))</f>
        <v/>
      </c>
      <c r="V25" s="225">
        <f>IF(AND(H25="created",T25=0,COUNTIFS($C$2:$C$102,$C25,$H$2:$H$102,"cancelled",$F$2:$F$102,"&lt;"&amp;F25)&gt;0,COUNTIFS($C$2:$C$102,$C25,$H$2:$H$102,"created",$F$2:$F$102,"&lt;"&amp;F25)-COUNTIFS($C$2:$C$102,$C25,$H$2:$H$102,"cancelled",$F$2:$F$102,"&lt;"&amp;F25)=0),1,0)</f>
        <v/>
      </c>
    </row>
    <row r="26" hidden="1" ht="14.25" customHeight="1" s="281">
      <c r="A26" s="225" t="inlineStr">
        <is>
          <t>EVT025</t>
        </is>
      </c>
      <c r="B26" s="225" t="inlineStr">
        <is>
          <t>SUB042</t>
        </is>
      </c>
      <c r="C26" s="225" t="inlineStr">
        <is>
          <t>CUST003</t>
        </is>
      </c>
      <c r="D26" s="225" t="inlineStr">
        <is>
          <t>Maple Healthcare Systems</t>
        </is>
      </c>
      <c r="E26" s="225" t="inlineStr">
        <is>
          <t>Eastern Canada</t>
        </is>
      </c>
      <c r="F26" s="222" t="n">
        <v>45536</v>
      </c>
      <c r="G26" s="223" t="n">
        <v>45545</v>
      </c>
      <c r="H26" s="225" t="inlineStr">
        <is>
          <t>created</t>
        </is>
      </c>
      <c r="M26" s="225" t="inlineStr">
        <is>
          <t>Sales Hub</t>
        </is>
      </c>
      <c r="N26" s="225" t="inlineStr">
        <is>
          <t>Monthly</t>
        </is>
      </c>
      <c r="O26" s="225" t="n">
        <v>19</v>
      </c>
      <c r="P26" s="225" t="n">
        <v>110</v>
      </c>
      <c r="Q26" s="225" t="n">
        <v>0</v>
      </c>
      <c r="R26" s="225">
        <f t="array" ref="R26">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
      </c>
      <c r="S26" s="224">
        <f t="array" ref="S26">IF(N26="Monthly",IFS(H26="created",O26*P26*(1-Q26/100),H26="cancelled",-(O26*P26*(1-Q26/100)),H26="seats_change",(J26-I26)*P26*(1-Q26/100),H26="price_change",(J26-I26)*O26*(1-Q26/100),H26="discount_added",-(O26*P26*(J26-I26)/100),H26="plan_upgrade",O26*(XLOOKUP(J26,$M:$M,$P:$P)-XLOOKUP(I26,$M:$M,$P:$P))*(1-Q26/100),H26="plan_downgrade",O26*(XLOOKUP(J26,$M:$M,$P:$P)-XLOOKUP(I26,$M:$M,$P:$P))*(1-Q26/100)),IFS(H26="created",O26*P26*(1-Q26/100)/12,H26="cancelled",-(O26*P26*(1-Q26/100))/12,H26="seats_change",(J26-I26)*P26*(1-Q26/100)/12,H26="price_change",(J26-I26)*O26*(1-Q26/100)/12,H26="plan_upgrade",(O26*(XLOOKUP(J26,$M:$M,$P:$P)-XLOOKUP(I26,$M:$M,$P:$P))*(1-Q26/100))/12,H26="plan_downgrade",(O26*(XLOOKUP(J26,$M:$M,$P:$P)-XLOOKUP(I26,$M:$M,$P:$P))*(1-Q26/100))/12,H26="discount_added",-(O26*P26*(J26-I26)/100)/12))</f>
        <v/>
      </c>
      <c r="T26" s="225">
        <f>IF(H26&lt;&gt;"created",0,IF(COUNTIFS($C$1:C25,$C26,$H$1:H25,"created")=0,1,0))</f>
        <v/>
      </c>
      <c r="U26" s="225">
        <f>IF(H26&lt;&gt;"cancelled",0,IF(COUNTIFS($C$2:$C$102,$C26,$H$2:$H$102,"created",$F$2:$F$102,"&lt;="&amp;F26)-COUNTIFS($C$2:$C$102,$C26,$H$2:$H$102,"cancelled",$F$2:$F$102,"&lt;="&amp;F26)=0,1,0))</f>
        <v/>
      </c>
      <c r="V26" s="225">
        <f>IF(AND(H26="created",T26=0,COUNTIFS($C$2:$C$102,$C26,$H$2:$H$102,"cancelled",$F$2:$F$102,"&lt;"&amp;F26)&gt;0,COUNTIFS($C$2:$C$102,$C26,$H$2:$H$102,"created",$F$2:$F$102,"&lt;"&amp;F26)-COUNTIFS($C$2:$C$102,$C26,$H$2:$H$102,"cancelled",$F$2:$F$102,"&lt;"&amp;F26)=0),1,0)</f>
        <v/>
      </c>
    </row>
    <row r="27" hidden="1" ht="14.25" customHeight="1" s="281">
      <c r="A27" s="225" t="inlineStr">
        <is>
          <t>EVT026</t>
        </is>
      </c>
      <c r="B27" s="225" t="inlineStr">
        <is>
          <t>SUB019</t>
        </is>
      </c>
      <c r="C27" s="225" t="inlineStr">
        <is>
          <t>CUST019</t>
        </is>
      </c>
      <c r="D27" s="225" t="inlineStr">
        <is>
          <t>Central Healthcare Partners</t>
        </is>
      </c>
      <c r="E27" s="225" t="inlineStr">
        <is>
          <t>Central Canada</t>
        </is>
      </c>
      <c r="F27" s="222" t="n">
        <v>45536</v>
      </c>
      <c r="G27" s="223" t="n">
        <v>45551</v>
      </c>
      <c r="H27" s="225" t="inlineStr">
        <is>
          <t>created</t>
        </is>
      </c>
      <c r="M27" s="225" t="inlineStr">
        <is>
          <t>Marketing Pro</t>
        </is>
      </c>
      <c r="N27" s="225" t="inlineStr">
        <is>
          <t>Monthly</t>
        </is>
      </c>
      <c r="O27" s="225" t="n">
        <v>19</v>
      </c>
      <c r="P27" s="225" t="n">
        <v>85</v>
      </c>
      <c r="Q27" s="225" t="n">
        <v>0</v>
      </c>
      <c r="R27" s="225">
        <f t="array" ref="R27">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
      </c>
      <c r="S27" s="224">
        <f t="array" ref="S27">IF(N27="Monthly",IFS(H27="created",O27*P27*(1-Q27/100),H27="cancelled",-(O27*P27*(1-Q27/100)),H27="seats_change",(J27-I27)*P27*(1-Q27/100),H27="price_change",(J27-I27)*O27*(1-Q27/100),H27="discount_added",-(O27*P27*(J27-I27)/100),H27="plan_upgrade",O27*(XLOOKUP(J27,$M:$M,$P:$P)-XLOOKUP(I27,$M:$M,$P:$P))*(1-Q27/100),H27="plan_downgrade",O27*(XLOOKUP(J27,$M:$M,$P:$P)-XLOOKUP(I27,$M:$M,$P:$P))*(1-Q27/100)),IFS(H27="created",O27*P27*(1-Q27/100)/12,H27="cancelled",-(O27*P27*(1-Q27/100))/12,H27="seats_change",(J27-I27)*P27*(1-Q27/100)/12,H27="price_change",(J27-I27)*O27*(1-Q27/100)/12,H27="plan_upgrade",(O27*(XLOOKUP(J27,$M:$M,$P:$P)-XLOOKUP(I27,$M:$M,$P:$P))*(1-Q27/100))/12,H27="plan_downgrade",(O27*(XLOOKUP(J27,$M:$M,$P:$P)-XLOOKUP(I27,$M:$M,$P:$P))*(1-Q27/100))/12,H27="discount_added",-(O27*P27*(J27-I27)/100)/12))</f>
        <v/>
      </c>
      <c r="T27" s="225">
        <f>IF(H27&lt;&gt;"created",0,IF(COUNTIFS($C$1:C26,$C27,$H$1:H26,"created")=0,1,0))</f>
        <v/>
      </c>
      <c r="U27" s="225">
        <f>IF(H27&lt;&gt;"cancelled",0,IF(COUNTIFS($C$2:$C$102,$C27,$H$2:$H$102,"created",$F$2:$F$102,"&lt;="&amp;F27)-COUNTIFS($C$2:$C$102,$C27,$H$2:$H$102,"cancelled",$F$2:$F$102,"&lt;="&amp;F27)=0,1,0))</f>
        <v/>
      </c>
      <c r="V27" s="225">
        <f>IF(AND(H27="created",T27=0,COUNTIFS($C$2:$C$102,$C27,$H$2:$H$102,"cancelled",$F$2:$F$102,"&lt;"&amp;F27)&gt;0,COUNTIFS($C$2:$C$102,$C27,$H$2:$H$102,"created",$F$2:$F$102,"&lt;"&amp;F27)-COUNTIFS($C$2:$C$102,$C27,$H$2:$H$102,"cancelled",$F$2:$F$102,"&lt;"&amp;F27)=0),1,0)</f>
        <v/>
      </c>
    </row>
    <row r="28" hidden="1" ht="14.25" customHeight="1" s="281">
      <c r="A28" s="225" t="inlineStr">
        <is>
          <t>EVT027</t>
        </is>
      </c>
      <c r="B28" s="225" t="inlineStr">
        <is>
          <t>SUB060</t>
        </is>
      </c>
      <c r="C28" s="225" t="inlineStr">
        <is>
          <t>CUST019</t>
        </is>
      </c>
      <c r="D28" s="225" t="inlineStr">
        <is>
          <t>Central Healthcare Partners</t>
        </is>
      </c>
      <c r="E28" s="225" t="inlineStr">
        <is>
          <t>Central Canada</t>
        </is>
      </c>
      <c r="F28" s="222" t="n">
        <v>45536</v>
      </c>
      <c r="G28" s="223" t="n">
        <v>45551</v>
      </c>
      <c r="H28" s="225" t="inlineStr">
        <is>
          <t>created</t>
        </is>
      </c>
      <c r="M28" s="225" t="inlineStr">
        <is>
          <t>Sales Hub</t>
        </is>
      </c>
      <c r="N28" s="225" t="inlineStr">
        <is>
          <t>Monthly</t>
        </is>
      </c>
      <c r="O28" s="225" t="n">
        <v>16</v>
      </c>
      <c r="P28" s="225" t="n">
        <v>110</v>
      </c>
      <c r="Q28" s="225" t="n">
        <v>0</v>
      </c>
      <c r="R28" s="225">
        <f t="array" ref="R28">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
      </c>
      <c r="S28" s="224">
        <f t="array" ref="S28">IF(N28="Monthly",IFS(H28="created",O28*P28*(1-Q28/100),H28="cancelled",-(O28*P28*(1-Q28/100)),H28="seats_change",(J28-I28)*P28*(1-Q28/100),H28="price_change",(J28-I28)*O28*(1-Q28/100),H28="discount_added",-(O28*P28*(J28-I28)/100),H28="plan_upgrade",O28*(XLOOKUP(J28,$M:$M,$P:$P)-XLOOKUP(I28,$M:$M,$P:$P))*(1-Q28/100),H28="plan_downgrade",O28*(XLOOKUP(J28,$M:$M,$P:$P)-XLOOKUP(I28,$M:$M,$P:$P))*(1-Q28/100)),IFS(H28="created",O28*P28*(1-Q28/100)/12,H28="cancelled",-(O28*P28*(1-Q28/100))/12,H28="seats_change",(J28-I28)*P28*(1-Q28/100)/12,H28="price_change",(J28-I28)*O28*(1-Q28/100)/12,H28="plan_upgrade",(O28*(XLOOKUP(J28,$M:$M,$P:$P)-XLOOKUP(I28,$M:$M,$P:$P))*(1-Q28/100))/12,H28="plan_downgrade",(O28*(XLOOKUP(J28,$M:$M,$P:$P)-XLOOKUP(I28,$M:$M,$P:$P))*(1-Q28/100))/12,H28="discount_added",-(O28*P28*(J28-I28)/100)/12))</f>
        <v/>
      </c>
      <c r="T28" s="225">
        <f>IF(H28&lt;&gt;"created",0,IF(COUNTIFS($C$1:C27,$C28,$H$1:H27,"created")=0,1,0))</f>
        <v/>
      </c>
      <c r="U28" s="225">
        <f>IF(H28&lt;&gt;"cancelled",0,IF(COUNTIFS($C$2:$C$102,$C28,$H$2:$H$102,"created",$F$2:$F$102,"&lt;="&amp;F28)-COUNTIFS($C$2:$C$102,$C28,$H$2:$H$102,"cancelled",$F$2:$F$102,"&lt;="&amp;F28)=0,1,0))</f>
        <v/>
      </c>
      <c r="V28" s="225">
        <f>IF(AND(H28="created",T28=0,COUNTIFS($C$2:$C$102,$C28,$H$2:$H$102,"cancelled",$F$2:$F$102,"&lt;"&amp;F28)&gt;0,COUNTIFS($C$2:$C$102,$C28,$H$2:$H$102,"created",$F$2:$F$102,"&lt;"&amp;F28)-COUNTIFS($C$2:$C$102,$C28,$H$2:$H$102,"cancelled",$F$2:$F$102,"&lt;"&amp;F28)=0),1,0)</f>
        <v/>
      </c>
    </row>
    <row r="29" hidden="1" ht="14.25" customHeight="1" s="281">
      <c r="A29" s="225" t="inlineStr">
        <is>
          <t>EVT028</t>
        </is>
      </c>
      <c r="B29" s="225" t="inlineStr">
        <is>
          <t>SUB020</t>
        </is>
      </c>
      <c r="C29" s="225" t="inlineStr">
        <is>
          <t>CUST020</t>
        </is>
      </c>
      <c r="D29" s="225" t="inlineStr">
        <is>
          <t>Atlantic SaaS Systems</t>
        </is>
      </c>
      <c r="E29" s="225" t="inlineStr">
        <is>
          <t>Eastern Canada</t>
        </is>
      </c>
      <c r="F29" s="222" t="n">
        <v>45536</v>
      </c>
      <c r="G29" s="223" t="n">
        <v>45565</v>
      </c>
      <c r="H29" s="225" t="inlineStr">
        <is>
          <t>created</t>
        </is>
      </c>
      <c r="M29" s="225" t="inlineStr">
        <is>
          <t>Sales Hub</t>
        </is>
      </c>
      <c r="N29" s="225" t="inlineStr">
        <is>
          <t>Monthly</t>
        </is>
      </c>
      <c r="O29" s="225" t="n">
        <v>15</v>
      </c>
      <c r="P29" s="225" t="n">
        <v>110</v>
      </c>
      <c r="Q29" s="225" t="n">
        <v>0</v>
      </c>
      <c r="R29" s="225">
        <f t="array" ref="R29">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
      </c>
      <c r="S29" s="224">
        <f t="array" ref="S29">IF(N29="Monthly",IFS(H29="created",O29*P29*(1-Q29/100),H29="cancelled",-(O29*P29*(1-Q29/100)),H29="seats_change",(J29-I29)*P29*(1-Q29/100),H29="price_change",(J29-I29)*O29*(1-Q29/100),H29="discount_added",-(O29*P29*(J29-I29)/100),H29="plan_upgrade",O29*(XLOOKUP(J29,$M:$M,$P:$P)-XLOOKUP(I29,$M:$M,$P:$P))*(1-Q29/100),H29="plan_downgrade",O29*(XLOOKUP(J29,$M:$M,$P:$P)-XLOOKUP(I29,$M:$M,$P:$P))*(1-Q29/100)),IFS(H29="created",O29*P29*(1-Q29/100)/12,H29="cancelled",-(O29*P29*(1-Q29/100))/12,H29="seats_change",(J29-I29)*P29*(1-Q29/100)/12,H29="price_change",(J29-I29)*O29*(1-Q29/100)/12,H29="plan_upgrade",(O29*(XLOOKUP(J29,$M:$M,$P:$P)-XLOOKUP(I29,$M:$M,$P:$P))*(1-Q29/100))/12,H29="plan_downgrade",(O29*(XLOOKUP(J29,$M:$M,$P:$P)-XLOOKUP(I29,$M:$M,$P:$P))*(1-Q29/100))/12,H29="discount_added",-(O29*P29*(J29-I29)/100)/12))</f>
        <v/>
      </c>
      <c r="T29" s="225">
        <f>IF(H29&lt;&gt;"created",0,IF(COUNTIFS($C$1:C28,$C29,$H$1:H28,"created")=0,1,0))</f>
        <v/>
      </c>
      <c r="U29" s="225">
        <f>IF(H29&lt;&gt;"cancelled",0,IF(COUNTIFS($C$2:$C$102,$C29,$H$2:$H$102,"created",$F$2:$F$102,"&lt;="&amp;F29)-COUNTIFS($C$2:$C$102,$C29,$H$2:$H$102,"cancelled",$F$2:$F$102,"&lt;="&amp;F29)=0,1,0))</f>
        <v/>
      </c>
      <c r="V29" s="225">
        <f>IF(AND(H29="created",T29=0,COUNTIFS($C$2:$C$102,$C29,$H$2:$H$102,"cancelled",$F$2:$F$102,"&lt;"&amp;F29)&gt;0,COUNTIFS($C$2:$C$102,$C29,$H$2:$H$102,"created",$F$2:$F$102,"&lt;"&amp;F29)-COUNTIFS($C$2:$C$102,$C29,$H$2:$H$102,"cancelled",$F$2:$F$102,"&lt;"&amp;F29)=0),1,0)</f>
        <v/>
      </c>
    </row>
    <row r="30" hidden="1" ht="14.25" customHeight="1" s="281">
      <c r="A30" s="225" t="inlineStr">
        <is>
          <t>EVT029</t>
        </is>
      </c>
      <c r="B30" s="225" t="inlineStr">
        <is>
          <t>SUB043</t>
        </is>
      </c>
      <c r="C30" s="225" t="inlineStr">
        <is>
          <t>CUST006</t>
        </is>
      </c>
      <c r="D30" s="225" t="inlineStr">
        <is>
          <t>Northern Retail Solutions</t>
        </is>
      </c>
      <c r="E30" s="225" t="inlineStr">
        <is>
          <t>Western Canada</t>
        </is>
      </c>
      <c r="F30" s="222" t="n">
        <v>45566</v>
      </c>
      <c r="G30" s="223" t="n">
        <v>45570</v>
      </c>
      <c r="H30" s="225" t="inlineStr">
        <is>
          <t>created</t>
        </is>
      </c>
      <c r="M30" s="225" t="inlineStr">
        <is>
          <t>Marketing Pro</t>
        </is>
      </c>
      <c r="N30" s="225" t="inlineStr">
        <is>
          <t>Monthly</t>
        </is>
      </c>
      <c r="O30" s="225" t="n">
        <v>33</v>
      </c>
      <c r="P30" s="225" t="n">
        <v>85</v>
      </c>
      <c r="Q30" s="225" t="n">
        <v>0</v>
      </c>
      <c r="R30" s="225">
        <f t="array" ref="R30">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
      </c>
      <c r="S30" s="224">
        <f t="array" ref="S30">IF(N30="Monthly",IFS(H30="created",O30*P30*(1-Q30/100),H30="cancelled",-(O30*P30*(1-Q30/100)),H30="seats_change",(J30-I30)*P30*(1-Q30/100),H30="price_change",(J30-I30)*O30*(1-Q30/100),H30="discount_added",-(O30*P30*(J30-I30)/100),H30="plan_upgrade",O30*(XLOOKUP(J30,$M:$M,$P:$P)-XLOOKUP(I30,$M:$M,$P:$P))*(1-Q30/100),H30="plan_downgrade",O30*(XLOOKUP(J30,$M:$M,$P:$P)-XLOOKUP(I30,$M:$M,$P:$P))*(1-Q30/100)),IFS(H30="created",O30*P30*(1-Q30/100)/12,H30="cancelled",-(O30*P30*(1-Q30/100))/12,H30="seats_change",(J30-I30)*P30*(1-Q30/100)/12,H30="price_change",(J30-I30)*O30*(1-Q30/100)/12,H30="plan_upgrade",(O30*(XLOOKUP(J30,$M:$M,$P:$P)-XLOOKUP(I30,$M:$M,$P:$P))*(1-Q30/100))/12,H30="plan_downgrade",(O30*(XLOOKUP(J30,$M:$M,$P:$P)-XLOOKUP(I30,$M:$M,$P:$P))*(1-Q30/100))/12,H30="discount_added",-(O30*P30*(J30-I30)/100)/12))</f>
        <v/>
      </c>
      <c r="T30" s="225">
        <f>IF(H30&lt;&gt;"created",0,IF(COUNTIFS($C$1:C29,$C30,$H$1:H29,"created")=0,1,0))</f>
        <v/>
      </c>
      <c r="U30" s="225">
        <f>IF(H30&lt;&gt;"cancelled",0,IF(COUNTIFS($C$2:$C$102,$C30,$H$2:$H$102,"created",$F$2:$F$102,"&lt;="&amp;F30)-COUNTIFS($C$2:$C$102,$C30,$H$2:$H$102,"cancelled",$F$2:$F$102,"&lt;="&amp;F30)=0,1,0))</f>
        <v/>
      </c>
      <c r="V30" s="225">
        <f>IF(AND(H30="created",T30=0,COUNTIFS($C$2:$C$102,$C30,$H$2:$H$102,"cancelled",$F$2:$F$102,"&lt;"&amp;F30)&gt;0,COUNTIFS($C$2:$C$102,$C30,$H$2:$H$102,"created",$F$2:$F$102,"&lt;"&amp;F30)-COUNTIFS($C$2:$C$102,$C30,$H$2:$H$102,"cancelled",$F$2:$F$102,"&lt;"&amp;F30)=0),1,0)</f>
        <v/>
      </c>
    </row>
    <row r="31" hidden="1" ht="14.25" customHeight="1" s="281">
      <c r="A31" s="225" t="inlineStr">
        <is>
          <t>EVT030</t>
        </is>
      </c>
      <c r="B31" s="225" t="inlineStr">
        <is>
          <t>SUB021</t>
        </is>
      </c>
      <c r="C31" s="225" t="inlineStr">
        <is>
          <t>CUST021</t>
        </is>
      </c>
      <c r="D31" s="225" t="inlineStr">
        <is>
          <t>Calgary Commerce Solutions</t>
        </is>
      </c>
      <c r="E31" s="225" t="inlineStr">
        <is>
          <t>Western Canada</t>
        </is>
      </c>
      <c r="F31" s="222" t="n">
        <v>45566</v>
      </c>
      <c r="G31" s="223" t="n">
        <v>45579</v>
      </c>
      <c r="H31" s="225" t="inlineStr">
        <is>
          <t>created</t>
        </is>
      </c>
      <c r="M31" s="225" t="inlineStr">
        <is>
          <t>Analytics Growth</t>
        </is>
      </c>
      <c r="N31" s="225" t="inlineStr">
        <is>
          <t>Monthly</t>
        </is>
      </c>
      <c r="O31" s="225" t="n">
        <v>25</v>
      </c>
      <c r="P31" s="225" t="n">
        <v>95</v>
      </c>
      <c r="Q31" s="225" t="n">
        <v>0</v>
      </c>
      <c r="R31" s="225">
        <f t="array" ref="R31">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
      </c>
      <c r="S31" s="224">
        <f t="array" ref="S31">IF(N31="Monthly",IFS(H31="created",O31*P31*(1-Q31/100),H31="cancelled",-(O31*P31*(1-Q31/100)),H31="seats_change",(J31-I31)*P31*(1-Q31/100),H31="price_change",(J31-I31)*O31*(1-Q31/100),H31="discount_added",-(O31*P31*(J31-I31)/100),H31="plan_upgrade",O31*(XLOOKUP(J31,$M:$M,$P:$P)-XLOOKUP(I31,$M:$M,$P:$P))*(1-Q31/100),H31="plan_downgrade",O31*(XLOOKUP(J31,$M:$M,$P:$P)-XLOOKUP(I31,$M:$M,$P:$P))*(1-Q31/100)),IFS(H31="created",O31*P31*(1-Q31/100)/12,H31="cancelled",-(O31*P31*(1-Q31/100))/12,H31="seats_change",(J31-I31)*P31*(1-Q31/100)/12,H31="price_change",(J31-I31)*O31*(1-Q31/100)/12,H31="plan_upgrade",(O31*(XLOOKUP(J31,$M:$M,$P:$P)-XLOOKUP(I31,$M:$M,$P:$P))*(1-Q31/100))/12,H31="plan_downgrade",(O31*(XLOOKUP(J31,$M:$M,$P:$P)-XLOOKUP(I31,$M:$M,$P:$P))*(1-Q31/100))/12,H31="discount_added",-(O31*P31*(J31-I31)/100)/12))</f>
        <v/>
      </c>
      <c r="T31" s="225">
        <f>IF(H31&lt;&gt;"created",0,IF(COUNTIFS($C$1:C30,$C31,$H$1:H30,"created")=0,1,0))</f>
        <v/>
      </c>
      <c r="U31" s="225">
        <f>IF(H31&lt;&gt;"cancelled",0,IF(COUNTIFS($C$2:$C$102,$C31,$H$2:$H$102,"created",$F$2:$F$102,"&lt;="&amp;F31)-COUNTIFS($C$2:$C$102,$C31,$H$2:$H$102,"cancelled",$F$2:$F$102,"&lt;="&amp;F31)=0,1,0))</f>
        <v/>
      </c>
      <c r="V31" s="225">
        <f>IF(AND(H31="created",T31=0,COUNTIFS($C$2:$C$102,$C31,$H$2:$H$102,"cancelled",$F$2:$F$102,"&lt;"&amp;F31)&gt;0,COUNTIFS($C$2:$C$102,$C31,$H$2:$H$102,"created",$F$2:$F$102,"&lt;"&amp;F31)-COUNTIFS($C$2:$C$102,$C31,$H$2:$H$102,"cancelled",$F$2:$F$102,"&lt;"&amp;F31)=0),1,0)</f>
        <v/>
      </c>
    </row>
    <row r="32" hidden="1" ht="14.25" customHeight="1" s="281">
      <c r="A32" s="225" t="inlineStr">
        <is>
          <t>EVT031</t>
        </is>
      </c>
      <c r="B32" s="225" t="inlineStr">
        <is>
          <t>SUB022</t>
        </is>
      </c>
      <c r="C32" s="225" t="inlineStr">
        <is>
          <t>CUST022</t>
        </is>
      </c>
      <c r="D32" s="225" t="inlineStr">
        <is>
          <t>Toronto Tech Ventures</t>
        </is>
      </c>
      <c r="E32" s="225" t="inlineStr">
        <is>
          <t>Eastern Canada</t>
        </is>
      </c>
      <c r="F32" s="222" t="n">
        <v>45566</v>
      </c>
      <c r="G32" s="223" t="n">
        <v>45593</v>
      </c>
      <c r="H32" s="225" t="inlineStr">
        <is>
          <t>created</t>
        </is>
      </c>
      <c r="M32" s="225" t="inlineStr">
        <is>
          <t>Platform Suite</t>
        </is>
      </c>
      <c r="N32" s="225" t="inlineStr">
        <is>
          <t>Monthly</t>
        </is>
      </c>
      <c r="O32" s="225" t="n">
        <v>33</v>
      </c>
      <c r="P32" s="225" t="n">
        <v>150</v>
      </c>
      <c r="Q32" s="225" t="n">
        <v>0</v>
      </c>
      <c r="R32" s="225">
        <f t="array" ref="R32">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
      </c>
      <c r="S32" s="224">
        <f t="array" ref="S32">IF(N32="Monthly",IFS(H32="created",O32*P32*(1-Q32/100),H32="cancelled",-(O32*P32*(1-Q32/100)),H32="seats_change",(J32-I32)*P32*(1-Q32/100),H32="price_change",(J32-I32)*O32*(1-Q32/100),H32="discount_added",-(O32*P32*(J32-I32)/100),H32="plan_upgrade",O32*(XLOOKUP(J32,$M:$M,$P:$P)-XLOOKUP(I32,$M:$M,$P:$P))*(1-Q32/100),H32="plan_downgrade",O32*(XLOOKUP(J32,$M:$M,$P:$P)-XLOOKUP(I32,$M:$M,$P:$P))*(1-Q32/100)),IFS(H32="created",O32*P32*(1-Q32/100)/12,H32="cancelled",-(O32*P32*(1-Q32/100))/12,H32="seats_change",(J32-I32)*P32*(1-Q32/100)/12,H32="price_change",(J32-I32)*O32*(1-Q32/100)/12,H32="plan_upgrade",(O32*(XLOOKUP(J32,$M:$M,$P:$P)-XLOOKUP(I32,$M:$M,$P:$P))*(1-Q32/100))/12,H32="plan_downgrade",(O32*(XLOOKUP(J32,$M:$M,$P:$P)-XLOOKUP(I32,$M:$M,$P:$P))*(1-Q32/100))/12,H32="discount_added",-(O32*P32*(J32-I32)/100)/12))</f>
        <v/>
      </c>
      <c r="T32" s="225">
        <f>IF(H32&lt;&gt;"created",0,IF(COUNTIFS($C$1:C31,$C32,$H$1:H31,"created")=0,1,0))</f>
        <v/>
      </c>
      <c r="U32" s="225">
        <f>IF(H32&lt;&gt;"cancelled",0,IF(COUNTIFS($C$2:$C$102,$C32,$H$2:$H$102,"created",$F$2:$F$102,"&lt;="&amp;F32)-COUNTIFS($C$2:$C$102,$C32,$H$2:$H$102,"cancelled",$F$2:$F$102,"&lt;="&amp;F32)=0,1,0))</f>
        <v/>
      </c>
      <c r="V32" s="225">
        <f>IF(AND(H32="created",T32=0,COUNTIFS($C$2:$C$102,$C32,$H$2:$H$102,"cancelled",$F$2:$F$102,"&lt;"&amp;F32)&gt;0,COUNTIFS($C$2:$C$102,$C32,$H$2:$H$102,"created",$F$2:$F$102,"&lt;"&amp;F32)-COUNTIFS($C$2:$C$102,$C32,$H$2:$H$102,"cancelled",$F$2:$F$102,"&lt;"&amp;F32)=0),1,0)</f>
        <v/>
      </c>
    </row>
    <row r="33" hidden="1" ht="14.25" customHeight="1" s="281">
      <c r="A33" s="225" t="inlineStr">
        <is>
          <t>EVT032</t>
        </is>
      </c>
      <c r="B33" s="225" t="inlineStr">
        <is>
          <t>SUB059</t>
        </is>
      </c>
      <c r="C33" s="225" t="inlineStr">
        <is>
          <t>CUST008</t>
        </is>
      </c>
      <c r="D33" s="225" t="inlineStr">
        <is>
          <t>Quantum Education Platform</t>
        </is>
      </c>
      <c r="E33" s="225" t="inlineStr">
        <is>
          <t>Eastern Canada</t>
        </is>
      </c>
      <c r="F33" s="222" t="n">
        <v>45597</v>
      </c>
      <c r="G33" s="223" t="n">
        <v>45601</v>
      </c>
      <c r="H33" s="225" t="inlineStr">
        <is>
          <t>created</t>
        </is>
      </c>
      <c r="M33" s="225" t="inlineStr">
        <is>
          <t>Marketing Pro</t>
        </is>
      </c>
      <c r="N33" s="225" t="inlineStr">
        <is>
          <t>Monthly</t>
        </is>
      </c>
      <c r="O33" s="225" t="n">
        <v>22</v>
      </c>
      <c r="P33" s="225" t="n">
        <v>85</v>
      </c>
      <c r="Q33" s="225" t="n">
        <v>0</v>
      </c>
      <c r="R33" s="225">
        <f t="array" ref="R33">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
      </c>
      <c r="S33" s="224">
        <f t="array" ref="S33">IF(N33="Monthly",IFS(H33="created",O33*P33*(1-Q33/100),H33="cancelled",-(O33*P33*(1-Q33/100)),H33="seats_change",(J33-I33)*P33*(1-Q33/100),H33="price_change",(J33-I33)*O33*(1-Q33/100),H33="discount_added",-(O33*P33*(J33-I33)/100),H33="plan_upgrade",O33*(XLOOKUP(J33,$M:$M,$P:$P)-XLOOKUP(I33,$M:$M,$P:$P))*(1-Q33/100),H33="plan_downgrade",O33*(XLOOKUP(J33,$M:$M,$P:$P)-XLOOKUP(I33,$M:$M,$P:$P))*(1-Q33/100)),IFS(H33="created",O33*P33*(1-Q33/100)/12,H33="cancelled",-(O33*P33*(1-Q33/100))/12,H33="seats_change",(J33-I33)*P33*(1-Q33/100)/12,H33="price_change",(J33-I33)*O33*(1-Q33/100)/12,H33="plan_upgrade",(O33*(XLOOKUP(J33,$M:$M,$P:$P)-XLOOKUP(I33,$M:$M,$P:$P))*(1-Q33/100))/12,H33="plan_downgrade",(O33*(XLOOKUP(J33,$M:$M,$P:$P)-XLOOKUP(I33,$M:$M,$P:$P))*(1-Q33/100))/12,H33="discount_added",-(O33*P33*(J33-I33)/100)/12))</f>
        <v/>
      </c>
      <c r="T33" s="225">
        <f>IF(H33&lt;&gt;"created",0,IF(COUNTIFS($C$1:C32,$C33,$H$1:H32,"created")=0,1,0))</f>
        <v/>
      </c>
      <c r="U33" s="225">
        <f>IF(H33&lt;&gt;"cancelled",0,IF(COUNTIFS($C$2:$C$102,$C33,$H$2:$H$102,"created",$F$2:$F$102,"&lt;="&amp;F33)-COUNTIFS($C$2:$C$102,$C33,$H$2:$H$102,"cancelled",$F$2:$F$102,"&lt;="&amp;F33)=0,1,0))</f>
        <v/>
      </c>
      <c r="V33" s="225">
        <f>IF(AND(H33="created",T33=0,COUNTIFS($C$2:$C$102,$C33,$H$2:$H$102,"cancelled",$F$2:$F$102,"&lt;"&amp;F33)&gt;0,COUNTIFS($C$2:$C$102,$C33,$H$2:$H$102,"created",$F$2:$F$102,"&lt;"&amp;F33)-COUNTIFS($C$2:$C$102,$C33,$H$2:$H$102,"cancelled",$F$2:$F$102,"&lt;"&amp;F33)=0),1,0)</f>
        <v/>
      </c>
    </row>
    <row r="34" hidden="1" ht="14.25" customHeight="1" s="281">
      <c r="A34" s="225" t="inlineStr">
        <is>
          <t>EVT033</t>
        </is>
      </c>
      <c r="B34" s="225" t="inlineStr">
        <is>
          <t>SUB023</t>
        </is>
      </c>
      <c r="C34" s="225" t="inlineStr">
        <is>
          <t>CUST023</t>
        </is>
      </c>
      <c r="D34" s="225" t="inlineStr">
        <is>
          <t>Island Media Productions</t>
        </is>
      </c>
      <c r="E34" s="225" t="inlineStr">
        <is>
          <t>Eastern Canada</t>
        </is>
      </c>
      <c r="F34" s="222" t="n">
        <v>45597</v>
      </c>
      <c r="G34" s="223" t="n">
        <v>45607</v>
      </c>
      <c r="H34" s="225" t="inlineStr">
        <is>
          <t>created</t>
        </is>
      </c>
      <c r="M34" s="225" t="inlineStr">
        <is>
          <t>Analytics Starter</t>
        </is>
      </c>
      <c r="N34" s="225" t="inlineStr">
        <is>
          <t>Monthly</t>
        </is>
      </c>
      <c r="O34" s="225" t="n">
        <v>10</v>
      </c>
      <c r="P34" s="225" t="n">
        <v>45</v>
      </c>
      <c r="Q34" s="225" t="n">
        <v>0</v>
      </c>
      <c r="R34" s="225">
        <f t="array" ref="R34">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
      </c>
      <c r="S34" s="224">
        <f t="array" ref="S34">IF(N34="Monthly",IFS(H34="created",O34*P34*(1-Q34/100),H34="cancelled",-(O34*P34*(1-Q34/100)),H34="seats_change",(J34-I34)*P34*(1-Q34/100),H34="price_change",(J34-I34)*O34*(1-Q34/100),H34="discount_added",-(O34*P34*(J34-I34)/100),H34="plan_upgrade",O34*(XLOOKUP(J34,$M:$M,$P:$P)-XLOOKUP(I34,$M:$M,$P:$P))*(1-Q34/100),H34="plan_downgrade",O34*(XLOOKUP(J34,$M:$M,$P:$P)-XLOOKUP(I34,$M:$M,$P:$P))*(1-Q34/100)),IFS(H34="created",O34*P34*(1-Q34/100)/12,H34="cancelled",-(O34*P34*(1-Q34/100))/12,H34="seats_change",(J34-I34)*P34*(1-Q34/100)/12,H34="price_change",(J34-I34)*O34*(1-Q34/100)/12,H34="plan_upgrade",(O34*(XLOOKUP(J34,$M:$M,$P:$P)-XLOOKUP(I34,$M:$M,$P:$P))*(1-Q34/100))/12,H34="plan_downgrade",(O34*(XLOOKUP(J34,$M:$M,$P:$P)-XLOOKUP(I34,$M:$M,$P:$P))*(1-Q34/100))/12,H34="discount_added",-(O34*P34*(J34-I34)/100)/12))</f>
        <v/>
      </c>
      <c r="T34" s="225">
        <f>IF(H34&lt;&gt;"created",0,IF(COUNTIFS($C$1:C33,$C34,$H$1:H33,"created")=0,1,0))</f>
        <v/>
      </c>
      <c r="U34" s="225">
        <f>IF(H34&lt;&gt;"cancelled",0,IF(COUNTIFS($C$2:$C$102,$C34,$H$2:$H$102,"created",$F$2:$F$102,"&lt;="&amp;F34)-COUNTIFS($C$2:$C$102,$C34,$H$2:$H$102,"cancelled",$F$2:$F$102,"&lt;="&amp;F34)=0,1,0))</f>
        <v/>
      </c>
      <c r="V34" s="225">
        <f>IF(AND(H34="created",T34=0,COUNTIFS($C$2:$C$102,$C34,$H$2:$H$102,"cancelled",$F$2:$F$102,"&lt;"&amp;F34)&gt;0,COUNTIFS($C$2:$C$102,$C34,$H$2:$H$102,"created",$F$2:$F$102,"&lt;"&amp;F34)-COUNTIFS($C$2:$C$102,$C34,$H$2:$H$102,"cancelled",$F$2:$F$102,"&lt;"&amp;F34)=0),1,0)</f>
        <v/>
      </c>
    </row>
    <row r="35" hidden="1" ht="14.25" customHeight="1" s="281">
      <c r="A35" s="225" t="inlineStr">
        <is>
          <t>EVT034</t>
        </is>
      </c>
      <c r="B35" s="225" t="inlineStr">
        <is>
          <t>SUB005</t>
        </is>
      </c>
      <c r="C35" s="225" t="inlineStr">
        <is>
          <t>CUST005</t>
        </is>
      </c>
      <c r="D35" s="225" t="inlineStr">
        <is>
          <t>Atlantic Media Corp</t>
        </is>
      </c>
      <c r="E35" s="225" t="inlineStr">
        <is>
          <t>Eastern Canada</t>
        </is>
      </c>
      <c r="F35" s="222" t="n">
        <v>45597</v>
      </c>
      <c r="G35" s="223" t="n">
        <v>45616</v>
      </c>
      <c r="H35" s="225" t="inlineStr">
        <is>
          <t>cancelled</t>
        </is>
      </c>
      <c r="I35" s="225" t="inlineStr">
        <is>
          <t>active</t>
        </is>
      </c>
      <c r="J35" s="225" t="inlineStr">
        <is>
          <t>churned</t>
        </is>
      </c>
      <c r="K35" s="225" t="inlineStr">
        <is>
          <t>status</t>
        </is>
      </c>
      <c r="L35" s="225" t="inlineStr">
        <is>
          <t>Price too high</t>
        </is>
      </c>
      <c r="M35" s="225" t="inlineStr">
        <is>
          <t>Analytics Starter</t>
        </is>
      </c>
      <c r="N35" s="225" t="inlineStr">
        <is>
          <t>Monthly</t>
        </is>
      </c>
      <c r="O35" s="225" t="n">
        <v>11</v>
      </c>
      <c r="P35" s="225" t="n">
        <v>45</v>
      </c>
      <c r="Q35" s="225" t="n">
        <v>0</v>
      </c>
      <c r="R35" s="225">
        <f t="array" ref="R35">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
      </c>
      <c r="S35" s="224">
        <f t="array" ref="S35">IF(N35="Monthly",IFS(H35="created",O35*P35*(1-Q35/100),H35="cancelled",-(O35*P35*(1-Q35/100)),H35="seats_change",(J35-I35)*P35*(1-Q35/100),H35="price_change",(J35-I35)*O35*(1-Q35/100),H35="discount_added",-(O35*P35*(J35-I35)/100),H35="plan_upgrade",O35*(XLOOKUP(J35,$M:$M,$P:$P)-XLOOKUP(I35,$M:$M,$P:$P))*(1-Q35/100),H35="plan_downgrade",O35*(XLOOKUP(J35,$M:$M,$P:$P)-XLOOKUP(I35,$M:$M,$P:$P))*(1-Q35/100)),IFS(H35="created",O35*P35*(1-Q35/100)/12,H35="cancelled",-(O35*P35*(1-Q35/100))/12,H35="seats_change",(J35-I35)*P35*(1-Q35/100)/12,H35="price_change",(J35-I35)*O35*(1-Q35/100)/12,H35="plan_upgrade",(O35*(XLOOKUP(J35,$M:$M,$P:$P)-XLOOKUP(I35,$M:$M,$P:$P))*(1-Q35/100))/12,H35="plan_downgrade",(O35*(XLOOKUP(J35,$M:$M,$P:$P)-XLOOKUP(I35,$M:$M,$P:$P))*(1-Q35/100))/12,H35="discount_added",-(O35*P35*(J35-I35)/100)/12))</f>
        <v/>
      </c>
      <c r="T35" s="225">
        <f>IF(H35&lt;&gt;"created",0,IF(COUNTIFS($C$1:C34,$C35,$H$1:H34,"created")=0,1,0))</f>
        <v/>
      </c>
      <c r="U35" s="225">
        <f>IF(H35&lt;&gt;"cancelled",0,IF(COUNTIFS($C$2:$C$102,$C35,$H$2:$H$102,"created",$F$2:$F$102,"&lt;="&amp;F35)-COUNTIFS($C$2:$C$102,$C35,$H$2:$H$102,"cancelled",$F$2:$F$102,"&lt;="&amp;F35)=0,1,0))</f>
        <v/>
      </c>
      <c r="V35" s="225">
        <f>IF(AND(H35="created",T35=0,COUNTIFS($C$2:$C$102,$C35,$H$2:$H$102,"cancelled",$F$2:$F$102,"&lt;"&amp;F35)&gt;0,COUNTIFS($C$2:$C$102,$C35,$H$2:$H$102,"created",$F$2:$F$102,"&lt;"&amp;F35)-COUNTIFS($C$2:$C$102,$C35,$H$2:$H$102,"cancelled",$F$2:$F$102,"&lt;"&amp;F35)=0),1,0)</f>
        <v/>
      </c>
    </row>
    <row r="36" hidden="1" ht="14.25" customHeight="1" s="281">
      <c r="A36" s="225" t="inlineStr">
        <is>
          <t>EVT035</t>
        </is>
      </c>
      <c r="B36" s="225" t="inlineStr">
        <is>
          <t>SUB024</t>
        </is>
      </c>
      <c r="C36" s="225" t="inlineStr">
        <is>
          <t>CUST024</t>
        </is>
      </c>
      <c r="D36" s="225" t="inlineStr">
        <is>
          <t>Western Retail Group</t>
        </is>
      </c>
      <c r="E36" s="225" t="inlineStr">
        <is>
          <t>Western Canada</t>
        </is>
      </c>
      <c r="F36" s="222" t="n">
        <v>45597</v>
      </c>
      <c r="G36" s="223" t="n">
        <v>45621</v>
      </c>
      <c r="H36" s="225" t="inlineStr">
        <is>
          <t>created</t>
        </is>
      </c>
      <c r="M36" s="225" t="inlineStr">
        <is>
          <t>Marketing Pro</t>
        </is>
      </c>
      <c r="N36" s="225" t="inlineStr">
        <is>
          <t>Monthly</t>
        </is>
      </c>
      <c r="O36" s="225" t="n">
        <v>31</v>
      </c>
      <c r="P36" s="225" t="n">
        <v>85</v>
      </c>
      <c r="Q36" s="225" t="n">
        <v>0</v>
      </c>
      <c r="R36" s="225">
        <f t="array" ref="R36">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
      </c>
      <c r="S36" s="224">
        <f t="array" ref="S36">IF(N36="Monthly",IFS(H36="created",O36*P36*(1-Q36/100),H36="cancelled",-(O36*P36*(1-Q36/100)),H36="seats_change",(J36-I36)*P36*(1-Q36/100),H36="price_change",(J36-I36)*O36*(1-Q36/100),H36="discount_added",-(O36*P36*(J36-I36)/100),H36="plan_upgrade",O36*(XLOOKUP(J36,$M:$M,$P:$P)-XLOOKUP(I36,$M:$M,$P:$P))*(1-Q36/100),H36="plan_downgrade",O36*(XLOOKUP(J36,$M:$M,$P:$P)-XLOOKUP(I36,$M:$M,$P:$P))*(1-Q36/100)),IFS(H36="created",O36*P36*(1-Q36/100)/12,H36="cancelled",-(O36*P36*(1-Q36/100))/12,H36="seats_change",(J36-I36)*P36*(1-Q36/100)/12,H36="price_change",(J36-I36)*O36*(1-Q36/100)/12,H36="plan_upgrade",(O36*(XLOOKUP(J36,$M:$M,$P:$P)-XLOOKUP(I36,$M:$M,$P:$P))*(1-Q36/100))/12,H36="plan_downgrade",(O36*(XLOOKUP(J36,$M:$M,$P:$P)-XLOOKUP(I36,$M:$M,$P:$P))*(1-Q36/100))/12,H36="discount_added",-(O36*P36*(J36-I36)/100)/12))</f>
        <v/>
      </c>
      <c r="T36" s="225">
        <f>IF(H36&lt;&gt;"created",0,IF(COUNTIFS($C$1:C35,$C36,$H$1:H35,"created")=0,1,0))</f>
        <v/>
      </c>
      <c r="U36" s="225">
        <f>IF(H36&lt;&gt;"cancelled",0,IF(COUNTIFS($C$2:$C$102,$C36,$H$2:$H$102,"created",$F$2:$F$102,"&lt;="&amp;F36)-COUNTIFS($C$2:$C$102,$C36,$H$2:$H$102,"cancelled",$F$2:$F$102,"&lt;="&amp;F36)=0,1,0))</f>
        <v/>
      </c>
      <c r="V36" s="225">
        <f>IF(AND(H36="created",T36=0,COUNTIFS($C$2:$C$102,$C36,$H$2:$H$102,"cancelled",$F$2:$F$102,"&lt;"&amp;F36)&gt;0,COUNTIFS($C$2:$C$102,$C36,$H$2:$H$102,"created",$F$2:$F$102,"&lt;"&amp;F36)-COUNTIFS($C$2:$C$102,$C36,$H$2:$H$102,"cancelled",$F$2:$F$102,"&lt;"&amp;F36)=0),1,0)</f>
        <v/>
      </c>
    </row>
    <row r="37" ht="14.25" customHeight="1" s="281">
      <c r="A37" s="225" t="inlineStr">
        <is>
          <t>EVT036</t>
        </is>
      </c>
      <c r="B37" s="225" t="inlineStr">
        <is>
          <t>SUB025</t>
        </is>
      </c>
      <c r="C37" s="225" t="inlineStr">
        <is>
          <t>CUST025</t>
        </is>
      </c>
      <c r="D37" s="225" t="inlineStr">
        <is>
          <t>Montreal Manufacturing Pro</t>
        </is>
      </c>
      <c r="E37" s="225" t="inlineStr">
        <is>
          <t>Eastern Canada</t>
        </is>
      </c>
      <c r="F37" s="222" t="n">
        <v>45627</v>
      </c>
      <c r="G37" s="223" t="n">
        <v>45635</v>
      </c>
      <c r="H37" s="225" t="inlineStr">
        <is>
          <t>created</t>
        </is>
      </c>
      <c r="M37" s="225" t="inlineStr">
        <is>
          <t>Analytics Enterprise</t>
        </is>
      </c>
      <c r="N37" s="225" t="inlineStr">
        <is>
          <t>Annual</t>
        </is>
      </c>
      <c r="O37" s="225" t="n">
        <v>38</v>
      </c>
      <c r="P37" s="225" t="n">
        <v>2160</v>
      </c>
      <c r="Q37" s="225" t="n">
        <v>0</v>
      </c>
      <c r="R37" s="225">
        <f t="array" ref="R37">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
      </c>
      <c r="S37" s="224">
        <f t="array" ref="S37">IF(N37="Monthly",IFS(H37="created",O37*P37*(1-Q37/100),H37="cancelled",-(O37*P37*(1-Q37/100)),H37="seats_change",(J37-I37)*P37*(1-Q37/100),H37="price_change",(J37-I37)*O37*(1-Q37/100),H37="discount_added",-(O37*P37*(J37-I37)/100),H37="plan_upgrade",O37*(XLOOKUP(J37,$M:$M,$P:$P)-XLOOKUP(I37,$M:$M,$P:$P))*(1-Q37/100),H37="plan_downgrade",O37*(XLOOKUP(J37,$M:$M,$P:$P)-XLOOKUP(I37,$M:$M,$P:$P))*(1-Q37/100)),IFS(H37="created",O37*P37*(1-Q37/100)/12,H37="cancelled",-(O37*P37*(1-Q37/100))/12,H37="seats_change",(J37-I37)*P37*(1-Q37/100)/12,H37="price_change",(J37-I37)*O37*(1-Q37/100)/12,H37="plan_upgrade",(O37*(XLOOKUP(J37,$M:$M,$P:$P)-XLOOKUP(I37,$M:$M,$P:$P))*(1-Q37/100))/12,H37="plan_downgrade",(O37*(XLOOKUP(J37,$M:$M,$P:$P)-XLOOKUP(I37,$M:$M,$P:$P))*(1-Q37/100))/12,H37="discount_added",-(O37*P37*(J37-I37)/100)/12))</f>
        <v/>
      </c>
      <c r="T37" s="225">
        <f>IF(H37&lt;&gt;"created",0,IF(COUNTIFS($C$1:C36,$C37,$H$1:H36,"created")=0,1,0))</f>
        <v/>
      </c>
      <c r="U37" s="225">
        <f>IF(H37&lt;&gt;"cancelled",0,IF(COUNTIFS($C$2:$C$102,$C37,$H$2:$H$102,"created",$F$2:$F$102,"&lt;="&amp;F37)-COUNTIFS($C$2:$C$102,$C37,$H$2:$H$102,"cancelled",$F$2:$F$102,"&lt;="&amp;F37)=0,1,0))</f>
        <v/>
      </c>
      <c r="V37" s="225">
        <f>IF(AND(H37="created",T37=0,COUNTIFS($C$2:$C$102,$C37,$H$2:$H$102,"cancelled",$F$2:$F$102,"&lt;"&amp;F37)&gt;0,COUNTIFS($C$2:$C$102,$C37,$H$2:$H$102,"created",$F$2:$F$102,"&lt;"&amp;F37)-COUNTIFS($C$2:$C$102,$C37,$H$2:$H$102,"cancelled",$F$2:$F$102,"&lt;"&amp;F37)=0),1,0)</f>
        <v/>
      </c>
    </row>
    <row r="38" hidden="1" ht="14.25" customHeight="1" s="281">
      <c r="A38" s="225" t="inlineStr">
        <is>
          <t>EVT037</t>
        </is>
      </c>
      <c r="B38" s="225" t="inlineStr">
        <is>
          <t>SUB056</t>
        </is>
      </c>
      <c r="C38" s="225" t="inlineStr">
        <is>
          <t>CUST016</t>
        </is>
      </c>
      <c r="D38" s="225" t="inlineStr">
        <is>
          <t>Quebec Manufacturing</t>
        </is>
      </c>
      <c r="E38" s="225" t="inlineStr">
        <is>
          <t>Eastern Canada</t>
        </is>
      </c>
      <c r="F38" s="222" t="n">
        <v>45627</v>
      </c>
      <c r="G38" s="223" t="n">
        <v>45638</v>
      </c>
      <c r="H38" s="225" t="inlineStr">
        <is>
          <t>created</t>
        </is>
      </c>
      <c r="M38" s="225" t="inlineStr">
        <is>
          <t>Marketing Pro</t>
        </is>
      </c>
      <c r="N38" s="225" t="inlineStr">
        <is>
          <t>Monthly</t>
        </is>
      </c>
      <c r="O38" s="225" t="n">
        <v>38</v>
      </c>
      <c r="P38" s="225" t="n">
        <v>85</v>
      </c>
      <c r="Q38" s="225" t="n">
        <v>0</v>
      </c>
      <c r="R38" s="225">
        <f t="array" ref="R38">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
      </c>
      <c r="S38" s="224">
        <f t="array" ref="S38">IF(N38="Monthly",IFS(H38="created",O38*P38*(1-Q38/100),H38="cancelled",-(O38*P38*(1-Q38/100)),H38="seats_change",(J38-I38)*P38*(1-Q38/100),H38="price_change",(J38-I38)*O38*(1-Q38/100),H38="discount_added",-(O38*P38*(J38-I38)/100),H38="plan_upgrade",O38*(XLOOKUP(J38,$M:$M,$P:$P)-XLOOKUP(I38,$M:$M,$P:$P))*(1-Q38/100),H38="plan_downgrade",O38*(XLOOKUP(J38,$M:$M,$P:$P)-XLOOKUP(I38,$M:$M,$P:$P))*(1-Q38/100)),IFS(H38="created",O38*P38*(1-Q38/100)/12,H38="cancelled",-(O38*P38*(1-Q38/100))/12,H38="seats_change",(J38-I38)*P38*(1-Q38/100)/12,H38="price_change",(J38-I38)*O38*(1-Q38/100)/12,H38="plan_upgrade",(O38*(XLOOKUP(J38,$M:$M,$P:$P)-XLOOKUP(I38,$M:$M,$P:$P))*(1-Q38/100))/12,H38="plan_downgrade",(O38*(XLOOKUP(J38,$M:$M,$P:$P)-XLOOKUP(I38,$M:$M,$P:$P))*(1-Q38/100))/12,H38="discount_added",-(O38*P38*(J38-I38)/100)/12))</f>
        <v/>
      </c>
      <c r="T38" s="225">
        <f>IF(H38&lt;&gt;"created",0,IF(COUNTIFS($C$1:C37,$C38,$H$1:H37,"created")=0,1,0))</f>
        <v/>
      </c>
      <c r="U38" s="225">
        <f>IF(H38&lt;&gt;"cancelled",0,IF(COUNTIFS($C$2:$C$102,$C38,$H$2:$H$102,"created",$F$2:$F$102,"&lt;="&amp;F38)-COUNTIFS($C$2:$C$102,$C38,$H$2:$H$102,"cancelled",$F$2:$F$102,"&lt;="&amp;F38)=0,1,0))</f>
        <v/>
      </c>
      <c r="V38" s="225">
        <f>IF(AND(H38="created",T38=0,COUNTIFS($C$2:$C$102,$C38,$H$2:$H$102,"cancelled",$F$2:$F$102,"&lt;"&amp;F38)&gt;0,COUNTIFS($C$2:$C$102,$C38,$H$2:$H$102,"created",$F$2:$F$102,"&lt;"&amp;F38)-COUNTIFS($C$2:$C$102,$C38,$H$2:$H$102,"cancelled",$F$2:$F$102,"&lt;"&amp;F38)=0),1,0)</f>
        <v/>
      </c>
    </row>
    <row r="39" hidden="1" ht="14.25" customHeight="1" s="281">
      <c r="A39" s="225" t="inlineStr">
        <is>
          <t>EVT038</t>
        </is>
      </c>
      <c r="B39" s="225" t="inlineStr">
        <is>
          <t>SUB044</t>
        </is>
      </c>
      <c r="C39" s="225" t="inlineStr">
        <is>
          <t>CUST009</t>
        </is>
      </c>
      <c r="D39" s="225" t="inlineStr">
        <is>
          <t>West Coast Logistics</t>
        </is>
      </c>
      <c r="E39" s="225" t="inlineStr">
        <is>
          <t>Western Canada</t>
        </is>
      </c>
      <c r="F39" s="222" t="n">
        <v>45627</v>
      </c>
      <c r="G39" s="223" t="n">
        <v>45646</v>
      </c>
      <c r="H39" s="225" t="inlineStr">
        <is>
          <t>created</t>
        </is>
      </c>
      <c r="M39" s="225" t="inlineStr">
        <is>
          <t>Analytics Growth</t>
        </is>
      </c>
      <c r="N39" s="225" t="inlineStr">
        <is>
          <t>Monthly</t>
        </is>
      </c>
      <c r="O39" s="225" t="n">
        <v>35</v>
      </c>
      <c r="P39" s="225" t="n">
        <v>95</v>
      </c>
      <c r="Q39" s="225" t="n">
        <v>0</v>
      </c>
      <c r="R39" s="225">
        <f t="array" ref="R39">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
      </c>
      <c r="S39" s="224">
        <f t="array" ref="S39">IF(N39="Monthly",IFS(H39="created",O39*P39*(1-Q39/100),H39="cancelled",-(O39*P39*(1-Q39/100)),H39="seats_change",(J39-I39)*P39*(1-Q39/100),H39="price_change",(J39-I39)*O39*(1-Q39/100),H39="discount_added",-(O39*P39*(J39-I39)/100),H39="plan_upgrade",O39*(XLOOKUP(J39,$M:$M,$P:$P)-XLOOKUP(I39,$M:$M,$P:$P))*(1-Q39/100),H39="plan_downgrade",O39*(XLOOKUP(J39,$M:$M,$P:$P)-XLOOKUP(I39,$M:$M,$P:$P))*(1-Q39/100)),IFS(H39="created",O39*P39*(1-Q39/100)/12,H39="cancelled",-(O39*P39*(1-Q39/100))/12,H39="seats_change",(J39-I39)*P39*(1-Q39/100)/12,H39="price_change",(J39-I39)*O39*(1-Q39/100)/12,H39="plan_upgrade",(O39*(XLOOKUP(J39,$M:$M,$P:$P)-XLOOKUP(I39,$M:$M,$P:$P))*(1-Q39/100))/12,H39="plan_downgrade",(O39*(XLOOKUP(J39,$M:$M,$P:$P)-XLOOKUP(I39,$M:$M,$P:$P))*(1-Q39/100))/12,H39="discount_added",-(O39*P39*(J39-I39)/100)/12))</f>
        <v/>
      </c>
      <c r="T39" s="225">
        <f>IF(H39&lt;&gt;"created",0,IF(COUNTIFS($C$1:C38,$C39,$H$1:H38,"created")=0,1,0))</f>
        <v/>
      </c>
      <c r="U39" s="225">
        <f>IF(H39&lt;&gt;"cancelled",0,IF(COUNTIFS($C$2:$C$102,$C39,$H$2:$H$102,"created",$F$2:$F$102,"&lt;="&amp;F39)-COUNTIFS($C$2:$C$102,$C39,$H$2:$H$102,"cancelled",$F$2:$F$102,"&lt;="&amp;F39)=0,1,0))</f>
        <v/>
      </c>
      <c r="V39" s="225">
        <f>IF(AND(H39="created",T39=0,COUNTIFS($C$2:$C$102,$C39,$H$2:$H$102,"cancelled",$F$2:$F$102,"&lt;"&amp;F39)&gt;0,COUNTIFS($C$2:$C$102,$C39,$H$2:$H$102,"created",$F$2:$F$102,"&lt;"&amp;F39)-COUNTIFS($C$2:$C$102,$C39,$H$2:$H$102,"cancelled",$F$2:$F$102,"&lt;"&amp;F39)=0),1,0)</f>
        <v/>
      </c>
    </row>
    <row r="40" hidden="1" ht="14.25" customHeight="1" s="281">
      <c r="A40" s="225" t="inlineStr">
        <is>
          <t>EVT039</t>
        </is>
      </c>
      <c r="B40" s="225" t="inlineStr">
        <is>
          <t>SUB008</t>
        </is>
      </c>
      <c r="C40" s="225" t="inlineStr">
        <is>
          <t>CUST008</t>
        </is>
      </c>
      <c r="D40" s="225" t="inlineStr">
        <is>
          <t>Quantum Education Platform</t>
        </is>
      </c>
      <c r="E40" s="225" t="inlineStr">
        <is>
          <t>Eastern Canada</t>
        </is>
      </c>
      <c r="F40" s="222" t="n">
        <v>45627</v>
      </c>
      <c r="G40" s="223" t="n">
        <v>45648</v>
      </c>
      <c r="H40" s="225" t="inlineStr">
        <is>
          <t>cancelled</t>
        </is>
      </c>
      <c r="I40" s="225" t="inlineStr">
        <is>
          <t>active</t>
        </is>
      </c>
      <c r="J40" s="225" t="inlineStr">
        <is>
          <t>churned</t>
        </is>
      </c>
      <c r="K40" s="225" t="inlineStr">
        <is>
          <t>status</t>
        </is>
      </c>
      <c r="L40" s="225" t="inlineStr">
        <is>
          <t>Price too high</t>
        </is>
      </c>
      <c r="M40" s="225" t="inlineStr">
        <is>
          <t>Analytics Growth</t>
        </is>
      </c>
      <c r="N40" s="225" t="inlineStr">
        <is>
          <t>Monthly</t>
        </is>
      </c>
      <c r="O40" s="225" t="n">
        <v>22</v>
      </c>
      <c r="P40" s="225" t="n">
        <v>95</v>
      </c>
      <c r="Q40" s="225" t="n">
        <v>0</v>
      </c>
      <c r="R40" s="225">
        <f t="array" ref="R40">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
      </c>
      <c r="S40" s="224">
        <f t="array" ref="S40">IF(N40="Monthly",IFS(H40="created",O40*P40*(1-Q40/100),H40="cancelled",-(O40*P40*(1-Q40/100)),H40="seats_change",(J40-I40)*P40*(1-Q40/100),H40="price_change",(J40-I40)*O40*(1-Q40/100),H40="discount_added",-(O40*P40*(J40-I40)/100),H40="plan_upgrade",O40*(XLOOKUP(J40,$M:$M,$P:$P)-XLOOKUP(I40,$M:$M,$P:$P))*(1-Q40/100),H40="plan_downgrade",O40*(XLOOKUP(J40,$M:$M,$P:$P)-XLOOKUP(I40,$M:$M,$P:$P))*(1-Q40/100)),IFS(H40="created",O40*P40*(1-Q40/100)/12,H40="cancelled",-(O40*P40*(1-Q40/100))/12,H40="seats_change",(J40-I40)*P40*(1-Q40/100)/12,H40="price_change",(J40-I40)*O40*(1-Q40/100)/12,H40="plan_upgrade",(O40*(XLOOKUP(J40,$M:$M,$P:$P)-XLOOKUP(I40,$M:$M,$P:$P))*(1-Q40/100))/12,H40="plan_downgrade",(O40*(XLOOKUP(J40,$M:$M,$P:$P)-XLOOKUP(I40,$M:$M,$P:$P))*(1-Q40/100))/12,H40="discount_added",-(O40*P40*(J40-I40)/100)/12))</f>
        <v/>
      </c>
      <c r="T40" s="225">
        <f>IF(H40&lt;&gt;"created",0,IF(COUNTIFS($C$1:C39,$C40,$H$1:H39,"created")=0,1,0))</f>
        <v/>
      </c>
      <c r="U40" s="225">
        <f>IF(H40&lt;&gt;"cancelled",0,IF(COUNTIFS($C$2:$C$102,$C40,$H$2:$H$102,"created",$F$2:$F$102,"&lt;="&amp;F40)-COUNTIFS($C$2:$C$102,$C40,$H$2:$H$102,"cancelled",$F$2:$F$102,"&lt;="&amp;F40)=0,1,0))</f>
        <v/>
      </c>
      <c r="V40" s="225">
        <f>IF(AND(H40="created",T40=0,COUNTIFS($C$2:$C$102,$C40,$H$2:$H$102,"cancelled",$F$2:$F$102,"&lt;"&amp;F40)&gt;0,COUNTIFS($C$2:$C$102,$C40,$H$2:$H$102,"created",$F$2:$F$102,"&lt;"&amp;F40)-COUNTIFS($C$2:$C$102,$C40,$H$2:$H$102,"cancelled",$F$2:$F$102,"&lt;"&amp;F40)=0),1,0)</f>
        <v/>
      </c>
    </row>
    <row r="41" hidden="1" ht="14.25" customHeight="1" s="281">
      <c r="A41" s="225" t="inlineStr">
        <is>
          <t>EVT040</t>
        </is>
      </c>
      <c r="B41" s="225" t="inlineStr">
        <is>
          <t>SUB026</t>
        </is>
      </c>
      <c r="C41" s="225" t="inlineStr">
        <is>
          <t>CUST026</t>
        </is>
      </c>
      <c r="D41" s="225" t="inlineStr">
        <is>
          <t>Ontario Education Connect</t>
        </is>
      </c>
      <c r="E41" s="225" t="inlineStr">
        <is>
          <t>Eastern Canada</t>
        </is>
      </c>
      <c r="F41" s="222" t="n">
        <v>45627</v>
      </c>
      <c r="G41" s="223" t="n">
        <v>45649</v>
      </c>
      <c r="H41" s="225" t="inlineStr">
        <is>
          <t>created</t>
        </is>
      </c>
      <c r="M41" s="225" t="inlineStr">
        <is>
          <t>Analytics Growth</t>
        </is>
      </c>
      <c r="N41" s="225" t="inlineStr">
        <is>
          <t>Monthly</t>
        </is>
      </c>
      <c r="O41" s="225" t="n">
        <v>16</v>
      </c>
      <c r="P41" s="225" t="n">
        <v>95</v>
      </c>
      <c r="Q41" s="225" t="n">
        <v>0</v>
      </c>
      <c r="R41" s="225">
        <f t="array" ref="R41">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
      </c>
      <c r="S41" s="224">
        <f t="array" ref="S41">IF(N41="Monthly",IFS(H41="created",O41*P41*(1-Q41/100),H41="cancelled",-(O41*P41*(1-Q41/100)),H41="seats_change",(J41-I41)*P41*(1-Q41/100),H41="price_change",(J41-I41)*O41*(1-Q41/100),H41="discount_added",-(O41*P41*(J41-I41)/100),H41="plan_upgrade",O41*(XLOOKUP(J41,$M:$M,$P:$P)-XLOOKUP(I41,$M:$M,$P:$P))*(1-Q41/100),H41="plan_downgrade",O41*(XLOOKUP(J41,$M:$M,$P:$P)-XLOOKUP(I41,$M:$M,$P:$P))*(1-Q41/100)),IFS(H41="created",O41*P41*(1-Q41/100)/12,H41="cancelled",-(O41*P41*(1-Q41/100))/12,H41="seats_change",(J41-I41)*P41*(1-Q41/100)/12,H41="price_change",(J41-I41)*O41*(1-Q41/100)/12,H41="plan_upgrade",(O41*(XLOOKUP(J41,$M:$M,$P:$P)-XLOOKUP(I41,$M:$M,$P:$P))*(1-Q41/100))/12,H41="plan_downgrade",(O41*(XLOOKUP(J41,$M:$M,$P:$P)-XLOOKUP(I41,$M:$M,$P:$P))*(1-Q41/100))/12,H41="discount_added",-(O41*P41*(J41-I41)/100)/12))</f>
        <v/>
      </c>
      <c r="T41" s="225">
        <f>IF(H41&lt;&gt;"created",0,IF(COUNTIFS($C$1:C40,$C41,$H$1:H40,"created")=0,1,0))</f>
        <v/>
      </c>
      <c r="U41" s="225">
        <f>IF(H41&lt;&gt;"cancelled",0,IF(COUNTIFS($C$2:$C$102,$C41,$H$2:$H$102,"created",$F$2:$F$102,"&lt;="&amp;F41)-COUNTIFS($C$2:$C$102,$C41,$H$2:$H$102,"cancelled",$F$2:$F$102,"&lt;="&amp;F41)=0,1,0))</f>
        <v/>
      </c>
      <c r="V41" s="225">
        <f>IF(AND(H41="created",T41=0,COUNTIFS($C$2:$C$102,$C41,$H$2:$H$102,"cancelled",$F$2:$F$102,"&lt;"&amp;F41)&gt;0,COUNTIFS($C$2:$C$102,$C41,$H$2:$H$102,"created",$F$2:$F$102,"&lt;"&amp;F41)-COUNTIFS($C$2:$C$102,$C41,$H$2:$H$102,"cancelled",$F$2:$F$102,"&lt;"&amp;F41)=0),1,0)</f>
        <v/>
      </c>
    </row>
    <row r="42" hidden="1" ht="14.25" customHeight="1" s="281">
      <c r="A42" s="225" t="inlineStr">
        <is>
          <t>EVT041</t>
        </is>
      </c>
      <c r="B42" s="225" t="inlineStr">
        <is>
          <t>SUB027</t>
        </is>
      </c>
      <c r="C42" s="225" t="inlineStr">
        <is>
          <t>CUST027</t>
        </is>
      </c>
      <c r="D42" s="225" t="inlineStr">
        <is>
          <t>Pacific Finance Corp</t>
        </is>
      </c>
      <c r="E42" s="225" t="inlineStr">
        <is>
          <t>Western Canada</t>
        </is>
      </c>
      <c r="F42" s="222" t="n">
        <v>45658</v>
      </c>
      <c r="G42" s="223" t="n">
        <v>45663</v>
      </c>
      <c r="H42" s="225" t="inlineStr">
        <is>
          <t>created</t>
        </is>
      </c>
      <c r="M42" s="225" t="inlineStr">
        <is>
          <t>Sales Hub</t>
        </is>
      </c>
      <c r="N42" s="225" t="inlineStr">
        <is>
          <t>Monthly</t>
        </is>
      </c>
      <c r="O42" s="225" t="n">
        <v>28</v>
      </c>
      <c r="P42" s="225" t="n">
        <v>110</v>
      </c>
      <c r="Q42" s="225" t="n">
        <v>0</v>
      </c>
      <c r="R42" s="225">
        <f t="array" ref="R42">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
      </c>
      <c r="S42" s="224">
        <f t="array" ref="S42">IF(N42="Monthly",IFS(H42="created",O42*P42*(1-Q42/100),H42="cancelled",-(O42*P42*(1-Q42/100)),H42="seats_change",(J42-I42)*P42*(1-Q42/100),H42="price_change",(J42-I42)*O42*(1-Q42/100),H42="discount_added",-(O42*P42*(J42-I42)/100),H42="plan_upgrade",O42*(XLOOKUP(J42,$M:$M,$P:$P)-XLOOKUP(I42,$M:$M,$P:$P))*(1-Q42/100),H42="plan_downgrade",O42*(XLOOKUP(J42,$M:$M,$P:$P)-XLOOKUP(I42,$M:$M,$P:$P))*(1-Q42/100)),IFS(H42="created",O42*P42*(1-Q42/100)/12,H42="cancelled",-(O42*P42*(1-Q42/100))/12,H42="seats_change",(J42-I42)*P42*(1-Q42/100)/12,H42="price_change",(J42-I42)*O42*(1-Q42/100)/12,H42="plan_upgrade",(O42*(XLOOKUP(J42,$M:$M,$P:$P)-XLOOKUP(I42,$M:$M,$P:$P))*(1-Q42/100))/12,H42="plan_downgrade",(O42*(XLOOKUP(J42,$M:$M,$P:$P)-XLOOKUP(I42,$M:$M,$P:$P))*(1-Q42/100))/12,H42="discount_added",-(O42*P42*(J42-I42)/100)/12))</f>
        <v/>
      </c>
      <c r="T42" s="225">
        <f>IF(H42&lt;&gt;"created",0,IF(COUNTIFS($C$1:C41,$C42,$H$1:H41,"created")=0,1,0))</f>
        <v/>
      </c>
      <c r="U42" s="225">
        <f>IF(H42&lt;&gt;"cancelled",0,IF(COUNTIFS($C$2:$C$102,$C42,$H$2:$H$102,"created",$F$2:$F$102,"&lt;="&amp;F42)-COUNTIFS($C$2:$C$102,$C42,$H$2:$H$102,"cancelled",$F$2:$F$102,"&lt;="&amp;F42)=0,1,0))</f>
        <v/>
      </c>
      <c r="V42" s="225">
        <f>IF(AND(H42="created",T42=0,COUNTIFS($C$2:$C$102,$C42,$H$2:$H$102,"cancelled",$F$2:$F$102,"&lt;"&amp;F42)&gt;0,COUNTIFS($C$2:$C$102,$C42,$H$2:$H$102,"created",$F$2:$F$102,"&lt;"&amp;F42)-COUNTIFS($C$2:$C$102,$C42,$H$2:$H$102,"cancelled",$F$2:$F$102,"&lt;"&amp;F42)=0),1,0)</f>
        <v/>
      </c>
    </row>
    <row r="43" hidden="1" ht="14.25" customHeight="1" s="281">
      <c r="A43" s="225" t="inlineStr">
        <is>
          <t>EVT042</t>
        </is>
      </c>
      <c r="B43" s="225" t="inlineStr">
        <is>
          <t>SUB014</t>
        </is>
      </c>
      <c r="C43" s="225" t="inlineStr">
        <is>
          <t>CUST014</t>
        </is>
      </c>
      <c r="D43" s="225" t="inlineStr">
        <is>
          <t>Toronto Media Group</t>
        </is>
      </c>
      <c r="E43" s="225" t="inlineStr">
        <is>
          <t>Eastern Canada</t>
        </is>
      </c>
      <c r="F43" s="222" t="n">
        <v>45658</v>
      </c>
      <c r="G43" s="223" t="n">
        <v>45665</v>
      </c>
      <c r="H43" s="225" t="inlineStr">
        <is>
          <t>price_change</t>
        </is>
      </c>
      <c r="I43" s="225" t="n">
        <v>80</v>
      </c>
      <c r="J43" s="225" t="n">
        <v>85</v>
      </c>
      <c r="K43" s="225" t="inlineStr">
        <is>
          <t>price_per_seat</t>
        </is>
      </c>
      <c r="L43" s="225" t="inlineStr">
        <is>
          <t>Annual price increase applied at renewal</t>
        </is>
      </c>
      <c r="M43" s="225" t="inlineStr">
        <is>
          <t>Marketing Pro</t>
        </is>
      </c>
      <c r="N43" s="225" t="inlineStr">
        <is>
          <t>Monthly</t>
        </is>
      </c>
      <c r="O43" s="225" t="n">
        <v>28</v>
      </c>
      <c r="P43" s="225" t="n">
        <v>85</v>
      </c>
      <c r="Q43" s="225" t="n">
        <v>0</v>
      </c>
      <c r="R43" s="225">
        <f t="array" ref="R43">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
      </c>
      <c r="S43" s="224">
        <f t="array" ref="S43">IF(N43="Monthly",IFS(H43="created",O43*P43*(1-Q43/100),H43="cancelled",-(O43*P43*(1-Q43/100)),H43="seats_change",(J43-I43)*P43*(1-Q43/100),H43="price_change",(J43-I43)*O43*(1-Q43/100),H43="discount_added",-(O43*P43*(J43-I43)/100),H43="plan_upgrade",O43*(XLOOKUP(J43,$M:$M,$P:$P)-XLOOKUP(I43,$M:$M,$P:$P))*(1-Q43/100),H43="plan_downgrade",O43*(XLOOKUP(J43,$M:$M,$P:$P)-XLOOKUP(I43,$M:$M,$P:$P))*(1-Q43/100)),IFS(H43="created",O43*P43*(1-Q43/100)/12,H43="cancelled",-(O43*P43*(1-Q43/100))/12,H43="seats_change",(J43-I43)*P43*(1-Q43/100)/12,H43="price_change",(J43-I43)*O43*(1-Q43/100)/12,H43="plan_upgrade",(O43*(XLOOKUP(J43,$M:$M,$P:$P)-XLOOKUP(I43,$M:$M,$P:$P))*(1-Q43/100))/12,H43="plan_downgrade",(O43*(XLOOKUP(J43,$M:$M,$P:$P)-XLOOKUP(I43,$M:$M,$P:$P))*(1-Q43/100))/12,H43="discount_added",-(O43*P43*(J43-I43)/100)/12))</f>
        <v/>
      </c>
      <c r="T43" s="225">
        <f>IF(H43&lt;&gt;"created",0,IF(COUNTIFS($C$1:C42,$C43,$H$1:H42,"created")=0,1,0))</f>
        <v/>
      </c>
      <c r="U43" s="225">
        <f>IF(H43&lt;&gt;"cancelled",0,IF(COUNTIFS($C$2:$C$102,$C43,$H$2:$H$102,"created",$F$2:$F$102,"&lt;="&amp;F43)-COUNTIFS($C$2:$C$102,$C43,$H$2:$H$102,"cancelled",$F$2:$F$102,"&lt;="&amp;F43)=0,1,0))</f>
        <v/>
      </c>
      <c r="V43" s="225">
        <f>IF(AND(H43="created",T43=0,COUNTIFS($C$2:$C$102,$C43,$H$2:$H$102,"cancelled",$F$2:$F$102,"&lt;"&amp;F43)&gt;0,COUNTIFS($C$2:$C$102,$C43,$H$2:$H$102,"created",$F$2:$F$102,"&lt;"&amp;F43)-COUNTIFS($C$2:$C$102,$C43,$H$2:$H$102,"cancelled",$F$2:$F$102,"&lt;"&amp;F43)=0),1,0)</f>
        <v/>
      </c>
    </row>
    <row r="44" hidden="1" ht="14.25" customHeight="1" s="281">
      <c r="A44" s="225" t="inlineStr">
        <is>
          <t>EVT043</t>
        </is>
      </c>
      <c r="B44" s="225" t="inlineStr">
        <is>
          <t>SUB013</t>
        </is>
      </c>
      <c r="C44" s="225" t="inlineStr">
        <is>
          <t>CUST013</t>
        </is>
      </c>
      <c r="D44" s="225" t="inlineStr">
        <is>
          <t>Alberta Tech Innovators</t>
        </is>
      </c>
      <c r="E44" s="225" t="inlineStr">
        <is>
          <t>Western Canada</t>
        </is>
      </c>
      <c r="F44" s="222" t="n">
        <v>45658</v>
      </c>
      <c r="G44" s="223" t="n">
        <v>45672</v>
      </c>
      <c r="H44" s="225" t="inlineStr">
        <is>
          <t>cancelled</t>
        </is>
      </c>
      <c r="I44" s="225" t="inlineStr">
        <is>
          <t>active</t>
        </is>
      </c>
      <c r="J44" s="225" t="inlineStr">
        <is>
          <t>churned</t>
        </is>
      </c>
      <c r="K44" s="225" t="inlineStr">
        <is>
          <t>status</t>
        </is>
      </c>
      <c r="L44" s="225" t="inlineStr">
        <is>
          <t>Switched to competitor</t>
        </is>
      </c>
      <c r="M44" s="225" t="inlineStr">
        <is>
          <t>Analytics Starter</t>
        </is>
      </c>
      <c r="N44" s="225" t="inlineStr">
        <is>
          <t>Monthly</t>
        </is>
      </c>
      <c r="O44" s="225" t="n">
        <v>10</v>
      </c>
      <c r="P44" s="225" t="n">
        <v>45</v>
      </c>
      <c r="Q44" s="225" t="n">
        <v>0</v>
      </c>
      <c r="R44" s="225">
        <f t="array" ref="R44">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
      </c>
      <c r="S44" s="224">
        <f t="array" ref="S44">IF(N44="Monthly",IFS(H44="created",O44*P44*(1-Q44/100),H44="cancelled",-(O44*P44*(1-Q44/100)),H44="seats_change",(J44-I44)*P44*(1-Q44/100),H44="price_change",(J44-I44)*O44*(1-Q44/100),H44="discount_added",-(O44*P44*(J44-I44)/100),H44="plan_upgrade",O44*(XLOOKUP(J44,$M:$M,$P:$P)-XLOOKUP(I44,$M:$M,$P:$P))*(1-Q44/100),H44="plan_downgrade",O44*(XLOOKUP(J44,$M:$M,$P:$P)-XLOOKUP(I44,$M:$M,$P:$P))*(1-Q44/100)),IFS(H44="created",O44*P44*(1-Q44/100)/12,H44="cancelled",-(O44*P44*(1-Q44/100))/12,H44="seats_change",(J44-I44)*P44*(1-Q44/100)/12,H44="price_change",(J44-I44)*O44*(1-Q44/100)/12,H44="plan_upgrade",(O44*(XLOOKUP(J44,$M:$M,$P:$P)-XLOOKUP(I44,$M:$M,$P:$P))*(1-Q44/100))/12,H44="plan_downgrade",(O44*(XLOOKUP(J44,$M:$M,$P:$P)-XLOOKUP(I44,$M:$M,$P:$P))*(1-Q44/100))/12,H44="discount_added",-(O44*P44*(J44-I44)/100)/12))</f>
        <v/>
      </c>
      <c r="T44" s="225">
        <f>IF(H44&lt;&gt;"created",0,IF(COUNTIFS($C$1:C43,$C44,$H$1:H43,"created")=0,1,0))</f>
        <v/>
      </c>
      <c r="U44" s="225">
        <f>IF(H44&lt;&gt;"cancelled",0,IF(COUNTIFS($C$2:$C$102,$C44,$H$2:$H$102,"created",$F$2:$F$102,"&lt;="&amp;F44)-COUNTIFS($C$2:$C$102,$C44,$H$2:$H$102,"cancelled",$F$2:$F$102,"&lt;="&amp;F44)=0,1,0))</f>
        <v/>
      </c>
      <c r="V44" s="225">
        <f>IF(AND(H44="created",T44=0,COUNTIFS($C$2:$C$102,$C44,$H$2:$H$102,"cancelled",$F$2:$F$102,"&lt;"&amp;F44)&gt;0,COUNTIFS($C$2:$C$102,$C44,$H$2:$H$102,"created",$F$2:$F$102,"&lt;"&amp;F44)-COUNTIFS($C$2:$C$102,$C44,$H$2:$H$102,"cancelled",$F$2:$F$102,"&lt;"&amp;F44)=0),1,0)</f>
        <v/>
      </c>
    </row>
    <row r="45" hidden="1" ht="14.25" customHeight="1" s="281">
      <c r="A45" s="225" t="inlineStr">
        <is>
          <t>EVT044</t>
        </is>
      </c>
      <c r="B45" s="225" t="inlineStr">
        <is>
          <t>SUB028</t>
        </is>
      </c>
      <c r="C45" s="225" t="inlineStr">
        <is>
          <t>CUST028</t>
        </is>
      </c>
      <c r="D45" s="225" t="inlineStr">
        <is>
          <t>Prairie SaaS Innovations</t>
        </is>
      </c>
      <c r="E45" s="225" t="inlineStr">
        <is>
          <t>Central Canada</t>
        </is>
      </c>
      <c r="F45" s="222" t="n">
        <v>45658</v>
      </c>
      <c r="G45" s="223" t="n">
        <v>45677</v>
      </c>
      <c r="H45" s="225" t="inlineStr">
        <is>
          <t>created</t>
        </is>
      </c>
      <c r="M45" s="225" t="inlineStr">
        <is>
          <t>Analytics Starter</t>
        </is>
      </c>
      <c r="N45" s="225" t="inlineStr">
        <is>
          <t>Monthly</t>
        </is>
      </c>
      <c r="O45" s="225" t="n">
        <v>15</v>
      </c>
      <c r="P45" s="225" t="n">
        <v>45</v>
      </c>
      <c r="Q45" s="225" t="n">
        <v>0</v>
      </c>
      <c r="R45" s="225">
        <f t="array" ref="R45">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
      </c>
      <c r="S45" s="224">
        <f t="array" ref="S45">IF(N45="Monthly",IFS(H45="created",O45*P45*(1-Q45/100),H45="cancelled",-(O45*P45*(1-Q45/100)),H45="seats_change",(J45-I45)*P45*(1-Q45/100),H45="price_change",(J45-I45)*O45*(1-Q45/100),H45="discount_added",-(O45*P45*(J45-I45)/100),H45="plan_upgrade",O45*(XLOOKUP(J45,$M:$M,$P:$P)-XLOOKUP(I45,$M:$M,$P:$P))*(1-Q45/100),H45="plan_downgrade",O45*(XLOOKUP(J45,$M:$M,$P:$P)-XLOOKUP(I45,$M:$M,$P:$P))*(1-Q45/100)),IFS(H45="created",O45*P45*(1-Q45/100)/12,H45="cancelled",-(O45*P45*(1-Q45/100))/12,H45="seats_change",(J45-I45)*P45*(1-Q45/100)/12,H45="price_change",(J45-I45)*O45*(1-Q45/100)/12,H45="plan_upgrade",(O45*(XLOOKUP(J45,$M:$M,$P:$P)-XLOOKUP(I45,$M:$M,$P:$P))*(1-Q45/100))/12,H45="plan_downgrade",(O45*(XLOOKUP(J45,$M:$M,$P:$P)-XLOOKUP(I45,$M:$M,$P:$P))*(1-Q45/100))/12,H45="discount_added",-(O45*P45*(J45-I45)/100)/12))</f>
        <v/>
      </c>
      <c r="T45" s="225">
        <f>IF(H45&lt;&gt;"created",0,IF(COUNTIFS($C$1:C44,$C45,$H$1:H44,"created")=0,1,0))</f>
        <v/>
      </c>
      <c r="U45" s="225">
        <f>IF(H45&lt;&gt;"cancelled",0,IF(COUNTIFS($C$2:$C$102,$C45,$H$2:$H$102,"created",$F$2:$F$102,"&lt;="&amp;F45)-COUNTIFS($C$2:$C$102,$C45,$H$2:$H$102,"cancelled",$F$2:$F$102,"&lt;="&amp;F45)=0,1,0))</f>
        <v/>
      </c>
      <c r="V45" s="225">
        <f>IF(AND(H45="created",T45=0,COUNTIFS($C$2:$C$102,$C45,$H$2:$H$102,"cancelled",$F$2:$F$102,"&lt;"&amp;F45)&gt;0,COUNTIFS($C$2:$C$102,$C45,$H$2:$H$102,"created",$F$2:$F$102,"&lt;"&amp;F45)-COUNTIFS($C$2:$C$102,$C45,$H$2:$H$102,"cancelled",$F$2:$F$102,"&lt;"&amp;F45)=0),1,0)</f>
        <v/>
      </c>
    </row>
    <row r="46" ht="14.25" customHeight="1" s="281">
      <c r="A46" s="225" t="inlineStr">
        <is>
          <t>EVT045</t>
        </is>
      </c>
      <c r="B46" s="225" t="inlineStr">
        <is>
          <t>SUB054</t>
        </is>
      </c>
      <c r="C46" s="225" t="inlineStr">
        <is>
          <t>CUST002</t>
        </is>
      </c>
      <c r="D46" s="225" t="inlineStr">
        <is>
          <t>Pacific Analytics Inc</t>
        </is>
      </c>
      <c r="E46" s="225" t="inlineStr">
        <is>
          <t>Western Canada</t>
        </is>
      </c>
      <c r="F46" s="222" t="n">
        <v>45658</v>
      </c>
      <c r="G46" s="223" t="n">
        <v>45679</v>
      </c>
      <c r="H46" s="225" t="inlineStr">
        <is>
          <t>created</t>
        </is>
      </c>
      <c r="M46" s="225" t="inlineStr">
        <is>
          <t>Analytics Growth</t>
        </is>
      </c>
      <c r="N46" s="225" t="inlineStr">
        <is>
          <t>Annual</t>
        </is>
      </c>
      <c r="O46" s="225" t="n">
        <v>22</v>
      </c>
      <c r="P46" s="225" t="n">
        <v>1140</v>
      </c>
      <c r="Q46" s="225" t="n">
        <v>5</v>
      </c>
      <c r="R46" s="225">
        <f t="array" ref="R46">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
      </c>
      <c r="S46" s="224">
        <f t="array" ref="S46">IF(N46="Monthly",IFS(H46="created",O46*P46*(1-Q46/100),H46="cancelled",-(O46*P46*(1-Q46/100)),H46="seats_change",(J46-I46)*P46*(1-Q46/100),H46="price_change",(J46-I46)*O46*(1-Q46/100),H46="discount_added",-(O46*P46*(J46-I46)/100),H46="plan_upgrade",O46*(XLOOKUP(J46,$M:$M,$P:$P)-XLOOKUP(I46,$M:$M,$P:$P))*(1-Q46/100),H46="plan_downgrade",O46*(XLOOKUP(J46,$M:$M,$P:$P)-XLOOKUP(I46,$M:$M,$P:$P))*(1-Q46/100)),IFS(H46="created",O46*P46*(1-Q46/100)/12,H46="cancelled",-(O46*P46*(1-Q46/100))/12,H46="seats_change",(J46-I46)*P46*(1-Q46/100)/12,H46="price_change",(J46-I46)*O46*(1-Q46/100)/12,H46="plan_upgrade",(O46*(XLOOKUP(J46,$M:$M,$P:$P)-XLOOKUP(I46,$M:$M,$P:$P))*(1-Q46/100))/12,H46="plan_downgrade",(O46*(XLOOKUP(J46,$M:$M,$P:$P)-XLOOKUP(I46,$M:$M,$P:$P))*(1-Q46/100))/12,H46="discount_added",-(O46*P46*(J46-I46)/100)/12))</f>
        <v/>
      </c>
      <c r="T46" s="225">
        <f>IF(H46&lt;&gt;"created",0,IF(COUNTIFS($C$1:C45,$C46,$H$1:H45,"created")=0,1,0))</f>
        <v/>
      </c>
      <c r="U46" s="225">
        <f>IF(H46&lt;&gt;"cancelled",0,IF(COUNTIFS($C$2:$C$102,$C46,$H$2:$H$102,"created",$F$2:$F$102,"&lt;="&amp;F46)-COUNTIFS($C$2:$C$102,$C46,$H$2:$H$102,"cancelled",$F$2:$F$102,"&lt;="&amp;F46)=0,1,0))</f>
        <v/>
      </c>
      <c r="V46" s="225">
        <f>IF(AND(H46="created",T46=0,COUNTIFS($C$2:$C$102,$C46,$H$2:$H$102,"cancelled",$F$2:$F$102,"&lt;"&amp;F46)&gt;0,COUNTIFS($C$2:$C$102,$C46,$H$2:$H$102,"created",$F$2:$F$102,"&lt;"&amp;F46)-COUNTIFS($C$2:$C$102,$C46,$H$2:$H$102,"cancelled",$F$2:$F$102,"&lt;"&amp;F46)=0),1,0)</f>
        <v/>
      </c>
    </row>
    <row r="47" hidden="1" ht="14.25" customHeight="1" s="281">
      <c r="A47" s="225" t="inlineStr">
        <is>
          <t>EVT046</t>
        </is>
      </c>
      <c r="B47" s="225" t="inlineStr">
        <is>
          <t>SUB057</t>
        </is>
      </c>
      <c r="C47" s="225" t="inlineStr">
        <is>
          <t>CUST021</t>
        </is>
      </c>
      <c r="D47" s="225" t="inlineStr">
        <is>
          <t>Calgary Commerce Solutions</t>
        </is>
      </c>
      <c r="E47" s="225" t="inlineStr">
        <is>
          <t>Western Canada</t>
        </is>
      </c>
      <c r="F47" s="222" t="n">
        <v>45658</v>
      </c>
      <c r="G47" s="223" t="n">
        <v>45685</v>
      </c>
      <c r="H47" s="225" t="inlineStr">
        <is>
          <t>created</t>
        </is>
      </c>
      <c r="M47" s="225" t="inlineStr">
        <is>
          <t>Platform Suite</t>
        </is>
      </c>
      <c r="N47" s="225" t="inlineStr">
        <is>
          <t>Monthly</t>
        </is>
      </c>
      <c r="O47" s="225" t="n">
        <v>28</v>
      </c>
      <c r="P47" s="225" t="n">
        <v>150</v>
      </c>
      <c r="Q47" s="225" t="n">
        <v>0</v>
      </c>
      <c r="R47" s="225">
        <f t="array" ref="R47">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
      </c>
      <c r="S47" s="224">
        <f t="array" ref="S47">IF(N47="Monthly",IFS(H47="created",O47*P47*(1-Q47/100),H47="cancelled",-(O47*P47*(1-Q47/100)),H47="seats_change",(J47-I47)*P47*(1-Q47/100),H47="price_change",(J47-I47)*O47*(1-Q47/100),H47="discount_added",-(O47*P47*(J47-I47)/100),H47="plan_upgrade",O47*(XLOOKUP(J47,$M:$M,$P:$P)-XLOOKUP(I47,$M:$M,$P:$P))*(1-Q47/100),H47="plan_downgrade",O47*(XLOOKUP(J47,$M:$M,$P:$P)-XLOOKUP(I47,$M:$M,$P:$P))*(1-Q47/100)),IFS(H47="created",O47*P47*(1-Q47/100)/12,H47="cancelled",-(O47*P47*(1-Q47/100))/12,H47="seats_change",(J47-I47)*P47*(1-Q47/100)/12,H47="price_change",(J47-I47)*O47*(1-Q47/100)/12,H47="plan_upgrade",(O47*(XLOOKUP(J47,$M:$M,$P:$P)-XLOOKUP(I47,$M:$M,$P:$P))*(1-Q47/100))/12,H47="plan_downgrade",(O47*(XLOOKUP(J47,$M:$M,$P:$P)-XLOOKUP(I47,$M:$M,$P:$P))*(1-Q47/100))/12,H47="discount_added",-(O47*P47*(J47-I47)/100)/12))</f>
        <v/>
      </c>
      <c r="T47" s="225">
        <f>IF(H47&lt;&gt;"created",0,IF(COUNTIFS($C$1:C46,$C47,$H$1:H46,"created")=0,1,0))</f>
        <v/>
      </c>
      <c r="U47" s="225">
        <f>IF(H47&lt;&gt;"cancelled",0,IF(COUNTIFS($C$2:$C$102,$C47,$H$2:$H$102,"created",$F$2:$F$102,"&lt;="&amp;F47)-COUNTIFS($C$2:$C$102,$C47,$H$2:$H$102,"cancelled",$F$2:$F$102,"&lt;="&amp;F47)=0,1,0))</f>
        <v/>
      </c>
      <c r="V47" s="225">
        <f>IF(AND(H47="created",T47=0,COUNTIFS($C$2:$C$102,$C47,$H$2:$H$102,"cancelled",$F$2:$F$102,"&lt;"&amp;F47)&gt;0,COUNTIFS($C$2:$C$102,$C47,$H$2:$H$102,"created",$F$2:$F$102,"&lt;"&amp;F47)-COUNTIFS($C$2:$C$102,$C47,$H$2:$H$102,"cancelled",$F$2:$F$102,"&lt;"&amp;F47)=0),1,0)</f>
        <v/>
      </c>
    </row>
    <row r="48" hidden="1" ht="14.25" customHeight="1" s="281">
      <c r="A48" s="225" t="inlineStr">
        <is>
          <t>EVT047</t>
        </is>
      </c>
      <c r="B48" s="225" t="inlineStr">
        <is>
          <t>SUB029</t>
        </is>
      </c>
      <c r="C48" s="225" t="inlineStr">
        <is>
          <t>CUST029</t>
        </is>
      </c>
      <c r="D48" s="225" t="inlineStr">
        <is>
          <t>Halifax Healthcare Tech</t>
        </is>
      </c>
      <c r="E48" s="225" t="inlineStr">
        <is>
          <t>Eastern Canada</t>
        </is>
      </c>
      <c r="F48" s="222" t="n">
        <v>45689</v>
      </c>
      <c r="G48" s="223" t="n">
        <v>45691</v>
      </c>
      <c r="H48" s="225" t="inlineStr">
        <is>
          <t>created</t>
        </is>
      </c>
      <c r="M48" s="225" t="inlineStr">
        <is>
          <t>Marketing Pro</t>
        </is>
      </c>
      <c r="N48" s="225" t="inlineStr">
        <is>
          <t>Monthly</t>
        </is>
      </c>
      <c r="O48" s="225" t="n">
        <v>22</v>
      </c>
      <c r="P48" s="225" t="n">
        <v>85</v>
      </c>
      <c r="Q48" s="225" t="n">
        <v>0</v>
      </c>
      <c r="R48" s="225">
        <f t="array" ref="R48">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
      </c>
      <c r="S48" s="224">
        <f t="array" ref="S48">IF(N48="Monthly",IFS(H48="created",O48*P48*(1-Q48/100),H48="cancelled",-(O48*P48*(1-Q48/100)),H48="seats_change",(J48-I48)*P48*(1-Q48/100),H48="price_change",(J48-I48)*O48*(1-Q48/100),H48="discount_added",-(O48*P48*(J48-I48)/100),H48="plan_upgrade",O48*(XLOOKUP(J48,$M:$M,$P:$P)-XLOOKUP(I48,$M:$M,$P:$P))*(1-Q48/100),H48="plan_downgrade",O48*(XLOOKUP(J48,$M:$M,$P:$P)-XLOOKUP(I48,$M:$M,$P:$P))*(1-Q48/100)),IFS(H48="created",O48*P48*(1-Q48/100)/12,H48="cancelled",-(O48*P48*(1-Q48/100))/12,H48="seats_change",(J48-I48)*P48*(1-Q48/100)/12,H48="price_change",(J48-I48)*O48*(1-Q48/100)/12,H48="plan_upgrade",(O48*(XLOOKUP(J48,$M:$M,$P:$P)-XLOOKUP(I48,$M:$M,$P:$P))*(1-Q48/100))/12,H48="plan_downgrade",(O48*(XLOOKUP(J48,$M:$M,$P:$P)-XLOOKUP(I48,$M:$M,$P:$P))*(1-Q48/100))/12,H48="discount_added",-(O48*P48*(J48-I48)/100)/12))</f>
        <v/>
      </c>
      <c r="T48" s="225">
        <f>IF(H48&lt;&gt;"created",0,IF(COUNTIFS($C$1:C47,$C48,$H$1:H47,"created")=0,1,0))</f>
        <v/>
      </c>
      <c r="U48" s="225">
        <f>IF(H48&lt;&gt;"cancelled",0,IF(COUNTIFS($C$2:$C$102,$C48,$H$2:$H$102,"created",$F$2:$F$102,"&lt;="&amp;F48)-COUNTIFS($C$2:$C$102,$C48,$H$2:$H$102,"cancelled",$F$2:$F$102,"&lt;="&amp;F48)=0,1,0))</f>
        <v/>
      </c>
      <c r="V48" s="225">
        <f>IF(AND(H48="created",T48=0,COUNTIFS($C$2:$C$102,$C48,$H$2:$H$102,"cancelled",$F$2:$F$102,"&lt;"&amp;F48)&gt;0,COUNTIFS($C$2:$C$102,$C48,$H$2:$H$102,"created",$F$2:$F$102,"&lt;"&amp;F48)-COUNTIFS($C$2:$C$102,$C48,$H$2:$H$102,"cancelled",$F$2:$F$102,"&lt;"&amp;F48)=0),1,0)</f>
        <v/>
      </c>
    </row>
    <row r="49" hidden="1" ht="14.25" customHeight="1" s="281">
      <c r="A49" s="225" t="inlineStr">
        <is>
          <t>EVT048</t>
        </is>
      </c>
      <c r="B49" s="225" t="inlineStr">
        <is>
          <t>SUB045</t>
        </is>
      </c>
      <c r="C49" s="225" t="inlineStr">
        <is>
          <t>CUST010</t>
        </is>
      </c>
      <c r="D49" s="225" t="inlineStr">
        <is>
          <t>Montreal Finance Hub</t>
        </is>
      </c>
      <c r="E49" s="225" t="inlineStr">
        <is>
          <t>Eastern Canada</t>
        </is>
      </c>
      <c r="F49" s="222" t="n">
        <v>45689</v>
      </c>
      <c r="G49" s="223" t="n">
        <v>45696</v>
      </c>
      <c r="H49" s="225" t="inlineStr">
        <is>
          <t>created</t>
        </is>
      </c>
      <c r="M49" s="225" t="inlineStr">
        <is>
          <t>Marketing Pro</t>
        </is>
      </c>
      <c r="N49" s="225" t="inlineStr">
        <is>
          <t>Monthly</t>
        </is>
      </c>
      <c r="O49" s="225" t="n">
        <v>13</v>
      </c>
      <c r="P49" s="225" t="n">
        <v>85</v>
      </c>
      <c r="Q49" s="225" t="n">
        <v>0</v>
      </c>
      <c r="R49" s="225">
        <f t="array" ref="R49">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
      </c>
      <c r="S49" s="224">
        <f t="array" ref="S49">IF(N49="Monthly",IFS(H49="created",O49*P49*(1-Q49/100),H49="cancelled",-(O49*P49*(1-Q49/100)),H49="seats_change",(J49-I49)*P49*(1-Q49/100),H49="price_change",(J49-I49)*O49*(1-Q49/100),H49="discount_added",-(O49*P49*(J49-I49)/100),H49="plan_upgrade",O49*(XLOOKUP(J49,$M:$M,$P:$P)-XLOOKUP(I49,$M:$M,$P:$P))*(1-Q49/100),H49="plan_downgrade",O49*(XLOOKUP(J49,$M:$M,$P:$P)-XLOOKUP(I49,$M:$M,$P:$P))*(1-Q49/100)),IFS(H49="created",O49*P49*(1-Q49/100)/12,H49="cancelled",-(O49*P49*(1-Q49/100))/12,H49="seats_change",(J49-I49)*P49*(1-Q49/100)/12,H49="price_change",(J49-I49)*O49*(1-Q49/100)/12,H49="plan_upgrade",(O49*(XLOOKUP(J49,$M:$M,$P:$P)-XLOOKUP(I49,$M:$M,$P:$P))*(1-Q49/100))/12,H49="plan_downgrade",(O49*(XLOOKUP(J49,$M:$M,$P:$P)-XLOOKUP(I49,$M:$M,$P:$P))*(1-Q49/100))/12,H49="discount_added",-(O49*P49*(J49-I49)/100)/12))</f>
        <v/>
      </c>
      <c r="T49" s="225">
        <f>IF(H49&lt;&gt;"created",0,IF(COUNTIFS($C$1:C48,$C49,$H$1:H48,"created")=0,1,0))</f>
        <v/>
      </c>
      <c r="U49" s="225">
        <f>IF(H49&lt;&gt;"cancelled",0,IF(COUNTIFS($C$2:$C$102,$C49,$H$2:$H$102,"created",$F$2:$F$102,"&lt;="&amp;F49)-COUNTIFS($C$2:$C$102,$C49,$H$2:$H$102,"cancelled",$F$2:$F$102,"&lt;="&amp;F49)=0,1,0))</f>
        <v/>
      </c>
      <c r="V49" s="225">
        <f>IF(AND(H49="created",T49=0,COUNTIFS($C$2:$C$102,$C49,$H$2:$H$102,"cancelled",$F$2:$F$102,"&lt;"&amp;F49)&gt;0,COUNTIFS($C$2:$C$102,$C49,$H$2:$H$102,"created",$F$2:$F$102,"&lt;"&amp;F49)-COUNTIFS($C$2:$C$102,$C49,$H$2:$H$102,"cancelled",$F$2:$F$102,"&lt;"&amp;F49)=0),1,0)</f>
        <v/>
      </c>
    </row>
    <row r="50" hidden="1" ht="14.25" customHeight="1" s="281">
      <c r="A50" s="225" t="inlineStr">
        <is>
          <t>EVT049</t>
        </is>
      </c>
      <c r="B50" s="225" t="inlineStr">
        <is>
          <t>SUB051</t>
        </is>
      </c>
      <c r="C50" s="225" t="inlineStr">
        <is>
          <t>CUST014</t>
        </is>
      </c>
      <c r="D50" s="225" t="inlineStr">
        <is>
          <t>Toronto Media Group</t>
        </is>
      </c>
      <c r="E50" s="225" t="inlineStr">
        <is>
          <t>Eastern Canada</t>
        </is>
      </c>
      <c r="F50" s="222" t="n">
        <v>45689</v>
      </c>
      <c r="G50" s="223" t="n">
        <v>45698</v>
      </c>
      <c r="H50" s="225" t="inlineStr">
        <is>
          <t>created</t>
        </is>
      </c>
      <c r="M50" s="225" t="inlineStr">
        <is>
          <t>Sales Hub</t>
        </is>
      </c>
      <c r="N50" s="225" t="inlineStr">
        <is>
          <t>Monthly</t>
        </is>
      </c>
      <c r="O50" s="225" t="n">
        <v>23</v>
      </c>
      <c r="P50" s="225" t="n">
        <v>110</v>
      </c>
      <c r="Q50" s="225" t="n">
        <v>0</v>
      </c>
      <c r="R50" s="225">
        <f t="array" ref="R50">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
      </c>
      <c r="S50" s="224">
        <f t="array" ref="S50">IF(N50="Monthly",IFS(H50="created",O50*P50*(1-Q50/100),H50="cancelled",-(O50*P50*(1-Q50/100)),H50="seats_change",(J50-I50)*P50*(1-Q50/100),H50="price_change",(J50-I50)*O50*(1-Q50/100),H50="discount_added",-(O50*P50*(J50-I50)/100),H50="plan_upgrade",O50*(XLOOKUP(J50,$M:$M,$P:$P)-XLOOKUP(I50,$M:$M,$P:$P))*(1-Q50/100),H50="plan_downgrade",O50*(XLOOKUP(J50,$M:$M,$P:$P)-XLOOKUP(I50,$M:$M,$P:$P))*(1-Q50/100)),IFS(H50="created",O50*P50*(1-Q50/100)/12,H50="cancelled",-(O50*P50*(1-Q50/100))/12,H50="seats_change",(J50-I50)*P50*(1-Q50/100)/12,H50="price_change",(J50-I50)*O50*(1-Q50/100)/12,H50="plan_upgrade",(O50*(XLOOKUP(J50,$M:$M,$P:$P)-XLOOKUP(I50,$M:$M,$P:$P))*(1-Q50/100))/12,H50="plan_downgrade",(O50*(XLOOKUP(J50,$M:$M,$P:$P)-XLOOKUP(I50,$M:$M,$P:$P))*(1-Q50/100))/12,H50="discount_added",-(O50*P50*(J50-I50)/100)/12))</f>
        <v/>
      </c>
      <c r="T50" s="225">
        <f>IF(H50&lt;&gt;"created",0,IF(COUNTIFS($C$1:C49,$C50,$H$1:H49,"created")=0,1,0))</f>
        <v/>
      </c>
      <c r="U50" s="225">
        <f>IF(H50&lt;&gt;"cancelled",0,IF(COUNTIFS($C$2:$C$102,$C50,$H$2:$H$102,"created",$F$2:$F$102,"&lt;="&amp;F50)-COUNTIFS($C$2:$C$102,$C50,$H$2:$H$102,"cancelled",$F$2:$F$102,"&lt;="&amp;F50)=0,1,0))</f>
        <v/>
      </c>
      <c r="V50" s="225">
        <f>IF(AND(H50="created",T50=0,COUNTIFS($C$2:$C$102,$C50,$H$2:$H$102,"cancelled",$F$2:$F$102,"&lt;"&amp;F50)&gt;0,COUNTIFS($C$2:$C$102,$C50,$H$2:$H$102,"created",$F$2:$F$102,"&lt;"&amp;F50)-COUNTIFS($C$2:$C$102,$C50,$H$2:$H$102,"cancelled",$F$2:$F$102,"&lt;"&amp;F50)=0),1,0)</f>
        <v/>
      </c>
    </row>
    <row r="51" hidden="1" ht="14.25" customHeight="1" s="281">
      <c r="A51" s="225" t="inlineStr">
        <is>
          <t>EVT050</t>
        </is>
      </c>
      <c r="B51" s="225" t="inlineStr">
        <is>
          <t>SUB030</t>
        </is>
      </c>
      <c r="C51" s="225" t="inlineStr">
        <is>
          <t>CUST030</t>
        </is>
      </c>
      <c r="D51" s="225" t="inlineStr">
        <is>
          <t>Alberta E-commerce Hub</t>
        </is>
      </c>
      <c r="E51" s="225" t="inlineStr">
        <is>
          <t>Western Canada</t>
        </is>
      </c>
      <c r="F51" s="222" t="n">
        <v>45689</v>
      </c>
      <c r="G51" s="223" t="n">
        <v>45705</v>
      </c>
      <c r="H51" s="225" t="inlineStr">
        <is>
          <t>created</t>
        </is>
      </c>
      <c r="M51" s="225" t="inlineStr">
        <is>
          <t>Analytics Growth</t>
        </is>
      </c>
      <c r="N51" s="225" t="inlineStr">
        <is>
          <t>Monthly</t>
        </is>
      </c>
      <c r="O51" s="225" t="n">
        <v>20</v>
      </c>
      <c r="P51" s="225" t="n">
        <v>95</v>
      </c>
      <c r="Q51" s="225" t="n">
        <v>0</v>
      </c>
      <c r="R51" s="225">
        <f t="array" ref="R51">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
      </c>
      <c r="S51" s="224">
        <f t="array" ref="S51">IF(N51="Monthly",IFS(H51="created",O51*P51*(1-Q51/100),H51="cancelled",-(O51*P51*(1-Q51/100)),H51="seats_change",(J51-I51)*P51*(1-Q51/100),H51="price_change",(J51-I51)*O51*(1-Q51/100),H51="discount_added",-(O51*P51*(J51-I51)/100),H51="plan_upgrade",O51*(XLOOKUP(J51,$M:$M,$P:$P)-XLOOKUP(I51,$M:$M,$P:$P))*(1-Q51/100),H51="plan_downgrade",O51*(XLOOKUP(J51,$M:$M,$P:$P)-XLOOKUP(I51,$M:$M,$P:$P))*(1-Q51/100)),IFS(H51="created",O51*P51*(1-Q51/100)/12,H51="cancelled",-(O51*P51*(1-Q51/100))/12,H51="seats_change",(J51-I51)*P51*(1-Q51/100)/12,H51="price_change",(J51-I51)*O51*(1-Q51/100)/12,H51="plan_upgrade",(O51*(XLOOKUP(J51,$M:$M,$P:$P)-XLOOKUP(I51,$M:$M,$P:$P))*(1-Q51/100))/12,H51="plan_downgrade",(O51*(XLOOKUP(J51,$M:$M,$P:$P)-XLOOKUP(I51,$M:$M,$P:$P))*(1-Q51/100))/12,H51="discount_added",-(O51*P51*(J51-I51)/100)/12))</f>
        <v/>
      </c>
      <c r="T51" s="225">
        <f>IF(H51&lt;&gt;"created",0,IF(COUNTIFS($C$1:C50,$C51,$H$1:H50,"created")=0,1,0))</f>
        <v/>
      </c>
      <c r="U51" s="225">
        <f>IF(H51&lt;&gt;"cancelled",0,IF(COUNTIFS($C$2:$C$102,$C51,$H$2:$H$102,"created",$F$2:$F$102,"&lt;="&amp;F51)-COUNTIFS($C$2:$C$102,$C51,$H$2:$H$102,"cancelled",$F$2:$F$102,"&lt;="&amp;F51)=0,1,0))</f>
        <v/>
      </c>
      <c r="V51" s="225">
        <f>IF(AND(H51="created",T51=0,COUNTIFS($C$2:$C$102,$C51,$H$2:$H$102,"cancelled",$F$2:$F$102,"&lt;"&amp;F51)&gt;0,COUNTIFS($C$2:$C$102,$C51,$H$2:$H$102,"created",$F$2:$F$102,"&lt;"&amp;F51)-COUNTIFS($C$2:$C$102,$C51,$H$2:$H$102,"cancelled",$F$2:$F$102,"&lt;"&amp;F51)=0),1,0)</f>
        <v/>
      </c>
    </row>
    <row r="52" ht="14.25" customHeight="1" s="281">
      <c r="A52" s="225" t="inlineStr">
        <is>
          <t>EVT051</t>
        </is>
      </c>
      <c r="B52" s="225" t="inlineStr">
        <is>
          <t>SUB031</t>
        </is>
      </c>
      <c r="C52" s="225" t="inlineStr">
        <is>
          <t>CUST031</t>
        </is>
      </c>
      <c r="D52" s="225" t="inlineStr">
        <is>
          <t>Toronto Digital Media</t>
        </is>
      </c>
      <c r="E52" s="225" t="inlineStr">
        <is>
          <t>Eastern Canada</t>
        </is>
      </c>
      <c r="F52" s="222" t="n">
        <v>45717</v>
      </c>
      <c r="G52" s="223" t="n">
        <v>45719</v>
      </c>
      <c r="H52" s="225" t="inlineStr">
        <is>
          <t>created</t>
        </is>
      </c>
      <c r="M52" s="225" t="inlineStr">
        <is>
          <t>Platform Suite</t>
        </is>
      </c>
      <c r="N52" s="225" t="inlineStr">
        <is>
          <t>Annual</t>
        </is>
      </c>
      <c r="O52" s="225" t="n">
        <v>45</v>
      </c>
      <c r="P52" s="225" t="n">
        <v>1800</v>
      </c>
      <c r="Q52" s="225" t="n">
        <v>0</v>
      </c>
      <c r="R52" s="225">
        <f t="array" ref="R52">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
      </c>
      <c r="S52" s="224">
        <f t="array" ref="S52">IF(N52="Monthly",IFS(H52="created",O52*P52*(1-Q52/100),H52="cancelled",-(O52*P52*(1-Q52/100)),H52="seats_change",(J52-I52)*P52*(1-Q52/100),H52="price_change",(J52-I52)*O52*(1-Q52/100),H52="discount_added",-(O52*P52*(J52-I52)/100),H52="plan_upgrade",O52*(XLOOKUP(J52,$M:$M,$P:$P)-XLOOKUP(I52,$M:$M,$P:$P))*(1-Q52/100),H52="plan_downgrade",O52*(XLOOKUP(J52,$M:$M,$P:$P)-XLOOKUP(I52,$M:$M,$P:$P))*(1-Q52/100)),IFS(H52="created",O52*P52*(1-Q52/100)/12,H52="cancelled",-(O52*P52*(1-Q52/100))/12,H52="seats_change",(J52-I52)*P52*(1-Q52/100)/12,H52="price_change",(J52-I52)*O52*(1-Q52/100)/12,H52="plan_upgrade",(O52*(XLOOKUP(J52,$M:$M,$P:$P)-XLOOKUP(I52,$M:$M,$P:$P))*(1-Q52/100))/12,H52="plan_downgrade",(O52*(XLOOKUP(J52,$M:$M,$P:$P)-XLOOKUP(I52,$M:$M,$P:$P))*(1-Q52/100))/12,H52="discount_added",-(O52*P52*(J52-I52)/100)/12))</f>
        <v/>
      </c>
      <c r="T52" s="225">
        <f>IF(H52&lt;&gt;"created",0,IF(COUNTIFS($C$1:C51,$C52,$H$1:H51,"created")=0,1,0))</f>
        <v/>
      </c>
      <c r="U52" s="225">
        <f>IF(H52&lt;&gt;"cancelled",0,IF(COUNTIFS($C$2:$C$102,$C52,$H$2:$H$102,"created",$F$2:$F$102,"&lt;="&amp;F52)-COUNTIFS($C$2:$C$102,$C52,$H$2:$H$102,"cancelled",$F$2:$F$102,"&lt;="&amp;F52)=0,1,0))</f>
        <v/>
      </c>
      <c r="V52" s="225">
        <f>IF(AND(H52="created",T52=0,COUNTIFS($C$2:$C$102,$C52,$H$2:$H$102,"cancelled",$F$2:$F$102,"&lt;"&amp;F52)&gt;0,COUNTIFS($C$2:$C$102,$C52,$H$2:$H$102,"created",$F$2:$F$102,"&lt;"&amp;F52)-COUNTIFS($C$2:$C$102,$C52,$H$2:$H$102,"cancelled",$F$2:$F$102,"&lt;"&amp;F52)=0),1,0)</f>
        <v/>
      </c>
    </row>
    <row r="53" hidden="1" ht="14.25" customHeight="1" s="281">
      <c r="A53" s="225" t="inlineStr">
        <is>
          <t>EVT052</t>
        </is>
      </c>
      <c r="B53" s="225" t="inlineStr">
        <is>
          <t>SUB058</t>
        </is>
      </c>
      <c r="C53" s="225" t="inlineStr">
        <is>
          <t>CUST024</t>
        </is>
      </c>
      <c r="D53" s="225" t="inlineStr">
        <is>
          <t>Western Retail Group</t>
        </is>
      </c>
      <c r="E53" s="225" t="inlineStr">
        <is>
          <t>Western Canada</t>
        </is>
      </c>
      <c r="F53" s="222" t="n">
        <v>45717</v>
      </c>
      <c r="G53" s="223" t="n">
        <v>45724</v>
      </c>
      <c r="H53" s="225" t="inlineStr">
        <is>
          <t>created</t>
        </is>
      </c>
      <c r="M53" s="225" t="inlineStr">
        <is>
          <t>Sales Hub</t>
        </is>
      </c>
      <c r="N53" s="225" t="inlineStr">
        <is>
          <t>Monthly</t>
        </is>
      </c>
      <c r="O53" s="225" t="n">
        <v>26</v>
      </c>
      <c r="P53" s="225" t="n">
        <v>110</v>
      </c>
      <c r="Q53" s="225" t="n">
        <v>0</v>
      </c>
      <c r="R53" s="225">
        <f t="array" ref="R53">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
      </c>
      <c r="S53" s="224">
        <f t="array" ref="S53">IF(N53="Monthly",IFS(H53="created",O53*P53*(1-Q53/100),H53="cancelled",-(O53*P53*(1-Q53/100)),H53="seats_change",(J53-I53)*P53*(1-Q53/100),H53="price_change",(J53-I53)*O53*(1-Q53/100),H53="discount_added",-(O53*P53*(J53-I53)/100),H53="plan_upgrade",O53*(XLOOKUP(J53,$M:$M,$P:$P)-XLOOKUP(I53,$M:$M,$P:$P))*(1-Q53/100),H53="plan_downgrade",O53*(XLOOKUP(J53,$M:$M,$P:$P)-XLOOKUP(I53,$M:$M,$P:$P))*(1-Q53/100)),IFS(H53="created",O53*P53*(1-Q53/100)/12,H53="cancelled",-(O53*P53*(1-Q53/100))/12,H53="seats_change",(J53-I53)*P53*(1-Q53/100)/12,H53="price_change",(J53-I53)*O53*(1-Q53/100)/12,H53="plan_upgrade",(O53*(XLOOKUP(J53,$M:$M,$P:$P)-XLOOKUP(I53,$M:$M,$P:$P))*(1-Q53/100))/12,H53="plan_downgrade",(O53*(XLOOKUP(J53,$M:$M,$P:$P)-XLOOKUP(I53,$M:$M,$P:$P))*(1-Q53/100))/12,H53="discount_added",-(O53*P53*(J53-I53)/100)/12))</f>
        <v/>
      </c>
      <c r="T53" s="225">
        <f>IF(H53&lt;&gt;"created",0,IF(COUNTIFS($C$1:C52,$C53,$H$1:H52,"created")=0,1,0))</f>
        <v/>
      </c>
      <c r="U53" s="225">
        <f>IF(H53&lt;&gt;"cancelled",0,IF(COUNTIFS($C$2:$C$102,$C53,$H$2:$H$102,"created",$F$2:$F$102,"&lt;="&amp;F53)-COUNTIFS($C$2:$C$102,$C53,$H$2:$H$102,"cancelled",$F$2:$F$102,"&lt;="&amp;F53)=0,1,0))</f>
        <v/>
      </c>
      <c r="V53" s="225">
        <f>IF(AND(H53="created",T53=0,COUNTIFS($C$2:$C$102,$C53,$H$2:$H$102,"cancelled",$F$2:$F$102,"&lt;"&amp;F53)&gt;0,COUNTIFS($C$2:$C$102,$C53,$H$2:$H$102,"created",$F$2:$F$102,"&lt;"&amp;F53)-COUNTIFS($C$2:$C$102,$C53,$H$2:$H$102,"cancelled",$F$2:$F$102,"&lt;"&amp;F53)=0),1,0)</f>
        <v/>
      </c>
    </row>
    <row r="54" hidden="1" ht="14.25" customHeight="1" s="281">
      <c r="A54" s="225" t="inlineStr">
        <is>
          <t>EVT053</t>
        </is>
      </c>
      <c r="B54" s="225" t="inlineStr">
        <is>
          <t>SUB010</t>
        </is>
      </c>
      <c r="C54" s="225" t="inlineStr">
        <is>
          <t>CUST010</t>
        </is>
      </c>
      <c r="D54" s="225" t="inlineStr">
        <is>
          <t>Montreal Finance Hub</t>
        </is>
      </c>
      <c r="E54" s="225" t="inlineStr">
        <is>
          <t>Eastern Canada</t>
        </is>
      </c>
      <c r="F54" s="222" t="n">
        <v>45717</v>
      </c>
      <c r="G54" s="223" t="n">
        <v>45729</v>
      </c>
      <c r="H54" s="225" t="inlineStr">
        <is>
          <t>plan_downgrade</t>
        </is>
      </c>
      <c r="I54" s="225" t="inlineStr">
        <is>
          <t>Analytics Growth</t>
        </is>
      </c>
      <c r="J54" s="225" t="inlineStr">
        <is>
          <t>Analytics Starter</t>
        </is>
      </c>
      <c r="K54" s="225" t="inlineStr">
        <is>
          <t>plan_name</t>
        </is>
      </c>
      <c r="L54" s="225" t="inlineStr">
        <is>
          <t>Cost reduction initiative - downgraded to starter tier</t>
        </is>
      </c>
      <c r="M54" s="225" t="inlineStr">
        <is>
          <t>Analytics Starter</t>
        </is>
      </c>
      <c r="N54" s="225" t="inlineStr">
        <is>
          <t>Monthly</t>
        </is>
      </c>
      <c r="O54" s="225" t="n">
        <v>13</v>
      </c>
      <c r="P54" s="225" t="n">
        <v>45</v>
      </c>
      <c r="Q54" s="225" t="n">
        <v>0</v>
      </c>
      <c r="R54" s="225">
        <f t="array" ref="R54">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
      </c>
      <c r="S54" s="224">
        <f t="array" ref="S54">IF(N54="Monthly",IFS(H54="created",O54*P54*(1-Q54/100),H54="cancelled",-(O54*P54*(1-Q54/100)),H54="seats_change",(J54-I54)*P54*(1-Q54/100),H54="price_change",(J54-I54)*O54*(1-Q54/100),H54="discount_added",-(O54*P54*(J54-I54)/100),H54="plan_upgrade",O54*(XLOOKUP(J54,$M:$M,$P:$P)-XLOOKUP(I54,$M:$M,$P:$P))*(1-Q54/100),H54="plan_downgrade",O54*(XLOOKUP(J54,$M:$M,$P:$P)-XLOOKUP(I54,$M:$M,$P:$P))*(1-Q54/100)),IFS(H54="created",O54*P54*(1-Q54/100)/12,H54="cancelled",-(O54*P54*(1-Q54/100))/12,H54="seats_change",(J54-I54)*P54*(1-Q54/100)/12,H54="price_change",(J54-I54)*O54*(1-Q54/100)/12,H54="plan_upgrade",(O54*(XLOOKUP(J54,$M:$M,$P:$P)-XLOOKUP(I54,$M:$M,$P:$P))*(1-Q54/100))/12,H54="plan_downgrade",(O54*(XLOOKUP(J54,$M:$M,$P:$P)-XLOOKUP(I54,$M:$M,$P:$P))*(1-Q54/100))/12,H54="discount_added",-(O54*P54*(J54-I54)/100)/12))</f>
        <v/>
      </c>
      <c r="T54" s="225">
        <f>IF(H54&lt;&gt;"created",0,IF(COUNTIFS($C$1:C53,$C54,$H$1:H53,"created")=0,1,0))</f>
        <v/>
      </c>
      <c r="U54" s="225">
        <f>IF(H54&lt;&gt;"cancelled",0,IF(COUNTIFS($C$2:$C$102,$C54,$H$2:$H$102,"created",$F$2:$F$102,"&lt;="&amp;F54)-COUNTIFS($C$2:$C$102,$C54,$H$2:$H$102,"cancelled",$F$2:$F$102,"&lt;="&amp;F54)=0,1,0))</f>
        <v/>
      </c>
      <c r="V54" s="225">
        <f>IF(AND(H54="created",T54=0,COUNTIFS($C$2:$C$102,$C54,$H$2:$H$102,"cancelled",$F$2:$F$102,"&lt;"&amp;F54)&gt;0,COUNTIFS($C$2:$C$102,$C54,$H$2:$H$102,"created",$F$2:$F$102,"&lt;"&amp;F54)-COUNTIFS($C$2:$C$102,$C54,$H$2:$H$102,"cancelled",$F$2:$F$102,"&lt;"&amp;F54)=0),1,0)</f>
        <v/>
      </c>
    </row>
    <row r="55" hidden="1" ht="14.25" customHeight="1" s="281">
      <c r="A55" s="225" t="inlineStr">
        <is>
          <t>EVT054</t>
        </is>
      </c>
      <c r="B55" s="225" t="inlineStr">
        <is>
          <t>SUB052</t>
        </is>
      </c>
      <c r="C55" s="225" t="inlineStr">
        <is>
          <t>CUST018</t>
        </is>
      </c>
      <c r="D55" s="225" t="inlineStr">
        <is>
          <t>Vancouver FinTech Labs</t>
        </is>
      </c>
      <c r="E55" s="225" t="inlineStr">
        <is>
          <t>Western Canada</t>
        </is>
      </c>
      <c r="F55" s="222" t="n">
        <v>45717</v>
      </c>
      <c r="G55" s="223" t="n">
        <v>45731</v>
      </c>
      <c r="H55" s="225" t="inlineStr">
        <is>
          <t>created</t>
        </is>
      </c>
      <c r="M55" s="225" t="inlineStr">
        <is>
          <t>Marketing Pro</t>
        </is>
      </c>
      <c r="N55" s="225" t="inlineStr">
        <is>
          <t>Monthly</t>
        </is>
      </c>
      <c r="O55" s="225" t="n">
        <v>35</v>
      </c>
      <c r="P55" s="225" t="n">
        <v>85</v>
      </c>
      <c r="Q55" s="225" t="n">
        <v>0</v>
      </c>
      <c r="R55" s="225">
        <f t="array" ref="R55">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
      </c>
      <c r="S55" s="224">
        <f t="array" ref="S55">IF(N55="Monthly",IFS(H55="created",O55*P55*(1-Q55/100),H55="cancelled",-(O55*P55*(1-Q55/100)),H55="seats_change",(J55-I55)*P55*(1-Q55/100),H55="price_change",(J55-I55)*O55*(1-Q55/100),H55="discount_added",-(O55*P55*(J55-I55)/100),H55="plan_upgrade",O55*(XLOOKUP(J55,$M:$M,$P:$P)-XLOOKUP(I55,$M:$M,$P:$P))*(1-Q55/100),H55="plan_downgrade",O55*(XLOOKUP(J55,$M:$M,$P:$P)-XLOOKUP(I55,$M:$M,$P:$P))*(1-Q55/100)),IFS(H55="created",O55*P55*(1-Q55/100)/12,H55="cancelled",-(O55*P55*(1-Q55/100))/12,H55="seats_change",(J55-I55)*P55*(1-Q55/100)/12,H55="price_change",(J55-I55)*O55*(1-Q55/100)/12,H55="plan_upgrade",(O55*(XLOOKUP(J55,$M:$M,$P:$P)-XLOOKUP(I55,$M:$M,$P:$P))*(1-Q55/100))/12,H55="plan_downgrade",(O55*(XLOOKUP(J55,$M:$M,$P:$P)-XLOOKUP(I55,$M:$M,$P:$P))*(1-Q55/100))/12,H55="discount_added",-(O55*P55*(J55-I55)/100)/12))</f>
        <v/>
      </c>
      <c r="T55" s="225">
        <f>IF(H55&lt;&gt;"created",0,IF(COUNTIFS($C$1:C54,$C55,$H$1:H54,"created")=0,1,0))</f>
        <v/>
      </c>
      <c r="U55" s="225">
        <f>IF(H55&lt;&gt;"cancelled",0,IF(COUNTIFS($C$2:$C$102,$C55,$H$2:$H$102,"created",$F$2:$F$102,"&lt;="&amp;F55)-COUNTIFS($C$2:$C$102,$C55,$H$2:$H$102,"cancelled",$F$2:$F$102,"&lt;="&amp;F55)=0,1,0))</f>
        <v/>
      </c>
      <c r="V55" s="225">
        <f>IF(AND(H55="created",T55=0,COUNTIFS($C$2:$C$102,$C55,$H$2:$H$102,"cancelled",$F$2:$F$102,"&lt;"&amp;F55)&gt;0,COUNTIFS($C$2:$C$102,$C55,$H$2:$H$102,"created",$F$2:$F$102,"&lt;"&amp;F55)-COUNTIFS($C$2:$C$102,$C55,$H$2:$H$102,"cancelled",$F$2:$F$102,"&lt;"&amp;F55)=0),1,0)</f>
        <v/>
      </c>
    </row>
    <row r="56" ht="14.25" customHeight="1" s="281">
      <c r="A56" s="225" t="inlineStr">
        <is>
          <t>EVT055</t>
        </is>
      </c>
      <c r="B56" s="225" t="inlineStr">
        <is>
          <t>SUB054</t>
        </is>
      </c>
      <c r="C56" s="225" t="inlineStr">
        <is>
          <t>CUST002</t>
        </is>
      </c>
      <c r="D56" s="225" t="inlineStr">
        <is>
          <t>Pacific Analytics Inc</t>
        </is>
      </c>
      <c r="E56" s="225" t="inlineStr">
        <is>
          <t>Western Canada</t>
        </is>
      </c>
      <c r="F56" s="222" t="n">
        <v>45717</v>
      </c>
      <c r="G56" s="223" t="n">
        <v>45731</v>
      </c>
      <c r="H56" s="225" t="inlineStr">
        <is>
          <t>discount_added</t>
        </is>
      </c>
      <c r="I56" s="225" t="n">
        <v>0</v>
      </c>
      <c r="J56" s="225" t="n">
        <v>5</v>
      </c>
      <c r="K56" s="225" t="inlineStr">
        <is>
          <t>discount_percent</t>
        </is>
      </c>
      <c r="L56" s="225" t="inlineStr">
        <is>
          <t>Annual contract loyalty discount applied</t>
        </is>
      </c>
      <c r="M56" s="225" t="inlineStr">
        <is>
          <t>Analytics Growth</t>
        </is>
      </c>
      <c r="N56" s="225" t="inlineStr">
        <is>
          <t>Annual</t>
        </is>
      </c>
      <c r="O56" s="225" t="n">
        <v>22</v>
      </c>
      <c r="P56" s="225" t="n">
        <v>1140</v>
      </c>
      <c r="Q56" s="225" t="n">
        <v>5</v>
      </c>
      <c r="R56" s="225">
        <f t="array" ref="R56">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
      </c>
      <c r="S56" s="224">
        <f t="array" ref="S56">IF(N56="Monthly",IFS(H56="created",O56*P56*(1-Q56/100),H56="cancelled",-(O56*P56*(1-Q56/100)),H56="seats_change",(J56-I56)*P56*(1-Q56/100),H56="price_change",(J56-I56)*O56*(1-Q56/100),H56="discount_added",-(O56*P56*(J56-I56)/100),H56="plan_upgrade",O56*(XLOOKUP(J56,$M:$M,$P:$P)-XLOOKUP(I56,$M:$M,$P:$P))*(1-Q56/100),H56="plan_downgrade",O56*(XLOOKUP(J56,$M:$M,$P:$P)-XLOOKUP(I56,$M:$M,$P:$P))*(1-Q56/100)),IFS(H56="created",O56*P56*(1-Q56/100)/12,H56="cancelled",-(O56*P56*(1-Q56/100))/12,H56="seats_change",(J56-I56)*P56*(1-Q56/100)/12,H56="price_change",(J56-I56)*O56*(1-Q56/100)/12,H56="plan_upgrade",(O56*(XLOOKUP(J56,$M:$M,$P:$P)-XLOOKUP(I56,$M:$M,$P:$P))*(1-Q56/100))/12,H56="plan_downgrade",(O56*(XLOOKUP(J56,$M:$M,$P:$P)-XLOOKUP(I56,$M:$M,$P:$P))*(1-Q56/100))/12,H56="discount_added",-(O56*P56*(J56-I56)/100)/12))</f>
        <v/>
      </c>
      <c r="T56" s="225">
        <f>IF(H56&lt;&gt;"created",0,IF(COUNTIFS($C$1:C55,$C56,$H$1:H55,"created")=0,1,0))</f>
        <v/>
      </c>
      <c r="U56" s="225">
        <f>IF(H56&lt;&gt;"cancelled",0,IF(COUNTIFS($C$2:$C$102,$C56,$H$2:$H$102,"created",$F$2:$F$102,"&lt;="&amp;F56)-COUNTIFS($C$2:$C$102,$C56,$H$2:$H$102,"cancelled",$F$2:$F$102,"&lt;="&amp;F56)=0,1,0))</f>
        <v/>
      </c>
      <c r="V56" s="225">
        <f>IF(AND(H56="created",T56=0,COUNTIFS($C$2:$C$102,$C56,$H$2:$H$102,"cancelled",$F$2:$F$102,"&lt;"&amp;F56)&gt;0,COUNTIFS($C$2:$C$102,$C56,$H$2:$H$102,"created",$F$2:$F$102,"&lt;"&amp;F56)-COUNTIFS($C$2:$C$102,$C56,$H$2:$H$102,"cancelled",$F$2:$F$102,"&lt;"&amp;F56)=0),1,0)</f>
        <v/>
      </c>
    </row>
    <row r="57" hidden="1" ht="14.25" customHeight="1" s="281">
      <c r="A57" s="225" t="inlineStr">
        <is>
          <t>EVT056</t>
        </is>
      </c>
      <c r="B57" s="225" t="inlineStr">
        <is>
          <t>SUB032</t>
        </is>
      </c>
      <c r="C57" s="225" t="inlineStr">
        <is>
          <t>CUST032</t>
        </is>
      </c>
      <c r="D57" s="225" t="inlineStr">
        <is>
          <t>BC Manufacturing Systems</t>
        </is>
      </c>
      <c r="E57" s="225" t="inlineStr">
        <is>
          <t>Western Canada</t>
        </is>
      </c>
      <c r="F57" s="222" t="n">
        <v>45717</v>
      </c>
      <c r="G57" s="223" t="n">
        <v>45733</v>
      </c>
      <c r="H57" s="225" t="inlineStr">
        <is>
          <t>created</t>
        </is>
      </c>
      <c r="M57" s="225" t="inlineStr">
        <is>
          <t>Analytics Enterprise</t>
        </is>
      </c>
      <c r="N57" s="225" t="inlineStr">
        <is>
          <t>Monthly</t>
        </is>
      </c>
      <c r="O57" s="225" t="n">
        <v>26</v>
      </c>
      <c r="P57" s="225" t="n">
        <v>180</v>
      </c>
      <c r="Q57" s="225" t="n">
        <v>0</v>
      </c>
      <c r="R57" s="225">
        <f t="array" ref="R57">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
      </c>
      <c r="S57" s="224">
        <f t="array" ref="S57">IF(N57="Monthly",IFS(H57="created",O57*P57*(1-Q57/100),H57="cancelled",-(O57*P57*(1-Q57/100)),H57="seats_change",(J57-I57)*P57*(1-Q57/100),H57="price_change",(J57-I57)*O57*(1-Q57/100),H57="discount_added",-(O57*P57*(J57-I57)/100),H57="plan_upgrade",O57*(XLOOKUP(J57,$M:$M,$P:$P)-XLOOKUP(I57,$M:$M,$P:$P))*(1-Q57/100),H57="plan_downgrade",O57*(XLOOKUP(J57,$M:$M,$P:$P)-XLOOKUP(I57,$M:$M,$P:$P))*(1-Q57/100)),IFS(H57="created",O57*P57*(1-Q57/100)/12,H57="cancelled",-(O57*P57*(1-Q57/100))/12,H57="seats_change",(J57-I57)*P57*(1-Q57/100)/12,H57="price_change",(J57-I57)*O57*(1-Q57/100)/12,H57="plan_upgrade",(O57*(XLOOKUP(J57,$M:$M,$P:$P)-XLOOKUP(I57,$M:$M,$P:$P))*(1-Q57/100))/12,H57="plan_downgrade",(O57*(XLOOKUP(J57,$M:$M,$P:$P)-XLOOKUP(I57,$M:$M,$P:$P))*(1-Q57/100))/12,H57="discount_added",-(O57*P57*(J57-I57)/100)/12))</f>
        <v/>
      </c>
      <c r="T57" s="225">
        <f>IF(H57&lt;&gt;"created",0,IF(COUNTIFS($C$1:C56,$C57,$H$1:H56,"created")=0,1,0))</f>
        <v/>
      </c>
      <c r="U57" s="225">
        <f>IF(H57&lt;&gt;"cancelled",0,IF(COUNTIFS($C$2:$C$102,$C57,$H$2:$H$102,"created",$F$2:$F$102,"&lt;="&amp;F57)-COUNTIFS($C$2:$C$102,$C57,$H$2:$H$102,"cancelled",$F$2:$F$102,"&lt;="&amp;F57)=0,1,0))</f>
        <v/>
      </c>
      <c r="V57" s="225">
        <f>IF(AND(H57="created",T57=0,COUNTIFS($C$2:$C$102,$C57,$H$2:$H$102,"cancelled",$F$2:$F$102,"&lt;"&amp;F57)&gt;0,COUNTIFS($C$2:$C$102,$C57,$H$2:$H$102,"created",$F$2:$F$102,"&lt;"&amp;F57)-COUNTIFS($C$2:$C$102,$C57,$H$2:$H$102,"cancelled",$F$2:$F$102,"&lt;"&amp;F57)=0),1,0)</f>
        <v/>
      </c>
    </row>
    <row r="58" hidden="1" ht="14.25" customHeight="1" s="281">
      <c r="A58" s="225" t="inlineStr">
        <is>
          <t>EVT057</t>
        </is>
      </c>
      <c r="B58" s="225" t="inlineStr">
        <is>
          <t>SUB019</t>
        </is>
      </c>
      <c r="C58" s="225" t="inlineStr">
        <is>
          <t>CUST019</t>
        </is>
      </c>
      <c r="D58" s="225" t="inlineStr">
        <is>
          <t>Central Healthcare Partners</t>
        </is>
      </c>
      <c r="E58" s="225" t="inlineStr">
        <is>
          <t>Central Canada</t>
        </is>
      </c>
      <c r="F58" s="222" t="n">
        <v>45717</v>
      </c>
      <c r="G58" s="223" t="n">
        <v>45736</v>
      </c>
      <c r="H58" s="225" t="inlineStr">
        <is>
          <t>seats_change</t>
        </is>
      </c>
      <c r="I58" s="225" t="n">
        <v>22</v>
      </c>
      <c r="J58" s="225" t="n">
        <v>19</v>
      </c>
      <c r="K58" s="225" t="inlineStr">
        <is>
          <t>seats</t>
        </is>
      </c>
      <c r="L58" s="225" t="inlineStr">
        <is>
          <t>Headcount reduction - Q1 restructuring</t>
        </is>
      </c>
      <c r="M58" s="225" t="inlineStr">
        <is>
          <t>Marketing Pro</t>
        </is>
      </c>
      <c r="N58" s="225" t="inlineStr">
        <is>
          <t>Monthly</t>
        </is>
      </c>
      <c r="O58" s="225" t="n">
        <v>19</v>
      </c>
      <c r="P58" s="225" t="n">
        <v>85</v>
      </c>
      <c r="Q58" s="225" t="n">
        <v>0</v>
      </c>
      <c r="R58" s="225">
        <f t="array" ref="R58">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
      </c>
      <c r="S58" s="224">
        <f t="array" ref="S58">IF(N58="Monthly",IFS(H58="created",O58*P58*(1-Q58/100),H58="cancelled",-(O58*P58*(1-Q58/100)),H58="seats_change",(J58-I58)*P58*(1-Q58/100),H58="price_change",(J58-I58)*O58*(1-Q58/100),H58="discount_added",-(O58*P58*(J58-I58)/100),H58="plan_upgrade",O58*(XLOOKUP(J58,$M:$M,$P:$P)-XLOOKUP(I58,$M:$M,$P:$P))*(1-Q58/100),H58="plan_downgrade",O58*(XLOOKUP(J58,$M:$M,$P:$P)-XLOOKUP(I58,$M:$M,$P:$P))*(1-Q58/100)),IFS(H58="created",O58*P58*(1-Q58/100)/12,H58="cancelled",-(O58*P58*(1-Q58/100))/12,H58="seats_change",(J58-I58)*P58*(1-Q58/100)/12,H58="price_change",(J58-I58)*O58*(1-Q58/100)/12,H58="plan_upgrade",(O58*(XLOOKUP(J58,$M:$M,$P:$P)-XLOOKUP(I58,$M:$M,$P:$P))*(1-Q58/100))/12,H58="plan_downgrade",(O58*(XLOOKUP(J58,$M:$M,$P:$P)-XLOOKUP(I58,$M:$M,$P:$P))*(1-Q58/100))/12,H58="discount_added",-(O58*P58*(J58-I58)/100)/12))</f>
        <v/>
      </c>
      <c r="T58" s="225">
        <f>IF(H58&lt;&gt;"created",0,IF(COUNTIFS($C$1:C57,$C58,$H$1:H57,"created")=0,1,0))</f>
        <v/>
      </c>
      <c r="U58" s="225">
        <f>IF(H58&lt;&gt;"cancelled",0,IF(COUNTIFS($C$2:$C$102,$C58,$H$2:$H$102,"created",$F$2:$F$102,"&lt;="&amp;F58)-COUNTIFS($C$2:$C$102,$C58,$H$2:$H$102,"cancelled",$F$2:$F$102,"&lt;="&amp;F58)=0,1,0))</f>
        <v/>
      </c>
      <c r="V58" s="225">
        <f>IF(AND(H58="created",T58=0,COUNTIFS($C$2:$C$102,$C58,$H$2:$H$102,"cancelled",$F$2:$F$102,"&lt;"&amp;F58)&gt;0,COUNTIFS($C$2:$C$102,$C58,$H$2:$H$102,"created",$F$2:$F$102,"&lt;"&amp;F58)-COUNTIFS($C$2:$C$102,$C58,$H$2:$H$102,"cancelled",$F$2:$F$102,"&lt;"&amp;F58)=0),1,0)</f>
        <v/>
      </c>
    </row>
    <row r="59" hidden="1" ht="14.25" customHeight="1" s="281">
      <c r="A59" s="225" t="inlineStr">
        <is>
          <t>EVT058</t>
        </is>
      </c>
      <c r="B59" s="225" t="inlineStr">
        <is>
          <t>SUB033</t>
        </is>
      </c>
      <c r="C59" s="225" t="inlineStr">
        <is>
          <t>CUST033</t>
        </is>
      </c>
      <c r="D59" s="225" t="inlineStr">
        <is>
          <t>Ottawa Retail Solutions</t>
        </is>
      </c>
      <c r="E59" s="225" t="inlineStr">
        <is>
          <t>Eastern Canada</t>
        </is>
      </c>
      <c r="F59" s="222" t="n">
        <v>45717</v>
      </c>
      <c r="G59" s="223" t="n">
        <v>45747</v>
      </c>
      <c r="H59" s="225" t="inlineStr">
        <is>
          <t>created</t>
        </is>
      </c>
      <c r="M59" s="225" t="inlineStr">
        <is>
          <t>Marketing Pro</t>
        </is>
      </c>
      <c r="N59" s="225" t="inlineStr">
        <is>
          <t>Monthly</t>
        </is>
      </c>
      <c r="O59" s="225" t="n">
        <v>25</v>
      </c>
      <c r="P59" s="225" t="n">
        <v>85</v>
      </c>
      <c r="Q59" s="225" t="n">
        <v>0</v>
      </c>
      <c r="R59" s="225">
        <f t="array" ref="R59">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
      </c>
      <c r="S59" s="224">
        <f t="array" ref="S59">IF(N59="Monthly",IFS(H59="created",O59*P59*(1-Q59/100),H59="cancelled",-(O59*P59*(1-Q59/100)),H59="seats_change",(J59-I59)*P59*(1-Q59/100),H59="price_change",(J59-I59)*O59*(1-Q59/100),H59="discount_added",-(O59*P59*(J59-I59)/100),H59="plan_upgrade",O59*(XLOOKUP(J59,$M:$M,$P:$P)-XLOOKUP(I59,$M:$M,$P:$P))*(1-Q59/100),H59="plan_downgrade",O59*(XLOOKUP(J59,$M:$M,$P:$P)-XLOOKUP(I59,$M:$M,$P:$P))*(1-Q59/100)),IFS(H59="created",O59*P59*(1-Q59/100)/12,H59="cancelled",-(O59*P59*(1-Q59/100))/12,H59="seats_change",(J59-I59)*P59*(1-Q59/100)/12,H59="price_change",(J59-I59)*O59*(1-Q59/100)/12,H59="plan_upgrade",(O59*(XLOOKUP(J59,$M:$M,$P:$P)-XLOOKUP(I59,$M:$M,$P:$P))*(1-Q59/100))/12,H59="plan_downgrade",(O59*(XLOOKUP(J59,$M:$M,$P:$P)-XLOOKUP(I59,$M:$M,$P:$P))*(1-Q59/100))/12,H59="discount_added",-(O59*P59*(J59-I59)/100)/12))</f>
        <v/>
      </c>
      <c r="T59" s="225">
        <f>IF(H59&lt;&gt;"created",0,IF(COUNTIFS($C$1:C58,$C59,$H$1:H58,"created")=0,1,0))</f>
        <v/>
      </c>
      <c r="U59" s="225">
        <f>IF(H59&lt;&gt;"cancelled",0,IF(COUNTIFS($C$2:$C$102,$C59,$H$2:$H$102,"created",$F$2:$F$102,"&lt;="&amp;F59)-COUNTIFS($C$2:$C$102,$C59,$H$2:$H$102,"cancelled",$F$2:$F$102,"&lt;="&amp;F59)=0,1,0))</f>
        <v/>
      </c>
      <c r="V59" s="225">
        <f>IF(AND(H59="created",T59=0,COUNTIFS($C$2:$C$102,$C59,$H$2:$H$102,"cancelled",$F$2:$F$102,"&lt;"&amp;F59)&gt;0,COUNTIFS($C$2:$C$102,$C59,$H$2:$H$102,"created",$F$2:$F$102,"&lt;"&amp;F59)-COUNTIFS($C$2:$C$102,$C59,$H$2:$H$102,"cancelled",$F$2:$F$102,"&lt;"&amp;F59)=0),1,0)</f>
        <v/>
      </c>
    </row>
    <row r="60" hidden="1" ht="14.25" customHeight="1" s="281">
      <c r="A60" s="225" t="inlineStr">
        <is>
          <t>EVT059</t>
        </is>
      </c>
      <c r="B60" s="225" t="inlineStr">
        <is>
          <t>SUB027</t>
        </is>
      </c>
      <c r="C60" s="225" t="inlineStr">
        <is>
          <t>CUST027</t>
        </is>
      </c>
      <c r="D60" s="225" t="inlineStr">
        <is>
          <t>Pacific Finance Corp</t>
        </is>
      </c>
      <c r="E60" s="225" t="inlineStr">
        <is>
          <t>Western Canada</t>
        </is>
      </c>
      <c r="F60" s="222" t="n">
        <v>45748</v>
      </c>
      <c r="G60" s="223" t="n">
        <v>45753</v>
      </c>
      <c r="H60" s="225" t="inlineStr">
        <is>
          <t>price_change</t>
        </is>
      </c>
      <c r="I60" s="225" t="n">
        <v>100</v>
      </c>
      <c r="J60" s="225" t="n">
        <v>110</v>
      </c>
      <c r="K60" s="225" t="inlineStr">
        <is>
          <t>price_per_seat</t>
        </is>
      </c>
      <c r="L60" s="225" t="inlineStr">
        <is>
          <t>Annual price increase applied at renewal</t>
        </is>
      </c>
      <c r="M60" s="225" t="inlineStr">
        <is>
          <t>Sales Hub</t>
        </is>
      </c>
      <c r="N60" s="225" t="inlineStr">
        <is>
          <t>Monthly</t>
        </is>
      </c>
      <c r="O60" s="225" t="n">
        <v>28</v>
      </c>
      <c r="P60" s="225" t="n">
        <v>110</v>
      </c>
      <c r="Q60" s="225" t="n">
        <v>0</v>
      </c>
      <c r="R60" s="225">
        <f t="array" ref="R60">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
      </c>
      <c r="S60" s="224">
        <f t="array" ref="S60">IF(N60="Monthly",IFS(H60="created",O60*P60*(1-Q60/100),H60="cancelled",-(O60*P60*(1-Q60/100)),H60="seats_change",(J60-I60)*P60*(1-Q60/100),H60="price_change",(J60-I60)*O60*(1-Q60/100),H60="discount_added",-(O60*P60*(J60-I60)/100),H60="plan_upgrade",O60*(XLOOKUP(J60,$M:$M,$P:$P)-XLOOKUP(I60,$M:$M,$P:$P))*(1-Q60/100),H60="plan_downgrade",O60*(XLOOKUP(J60,$M:$M,$P:$P)-XLOOKUP(I60,$M:$M,$P:$P))*(1-Q60/100)),IFS(H60="created",O60*P60*(1-Q60/100)/12,H60="cancelled",-(O60*P60*(1-Q60/100))/12,H60="seats_change",(J60-I60)*P60*(1-Q60/100)/12,H60="price_change",(J60-I60)*O60*(1-Q60/100)/12,H60="plan_upgrade",(O60*(XLOOKUP(J60,$M:$M,$P:$P)-XLOOKUP(I60,$M:$M,$P:$P))*(1-Q60/100))/12,H60="plan_downgrade",(O60*(XLOOKUP(J60,$M:$M,$P:$P)-XLOOKUP(I60,$M:$M,$P:$P))*(1-Q60/100))/12,H60="discount_added",-(O60*P60*(J60-I60)/100)/12))</f>
        <v/>
      </c>
      <c r="T60" s="225">
        <f>IF(H60&lt;&gt;"created",0,IF(COUNTIFS($C$1:C59,$C60,$H$1:H59,"created")=0,1,0))</f>
        <v/>
      </c>
      <c r="U60" s="225">
        <f>IF(H60&lt;&gt;"cancelled",0,IF(COUNTIFS($C$2:$C$102,$C60,$H$2:$H$102,"created",$F$2:$F$102,"&lt;="&amp;F60)-COUNTIFS($C$2:$C$102,$C60,$H$2:$H$102,"cancelled",$F$2:$F$102,"&lt;="&amp;F60)=0,1,0))</f>
        <v/>
      </c>
      <c r="V60" s="225">
        <f>IF(AND(H60="created",T60=0,COUNTIFS($C$2:$C$102,$C60,$H$2:$H$102,"cancelled",$F$2:$F$102,"&lt;"&amp;F60)&gt;0,COUNTIFS($C$2:$C$102,$C60,$H$2:$H$102,"created",$F$2:$F$102,"&lt;"&amp;F60)-COUNTIFS($C$2:$C$102,$C60,$H$2:$H$102,"cancelled",$F$2:$F$102,"&lt;"&amp;F60)=0),1,0)</f>
        <v/>
      </c>
    </row>
    <row r="61" hidden="1" ht="14.25" customHeight="1" s="281">
      <c r="A61" s="225" t="inlineStr">
        <is>
          <t>EVT060</t>
        </is>
      </c>
      <c r="B61" s="225" t="inlineStr">
        <is>
          <t>SUB034</t>
        </is>
      </c>
      <c r="C61" s="225" t="inlineStr">
        <is>
          <t>CUST034</t>
        </is>
      </c>
      <c r="D61" s="225" t="inlineStr">
        <is>
          <t>Quebec Education Platform</t>
        </is>
      </c>
      <c r="E61" s="225" t="inlineStr">
        <is>
          <t>Eastern Canada</t>
        </is>
      </c>
      <c r="F61" s="222" t="n">
        <v>45748</v>
      </c>
      <c r="G61" s="223" t="n">
        <v>45761</v>
      </c>
      <c r="H61" s="225" t="inlineStr">
        <is>
          <t>created</t>
        </is>
      </c>
      <c r="M61" s="225" t="inlineStr">
        <is>
          <t>Analytics Starter</t>
        </is>
      </c>
      <c r="N61" s="225" t="inlineStr">
        <is>
          <t>Monthly</t>
        </is>
      </c>
      <c r="O61" s="225" t="n">
        <v>16</v>
      </c>
      <c r="P61" s="225" t="n">
        <v>45</v>
      </c>
      <c r="Q61" s="225" t="n">
        <v>0</v>
      </c>
      <c r="R61" s="225">
        <f t="array" ref="R61">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
      </c>
      <c r="S61" s="224">
        <f t="array" ref="S61">IF(N61="Monthly",IFS(H61="created",O61*P61*(1-Q61/100),H61="cancelled",-(O61*P61*(1-Q61/100)),H61="seats_change",(J61-I61)*P61*(1-Q61/100),H61="price_change",(J61-I61)*O61*(1-Q61/100),H61="discount_added",-(O61*P61*(J61-I61)/100),H61="plan_upgrade",O61*(XLOOKUP(J61,$M:$M,$P:$P)-XLOOKUP(I61,$M:$M,$P:$P))*(1-Q61/100),H61="plan_downgrade",O61*(XLOOKUP(J61,$M:$M,$P:$P)-XLOOKUP(I61,$M:$M,$P:$P))*(1-Q61/100)),IFS(H61="created",O61*P61*(1-Q61/100)/12,H61="cancelled",-(O61*P61*(1-Q61/100))/12,H61="seats_change",(J61-I61)*P61*(1-Q61/100)/12,H61="price_change",(J61-I61)*O61*(1-Q61/100)/12,H61="plan_upgrade",(O61*(XLOOKUP(J61,$M:$M,$P:$P)-XLOOKUP(I61,$M:$M,$P:$P))*(1-Q61/100))/12,H61="plan_downgrade",(O61*(XLOOKUP(J61,$M:$M,$P:$P)-XLOOKUP(I61,$M:$M,$P:$P))*(1-Q61/100))/12,H61="discount_added",-(O61*P61*(J61-I61)/100)/12))</f>
        <v/>
      </c>
      <c r="T61" s="225">
        <f>IF(H61&lt;&gt;"created",0,IF(COUNTIFS($C$1:C60,$C61,$H$1:H60,"created")=0,1,0))</f>
        <v/>
      </c>
      <c r="U61" s="225">
        <f>IF(H61&lt;&gt;"cancelled",0,IF(COUNTIFS($C$2:$C$102,$C61,$H$2:$H$102,"created",$F$2:$F$102,"&lt;="&amp;F61)-COUNTIFS($C$2:$C$102,$C61,$H$2:$H$102,"cancelled",$F$2:$F$102,"&lt;="&amp;F61)=0,1,0))</f>
        <v/>
      </c>
      <c r="V61" s="225">
        <f>IF(AND(H61="created",T61=0,COUNTIFS($C$2:$C$102,$C61,$H$2:$H$102,"cancelled",$F$2:$F$102,"&lt;"&amp;F61)&gt;0,COUNTIFS($C$2:$C$102,$C61,$H$2:$H$102,"created",$F$2:$F$102,"&lt;"&amp;F61)-COUNTIFS($C$2:$C$102,$C61,$H$2:$H$102,"cancelled",$F$2:$F$102,"&lt;"&amp;F61)=0),1,0)</f>
        <v/>
      </c>
    </row>
    <row r="62" hidden="1" ht="14.25" customHeight="1" s="281">
      <c r="A62" s="225" t="inlineStr">
        <is>
          <t>EVT061</t>
        </is>
      </c>
      <c r="B62" s="225" t="inlineStr">
        <is>
          <t>SUB012</t>
        </is>
      </c>
      <c r="C62" s="225" t="inlineStr">
        <is>
          <t>CUST012</t>
        </is>
      </c>
      <c r="D62" s="225" t="inlineStr">
        <is>
          <t>Maritime E-commerce</t>
        </is>
      </c>
      <c r="E62" s="225" t="inlineStr">
        <is>
          <t>Eastern Canada</t>
        </is>
      </c>
      <c r="F62" s="222" t="n">
        <v>45748</v>
      </c>
      <c r="G62" s="223" t="n">
        <v>45762</v>
      </c>
      <c r="H62" s="225" t="inlineStr">
        <is>
          <t>seats_change</t>
        </is>
      </c>
      <c r="I62" s="225" t="n">
        <v>18</v>
      </c>
      <c r="J62" s="225" t="n">
        <v>23</v>
      </c>
      <c r="K62" s="225" t="inlineStr">
        <is>
          <t>seats</t>
        </is>
      </c>
      <c r="L62" s="225" t="inlineStr">
        <is>
          <t>New hires onboarded - sales team expansion</t>
        </is>
      </c>
      <c r="M62" s="225" t="inlineStr">
        <is>
          <t>Analytics Growth</t>
        </is>
      </c>
      <c r="N62" s="225" t="inlineStr">
        <is>
          <t>Monthly</t>
        </is>
      </c>
      <c r="O62" s="225" t="n">
        <v>23</v>
      </c>
      <c r="P62" s="225" t="n">
        <v>95</v>
      </c>
      <c r="Q62" s="225" t="n">
        <v>0</v>
      </c>
      <c r="R62" s="225">
        <f t="array" ref="R62">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
      </c>
      <c r="S62" s="224">
        <f t="array" ref="S62">IF(N62="Monthly",IFS(H62="created",O62*P62*(1-Q62/100),H62="cancelled",-(O62*P62*(1-Q62/100)),H62="seats_change",(J62-I62)*P62*(1-Q62/100),H62="price_change",(J62-I62)*O62*(1-Q62/100),H62="discount_added",-(O62*P62*(J62-I62)/100),H62="plan_upgrade",O62*(XLOOKUP(J62,$M:$M,$P:$P)-XLOOKUP(I62,$M:$M,$P:$P))*(1-Q62/100),H62="plan_downgrade",O62*(XLOOKUP(J62,$M:$M,$P:$P)-XLOOKUP(I62,$M:$M,$P:$P))*(1-Q62/100)),IFS(H62="created",O62*P62*(1-Q62/100)/12,H62="cancelled",-(O62*P62*(1-Q62/100))/12,H62="seats_change",(J62-I62)*P62*(1-Q62/100)/12,H62="price_change",(J62-I62)*O62*(1-Q62/100)/12,H62="plan_upgrade",(O62*(XLOOKUP(J62,$M:$M,$P:$P)-XLOOKUP(I62,$M:$M,$P:$P))*(1-Q62/100))/12,H62="plan_downgrade",(O62*(XLOOKUP(J62,$M:$M,$P:$P)-XLOOKUP(I62,$M:$M,$P:$P))*(1-Q62/100))/12,H62="discount_added",-(O62*P62*(J62-I62)/100)/12))</f>
        <v/>
      </c>
      <c r="T62" s="225">
        <f>IF(H62&lt;&gt;"created",0,IF(COUNTIFS($C$1:C61,$C62,$H$1:H61,"created")=0,1,0))</f>
        <v/>
      </c>
      <c r="U62" s="225">
        <f>IF(H62&lt;&gt;"cancelled",0,IF(COUNTIFS($C$2:$C$102,$C62,$H$2:$H$102,"created",$F$2:$F$102,"&lt;="&amp;F62)-COUNTIFS($C$2:$C$102,$C62,$H$2:$H$102,"cancelled",$F$2:$F$102,"&lt;="&amp;F62)=0,1,0))</f>
        <v/>
      </c>
      <c r="V62" s="225">
        <f>IF(AND(H62="created",T62=0,COUNTIFS($C$2:$C$102,$C62,$H$2:$H$102,"cancelled",$F$2:$F$102,"&lt;"&amp;F62)&gt;0,COUNTIFS($C$2:$C$102,$C62,$H$2:$H$102,"created",$F$2:$F$102,"&lt;"&amp;F62)-COUNTIFS($C$2:$C$102,$C62,$H$2:$H$102,"cancelled",$F$2:$F$102,"&lt;"&amp;F62)=0),1,0)</f>
        <v/>
      </c>
    </row>
    <row r="63" hidden="1" ht="14.25" customHeight="1" s="281">
      <c r="A63" s="225" t="inlineStr">
        <is>
          <t>EVT062</t>
        </is>
      </c>
      <c r="B63" s="225" t="inlineStr">
        <is>
          <t>SUB047</t>
        </is>
      </c>
      <c r="C63" s="225" t="inlineStr">
        <is>
          <t>CUST022</t>
        </is>
      </c>
      <c r="D63" s="225" t="inlineStr">
        <is>
          <t>Toronto Tech Ventures</t>
        </is>
      </c>
      <c r="E63" s="225" t="inlineStr">
        <is>
          <t>Eastern Canada</t>
        </is>
      </c>
      <c r="F63" s="222" t="n">
        <v>45748</v>
      </c>
      <c r="G63" s="223" t="n">
        <v>45765</v>
      </c>
      <c r="H63" s="225" t="inlineStr">
        <is>
          <t>created</t>
        </is>
      </c>
      <c r="M63" s="225" t="inlineStr">
        <is>
          <t>Sales Hub</t>
        </is>
      </c>
      <c r="N63" s="225" t="inlineStr">
        <is>
          <t>Monthly</t>
        </is>
      </c>
      <c r="O63" s="225" t="n">
        <v>26</v>
      </c>
      <c r="P63" s="225" t="n">
        <v>110</v>
      </c>
      <c r="Q63" s="225" t="n">
        <v>0</v>
      </c>
      <c r="R63" s="225">
        <f t="array" ref="R63">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
      </c>
      <c r="S63" s="224">
        <f t="array" ref="S63">IF(N63="Monthly",IFS(H63="created",O63*P63*(1-Q63/100),H63="cancelled",-(O63*P63*(1-Q63/100)),H63="seats_change",(J63-I63)*P63*(1-Q63/100),H63="price_change",(J63-I63)*O63*(1-Q63/100),H63="discount_added",-(O63*P63*(J63-I63)/100),H63="plan_upgrade",O63*(XLOOKUP(J63,$M:$M,$P:$P)-XLOOKUP(I63,$M:$M,$P:$P))*(1-Q63/100),H63="plan_downgrade",O63*(XLOOKUP(J63,$M:$M,$P:$P)-XLOOKUP(I63,$M:$M,$P:$P))*(1-Q63/100)),IFS(H63="created",O63*P63*(1-Q63/100)/12,H63="cancelled",-(O63*P63*(1-Q63/100))/12,H63="seats_change",(J63-I63)*P63*(1-Q63/100)/12,H63="price_change",(J63-I63)*O63*(1-Q63/100)/12,H63="plan_upgrade",(O63*(XLOOKUP(J63,$M:$M,$P:$P)-XLOOKUP(I63,$M:$M,$P:$P))*(1-Q63/100))/12,H63="plan_downgrade",(O63*(XLOOKUP(J63,$M:$M,$P:$P)-XLOOKUP(I63,$M:$M,$P:$P))*(1-Q63/100))/12,H63="discount_added",-(O63*P63*(J63-I63)/100)/12))</f>
        <v/>
      </c>
      <c r="T63" s="225">
        <f>IF(H63&lt;&gt;"created",0,IF(COUNTIFS($C$1:C62,$C63,$H$1:H62,"created")=0,1,0))</f>
        <v/>
      </c>
      <c r="U63" s="225">
        <f>IF(H63&lt;&gt;"cancelled",0,IF(COUNTIFS($C$2:$C$102,$C63,$H$2:$H$102,"created",$F$2:$F$102,"&lt;="&amp;F63)-COUNTIFS($C$2:$C$102,$C63,$H$2:$H$102,"cancelled",$F$2:$F$102,"&lt;="&amp;F63)=0,1,0))</f>
        <v/>
      </c>
      <c r="V63" s="225">
        <f>IF(AND(H63="created",T63=0,COUNTIFS($C$2:$C$102,$C63,$H$2:$H$102,"cancelled",$F$2:$F$102,"&lt;"&amp;F63)&gt;0,COUNTIFS($C$2:$C$102,$C63,$H$2:$H$102,"created",$F$2:$F$102,"&lt;"&amp;F63)-COUNTIFS($C$2:$C$102,$C63,$H$2:$H$102,"cancelled",$F$2:$F$102,"&lt;"&amp;F63)=0),1,0)</f>
        <v/>
      </c>
    </row>
    <row r="64" hidden="1" ht="14.25" customHeight="1" s="281">
      <c r="A64" s="225" t="inlineStr">
        <is>
          <t>EVT063</t>
        </is>
      </c>
      <c r="B64" s="225" t="inlineStr">
        <is>
          <t>SUB035</t>
        </is>
      </c>
      <c r="C64" s="225" t="inlineStr">
        <is>
          <t>CUST035</t>
        </is>
      </c>
      <c r="D64" s="225" t="inlineStr">
        <is>
          <t>Vancouver Health Systems</t>
        </is>
      </c>
      <c r="E64" s="225" t="inlineStr">
        <is>
          <t>Western Canada</t>
        </is>
      </c>
      <c r="F64" s="222" t="n">
        <v>45748</v>
      </c>
      <c r="G64" s="223" t="n">
        <v>45775</v>
      </c>
      <c r="H64" s="225" t="inlineStr">
        <is>
          <t>created</t>
        </is>
      </c>
      <c r="M64" s="225" t="inlineStr">
        <is>
          <t>Sales Hub</t>
        </is>
      </c>
      <c r="N64" s="225" t="inlineStr">
        <is>
          <t>Monthly</t>
        </is>
      </c>
      <c r="O64" s="225" t="n">
        <v>20</v>
      </c>
      <c r="P64" s="225" t="n">
        <v>110</v>
      </c>
      <c r="Q64" s="225" t="n">
        <v>0</v>
      </c>
      <c r="R64" s="225">
        <f t="array" ref="R64">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
      </c>
      <c r="S64" s="224">
        <f t="array" ref="S64">IF(N64="Monthly",IFS(H64="created",O64*P64*(1-Q64/100),H64="cancelled",-(O64*P64*(1-Q64/100)),H64="seats_change",(J64-I64)*P64*(1-Q64/100),H64="price_change",(J64-I64)*O64*(1-Q64/100),H64="discount_added",-(O64*P64*(J64-I64)/100),H64="plan_upgrade",O64*(XLOOKUP(J64,$M:$M,$P:$P)-XLOOKUP(I64,$M:$M,$P:$P))*(1-Q64/100),H64="plan_downgrade",O64*(XLOOKUP(J64,$M:$M,$P:$P)-XLOOKUP(I64,$M:$M,$P:$P))*(1-Q64/100)),IFS(H64="created",O64*P64*(1-Q64/100)/12,H64="cancelled",-(O64*P64*(1-Q64/100))/12,H64="seats_change",(J64-I64)*P64*(1-Q64/100)/12,H64="price_change",(J64-I64)*O64*(1-Q64/100)/12,H64="plan_upgrade",(O64*(XLOOKUP(J64,$M:$M,$P:$P)-XLOOKUP(I64,$M:$M,$P:$P))*(1-Q64/100))/12,H64="plan_downgrade",(O64*(XLOOKUP(J64,$M:$M,$P:$P)-XLOOKUP(I64,$M:$M,$P:$P))*(1-Q64/100))/12,H64="discount_added",-(O64*P64*(J64-I64)/100)/12))</f>
        <v/>
      </c>
      <c r="T64" s="225">
        <f>IF(H64&lt;&gt;"created",0,IF(COUNTIFS($C$1:C63,$C64,$H$1:H63,"created")=0,1,0))</f>
        <v/>
      </c>
      <c r="U64" s="225">
        <f>IF(H64&lt;&gt;"cancelled",0,IF(COUNTIFS($C$2:$C$102,$C64,$H$2:$H$102,"created",$F$2:$F$102,"&lt;="&amp;F64)-COUNTIFS($C$2:$C$102,$C64,$H$2:$H$102,"cancelled",$F$2:$F$102,"&lt;="&amp;F64)=0,1,0))</f>
        <v/>
      </c>
      <c r="V64" s="225">
        <f>IF(AND(H64="created",T64=0,COUNTIFS($C$2:$C$102,$C64,$H$2:$H$102,"cancelled",$F$2:$F$102,"&lt;"&amp;F64)&gt;0,COUNTIFS($C$2:$C$102,$C64,$H$2:$H$102,"created",$F$2:$F$102,"&lt;"&amp;F64)-COUNTIFS($C$2:$C$102,$C64,$H$2:$H$102,"cancelled",$F$2:$F$102,"&lt;"&amp;F64)=0),1,0)</f>
        <v/>
      </c>
    </row>
    <row r="65" hidden="1" ht="14.25" customHeight="1" s="281">
      <c r="A65" s="225" t="inlineStr">
        <is>
          <t>EVT064</t>
        </is>
      </c>
      <c r="B65" s="225" t="inlineStr">
        <is>
          <t>SUB004</t>
        </is>
      </c>
      <c r="C65" s="225" t="inlineStr">
        <is>
          <t>CUST004</t>
        </is>
      </c>
      <c r="D65" s="225" t="inlineStr">
        <is>
          <t>Prairie Commerce Group</t>
        </is>
      </c>
      <c r="E65" s="225" t="inlineStr">
        <is>
          <t>Western Canada</t>
        </is>
      </c>
      <c r="F65" s="222" t="n">
        <v>45778</v>
      </c>
      <c r="G65" s="223" t="n">
        <v>45787</v>
      </c>
      <c r="H65" s="225" t="inlineStr">
        <is>
          <t>seats_change</t>
        </is>
      </c>
      <c r="I65" s="225" t="n">
        <v>15</v>
      </c>
      <c r="J65" s="225" t="n">
        <v>18</v>
      </c>
      <c r="K65" s="225" t="inlineStr">
        <is>
          <t>seats</t>
        </is>
      </c>
      <c r="L65" s="225" t="inlineStr">
        <is>
          <t>Team expansion - 3 new account managers onboarded</t>
        </is>
      </c>
      <c r="M65" s="225" t="inlineStr">
        <is>
          <t>Sales Hub</t>
        </is>
      </c>
      <c r="N65" s="225" t="inlineStr">
        <is>
          <t>Monthly</t>
        </is>
      </c>
      <c r="O65" s="225" t="n">
        <v>18</v>
      </c>
      <c r="P65" s="225" t="n">
        <v>110</v>
      </c>
      <c r="Q65" s="225" t="n">
        <v>0</v>
      </c>
      <c r="R65" s="225">
        <f t="array" ref="R65">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
      </c>
      <c r="S65" s="224">
        <f t="array" ref="S65">IF(N65="Monthly",IFS(H65="created",O65*P65*(1-Q65/100),H65="cancelled",-(O65*P65*(1-Q65/100)),H65="seats_change",(J65-I65)*P65*(1-Q65/100),H65="price_change",(J65-I65)*O65*(1-Q65/100),H65="discount_added",-(O65*P65*(J65-I65)/100),H65="plan_upgrade",O65*(XLOOKUP(J65,$M:$M,$P:$P)-XLOOKUP(I65,$M:$M,$P:$P))*(1-Q65/100),H65="plan_downgrade",O65*(XLOOKUP(J65,$M:$M,$P:$P)-XLOOKUP(I65,$M:$M,$P:$P))*(1-Q65/100)),IFS(H65="created",O65*P65*(1-Q65/100)/12,H65="cancelled",-(O65*P65*(1-Q65/100))/12,H65="seats_change",(J65-I65)*P65*(1-Q65/100)/12,H65="price_change",(J65-I65)*O65*(1-Q65/100)/12,H65="plan_upgrade",(O65*(XLOOKUP(J65,$M:$M,$P:$P)-XLOOKUP(I65,$M:$M,$P:$P))*(1-Q65/100))/12,H65="plan_downgrade",(O65*(XLOOKUP(J65,$M:$M,$P:$P)-XLOOKUP(I65,$M:$M,$P:$P))*(1-Q65/100))/12,H65="discount_added",-(O65*P65*(J65-I65)/100)/12))</f>
        <v/>
      </c>
      <c r="T65" s="225">
        <f>IF(H65&lt;&gt;"created",0,IF(COUNTIFS($C$1:C64,$C65,$H$1:H64,"created")=0,1,0))</f>
        <v/>
      </c>
      <c r="U65" s="225">
        <f>IF(H65&lt;&gt;"cancelled",0,IF(COUNTIFS($C$2:$C$102,$C65,$H$2:$H$102,"created",$F$2:$F$102,"&lt;="&amp;F65)-COUNTIFS($C$2:$C$102,$C65,$H$2:$H$102,"cancelled",$F$2:$F$102,"&lt;="&amp;F65)=0,1,0))</f>
        <v/>
      </c>
      <c r="V65" s="225">
        <f>IF(AND(H65="created",T65=0,COUNTIFS($C$2:$C$102,$C65,$H$2:$H$102,"cancelled",$F$2:$F$102,"&lt;"&amp;F65)&gt;0,COUNTIFS($C$2:$C$102,$C65,$H$2:$H$102,"created",$F$2:$F$102,"&lt;"&amp;F65)-COUNTIFS($C$2:$C$102,$C65,$H$2:$H$102,"cancelled",$F$2:$F$102,"&lt;"&amp;F65)=0),1,0)</f>
        <v/>
      </c>
    </row>
    <row r="66" hidden="1" ht="14.25" customHeight="1" s="281">
      <c r="A66" s="225" t="inlineStr">
        <is>
          <t>EVT065</t>
        </is>
      </c>
      <c r="B66" s="225" t="inlineStr">
        <is>
          <t>SUB036</t>
        </is>
      </c>
      <c r="C66" s="225" t="inlineStr">
        <is>
          <t>CUST036</t>
        </is>
      </c>
      <c r="D66" s="225" t="inlineStr">
        <is>
          <t>Manitoba Finance Group</t>
        </is>
      </c>
      <c r="E66" s="225" t="inlineStr">
        <is>
          <t>Central Canada</t>
        </is>
      </c>
      <c r="F66" s="222" t="n">
        <v>45778</v>
      </c>
      <c r="G66" s="223" t="n">
        <v>45789</v>
      </c>
      <c r="H66" s="225" t="inlineStr">
        <is>
          <t>created</t>
        </is>
      </c>
      <c r="M66" s="225" t="inlineStr">
        <is>
          <t>Analytics Growth</t>
        </is>
      </c>
      <c r="N66" s="225" t="inlineStr">
        <is>
          <t>Monthly</t>
        </is>
      </c>
      <c r="O66" s="225" t="n">
        <v>18</v>
      </c>
      <c r="P66" s="225" t="n">
        <v>95</v>
      </c>
      <c r="Q66" s="225" t="n">
        <v>0</v>
      </c>
      <c r="R66" s="225">
        <f t="array" ref="R66">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
      </c>
      <c r="S66" s="224">
        <f t="array" ref="S66">IF(N66="Monthly",IFS(H66="created",O66*P66*(1-Q66/100),H66="cancelled",-(O66*P66*(1-Q66/100)),H66="seats_change",(J66-I66)*P66*(1-Q66/100),H66="price_change",(J66-I66)*O66*(1-Q66/100),H66="discount_added",-(O66*P66*(J66-I66)/100),H66="plan_upgrade",O66*(XLOOKUP(J66,$M:$M,$P:$P)-XLOOKUP(I66,$M:$M,$P:$P))*(1-Q66/100),H66="plan_downgrade",O66*(XLOOKUP(J66,$M:$M,$P:$P)-XLOOKUP(I66,$M:$M,$P:$P))*(1-Q66/100)),IFS(H66="created",O66*P66*(1-Q66/100)/12,H66="cancelled",-(O66*P66*(1-Q66/100))/12,H66="seats_change",(J66-I66)*P66*(1-Q66/100)/12,H66="price_change",(J66-I66)*O66*(1-Q66/100)/12,H66="plan_upgrade",(O66*(XLOOKUP(J66,$M:$M,$P:$P)-XLOOKUP(I66,$M:$M,$P:$P))*(1-Q66/100))/12,H66="plan_downgrade",(O66*(XLOOKUP(J66,$M:$M,$P:$P)-XLOOKUP(I66,$M:$M,$P:$P))*(1-Q66/100))/12,H66="discount_added",-(O66*P66*(J66-I66)/100)/12))</f>
        <v/>
      </c>
      <c r="T66" s="225">
        <f>IF(H66&lt;&gt;"created",0,IF(COUNTIFS($C$1:C65,$C66,$H$1:H65,"created")=0,1,0))</f>
        <v/>
      </c>
      <c r="U66" s="225">
        <f>IF(H66&lt;&gt;"cancelled",0,IF(COUNTIFS($C$2:$C$102,$C66,$H$2:$H$102,"created",$F$2:$F$102,"&lt;="&amp;F66)-COUNTIFS($C$2:$C$102,$C66,$H$2:$H$102,"cancelled",$F$2:$F$102,"&lt;="&amp;F66)=0,1,0))</f>
        <v/>
      </c>
      <c r="V66" s="225">
        <f>IF(AND(H66="created",T66=0,COUNTIFS($C$2:$C$102,$C66,$H$2:$H$102,"cancelled",$F$2:$F$102,"&lt;"&amp;F66)&gt;0,COUNTIFS($C$2:$C$102,$C66,$H$2:$H$102,"created",$F$2:$F$102,"&lt;"&amp;F66)-COUNTIFS($C$2:$C$102,$C66,$H$2:$H$102,"cancelled",$F$2:$F$102,"&lt;"&amp;F66)=0),1,0)</f>
        <v/>
      </c>
    </row>
    <row r="67" hidden="1" ht="14.25" customHeight="1" s="281">
      <c r="A67" s="225" t="inlineStr">
        <is>
          <t>EVT066</t>
        </is>
      </c>
      <c r="B67" s="225" t="inlineStr">
        <is>
          <t>SUB061</t>
        </is>
      </c>
      <c r="C67" s="225" t="inlineStr">
        <is>
          <t>CUST013</t>
        </is>
      </c>
      <c r="D67" s="225" t="inlineStr">
        <is>
          <t>Alberta Tech Innovators</t>
        </is>
      </c>
      <c r="E67" s="225" t="inlineStr">
        <is>
          <t>Western Canada</t>
        </is>
      </c>
      <c r="F67" s="222" t="n">
        <v>45778</v>
      </c>
      <c r="G67" s="223" t="n">
        <v>45797</v>
      </c>
      <c r="H67" s="225" t="inlineStr">
        <is>
          <t>created</t>
        </is>
      </c>
      <c r="L67" s="225" t="inlineStr">
        <is>
          <t>Returning customer â€” reactivation</t>
        </is>
      </c>
      <c r="M67" s="225" t="inlineStr">
        <is>
          <t>Analytics Growth</t>
        </is>
      </c>
      <c r="N67" s="225" t="inlineStr">
        <is>
          <t>Monthly</t>
        </is>
      </c>
      <c r="O67" s="225" t="n">
        <v>12</v>
      </c>
      <c r="P67" s="225" t="n">
        <v>95</v>
      </c>
      <c r="Q67" s="225" t="n">
        <v>0</v>
      </c>
      <c r="R67" s="225">
        <f t="array" ref="R67">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
      </c>
      <c r="S67" s="224">
        <f t="array" ref="S67">IF(N67="Monthly",IFS(H67="created",O67*P67*(1-Q67/100),H67="cancelled",-(O67*P67*(1-Q67/100)),H67="seats_change",(J67-I67)*P67*(1-Q67/100),H67="price_change",(J67-I67)*O67*(1-Q67/100),H67="discount_added",-(O67*P67*(J67-I67)/100),H67="plan_upgrade",O67*(XLOOKUP(J67,$M:$M,$P:$P)-XLOOKUP(I67,$M:$M,$P:$P))*(1-Q67/100),H67="plan_downgrade",O67*(XLOOKUP(J67,$M:$M,$P:$P)-XLOOKUP(I67,$M:$M,$P:$P))*(1-Q67/100)),IFS(H67="created",O67*P67*(1-Q67/100)/12,H67="cancelled",-(O67*P67*(1-Q67/100))/12,H67="seats_change",(J67-I67)*P67*(1-Q67/100)/12,H67="price_change",(J67-I67)*O67*(1-Q67/100)/12,H67="plan_upgrade",(O67*(XLOOKUP(J67,$M:$M,$P:$P)-XLOOKUP(I67,$M:$M,$P:$P))*(1-Q67/100))/12,H67="plan_downgrade",(O67*(XLOOKUP(J67,$M:$M,$P:$P)-XLOOKUP(I67,$M:$M,$P:$P))*(1-Q67/100))/12,H67="discount_added",-(O67*P67*(J67-I67)/100)/12))</f>
        <v/>
      </c>
      <c r="T67" s="225">
        <f>IF(H67&lt;&gt;"created",0,IF(COUNTIFS($C$1:C66,$C67,$H$1:H66,"created")=0,1,0))</f>
        <v/>
      </c>
      <c r="U67" s="225">
        <f>IF(H67&lt;&gt;"cancelled",0,IF(COUNTIFS($C$2:$C$102,$C67,$H$2:$H$102,"created",$F$2:$F$102,"&lt;="&amp;F67)-COUNTIFS($C$2:$C$102,$C67,$H$2:$H$102,"cancelled",$F$2:$F$102,"&lt;="&amp;F67)=0,1,0))</f>
        <v/>
      </c>
      <c r="V67" s="225">
        <f>IF(AND(H67="created",T67=0,COUNTIFS($C$2:$C$102,$C67,$H$2:$H$102,"cancelled",$F$2:$F$102,"&lt;"&amp;F67)&gt;0,COUNTIFS($C$2:$C$102,$C67,$H$2:$H$102,"created",$F$2:$F$102,"&lt;"&amp;F67)-COUNTIFS($C$2:$C$102,$C67,$H$2:$H$102,"cancelled",$F$2:$F$102,"&lt;"&amp;F67)=0),1,0)</f>
        <v/>
      </c>
    </row>
    <row r="68" hidden="1" ht="14.25" customHeight="1" s="281">
      <c r="A68" s="225" t="inlineStr">
        <is>
          <t>EVT067</t>
        </is>
      </c>
      <c r="B68" s="225" t="inlineStr">
        <is>
          <t>SUB048</t>
        </is>
      </c>
      <c r="C68" s="225" t="inlineStr">
        <is>
          <t>CUST025</t>
        </is>
      </c>
      <c r="D68" s="225" t="inlineStr">
        <is>
          <t>Montreal Manufacturing Pro</t>
        </is>
      </c>
      <c r="E68" s="225" t="inlineStr">
        <is>
          <t>Eastern Canada</t>
        </is>
      </c>
      <c r="F68" s="222" t="n">
        <v>45778</v>
      </c>
      <c r="G68" s="223" t="n">
        <v>45799</v>
      </c>
      <c r="H68" s="225" t="inlineStr">
        <is>
          <t>created</t>
        </is>
      </c>
      <c r="M68" s="225" t="inlineStr">
        <is>
          <t>Sales Hub</t>
        </is>
      </c>
      <c r="N68" s="225" t="inlineStr">
        <is>
          <t>Monthly</t>
        </is>
      </c>
      <c r="O68" s="225" t="n">
        <v>36</v>
      </c>
      <c r="P68" s="225" t="n">
        <v>110</v>
      </c>
      <c r="Q68" s="225" t="n">
        <v>0</v>
      </c>
      <c r="R68" s="225">
        <f t="array" ref="R68">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
      </c>
      <c r="S68" s="224">
        <f t="array" ref="S68">IF(N68="Monthly",IFS(H68="created",O68*P68*(1-Q68/100),H68="cancelled",-(O68*P68*(1-Q68/100)),H68="seats_change",(J68-I68)*P68*(1-Q68/100),H68="price_change",(J68-I68)*O68*(1-Q68/100),H68="discount_added",-(O68*P68*(J68-I68)/100),H68="plan_upgrade",O68*(XLOOKUP(J68,$M:$M,$P:$P)-XLOOKUP(I68,$M:$M,$P:$P))*(1-Q68/100),H68="plan_downgrade",O68*(XLOOKUP(J68,$M:$M,$P:$P)-XLOOKUP(I68,$M:$M,$P:$P))*(1-Q68/100)),IFS(H68="created",O68*P68*(1-Q68/100)/12,H68="cancelled",-(O68*P68*(1-Q68/100))/12,H68="seats_change",(J68-I68)*P68*(1-Q68/100)/12,H68="price_change",(J68-I68)*O68*(1-Q68/100)/12,H68="plan_upgrade",(O68*(XLOOKUP(J68,$M:$M,$P:$P)-XLOOKUP(I68,$M:$M,$P:$P))*(1-Q68/100))/12,H68="plan_downgrade",(O68*(XLOOKUP(J68,$M:$M,$P:$P)-XLOOKUP(I68,$M:$M,$P:$P))*(1-Q68/100))/12,H68="discount_added",-(O68*P68*(J68-I68)/100)/12))</f>
        <v/>
      </c>
      <c r="T68" s="225">
        <f>IF(H68&lt;&gt;"created",0,IF(COUNTIFS($C$1:C67,$C68,$H$1:H67,"created")=0,1,0))</f>
        <v/>
      </c>
      <c r="U68" s="225">
        <f>IF(H68&lt;&gt;"cancelled",0,IF(COUNTIFS($C$2:$C$102,$C68,$H$2:$H$102,"created",$F$2:$F$102,"&lt;="&amp;F68)-COUNTIFS($C$2:$C$102,$C68,$H$2:$H$102,"cancelled",$F$2:$F$102,"&lt;="&amp;F68)=0,1,0))</f>
        <v/>
      </c>
      <c r="V68" s="225">
        <f>IF(AND(H68="created",T68=0,COUNTIFS($C$2:$C$102,$C68,$H$2:$H$102,"cancelled",$F$2:$F$102,"&lt;"&amp;F68)&gt;0,COUNTIFS($C$2:$C$102,$C68,$H$2:$H$102,"created",$F$2:$F$102,"&lt;"&amp;F68)-COUNTIFS($C$2:$C$102,$C68,$H$2:$H$102,"cancelled",$F$2:$F$102,"&lt;"&amp;F68)=0),1,0)</f>
        <v/>
      </c>
    </row>
    <row r="69" hidden="1" ht="14.25" customHeight="1" s="281">
      <c r="A69" s="225" t="inlineStr">
        <is>
          <t>EVT068</t>
        </is>
      </c>
      <c r="B69" s="225" t="inlineStr">
        <is>
          <t>SUB021</t>
        </is>
      </c>
      <c r="C69" s="225" t="inlineStr">
        <is>
          <t>CUST021</t>
        </is>
      </c>
      <c r="D69" s="225" t="inlineStr">
        <is>
          <t>Calgary Commerce Solutions</t>
        </is>
      </c>
      <c r="E69" s="225" t="inlineStr">
        <is>
          <t>Western Canada</t>
        </is>
      </c>
      <c r="F69" s="222" t="n">
        <v>45778</v>
      </c>
      <c r="G69" s="223" t="n">
        <v>45803</v>
      </c>
      <c r="H69" s="225" t="inlineStr">
        <is>
          <t>cancelled</t>
        </is>
      </c>
      <c r="I69" s="225" t="inlineStr">
        <is>
          <t>active</t>
        </is>
      </c>
      <c r="J69" s="225" t="inlineStr">
        <is>
          <t>churned</t>
        </is>
      </c>
      <c r="K69" s="225" t="inlineStr">
        <is>
          <t>status</t>
        </is>
      </c>
      <c r="L69" s="225" t="inlineStr">
        <is>
          <t>Company downsizing</t>
        </is>
      </c>
      <c r="M69" s="225" t="inlineStr">
        <is>
          <t>Analytics Growth</t>
        </is>
      </c>
      <c r="N69" s="225" t="inlineStr">
        <is>
          <t>Monthly</t>
        </is>
      </c>
      <c r="O69" s="225" t="n">
        <v>25</v>
      </c>
      <c r="P69" s="225" t="n">
        <v>95</v>
      </c>
      <c r="Q69" s="225" t="n">
        <v>0</v>
      </c>
      <c r="R69" s="225">
        <f t="array" ref="R69">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
      </c>
      <c r="S69" s="224">
        <f t="array" ref="S69">IF(N69="Monthly",IFS(H69="created",O69*P69*(1-Q69/100),H69="cancelled",-(O69*P69*(1-Q69/100)),H69="seats_change",(J69-I69)*P69*(1-Q69/100),H69="price_change",(J69-I69)*O69*(1-Q69/100),H69="discount_added",-(O69*P69*(J69-I69)/100),H69="plan_upgrade",O69*(XLOOKUP(J69,$M:$M,$P:$P)-XLOOKUP(I69,$M:$M,$P:$P))*(1-Q69/100),H69="plan_downgrade",O69*(XLOOKUP(J69,$M:$M,$P:$P)-XLOOKUP(I69,$M:$M,$P:$P))*(1-Q69/100)),IFS(H69="created",O69*P69*(1-Q69/100)/12,H69="cancelled",-(O69*P69*(1-Q69/100))/12,H69="seats_change",(J69-I69)*P69*(1-Q69/100)/12,H69="price_change",(J69-I69)*O69*(1-Q69/100)/12,H69="plan_upgrade",(O69*(XLOOKUP(J69,$M:$M,$P:$P)-XLOOKUP(I69,$M:$M,$P:$P))*(1-Q69/100))/12,H69="plan_downgrade",(O69*(XLOOKUP(J69,$M:$M,$P:$P)-XLOOKUP(I69,$M:$M,$P:$P))*(1-Q69/100))/12,H69="discount_added",-(O69*P69*(J69-I69)/100)/12))</f>
        <v/>
      </c>
      <c r="T69" s="225">
        <f>IF(H69&lt;&gt;"created",0,IF(COUNTIFS($C$1:C68,$C69,$H$1:H68,"created")=0,1,0))</f>
        <v/>
      </c>
      <c r="U69" s="225">
        <f>IF(H69&lt;&gt;"cancelled",0,IF(COUNTIFS($C$2:$C$102,$C69,$H$2:$H$102,"created",$F$2:$F$102,"&lt;="&amp;F69)-COUNTIFS($C$2:$C$102,$C69,$H$2:$H$102,"cancelled",$F$2:$F$102,"&lt;="&amp;F69)=0,1,0))</f>
        <v/>
      </c>
      <c r="V69" s="225">
        <f>IF(AND(H69="created",T69=0,COUNTIFS($C$2:$C$102,$C69,$H$2:$H$102,"cancelled",$F$2:$F$102,"&lt;"&amp;F69)&gt;0,COUNTIFS($C$2:$C$102,$C69,$H$2:$H$102,"created",$F$2:$F$102,"&lt;"&amp;F69)-COUNTIFS($C$2:$C$102,$C69,$H$2:$H$102,"cancelled",$F$2:$F$102,"&lt;"&amp;F69)=0),1,0)</f>
        <v/>
      </c>
    </row>
    <row r="70" hidden="1" ht="14.25" customHeight="1" s="281">
      <c r="A70" s="225" t="inlineStr">
        <is>
          <t>EVT069</t>
        </is>
      </c>
      <c r="B70" s="225" t="inlineStr">
        <is>
          <t>SUB037</t>
        </is>
      </c>
      <c r="C70" s="225" t="inlineStr">
        <is>
          <t>CUST037</t>
        </is>
      </c>
      <c r="D70" s="225" t="inlineStr">
        <is>
          <t>Maritime SaaS Ventures</t>
        </is>
      </c>
      <c r="E70" s="225" t="inlineStr">
        <is>
          <t>Eastern Canada</t>
        </is>
      </c>
      <c r="F70" s="222" t="n">
        <v>45778</v>
      </c>
      <c r="G70" s="223" t="n">
        <v>45803</v>
      </c>
      <c r="H70" s="225" t="inlineStr">
        <is>
          <t>created</t>
        </is>
      </c>
      <c r="M70" s="225" t="inlineStr">
        <is>
          <t>Platform Suite</t>
        </is>
      </c>
      <c r="N70" s="225" t="inlineStr">
        <is>
          <t>Monthly</t>
        </is>
      </c>
      <c r="O70" s="225" t="n">
        <v>35</v>
      </c>
      <c r="P70" s="225" t="n">
        <v>150</v>
      </c>
      <c r="Q70" s="225" t="n">
        <v>0</v>
      </c>
      <c r="R70" s="225">
        <f t="array" ref="R70">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
      </c>
      <c r="S70" s="224">
        <f t="array" ref="S70">IF(N70="Monthly",IFS(H70="created",O70*P70*(1-Q70/100),H70="cancelled",-(O70*P70*(1-Q70/100)),H70="seats_change",(J70-I70)*P70*(1-Q70/100),H70="price_change",(J70-I70)*O70*(1-Q70/100),H70="discount_added",-(O70*P70*(J70-I70)/100),H70="plan_upgrade",O70*(XLOOKUP(J70,$M:$M,$P:$P)-XLOOKUP(I70,$M:$M,$P:$P))*(1-Q70/100),H70="plan_downgrade",O70*(XLOOKUP(J70,$M:$M,$P:$P)-XLOOKUP(I70,$M:$M,$P:$P))*(1-Q70/100)),IFS(H70="created",O70*P70*(1-Q70/100)/12,H70="cancelled",-(O70*P70*(1-Q70/100))/12,H70="seats_change",(J70-I70)*P70*(1-Q70/100)/12,H70="price_change",(J70-I70)*O70*(1-Q70/100)/12,H70="plan_upgrade",(O70*(XLOOKUP(J70,$M:$M,$P:$P)-XLOOKUP(I70,$M:$M,$P:$P))*(1-Q70/100))/12,H70="plan_downgrade",(O70*(XLOOKUP(J70,$M:$M,$P:$P)-XLOOKUP(I70,$M:$M,$P:$P))*(1-Q70/100))/12,H70="discount_added",-(O70*P70*(J70-I70)/100)/12))</f>
        <v/>
      </c>
      <c r="T70" s="225">
        <f>IF(H70&lt;&gt;"created",0,IF(COUNTIFS($C$1:C69,$C70,$H$1:H69,"created")=0,1,0))</f>
        <v/>
      </c>
      <c r="U70" s="225">
        <f>IF(H70&lt;&gt;"cancelled",0,IF(COUNTIFS($C$2:$C$102,$C70,$H$2:$H$102,"created",$F$2:$F$102,"&lt;="&amp;F70)-COUNTIFS($C$2:$C$102,$C70,$H$2:$H$102,"cancelled",$F$2:$F$102,"&lt;="&amp;F70)=0,1,0))</f>
        <v/>
      </c>
      <c r="V70" s="225">
        <f>IF(AND(H70="created",T70=0,COUNTIFS($C$2:$C$102,$C70,$H$2:$H$102,"cancelled",$F$2:$F$102,"&lt;"&amp;F70)&gt;0,COUNTIFS($C$2:$C$102,$C70,$H$2:$H$102,"created",$F$2:$F$102,"&lt;"&amp;F70)-COUNTIFS($C$2:$C$102,$C70,$H$2:$H$102,"cancelled",$F$2:$F$102,"&lt;"&amp;F70)=0),1,0)</f>
        <v/>
      </c>
    </row>
    <row r="71" hidden="1" ht="14.25" customHeight="1" s="281">
      <c r="A71" s="225" t="inlineStr">
        <is>
          <t>EVT070</t>
        </is>
      </c>
      <c r="B71" s="225" t="inlineStr">
        <is>
          <t>SUB018</t>
        </is>
      </c>
      <c r="C71" s="225" t="inlineStr">
        <is>
          <t>CUST018</t>
        </is>
      </c>
      <c r="D71" s="225" t="inlineStr">
        <is>
          <t>Vancouver FinTech Labs</t>
        </is>
      </c>
      <c r="E71" s="225" t="inlineStr">
        <is>
          <t>Western Canada</t>
        </is>
      </c>
      <c r="F71" s="222" t="n">
        <v>45809</v>
      </c>
      <c r="G71" s="223" t="n">
        <v>45809</v>
      </c>
      <c r="H71" s="225" t="inlineStr">
        <is>
          <t>seats_change</t>
        </is>
      </c>
      <c r="I71" s="225" t="n">
        <v>30</v>
      </c>
      <c r="J71" s="225" t="n">
        <v>35</v>
      </c>
      <c r="K71" s="225" t="inlineStr">
        <is>
          <t>seats</t>
        </is>
      </c>
      <c r="L71" s="225" t="inlineStr">
        <is>
          <t>Department growth - added analytics sub-team</t>
        </is>
      </c>
      <c r="M71" s="225" t="inlineStr">
        <is>
          <t>Analytics Enterprise</t>
        </is>
      </c>
      <c r="N71" s="225" t="inlineStr">
        <is>
          <t>Monthly</t>
        </is>
      </c>
      <c r="O71" s="225" t="n">
        <v>35</v>
      </c>
      <c r="P71" s="225" t="n">
        <v>180</v>
      </c>
      <c r="Q71" s="225" t="n">
        <v>0</v>
      </c>
      <c r="R71" s="225">
        <f t="array" ref="R71">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
      </c>
      <c r="S71" s="224">
        <f t="array" ref="S71">IF(N71="Monthly",IFS(H71="created",O71*P71*(1-Q71/100),H71="cancelled",-(O71*P71*(1-Q71/100)),H71="seats_change",(J71-I71)*P71*(1-Q71/100),H71="price_change",(J71-I71)*O71*(1-Q71/100),H71="discount_added",-(O71*P71*(J71-I71)/100),H71="plan_upgrade",O71*(XLOOKUP(J71,$M:$M,$P:$P)-XLOOKUP(I71,$M:$M,$P:$P))*(1-Q71/100),H71="plan_downgrade",O71*(XLOOKUP(J71,$M:$M,$P:$P)-XLOOKUP(I71,$M:$M,$P:$P))*(1-Q71/100)),IFS(H71="created",O71*P71*(1-Q71/100)/12,H71="cancelled",-(O71*P71*(1-Q71/100))/12,H71="seats_change",(J71-I71)*P71*(1-Q71/100)/12,H71="price_change",(J71-I71)*O71*(1-Q71/100)/12,H71="plan_upgrade",(O71*(XLOOKUP(J71,$M:$M,$P:$P)-XLOOKUP(I71,$M:$M,$P:$P))*(1-Q71/100))/12,H71="plan_downgrade",(O71*(XLOOKUP(J71,$M:$M,$P:$P)-XLOOKUP(I71,$M:$M,$P:$P))*(1-Q71/100))/12,H71="discount_added",-(O71*P71*(J71-I71)/100)/12))</f>
        <v/>
      </c>
      <c r="T71" s="225">
        <f>IF(H71&lt;&gt;"created",0,IF(COUNTIFS($C$1:C70,$C71,$H$1:H70,"created")=0,1,0))</f>
        <v/>
      </c>
      <c r="U71" s="225">
        <f>IF(H71&lt;&gt;"cancelled",0,IF(COUNTIFS($C$2:$C$102,$C71,$H$2:$H$102,"created",$F$2:$F$102,"&lt;="&amp;F71)-COUNTIFS($C$2:$C$102,$C71,$H$2:$H$102,"cancelled",$F$2:$F$102,"&lt;="&amp;F71)=0,1,0))</f>
        <v/>
      </c>
      <c r="V71" s="225">
        <f>IF(AND(H71="created",T71=0,COUNTIFS($C$2:$C$102,$C71,$H$2:$H$102,"cancelled",$F$2:$F$102,"&lt;"&amp;F71)&gt;0,COUNTIFS($C$2:$C$102,$C71,$H$2:$H$102,"created",$F$2:$F$102,"&lt;"&amp;F71)-COUNTIFS($C$2:$C$102,$C71,$H$2:$H$102,"cancelled",$F$2:$F$102,"&lt;"&amp;F71)=0),1,0)</f>
        <v/>
      </c>
    </row>
    <row r="72" hidden="1" ht="14.25" customHeight="1" s="281">
      <c r="A72" s="225" t="inlineStr">
        <is>
          <t>EVT071</t>
        </is>
      </c>
      <c r="B72" s="225" t="inlineStr">
        <is>
          <t>SUB053</t>
        </is>
      </c>
      <c r="C72" s="225" t="inlineStr">
        <is>
          <t>CUST027</t>
        </is>
      </c>
      <c r="D72" s="225" t="inlineStr">
        <is>
          <t>Pacific Finance Corp</t>
        </is>
      </c>
      <c r="E72" s="225" t="inlineStr">
        <is>
          <t>Western Canada</t>
        </is>
      </c>
      <c r="F72" s="222" t="n">
        <v>45809</v>
      </c>
      <c r="G72" s="223" t="n">
        <v>45813</v>
      </c>
      <c r="H72" s="225" t="inlineStr">
        <is>
          <t>created</t>
        </is>
      </c>
      <c r="M72" s="225" t="inlineStr">
        <is>
          <t>Analytics Enterprise</t>
        </is>
      </c>
      <c r="N72" s="225" t="inlineStr">
        <is>
          <t>Monthly</t>
        </is>
      </c>
      <c r="O72" s="225" t="n">
        <v>31</v>
      </c>
      <c r="P72" s="225" t="n">
        <v>180</v>
      </c>
      <c r="Q72" s="225" t="n">
        <v>0</v>
      </c>
      <c r="R72" s="225">
        <f t="array" ref="R72">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
      </c>
      <c r="S72" s="224">
        <f t="array" ref="S72">IF(N72="Monthly",IFS(H72="created",O72*P72*(1-Q72/100),H72="cancelled",-(O72*P72*(1-Q72/100)),H72="seats_change",(J72-I72)*P72*(1-Q72/100),H72="price_change",(J72-I72)*O72*(1-Q72/100),H72="discount_added",-(O72*P72*(J72-I72)/100),H72="plan_upgrade",O72*(XLOOKUP(J72,$M:$M,$P:$P)-XLOOKUP(I72,$M:$M,$P:$P))*(1-Q72/100),H72="plan_downgrade",O72*(XLOOKUP(J72,$M:$M,$P:$P)-XLOOKUP(I72,$M:$M,$P:$P))*(1-Q72/100)),IFS(H72="created",O72*P72*(1-Q72/100)/12,H72="cancelled",-(O72*P72*(1-Q72/100))/12,H72="seats_change",(J72-I72)*P72*(1-Q72/100)/12,H72="price_change",(J72-I72)*O72*(1-Q72/100)/12,H72="plan_upgrade",(O72*(XLOOKUP(J72,$M:$M,$P:$P)-XLOOKUP(I72,$M:$M,$P:$P))*(1-Q72/100))/12,H72="plan_downgrade",(O72*(XLOOKUP(J72,$M:$M,$P:$P)-XLOOKUP(I72,$M:$M,$P:$P))*(1-Q72/100))/12,H72="discount_added",-(O72*P72*(J72-I72)/100)/12))</f>
        <v/>
      </c>
      <c r="T72" s="225">
        <f>IF(H72&lt;&gt;"created",0,IF(COUNTIFS($C$1:C71,$C72,$H$1:H71,"created")=0,1,0))</f>
        <v/>
      </c>
      <c r="U72" s="225">
        <f>IF(H72&lt;&gt;"cancelled",0,IF(COUNTIFS($C$2:$C$102,$C72,$H$2:$H$102,"created",$F$2:$F$102,"&lt;="&amp;F72)-COUNTIFS($C$2:$C$102,$C72,$H$2:$H$102,"cancelled",$F$2:$F$102,"&lt;="&amp;F72)=0,1,0))</f>
        <v/>
      </c>
      <c r="V72" s="225">
        <f>IF(AND(H72="created",T72=0,COUNTIFS($C$2:$C$102,$C72,$H$2:$H$102,"cancelled",$F$2:$F$102,"&lt;"&amp;F72)&gt;0,COUNTIFS($C$2:$C$102,$C72,$H$2:$H$102,"created",$F$2:$F$102,"&lt;"&amp;F72)-COUNTIFS($C$2:$C$102,$C72,$H$2:$H$102,"cancelled",$F$2:$F$102,"&lt;"&amp;F72)=0),1,0)</f>
        <v/>
      </c>
    </row>
    <row r="73" hidden="1" ht="14.25" customHeight="1" s="281">
      <c r="A73" s="225" t="inlineStr">
        <is>
          <t>EVT072</t>
        </is>
      </c>
      <c r="B73" s="225" t="inlineStr">
        <is>
          <t>SUB038</t>
        </is>
      </c>
      <c r="C73" s="225" t="inlineStr">
        <is>
          <t>CUST038</t>
        </is>
      </c>
      <c r="D73" s="225" t="inlineStr">
        <is>
          <t>Calgary Tech Partners</t>
        </is>
      </c>
      <c r="E73" s="225" t="inlineStr">
        <is>
          <t>Western Canada</t>
        </is>
      </c>
      <c r="F73" s="222" t="n">
        <v>45809</v>
      </c>
      <c r="G73" s="223" t="n">
        <v>45817</v>
      </c>
      <c r="H73" s="225" t="inlineStr">
        <is>
          <t>created</t>
        </is>
      </c>
      <c r="M73" s="225" t="inlineStr">
        <is>
          <t>Analytics Starter</t>
        </is>
      </c>
      <c r="N73" s="225" t="inlineStr">
        <is>
          <t>Monthly</t>
        </is>
      </c>
      <c r="O73" s="225" t="n">
        <v>13</v>
      </c>
      <c r="P73" s="225" t="n">
        <v>45</v>
      </c>
      <c r="Q73" s="225" t="n">
        <v>0</v>
      </c>
      <c r="R73" s="225">
        <f t="array" ref="R73">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
      </c>
      <c r="S73" s="224">
        <f t="array" ref="S73">IF(N73="Monthly",IFS(H73="created",O73*P73*(1-Q73/100),H73="cancelled",-(O73*P73*(1-Q73/100)),H73="seats_change",(J73-I73)*P73*(1-Q73/100),H73="price_change",(J73-I73)*O73*(1-Q73/100),H73="discount_added",-(O73*P73*(J73-I73)/100),H73="plan_upgrade",O73*(XLOOKUP(J73,$M:$M,$P:$P)-XLOOKUP(I73,$M:$M,$P:$P))*(1-Q73/100),H73="plan_downgrade",O73*(XLOOKUP(J73,$M:$M,$P:$P)-XLOOKUP(I73,$M:$M,$P:$P))*(1-Q73/100)),IFS(H73="created",O73*P73*(1-Q73/100)/12,H73="cancelled",-(O73*P73*(1-Q73/100))/12,H73="seats_change",(J73-I73)*P73*(1-Q73/100)/12,H73="price_change",(J73-I73)*O73*(1-Q73/100)/12,H73="plan_upgrade",(O73*(XLOOKUP(J73,$M:$M,$P:$P)-XLOOKUP(I73,$M:$M,$P:$P))*(1-Q73/100))/12,H73="plan_downgrade",(O73*(XLOOKUP(J73,$M:$M,$P:$P)-XLOOKUP(I73,$M:$M,$P:$P))*(1-Q73/100))/12,H73="discount_added",-(O73*P73*(J73-I73)/100)/12))</f>
        <v/>
      </c>
      <c r="T73" s="225">
        <f>IF(H73&lt;&gt;"created",0,IF(COUNTIFS($C$1:C72,$C73,$H$1:H72,"created")=0,1,0))</f>
        <v/>
      </c>
      <c r="U73" s="225">
        <f>IF(H73&lt;&gt;"cancelled",0,IF(COUNTIFS($C$2:$C$102,$C73,$H$2:$H$102,"created",$F$2:$F$102,"&lt;="&amp;F73)-COUNTIFS($C$2:$C$102,$C73,$H$2:$H$102,"cancelled",$F$2:$F$102,"&lt;="&amp;F73)=0,1,0))</f>
        <v/>
      </c>
      <c r="V73" s="225">
        <f>IF(AND(H73="created",T73=0,COUNTIFS($C$2:$C$102,$C73,$H$2:$H$102,"cancelled",$F$2:$F$102,"&lt;"&amp;F73)&gt;0,COUNTIFS($C$2:$C$102,$C73,$H$2:$H$102,"created",$F$2:$F$102,"&lt;"&amp;F73)-COUNTIFS($C$2:$C$102,$C73,$H$2:$H$102,"cancelled",$F$2:$F$102,"&lt;"&amp;F73)=0),1,0)</f>
        <v/>
      </c>
    </row>
    <row r="74" hidden="1" ht="14.25" customHeight="1" s="281">
      <c r="A74" s="225" t="inlineStr">
        <is>
          <t>EVT073</t>
        </is>
      </c>
      <c r="B74" s="225" t="inlineStr">
        <is>
          <t>SUB049</t>
        </is>
      </c>
      <c r="C74" s="225" t="inlineStr">
        <is>
          <t>CUST012</t>
        </is>
      </c>
      <c r="D74" s="225" t="inlineStr">
        <is>
          <t>Maritime E-commerce</t>
        </is>
      </c>
      <c r="E74" s="225" t="inlineStr">
        <is>
          <t>Eastern Canada</t>
        </is>
      </c>
      <c r="F74" s="222" t="n">
        <v>45809</v>
      </c>
      <c r="G74" s="223" t="n">
        <v>45818</v>
      </c>
      <c r="H74" s="225" t="inlineStr">
        <is>
          <t>cancelled</t>
        </is>
      </c>
      <c r="I74" s="225" t="inlineStr">
        <is>
          <t>active</t>
        </is>
      </c>
      <c r="J74" s="225" t="inlineStr">
        <is>
          <t>cancelled</t>
        </is>
      </c>
      <c r="K74" s="225" t="inlineStr">
        <is>
          <t>status</t>
        </is>
      </c>
      <c r="L74" s="225" t="inlineStr">
        <is>
          <t>No longer needed</t>
        </is>
      </c>
      <c r="M74" s="225" t="inlineStr">
        <is>
          <t>Analytics Starter</t>
        </is>
      </c>
      <c r="N74" s="225" t="inlineStr">
        <is>
          <t>Monthly</t>
        </is>
      </c>
      <c r="O74" s="225" t="n">
        <v>19</v>
      </c>
      <c r="P74" s="225" t="n">
        <v>45</v>
      </c>
      <c r="Q74" s="225" t="n">
        <v>0</v>
      </c>
      <c r="R74" s="225">
        <f t="array" ref="R74">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
      </c>
      <c r="S74" s="224">
        <f t="array" ref="S74">IF(N74="Monthly",IFS(H74="created",O74*P74*(1-Q74/100),H74="cancelled",-(O74*P74*(1-Q74/100)),H74="seats_change",(J74-I74)*P74*(1-Q74/100),H74="price_change",(J74-I74)*O74*(1-Q74/100),H74="discount_added",-(O74*P74*(J74-I74)/100),H74="plan_upgrade",O74*(XLOOKUP(J74,$M:$M,$P:$P)-XLOOKUP(I74,$M:$M,$P:$P))*(1-Q74/100),H74="plan_downgrade",O74*(XLOOKUP(J74,$M:$M,$P:$P)-XLOOKUP(I74,$M:$M,$P:$P))*(1-Q74/100)),IFS(H74="created",O74*P74*(1-Q74/100)/12,H74="cancelled",-(O74*P74*(1-Q74/100))/12,H74="seats_change",(J74-I74)*P74*(1-Q74/100)/12,H74="price_change",(J74-I74)*O74*(1-Q74/100)/12,H74="plan_upgrade",(O74*(XLOOKUP(J74,$M:$M,$P:$P)-XLOOKUP(I74,$M:$M,$P:$P))*(1-Q74/100))/12,H74="plan_downgrade",(O74*(XLOOKUP(J74,$M:$M,$P:$P)-XLOOKUP(I74,$M:$M,$P:$P))*(1-Q74/100))/12,H74="discount_added",-(O74*P74*(J74-I74)/100)/12))</f>
        <v/>
      </c>
      <c r="T74" s="225">
        <f>IF(H74&lt;&gt;"created",0,IF(COUNTIFS($C$1:C73,$C74,$H$1:H73,"created")=0,1,0))</f>
        <v/>
      </c>
      <c r="U74" s="225">
        <f>IF(H74&lt;&gt;"cancelled",0,IF(COUNTIFS($C$2:$C$102,$C74,$H$2:$H$102,"created",$F$2:$F$102,"&lt;="&amp;F74)-COUNTIFS($C$2:$C$102,$C74,$H$2:$H$102,"cancelled",$F$2:$F$102,"&lt;="&amp;F74)=0,1,0))</f>
        <v/>
      </c>
      <c r="V74" s="225">
        <f>IF(AND(H74="created",T74=0,COUNTIFS($C$2:$C$102,$C74,$H$2:$H$102,"cancelled",$F$2:$F$102,"&lt;"&amp;F74)&gt;0,COUNTIFS($C$2:$C$102,$C74,$H$2:$H$102,"created",$F$2:$F$102,"&lt;"&amp;F74)-COUNTIFS($C$2:$C$102,$C74,$H$2:$H$102,"cancelled",$F$2:$F$102,"&lt;"&amp;F74)=0),1,0)</f>
        <v/>
      </c>
    </row>
    <row r="75" hidden="1" ht="14.25" customHeight="1" s="281">
      <c r="A75" s="225" t="inlineStr">
        <is>
          <t>EVT074</t>
        </is>
      </c>
      <c r="B75" s="225" t="inlineStr">
        <is>
          <t>SUB026</t>
        </is>
      </c>
      <c r="C75" s="225" t="inlineStr">
        <is>
          <t>CUST026</t>
        </is>
      </c>
      <c r="D75" s="225" t="inlineStr">
        <is>
          <t>Ontario Education Connect</t>
        </is>
      </c>
      <c r="E75" s="225" t="inlineStr">
        <is>
          <t>Eastern Canada</t>
        </is>
      </c>
      <c r="F75" s="222" t="n">
        <v>45809</v>
      </c>
      <c r="G75" s="223" t="n">
        <v>45823</v>
      </c>
      <c r="H75" s="225" t="inlineStr">
        <is>
          <t>plan_upgrade</t>
        </is>
      </c>
      <c r="I75" s="225" t="inlineStr">
        <is>
          <t>Analytics Starter</t>
        </is>
      </c>
      <c r="J75" s="225" t="inlineStr">
        <is>
          <t>Analytics Growth</t>
        </is>
      </c>
      <c r="K75" s="225" t="inlineStr">
        <is>
          <t>plan_name</t>
        </is>
      </c>
      <c r="L75" s="225" t="inlineStr">
        <is>
          <t>Growing usage - upgraded for advanced features and higher limits</t>
        </is>
      </c>
      <c r="M75" s="225" t="inlineStr">
        <is>
          <t>Analytics Growth</t>
        </is>
      </c>
      <c r="N75" s="225" t="inlineStr">
        <is>
          <t>Monthly</t>
        </is>
      </c>
      <c r="O75" s="225" t="n">
        <v>16</v>
      </c>
      <c r="P75" s="225" t="n">
        <v>95</v>
      </c>
      <c r="Q75" s="225" t="n">
        <v>0</v>
      </c>
      <c r="R75" s="225">
        <f t="array" ref="R75">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
      </c>
      <c r="S75" s="224">
        <f t="array" ref="S75">IF(N75="Monthly",IFS(H75="created",O75*P75*(1-Q75/100),H75="cancelled",-(O75*P75*(1-Q75/100)),H75="seats_change",(J75-I75)*P75*(1-Q75/100),H75="price_change",(J75-I75)*O75*(1-Q75/100),H75="discount_added",-(O75*P75*(J75-I75)/100),H75="plan_upgrade",O75*(XLOOKUP(J75,$M:$M,$P:$P)-XLOOKUP(I75,$M:$M,$P:$P))*(1-Q75/100),H75="plan_downgrade",O75*(XLOOKUP(J75,$M:$M,$P:$P)-XLOOKUP(I75,$M:$M,$P:$P))*(1-Q75/100)),IFS(H75="created",O75*P75*(1-Q75/100)/12,H75="cancelled",-(O75*P75*(1-Q75/100))/12,H75="seats_change",(J75-I75)*P75*(1-Q75/100)/12,H75="price_change",(J75-I75)*O75*(1-Q75/100)/12,H75="plan_upgrade",(O75*(XLOOKUP(J75,$M:$M,$P:$P)-XLOOKUP(I75,$M:$M,$P:$P))*(1-Q75/100))/12,H75="plan_downgrade",(O75*(XLOOKUP(J75,$M:$M,$P:$P)-XLOOKUP(I75,$M:$M,$P:$P))*(1-Q75/100))/12,H75="discount_added",-(O75*P75*(J75-I75)/100)/12))</f>
        <v/>
      </c>
      <c r="T75" s="225">
        <f>IF(H75&lt;&gt;"created",0,IF(COUNTIFS($C$1:C74,$C75,$H$1:H74,"created")=0,1,0))</f>
        <v/>
      </c>
      <c r="U75" s="225">
        <f>IF(H75&lt;&gt;"cancelled",0,IF(COUNTIFS($C$2:$C$102,$C75,$H$2:$H$102,"created",$F$2:$F$102,"&lt;="&amp;F75)-COUNTIFS($C$2:$C$102,$C75,$H$2:$H$102,"cancelled",$F$2:$F$102,"&lt;="&amp;F75)=0,1,0))</f>
        <v/>
      </c>
      <c r="V75" s="225">
        <f>IF(AND(H75="created",T75=0,COUNTIFS($C$2:$C$102,$C75,$H$2:$H$102,"cancelled",$F$2:$F$102,"&lt;"&amp;F75)&gt;0,COUNTIFS($C$2:$C$102,$C75,$H$2:$H$102,"created",$F$2:$F$102,"&lt;"&amp;F75)-COUNTIFS($C$2:$C$102,$C75,$H$2:$H$102,"cancelled",$F$2:$F$102,"&lt;"&amp;F75)=0),1,0)</f>
        <v/>
      </c>
    </row>
    <row r="76" hidden="1" ht="14.25" customHeight="1" s="281">
      <c r="A76" s="225" t="inlineStr">
        <is>
          <t>EVT075</t>
        </is>
      </c>
      <c r="B76" s="225" t="inlineStr">
        <is>
          <t>SUB039</t>
        </is>
      </c>
      <c r="C76" s="225" t="inlineStr">
        <is>
          <t>CUST039</t>
        </is>
      </c>
      <c r="D76" s="225" t="inlineStr">
        <is>
          <t>Toronto Commerce Cloud</t>
        </is>
      </c>
      <c r="E76" s="225" t="inlineStr">
        <is>
          <t>Eastern Canada</t>
        </is>
      </c>
      <c r="F76" s="222" t="n">
        <v>45809</v>
      </c>
      <c r="G76" s="223" t="n">
        <v>45831</v>
      </c>
      <c r="H76" s="225" t="inlineStr">
        <is>
          <t>created</t>
        </is>
      </c>
      <c r="M76" s="225" t="inlineStr">
        <is>
          <t>Marketing Pro</t>
        </is>
      </c>
      <c r="N76" s="225" t="inlineStr">
        <is>
          <t>Monthly</t>
        </is>
      </c>
      <c r="O76" s="225" t="n">
        <v>29</v>
      </c>
      <c r="P76" s="225" t="n">
        <v>85</v>
      </c>
      <c r="Q76" s="225" t="n">
        <v>0</v>
      </c>
      <c r="R76" s="225">
        <f t="array" ref="R76">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
      </c>
      <c r="S76" s="224">
        <f t="array" ref="S76">IF(N76="Monthly",IFS(H76="created",O76*P76*(1-Q76/100),H76="cancelled",-(O76*P76*(1-Q76/100)),H76="seats_change",(J76-I76)*P76*(1-Q76/100),H76="price_change",(J76-I76)*O76*(1-Q76/100),H76="discount_added",-(O76*P76*(J76-I76)/100),H76="plan_upgrade",O76*(XLOOKUP(J76,$M:$M,$P:$P)-XLOOKUP(I76,$M:$M,$P:$P))*(1-Q76/100),H76="plan_downgrade",O76*(XLOOKUP(J76,$M:$M,$P:$P)-XLOOKUP(I76,$M:$M,$P:$P))*(1-Q76/100)),IFS(H76="created",O76*P76*(1-Q76/100)/12,H76="cancelled",-(O76*P76*(1-Q76/100))/12,H76="seats_change",(J76-I76)*P76*(1-Q76/100)/12,H76="price_change",(J76-I76)*O76*(1-Q76/100)/12,H76="plan_upgrade",(O76*(XLOOKUP(J76,$M:$M,$P:$P)-XLOOKUP(I76,$M:$M,$P:$P))*(1-Q76/100))/12,H76="plan_downgrade",(O76*(XLOOKUP(J76,$M:$M,$P:$P)-XLOOKUP(I76,$M:$M,$P:$P))*(1-Q76/100))/12,H76="discount_added",-(O76*P76*(J76-I76)/100)/12))</f>
        <v/>
      </c>
      <c r="T76" s="225">
        <f>IF(H76&lt;&gt;"created",0,IF(COUNTIFS($C$1:C75,$C76,$H$1:H75,"created")=0,1,0))</f>
        <v/>
      </c>
      <c r="U76" s="225">
        <f>IF(H76&lt;&gt;"cancelled",0,IF(COUNTIFS($C$2:$C$102,$C76,$H$2:$H$102,"created",$F$2:$F$102,"&lt;="&amp;F76)-COUNTIFS($C$2:$C$102,$C76,$H$2:$H$102,"cancelled",$F$2:$F$102,"&lt;="&amp;F76)=0,1,0))</f>
        <v/>
      </c>
      <c r="V76" s="225">
        <f>IF(AND(H76="created",T76=0,COUNTIFS($C$2:$C$102,$C76,$H$2:$H$102,"cancelled",$F$2:$F$102,"&lt;"&amp;F76)&gt;0,COUNTIFS($C$2:$C$102,$C76,$H$2:$H$102,"created",$F$2:$F$102,"&lt;"&amp;F76)-COUNTIFS($C$2:$C$102,$C76,$H$2:$H$102,"cancelled",$F$2:$F$102,"&lt;"&amp;F76)=0),1,0)</f>
        <v/>
      </c>
    </row>
    <row r="77" hidden="1" ht="14.25" customHeight="1" s="281">
      <c r="A77" s="225" t="inlineStr">
        <is>
          <t>EVT076</t>
        </is>
      </c>
      <c r="B77" s="225" t="inlineStr">
        <is>
          <t>SUB023</t>
        </is>
      </c>
      <c r="C77" s="225" t="inlineStr">
        <is>
          <t>CUST023</t>
        </is>
      </c>
      <c r="D77" s="225" t="inlineStr">
        <is>
          <t>Island Media Productions</t>
        </is>
      </c>
      <c r="E77" s="225" t="inlineStr">
        <is>
          <t>Eastern Canada</t>
        </is>
      </c>
      <c r="F77" s="222" t="n">
        <v>45809</v>
      </c>
      <c r="G77" s="223" t="n">
        <v>45833</v>
      </c>
      <c r="H77" s="225" t="inlineStr">
        <is>
          <t>cancelled</t>
        </is>
      </c>
      <c r="I77" s="225" t="inlineStr">
        <is>
          <t>active</t>
        </is>
      </c>
      <c r="J77" s="225" t="inlineStr">
        <is>
          <t>churned</t>
        </is>
      </c>
      <c r="K77" s="225" t="inlineStr">
        <is>
          <t>status</t>
        </is>
      </c>
      <c r="L77" s="225" t="inlineStr">
        <is>
          <t>Missing features</t>
        </is>
      </c>
      <c r="M77" s="225" t="inlineStr">
        <is>
          <t>Analytics Starter</t>
        </is>
      </c>
      <c r="N77" s="225" t="inlineStr">
        <is>
          <t>Monthly</t>
        </is>
      </c>
      <c r="O77" s="225" t="n">
        <v>10</v>
      </c>
      <c r="P77" s="225" t="n">
        <v>45</v>
      </c>
      <c r="Q77" s="225" t="n">
        <v>0</v>
      </c>
      <c r="R77" s="225">
        <f t="array" ref="R77">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
      </c>
      <c r="S77" s="224">
        <f t="array" ref="S77">IF(N77="Monthly",IFS(H77="created",O77*P77*(1-Q77/100),H77="cancelled",-(O77*P77*(1-Q77/100)),H77="seats_change",(J77-I77)*P77*(1-Q77/100),H77="price_change",(J77-I77)*O77*(1-Q77/100),H77="discount_added",-(O77*P77*(J77-I77)/100),H77="plan_upgrade",O77*(XLOOKUP(J77,$M:$M,$P:$P)-XLOOKUP(I77,$M:$M,$P:$P))*(1-Q77/100),H77="plan_downgrade",O77*(XLOOKUP(J77,$M:$M,$P:$P)-XLOOKUP(I77,$M:$M,$P:$P))*(1-Q77/100)),IFS(H77="created",O77*P77*(1-Q77/100)/12,H77="cancelled",-(O77*P77*(1-Q77/100))/12,H77="seats_change",(J77-I77)*P77*(1-Q77/100)/12,H77="price_change",(J77-I77)*O77*(1-Q77/100)/12,H77="plan_upgrade",(O77*(XLOOKUP(J77,$M:$M,$P:$P)-XLOOKUP(I77,$M:$M,$P:$P))*(1-Q77/100))/12,H77="plan_downgrade",(O77*(XLOOKUP(J77,$M:$M,$P:$P)-XLOOKUP(I77,$M:$M,$P:$P))*(1-Q77/100))/12,H77="discount_added",-(O77*P77*(J77-I77)/100)/12))</f>
        <v/>
      </c>
      <c r="T77" s="225">
        <f>IF(H77&lt;&gt;"created",0,IF(COUNTIFS($C$1:C76,$C77,$H$1:H76,"created")=0,1,0))</f>
        <v/>
      </c>
      <c r="U77" s="225">
        <f>IF(H77&lt;&gt;"cancelled",0,IF(COUNTIFS($C$2:$C$102,$C77,$H$2:$H$102,"created",$F$2:$F$102,"&lt;="&amp;F77)-COUNTIFS($C$2:$C$102,$C77,$H$2:$H$102,"cancelled",$F$2:$F$102,"&lt;="&amp;F77)=0,1,0))</f>
        <v/>
      </c>
      <c r="V77" s="225">
        <f>IF(AND(H77="created",T77=0,COUNTIFS($C$2:$C$102,$C77,$H$2:$H$102,"cancelled",$F$2:$F$102,"&lt;"&amp;F77)&gt;0,COUNTIFS($C$2:$C$102,$C77,$H$2:$H$102,"created",$F$2:$F$102,"&lt;"&amp;F77)-COUNTIFS($C$2:$C$102,$C77,$H$2:$H$102,"cancelled",$F$2:$F$102,"&lt;"&amp;F77)=0),1,0)</f>
        <v/>
      </c>
    </row>
    <row r="78" hidden="1" ht="14.25" customHeight="1" s="281">
      <c r="A78" s="225" t="inlineStr">
        <is>
          <t>EVT077</t>
        </is>
      </c>
      <c r="B78" s="225" t="inlineStr">
        <is>
          <t>SUB059</t>
        </is>
      </c>
      <c r="C78" s="225" t="inlineStr">
        <is>
          <t>CUST008</t>
        </is>
      </c>
      <c r="D78" s="225" t="inlineStr">
        <is>
          <t>Quantum Education Platform</t>
        </is>
      </c>
      <c r="E78" s="225" t="inlineStr">
        <is>
          <t>Eastern Canada</t>
        </is>
      </c>
      <c r="F78" s="222" t="n">
        <v>45839</v>
      </c>
      <c r="G78" s="223" t="n">
        <v>45843</v>
      </c>
      <c r="H78" s="225" t="inlineStr">
        <is>
          <t>price_change</t>
        </is>
      </c>
      <c r="I78" s="225" t="n">
        <v>75</v>
      </c>
      <c r="J78" s="225" t="n">
        <v>85</v>
      </c>
      <c r="K78" s="225" t="inlineStr">
        <is>
          <t>price_per_seat</t>
        </is>
      </c>
      <c r="L78" s="225" t="inlineStr">
        <is>
          <t>Annual price increase applied at renewal</t>
        </is>
      </c>
      <c r="M78" s="225" t="inlineStr">
        <is>
          <t>Marketing Pro</t>
        </is>
      </c>
      <c r="N78" s="225" t="inlineStr">
        <is>
          <t>Monthly</t>
        </is>
      </c>
      <c r="O78" s="225" t="n">
        <v>22</v>
      </c>
      <c r="P78" s="225" t="n">
        <v>85</v>
      </c>
      <c r="Q78" s="225" t="n">
        <v>0</v>
      </c>
      <c r="R78" s="225">
        <f t="array" ref="R78">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
      </c>
      <c r="S78" s="224">
        <f t="array" ref="S78">IF(N78="Monthly",IFS(H78="created",O78*P78*(1-Q78/100),H78="cancelled",-(O78*P78*(1-Q78/100)),H78="seats_change",(J78-I78)*P78*(1-Q78/100),H78="price_change",(J78-I78)*O78*(1-Q78/100),H78="discount_added",-(O78*P78*(J78-I78)/100),H78="plan_upgrade",O78*(XLOOKUP(J78,$M:$M,$P:$P)-XLOOKUP(I78,$M:$M,$P:$P))*(1-Q78/100),H78="plan_downgrade",O78*(XLOOKUP(J78,$M:$M,$P:$P)-XLOOKUP(I78,$M:$M,$P:$P))*(1-Q78/100)),IFS(H78="created",O78*P78*(1-Q78/100)/12,H78="cancelled",-(O78*P78*(1-Q78/100))/12,H78="seats_change",(J78-I78)*P78*(1-Q78/100)/12,H78="price_change",(J78-I78)*O78*(1-Q78/100)/12,H78="plan_upgrade",(O78*(XLOOKUP(J78,$M:$M,$P:$P)-XLOOKUP(I78,$M:$M,$P:$P))*(1-Q78/100))/12,H78="plan_downgrade",(O78*(XLOOKUP(J78,$M:$M,$P:$P)-XLOOKUP(I78,$M:$M,$P:$P))*(1-Q78/100))/12,H78="discount_added",-(O78*P78*(J78-I78)/100)/12))</f>
        <v/>
      </c>
      <c r="T78" s="225">
        <f>IF(H78&lt;&gt;"created",0,IF(COUNTIFS($C$1:C77,$C78,$H$1:H77,"created")=0,1,0))</f>
        <v/>
      </c>
      <c r="U78" s="225">
        <f>IF(H78&lt;&gt;"cancelled",0,IF(COUNTIFS($C$2:$C$102,$C78,$H$2:$H$102,"created",$F$2:$F$102,"&lt;="&amp;F78)-COUNTIFS($C$2:$C$102,$C78,$H$2:$H$102,"cancelled",$F$2:$F$102,"&lt;="&amp;F78)=0,1,0))</f>
        <v/>
      </c>
      <c r="V78" s="225">
        <f>IF(AND(H78="created",T78=0,COUNTIFS($C$2:$C$102,$C78,$H$2:$H$102,"cancelled",$F$2:$F$102,"&lt;"&amp;F78)&gt;0,COUNTIFS($C$2:$C$102,$C78,$H$2:$H$102,"created",$F$2:$F$102,"&lt;"&amp;F78)-COUNTIFS($C$2:$C$102,$C78,$H$2:$H$102,"cancelled",$F$2:$F$102,"&lt;"&amp;F78)=0),1,0)</f>
        <v/>
      </c>
    </row>
    <row r="79" hidden="1" ht="14.25" customHeight="1" s="281">
      <c r="A79" s="225" t="inlineStr">
        <is>
          <t>EVT078</t>
        </is>
      </c>
      <c r="B79" s="225" t="inlineStr">
        <is>
          <t>SUB060</t>
        </is>
      </c>
      <c r="C79" s="225" t="inlineStr">
        <is>
          <t>CUST019</t>
        </is>
      </c>
      <c r="D79" s="225" t="inlineStr">
        <is>
          <t>Central Healthcare Partners</t>
        </is>
      </c>
      <c r="E79" s="225" t="inlineStr">
        <is>
          <t>Central Canada</t>
        </is>
      </c>
      <c r="F79" s="222" t="n">
        <v>45839</v>
      </c>
      <c r="G79" s="223" t="n">
        <v>45858</v>
      </c>
      <c r="H79" s="225" t="inlineStr">
        <is>
          <t>cancelled</t>
        </is>
      </c>
      <c r="I79" s="225" t="inlineStr">
        <is>
          <t>active</t>
        </is>
      </c>
      <c r="J79" s="225" t="inlineStr">
        <is>
          <t>cancelled</t>
        </is>
      </c>
      <c r="K79" s="225" t="inlineStr">
        <is>
          <t>status</t>
        </is>
      </c>
      <c r="L79" s="225" t="inlineStr">
        <is>
          <t>Budget cuts</t>
        </is>
      </c>
      <c r="M79" s="225" t="inlineStr">
        <is>
          <t>Sales Hub</t>
        </is>
      </c>
      <c r="N79" s="225" t="inlineStr">
        <is>
          <t>Monthly</t>
        </is>
      </c>
      <c r="O79" s="225" t="n">
        <v>16</v>
      </c>
      <c r="P79" s="225" t="n">
        <v>110</v>
      </c>
      <c r="Q79" s="225" t="n">
        <v>0</v>
      </c>
      <c r="R79" s="225">
        <f t="array" ref="R79">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
      </c>
      <c r="S79" s="224">
        <f t="array" ref="S79">IF(N79="Monthly",IFS(H79="created",O79*P79*(1-Q79/100),H79="cancelled",-(O79*P79*(1-Q79/100)),H79="seats_change",(J79-I79)*P79*(1-Q79/100),H79="price_change",(J79-I79)*O79*(1-Q79/100),H79="discount_added",-(O79*P79*(J79-I79)/100),H79="plan_upgrade",O79*(XLOOKUP(J79,$M:$M,$P:$P)-XLOOKUP(I79,$M:$M,$P:$P))*(1-Q79/100),H79="plan_downgrade",O79*(XLOOKUP(J79,$M:$M,$P:$P)-XLOOKUP(I79,$M:$M,$P:$P))*(1-Q79/100)),IFS(H79="created",O79*P79*(1-Q79/100)/12,H79="cancelled",-(O79*P79*(1-Q79/100))/12,H79="seats_change",(J79-I79)*P79*(1-Q79/100)/12,H79="price_change",(J79-I79)*O79*(1-Q79/100)/12,H79="plan_upgrade",(O79*(XLOOKUP(J79,$M:$M,$P:$P)-XLOOKUP(I79,$M:$M,$P:$P))*(1-Q79/100))/12,H79="plan_downgrade",(O79*(XLOOKUP(J79,$M:$M,$P:$P)-XLOOKUP(I79,$M:$M,$P:$P))*(1-Q79/100))/12,H79="discount_added",-(O79*P79*(J79-I79)/100)/12))</f>
        <v/>
      </c>
      <c r="T79" s="225">
        <f>IF(H79&lt;&gt;"created",0,IF(COUNTIFS($C$1:C78,$C79,$H$1:H78,"created")=0,1,0))</f>
        <v/>
      </c>
      <c r="U79" s="225">
        <f>IF(H79&lt;&gt;"cancelled",0,IF(COUNTIFS($C$2:$C$102,$C79,$H$2:$H$102,"created",$F$2:$F$102,"&lt;="&amp;F79)-COUNTIFS($C$2:$C$102,$C79,$H$2:$H$102,"cancelled",$F$2:$F$102,"&lt;="&amp;F79)=0,1,0))</f>
        <v/>
      </c>
      <c r="V79" s="225">
        <f>IF(AND(H79="created",T79=0,COUNTIFS($C$2:$C$102,$C79,$H$2:$H$102,"cancelled",$F$2:$F$102,"&lt;"&amp;F79)&gt;0,COUNTIFS($C$2:$C$102,$C79,$H$2:$H$102,"created",$F$2:$F$102,"&lt;"&amp;F79)-COUNTIFS($C$2:$C$102,$C79,$H$2:$H$102,"cancelled",$F$2:$F$102,"&lt;"&amp;F79)=0),1,0)</f>
        <v/>
      </c>
    </row>
    <row r="80" hidden="1" ht="14.25" customHeight="1" s="281">
      <c r="A80" s="225" t="inlineStr">
        <is>
          <t>EVT079</t>
        </is>
      </c>
      <c r="B80" s="225" t="inlineStr">
        <is>
          <t>SUB011</t>
        </is>
      </c>
      <c r="C80" s="225" t="inlineStr">
        <is>
          <t>CUST011</t>
        </is>
      </c>
      <c r="D80" s="225" t="inlineStr">
        <is>
          <t>Prairie Health Connect</t>
        </is>
      </c>
      <c r="E80" s="225" t="inlineStr">
        <is>
          <t>Central Canada</t>
        </is>
      </c>
      <c r="F80" s="222" t="n">
        <v>45839</v>
      </c>
      <c r="G80" s="223" t="n">
        <v>45860</v>
      </c>
      <c r="H80" s="225" t="inlineStr">
        <is>
          <t>seats_change</t>
        </is>
      </c>
      <c r="I80" s="225" t="n">
        <v>14</v>
      </c>
      <c r="J80" s="225" t="n">
        <v>18</v>
      </c>
      <c r="K80" s="225" t="inlineStr">
        <is>
          <t>seats</t>
        </is>
      </c>
      <c r="L80" s="225" t="inlineStr">
        <is>
          <t>Team expansion - mid-year headcount increase</t>
        </is>
      </c>
      <c r="M80" s="225" t="inlineStr">
        <is>
          <t>Sales Hub</t>
        </is>
      </c>
      <c r="N80" s="225" t="inlineStr">
        <is>
          <t>Monthly</t>
        </is>
      </c>
      <c r="O80" s="225" t="n">
        <v>18</v>
      </c>
      <c r="P80" s="225" t="n">
        <v>110</v>
      </c>
      <c r="Q80" s="225" t="n">
        <v>0</v>
      </c>
      <c r="R80" s="225">
        <f t="array" ref="R80">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
      </c>
      <c r="S80" s="224">
        <f t="array" ref="S80">IF(N80="Monthly",IFS(H80="created",O80*P80*(1-Q80/100),H80="cancelled",-(O80*P80*(1-Q80/100)),H80="seats_change",(J80-I80)*P80*(1-Q80/100),H80="price_change",(J80-I80)*O80*(1-Q80/100),H80="discount_added",-(O80*P80*(J80-I80)/100),H80="plan_upgrade",O80*(XLOOKUP(J80,$M:$M,$P:$P)-XLOOKUP(I80,$M:$M,$P:$P))*(1-Q80/100),H80="plan_downgrade",O80*(XLOOKUP(J80,$M:$M,$P:$P)-XLOOKUP(I80,$M:$M,$P:$P))*(1-Q80/100)),IFS(H80="created",O80*P80*(1-Q80/100)/12,H80="cancelled",-(O80*P80*(1-Q80/100))/12,H80="seats_change",(J80-I80)*P80*(1-Q80/100)/12,H80="price_change",(J80-I80)*O80*(1-Q80/100)/12,H80="plan_upgrade",(O80*(XLOOKUP(J80,$M:$M,$P:$P)-XLOOKUP(I80,$M:$M,$P:$P))*(1-Q80/100))/12,H80="plan_downgrade",(O80*(XLOOKUP(J80,$M:$M,$P:$P)-XLOOKUP(I80,$M:$M,$P:$P))*(1-Q80/100))/12,H80="discount_added",-(O80*P80*(J80-I80)/100)/12))</f>
        <v/>
      </c>
      <c r="T80" s="225">
        <f>IF(H80&lt;&gt;"created",0,IF(COUNTIFS($C$1:C79,$C80,$H$1:H79,"created")=0,1,0))</f>
        <v/>
      </c>
      <c r="U80" s="225">
        <f>IF(H80&lt;&gt;"cancelled",0,IF(COUNTIFS($C$2:$C$102,$C80,$H$2:$H$102,"created",$F$2:$F$102,"&lt;="&amp;F80)-COUNTIFS($C$2:$C$102,$C80,$H$2:$H$102,"cancelled",$F$2:$F$102,"&lt;="&amp;F80)=0,1,0))</f>
        <v/>
      </c>
      <c r="V80" s="225">
        <f>IF(AND(H80="created",T80=0,COUNTIFS($C$2:$C$102,$C80,$H$2:$H$102,"cancelled",$F$2:$F$102,"&lt;"&amp;F80)&gt;0,COUNTIFS($C$2:$C$102,$C80,$H$2:$H$102,"created",$F$2:$F$102,"&lt;"&amp;F80)-COUNTIFS($C$2:$C$102,$C80,$H$2:$H$102,"cancelled",$F$2:$F$102,"&lt;"&amp;F80)=0),1,0)</f>
        <v/>
      </c>
    </row>
    <row r="81" hidden="1" ht="14.25" customHeight="1" s="281">
      <c r="A81" s="225" t="inlineStr">
        <is>
          <t>EVT080</t>
        </is>
      </c>
      <c r="B81" s="225" t="inlineStr">
        <is>
          <t>SUB029</t>
        </is>
      </c>
      <c r="C81" s="225" t="inlineStr">
        <is>
          <t>CUST029</t>
        </is>
      </c>
      <c r="D81" s="225" t="inlineStr">
        <is>
          <t>Halifax Healthcare Tech</t>
        </is>
      </c>
      <c r="E81" s="225" t="inlineStr">
        <is>
          <t>Eastern Canada</t>
        </is>
      </c>
      <c r="F81" s="222" t="n">
        <v>45870</v>
      </c>
      <c r="G81" s="223" t="n">
        <v>45872</v>
      </c>
      <c r="H81" s="225" t="inlineStr">
        <is>
          <t>price_change</t>
        </is>
      </c>
      <c r="I81" s="225" t="n">
        <v>90</v>
      </c>
      <c r="J81" s="225" t="n">
        <v>85</v>
      </c>
      <c r="K81" s="225" t="inlineStr">
        <is>
          <t>price_per_seat</t>
        </is>
      </c>
      <c r="L81" s="225" t="inlineStr">
        <is>
          <t>Renewal negotiation - competitive pricing match</t>
        </is>
      </c>
      <c r="M81" s="225" t="inlineStr">
        <is>
          <t>Marketing Pro</t>
        </is>
      </c>
      <c r="N81" s="225" t="inlineStr">
        <is>
          <t>Monthly</t>
        </is>
      </c>
      <c r="O81" s="225" t="n">
        <v>22</v>
      </c>
      <c r="P81" s="225" t="n">
        <v>85</v>
      </c>
      <c r="Q81" s="225" t="n">
        <v>0</v>
      </c>
      <c r="R81" s="225">
        <f t="array" ref="R81">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
      </c>
      <c r="S81" s="224">
        <f t="array" ref="S81">IF(N81="Monthly",IFS(H81="created",O81*P81*(1-Q81/100),H81="cancelled",-(O81*P81*(1-Q81/100)),H81="seats_change",(J81-I81)*P81*(1-Q81/100),H81="price_change",(J81-I81)*O81*(1-Q81/100),H81="discount_added",-(O81*P81*(J81-I81)/100),H81="plan_upgrade",O81*(XLOOKUP(J81,$M:$M,$P:$P)-XLOOKUP(I81,$M:$M,$P:$P))*(1-Q81/100),H81="plan_downgrade",O81*(XLOOKUP(J81,$M:$M,$P:$P)-XLOOKUP(I81,$M:$M,$P:$P))*(1-Q81/100)),IFS(H81="created",O81*P81*(1-Q81/100)/12,H81="cancelled",-(O81*P81*(1-Q81/100))/12,H81="seats_change",(J81-I81)*P81*(1-Q81/100)/12,H81="price_change",(J81-I81)*O81*(1-Q81/100)/12,H81="plan_upgrade",(O81*(XLOOKUP(J81,$M:$M,$P:$P)-XLOOKUP(I81,$M:$M,$P:$P))*(1-Q81/100))/12,H81="plan_downgrade",(O81*(XLOOKUP(J81,$M:$M,$P:$P)-XLOOKUP(I81,$M:$M,$P:$P))*(1-Q81/100))/12,H81="discount_added",-(O81*P81*(J81-I81)/100)/12))</f>
        <v/>
      </c>
      <c r="T81" s="225">
        <f>IF(H81&lt;&gt;"created",0,IF(COUNTIFS($C$1:C80,$C81,$H$1:H80,"created")=0,1,0))</f>
        <v/>
      </c>
      <c r="U81" s="225">
        <f>IF(H81&lt;&gt;"cancelled",0,IF(COUNTIFS($C$2:$C$102,$C81,$H$2:$H$102,"created",$F$2:$F$102,"&lt;="&amp;F81)-COUNTIFS($C$2:$C$102,$C81,$H$2:$H$102,"cancelled",$F$2:$F$102,"&lt;="&amp;F81)=0,1,0))</f>
        <v/>
      </c>
      <c r="V81" s="225">
        <f>IF(AND(H81="created",T81=0,COUNTIFS($C$2:$C$102,$C81,$H$2:$H$102,"cancelled",$F$2:$F$102,"&lt;"&amp;F81)&gt;0,COUNTIFS($C$2:$C$102,$C81,$H$2:$H$102,"created",$F$2:$F$102,"&lt;"&amp;F81)-COUNTIFS($C$2:$C$102,$C81,$H$2:$H$102,"cancelled",$F$2:$F$102,"&lt;"&amp;F81)=0),1,0)</f>
        <v/>
      </c>
    </row>
    <row r="82" hidden="1" ht="14.25" customHeight="1" s="281">
      <c r="A82" s="225" t="inlineStr">
        <is>
          <t>EVT081</t>
        </is>
      </c>
      <c r="B82" s="225" t="inlineStr">
        <is>
          <t>SUB032</t>
        </is>
      </c>
      <c r="C82" s="225" t="inlineStr">
        <is>
          <t>CUST032</t>
        </is>
      </c>
      <c r="D82" s="225" t="inlineStr">
        <is>
          <t>BC Manufacturing Systems</t>
        </is>
      </c>
      <c r="E82" s="225" t="inlineStr">
        <is>
          <t>Western Canada</t>
        </is>
      </c>
      <c r="F82" s="222" t="n">
        <v>45870</v>
      </c>
      <c r="G82" s="223" t="n">
        <v>45881</v>
      </c>
      <c r="H82" s="225" t="inlineStr">
        <is>
          <t>plan_upgrade</t>
        </is>
      </c>
      <c r="I82" s="225" t="inlineStr">
        <is>
          <t>Analytics Growth</t>
        </is>
      </c>
      <c r="J82" s="225" t="inlineStr">
        <is>
          <t>Analytics Enterprise</t>
        </is>
      </c>
      <c r="K82" s="225" t="inlineStr">
        <is>
          <t>plan_name</t>
        </is>
      </c>
      <c r="L82" s="225" t="inlineStr">
        <is>
          <t>Enterprise SSO and audit logs required</t>
        </is>
      </c>
      <c r="M82" s="225" t="inlineStr">
        <is>
          <t>Analytics Enterprise</t>
        </is>
      </c>
      <c r="N82" s="225" t="inlineStr">
        <is>
          <t>Monthly</t>
        </is>
      </c>
      <c r="O82" s="225" t="n">
        <v>26</v>
      </c>
      <c r="P82" s="225" t="n">
        <v>180</v>
      </c>
      <c r="Q82" s="225" t="n">
        <v>0</v>
      </c>
      <c r="R82" s="225">
        <f t="array" ref="R82">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
      </c>
      <c r="S82" s="224">
        <f t="array" ref="S82">IF(N82="Monthly",IFS(H82="created",O82*P82*(1-Q82/100),H82="cancelled",-(O82*P82*(1-Q82/100)),H82="seats_change",(J82-I82)*P82*(1-Q82/100),H82="price_change",(J82-I82)*O82*(1-Q82/100),H82="discount_added",-(O82*P82*(J82-I82)/100),H82="plan_upgrade",O82*(XLOOKUP(J82,$M:$M,$P:$P)-XLOOKUP(I82,$M:$M,$P:$P))*(1-Q82/100),H82="plan_downgrade",O82*(XLOOKUP(J82,$M:$M,$P:$P)-XLOOKUP(I82,$M:$M,$P:$P))*(1-Q82/100)),IFS(H82="created",O82*P82*(1-Q82/100)/12,H82="cancelled",-(O82*P82*(1-Q82/100))/12,H82="seats_change",(J82-I82)*P82*(1-Q82/100)/12,H82="price_change",(J82-I82)*O82*(1-Q82/100)/12,H82="plan_upgrade",(O82*(XLOOKUP(J82,$M:$M,$P:$P)-XLOOKUP(I82,$M:$M,$P:$P))*(1-Q82/100))/12,H82="plan_downgrade",(O82*(XLOOKUP(J82,$M:$M,$P:$P)-XLOOKUP(I82,$M:$M,$P:$P))*(1-Q82/100))/12,H82="discount_added",-(O82*P82*(J82-I82)/100)/12))</f>
        <v/>
      </c>
      <c r="T82" s="225">
        <f>IF(H82&lt;&gt;"created",0,IF(COUNTIFS($C$1:C81,$C82,$H$1:H81,"created")=0,1,0))</f>
        <v/>
      </c>
      <c r="U82" s="225">
        <f>IF(H82&lt;&gt;"cancelled",0,IF(COUNTIFS($C$2:$C$102,$C82,$H$2:$H$102,"created",$F$2:$F$102,"&lt;="&amp;F82)-COUNTIFS($C$2:$C$102,$C82,$H$2:$H$102,"cancelled",$F$2:$F$102,"&lt;="&amp;F82)=0,1,0))</f>
        <v/>
      </c>
      <c r="V82" s="225">
        <f>IF(AND(H82="created",T82=0,COUNTIFS($C$2:$C$102,$C82,$H$2:$H$102,"cancelled",$F$2:$F$102,"&lt;"&amp;F82)&gt;0,COUNTIFS($C$2:$C$102,$C82,$H$2:$H$102,"created",$F$2:$F$102,"&lt;"&amp;F82)-COUNTIFS($C$2:$C$102,$C82,$H$2:$H$102,"cancelled",$F$2:$F$102,"&lt;"&amp;F82)=0),1,0)</f>
        <v/>
      </c>
    </row>
    <row r="83" hidden="1" ht="14.25" customHeight="1" s="281">
      <c r="A83" s="225" t="inlineStr">
        <is>
          <t>EVT082</t>
        </is>
      </c>
      <c r="B83" s="225" t="inlineStr">
        <is>
          <t>SUB017</t>
        </is>
      </c>
      <c r="C83" s="225" t="inlineStr">
        <is>
          <t>CUST017</t>
        </is>
      </c>
      <c r="D83" s="225" t="inlineStr">
        <is>
          <t>Capital Education Tech</t>
        </is>
      </c>
      <c r="E83" s="225" t="inlineStr">
        <is>
          <t>Eastern Canada</t>
        </is>
      </c>
      <c r="F83" s="222" t="n">
        <v>45870</v>
      </c>
      <c r="G83" s="223" t="n">
        <v>45888</v>
      </c>
      <c r="H83" s="225" t="inlineStr">
        <is>
          <t>plan_downgrade</t>
        </is>
      </c>
      <c r="I83" s="225" t="inlineStr">
        <is>
          <t>Analytics Growth</t>
        </is>
      </c>
      <c r="J83" s="225" t="inlineStr">
        <is>
          <t>Analytics Starter</t>
        </is>
      </c>
      <c r="K83" s="225" t="inlineStr">
        <is>
          <t>plan_name</t>
        </is>
      </c>
      <c r="L83" s="225" t="inlineStr">
        <is>
          <t>Reduced usage - advanced features no longer needed</t>
        </is>
      </c>
      <c r="M83" s="225" t="inlineStr">
        <is>
          <t>Analytics Starter</t>
        </is>
      </c>
      <c r="N83" s="225" t="inlineStr">
        <is>
          <t>Monthly</t>
        </is>
      </c>
      <c r="O83" s="225" t="n">
        <v>12</v>
      </c>
      <c r="P83" s="225" t="n">
        <v>45</v>
      </c>
      <c r="Q83" s="225" t="n">
        <v>0</v>
      </c>
      <c r="R83" s="225">
        <f t="array" ref="R83">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
      </c>
      <c r="S83" s="224">
        <f t="array" ref="S83">IF(N83="Monthly",IFS(H83="created",O83*P83*(1-Q83/100),H83="cancelled",-(O83*P83*(1-Q83/100)),H83="seats_change",(J83-I83)*P83*(1-Q83/100),H83="price_change",(J83-I83)*O83*(1-Q83/100),H83="discount_added",-(O83*P83*(J83-I83)/100),H83="plan_upgrade",O83*(XLOOKUP(J83,$M:$M,$P:$P)-XLOOKUP(I83,$M:$M,$P:$P))*(1-Q83/100),H83="plan_downgrade",O83*(XLOOKUP(J83,$M:$M,$P:$P)-XLOOKUP(I83,$M:$M,$P:$P))*(1-Q83/100)),IFS(H83="created",O83*P83*(1-Q83/100)/12,H83="cancelled",-(O83*P83*(1-Q83/100))/12,H83="seats_change",(J83-I83)*P83*(1-Q83/100)/12,H83="price_change",(J83-I83)*O83*(1-Q83/100)/12,H83="plan_upgrade",(O83*(XLOOKUP(J83,$M:$M,$P:$P)-XLOOKUP(I83,$M:$M,$P:$P))*(1-Q83/100))/12,H83="plan_downgrade",(O83*(XLOOKUP(J83,$M:$M,$P:$P)-XLOOKUP(I83,$M:$M,$P:$P))*(1-Q83/100))/12,H83="discount_added",-(O83*P83*(J83-I83)/100)/12))</f>
        <v/>
      </c>
      <c r="T83" s="225">
        <f>IF(H83&lt;&gt;"created",0,IF(COUNTIFS($C$1:C82,$C83,$H$1:H82,"created")=0,1,0))</f>
        <v/>
      </c>
      <c r="U83" s="225">
        <f>IF(H83&lt;&gt;"cancelled",0,IF(COUNTIFS($C$2:$C$102,$C83,$H$2:$H$102,"created",$F$2:$F$102,"&lt;="&amp;F83)-COUNTIFS($C$2:$C$102,$C83,$H$2:$H$102,"cancelled",$F$2:$F$102,"&lt;="&amp;F83)=0,1,0))</f>
        <v/>
      </c>
      <c r="V83" s="225">
        <f>IF(AND(H83="created",T83=0,COUNTIFS($C$2:$C$102,$C83,$H$2:$H$102,"cancelled",$F$2:$F$102,"&lt;"&amp;F83)&gt;0,COUNTIFS($C$2:$C$102,$C83,$H$2:$H$102,"created",$F$2:$F$102,"&lt;"&amp;F83)-COUNTIFS($C$2:$C$102,$C83,$H$2:$H$102,"cancelled",$F$2:$F$102,"&lt;"&amp;F83)=0),1,0)</f>
        <v/>
      </c>
    </row>
    <row r="84" hidden="1" ht="14.25" customHeight="1" s="281">
      <c r="A84" s="225" t="inlineStr">
        <is>
          <t>EVT083</t>
        </is>
      </c>
      <c r="B84" s="225" t="inlineStr">
        <is>
          <t>SUB022</t>
        </is>
      </c>
      <c r="C84" s="225" t="inlineStr">
        <is>
          <t>CUST022</t>
        </is>
      </c>
      <c r="D84" s="225" t="inlineStr">
        <is>
          <t>Toronto Tech Ventures</t>
        </is>
      </c>
      <c r="E84" s="225" t="inlineStr">
        <is>
          <t>Eastern Canada</t>
        </is>
      </c>
      <c r="F84" s="222" t="n">
        <v>45870</v>
      </c>
      <c r="G84" s="223" t="n">
        <v>45889</v>
      </c>
      <c r="H84" s="225" t="inlineStr">
        <is>
          <t>seats_change</t>
        </is>
      </c>
      <c r="I84" s="225" t="n">
        <v>28</v>
      </c>
      <c r="J84" s="225" t="n">
        <v>33</v>
      </c>
      <c r="K84" s="225" t="inlineStr">
        <is>
          <t>seats</t>
        </is>
      </c>
      <c r="L84" s="225" t="inlineStr">
        <is>
          <t>Team expansion - ops team grew</t>
        </is>
      </c>
      <c r="M84" s="225" t="inlineStr">
        <is>
          <t>Platform Suite</t>
        </is>
      </c>
      <c r="N84" s="225" t="inlineStr">
        <is>
          <t>Monthly</t>
        </is>
      </c>
      <c r="O84" s="225" t="n">
        <v>33</v>
      </c>
      <c r="P84" s="225" t="n">
        <v>150</v>
      </c>
      <c r="Q84" s="225" t="n">
        <v>0</v>
      </c>
      <c r="R84" s="225">
        <f t="array" ref="R84">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
      </c>
      <c r="S84" s="224">
        <f t="array" ref="S84">IF(N84="Monthly",IFS(H84="created",O84*P84*(1-Q84/100),H84="cancelled",-(O84*P84*(1-Q84/100)),H84="seats_change",(J84-I84)*P84*(1-Q84/100),H84="price_change",(J84-I84)*O84*(1-Q84/100),H84="discount_added",-(O84*P84*(J84-I84)/100),H84="plan_upgrade",O84*(XLOOKUP(J84,$M:$M,$P:$P)-XLOOKUP(I84,$M:$M,$P:$P))*(1-Q84/100),H84="plan_downgrade",O84*(XLOOKUP(J84,$M:$M,$P:$P)-XLOOKUP(I84,$M:$M,$P:$P))*(1-Q84/100)),IFS(H84="created",O84*P84*(1-Q84/100)/12,H84="cancelled",-(O84*P84*(1-Q84/100))/12,H84="seats_change",(J84-I84)*P84*(1-Q84/100)/12,H84="price_change",(J84-I84)*O84*(1-Q84/100)/12,H84="plan_upgrade",(O84*(XLOOKUP(J84,$M:$M,$P:$P)-XLOOKUP(I84,$M:$M,$P:$P))*(1-Q84/100))/12,H84="plan_downgrade",(O84*(XLOOKUP(J84,$M:$M,$P:$P)-XLOOKUP(I84,$M:$M,$P:$P))*(1-Q84/100))/12,H84="discount_added",-(O84*P84*(J84-I84)/100)/12))</f>
        <v/>
      </c>
      <c r="T84" s="225">
        <f>IF(H84&lt;&gt;"created",0,IF(COUNTIFS($C$1:C83,$C84,$H$1:H83,"created")=0,1,0))</f>
        <v/>
      </c>
      <c r="U84" s="225">
        <f>IF(H84&lt;&gt;"cancelled",0,IF(COUNTIFS($C$2:$C$102,$C84,$H$2:$H$102,"created",$F$2:$F$102,"&lt;="&amp;F84)-COUNTIFS($C$2:$C$102,$C84,$H$2:$H$102,"cancelled",$F$2:$F$102,"&lt;="&amp;F84)=0,1,0))</f>
        <v/>
      </c>
      <c r="V84" s="225">
        <f>IF(AND(H84="created",T84=0,COUNTIFS($C$2:$C$102,$C84,$H$2:$H$102,"cancelled",$F$2:$F$102,"&lt;"&amp;F84)&gt;0,COUNTIFS($C$2:$C$102,$C84,$H$2:$H$102,"created",$F$2:$F$102,"&lt;"&amp;F84)-COUNTIFS($C$2:$C$102,$C84,$H$2:$H$102,"cancelled",$F$2:$F$102,"&lt;"&amp;F84)=0),1,0)</f>
        <v/>
      </c>
    </row>
    <row r="85" hidden="1" ht="14.25" customHeight="1" s="281">
      <c r="A85" s="225" t="inlineStr">
        <is>
          <t>EVT084</t>
        </is>
      </c>
      <c r="B85" s="225" t="inlineStr">
        <is>
          <t>SUB055</t>
        </is>
      </c>
      <c r="C85" s="225" t="inlineStr">
        <is>
          <t>CUST004</t>
        </is>
      </c>
      <c r="D85" s="225" t="inlineStr">
        <is>
          <t>Prairie Commerce Group</t>
        </is>
      </c>
      <c r="E85" s="225" t="inlineStr">
        <is>
          <t>Western Canada</t>
        </is>
      </c>
      <c r="F85" s="222" t="n">
        <v>45870</v>
      </c>
      <c r="G85" s="223" t="n">
        <v>45899</v>
      </c>
      <c r="H85" s="225" t="inlineStr">
        <is>
          <t>cancelled</t>
        </is>
      </c>
      <c r="I85" s="225" t="inlineStr">
        <is>
          <t>active</t>
        </is>
      </c>
      <c r="J85" s="225" t="inlineStr">
        <is>
          <t>churned</t>
        </is>
      </c>
      <c r="K85" s="225" t="inlineStr">
        <is>
          <t>status</t>
        </is>
      </c>
      <c r="L85" s="225" t="inlineStr">
        <is>
          <t>Switched to competitor</t>
        </is>
      </c>
      <c r="M85" s="225" t="inlineStr">
        <is>
          <t>Analytics Enterprise</t>
        </is>
      </c>
      <c r="N85" s="225" t="inlineStr">
        <is>
          <t>Monthly</t>
        </is>
      </c>
      <c r="O85" s="225" t="n">
        <v>26</v>
      </c>
      <c r="P85" s="225" t="n">
        <v>180</v>
      </c>
      <c r="Q85" s="225" t="n">
        <v>0</v>
      </c>
      <c r="R85" s="225">
        <f t="array" ref="R85">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
      </c>
      <c r="S85" s="224">
        <f t="array" ref="S85">IF(N85="Monthly",IFS(H85="created",O85*P85*(1-Q85/100),H85="cancelled",-(O85*P85*(1-Q85/100)),H85="seats_change",(J85-I85)*P85*(1-Q85/100),H85="price_change",(J85-I85)*O85*(1-Q85/100),H85="discount_added",-(O85*P85*(J85-I85)/100),H85="plan_upgrade",O85*(XLOOKUP(J85,$M:$M,$P:$P)-XLOOKUP(I85,$M:$M,$P:$P))*(1-Q85/100),H85="plan_downgrade",O85*(XLOOKUP(J85,$M:$M,$P:$P)-XLOOKUP(I85,$M:$M,$P:$P))*(1-Q85/100)),IFS(H85="created",O85*P85*(1-Q85/100)/12,H85="cancelled",-(O85*P85*(1-Q85/100))/12,H85="seats_change",(J85-I85)*P85*(1-Q85/100)/12,H85="price_change",(J85-I85)*O85*(1-Q85/100)/12,H85="plan_upgrade",(O85*(XLOOKUP(J85,$M:$M,$P:$P)-XLOOKUP(I85,$M:$M,$P:$P))*(1-Q85/100))/12,H85="plan_downgrade",(O85*(XLOOKUP(J85,$M:$M,$P:$P)-XLOOKUP(I85,$M:$M,$P:$P))*(1-Q85/100))/12,H85="discount_added",-(O85*P85*(J85-I85)/100)/12))</f>
        <v/>
      </c>
      <c r="T85" s="225">
        <f>IF(H85&lt;&gt;"created",0,IF(COUNTIFS($C$1:C84,$C85,$H$1:H84,"created")=0,1,0))</f>
        <v/>
      </c>
      <c r="U85" s="225">
        <f>IF(H85&lt;&gt;"cancelled",0,IF(COUNTIFS($C$2:$C$102,$C85,$H$2:$H$102,"created",$F$2:$F$102,"&lt;="&amp;F85)-COUNTIFS($C$2:$C$102,$C85,$H$2:$H$102,"cancelled",$F$2:$F$102,"&lt;="&amp;F85)=0,1,0))</f>
        <v/>
      </c>
      <c r="V85" s="225">
        <f>IF(AND(H85="created",T85=0,COUNTIFS($C$2:$C$102,$C85,$H$2:$H$102,"cancelled",$F$2:$F$102,"&lt;"&amp;F85)&gt;0,COUNTIFS($C$2:$C$102,$C85,$H$2:$H$102,"created",$F$2:$F$102,"&lt;"&amp;F85)-COUNTIFS($C$2:$C$102,$C85,$H$2:$H$102,"cancelled",$F$2:$F$102,"&lt;"&amp;F85)=0),1,0)</f>
        <v/>
      </c>
    </row>
    <row r="86" hidden="1" ht="14.25" customHeight="1" s="281">
      <c r="A86" s="225" t="inlineStr">
        <is>
          <t>EVT085</t>
        </is>
      </c>
      <c r="B86" s="225" t="inlineStr">
        <is>
          <t>SUB030</t>
        </is>
      </c>
      <c r="C86" s="225" t="inlineStr">
        <is>
          <t>CUST030</t>
        </is>
      </c>
      <c r="D86" s="225" t="inlineStr">
        <is>
          <t>Alberta E-commerce Hub</t>
        </is>
      </c>
      <c r="E86" s="225" t="inlineStr">
        <is>
          <t>Western Canada</t>
        </is>
      </c>
      <c r="F86" s="222" t="n">
        <v>45901</v>
      </c>
      <c r="G86" s="223" t="n">
        <v>45905</v>
      </c>
      <c r="H86" s="225" t="inlineStr">
        <is>
          <t>plan_upgrade</t>
        </is>
      </c>
      <c r="I86" s="225" t="inlineStr">
        <is>
          <t>Analytics Starter</t>
        </is>
      </c>
      <c r="J86" s="225" t="inlineStr">
        <is>
          <t>Analytics Growth</t>
        </is>
      </c>
      <c r="K86" s="225" t="inlineStr">
        <is>
          <t>plan_name</t>
        </is>
      </c>
      <c r="L86" s="225" t="inlineStr">
        <is>
          <t>Upgraded for advanced analytics and API access</t>
        </is>
      </c>
      <c r="M86" s="225" t="inlineStr">
        <is>
          <t>Analytics Growth</t>
        </is>
      </c>
      <c r="N86" s="225" t="inlineStr">
        <is>
          <t>Monthly</t>
        </is>
      </c>
      <c r="O86" s="225" t="n">
        <v>20</v>
      </c>
      <c r="P86" s="225" t="n">
        <v>95</v>
      </c>
      <c r="Q86" s="225" t="n">
        <v>0</v>
      </c>
      <c r="R86" s="225">
        <f t="array" ref="R86">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
      </c>
      <c r="S86" s="224">
        <f t="array" ref="S86">IF(N86="Monthly",IFS(H86="created",O86*P86*(1-Q86/100),H86="cancelled",-(O86*P86*(1-Q86/100)),H86="seats_change",(J86-I86)*P86*(1-Q86/100),H86="price_change",(J86-I86)*O86*(1-Q86/100),H86="discount_added",-(O86*P86*(J86-I86)/100),H86="plan_upgrade",O86*(XLOOKUP(J86,$M:$M,$P:$P)-XLOOKUP(I86,$M:$M,$P:$P))*(1-Q86/100),H86="plan_downgrade",O86*(XLOOKUP(J86,$M:$M,$P:$P)-XLOOKUP(I86,$M:$M,$P:$P))*(1-Q86/100)),IFS(H86="created",O86*P86*(1-Q86/100)/12,H86="cancelled",-(O86*P86*(1-Q86/100))/12,H86="seats_change",(J86-I86)*P86*(1-Q86/100)/12,H86="price_change",(J86-I86)*O86*(1-Q86/100)/12,H86="plan_upgrade",(O86*(XLOOKUP(J86,$M:$M,$P:$P)-XLOOKUP(I86,$M:$M,$P:$P))*(1-Q86/100))/12,H86="plan_downgrade",(O86*(XLOOKUP(J86,$M:$M,$P:$P)-XLOOKUP(I86,$M:$M,$P:$P))*(1-Q86/100))/12,H86="discount_added",-(O86*P86*(J86-I86)/100)/12))</f>
        <v/>
      </c>
      <c r="T86" s="225">
        <f>IF(H86&lt;&gt;"created",0,IF(COUNTIFS($C$1:C85,$C86,$H$1:H85,"created")=0,1,0))</f>
        <v/>
      </c>
      <c r="U86" s="225">
        <f>IF(H86&lt;&gt;"cancelled",0,IF(COUNTIFS($C$2:$C$102,$C86,$H$2:$H$102,"created",$F$2:$F$102,"&lt;="&amp;F86)-COUNTIFS($C$2:$C$102,$C86,$H$2:$H$102,"cancelled",$F$2:$F$102,"&lt;="&amp;F86)=0,1,0))</f>
        <v/>
      </c>
      <c r="V86" s="225">
        <f>IF(AND(H86="created",T86=0,COUNTIFS($C$2:$C$102,$C86,$H$2:$H$102,"cancelled",$F$2:$F$102,"&lt;"&amp;F86)&gt;0,COUNTIFS($C$2:$C$102,$C86,$H$2:$H$102,"created",$F$2:$F$102,"&lt;"&amp;F86)-COUNTIFS($C$2:$C$102,$C86,$H$2:$H$102,"cancelled",$F$2:$F$102,"&lt;"&amp;F86)=0),1,0)</f>
        <v/>
      </c>
    </row>
    <row r="87" hidden="1" ht="14.25" customHeight="1" s="281">
      <c r="A87" s="225" t="inlineStr">
        <is>
          <t>EVT086</t>
        </is>
      </c>
      <c r="B87" s="225" t="inlineStr">
        <is>
          <t>SUB053</t>
        </is>
      </c>
      <c r="C87" s="225" t="inlineStr">
        <is>
          <t>CUST027</t>
        </is>
      </c>
      <c r="D87" s="225" t="inlineStr">
        <is>
          <t>Pacific Finance Corp</t>
        </is>
      </c>
      <c r="E87" s="225" t="inlineStr">
        <is>
          <t>Western Canada</t>
        </is>
      </c>
      <c r="F87" s="222" t="n">
        <v>45901</v>
      </c>
      <c r="G87" s="223" t="n">
        <v>45910</v>
      </c>
      <c r="H87" s="225" t="inlineStr">
        <is>
          <t>seats_change</t>
        </is>
      </c>
      <c r="I87" s="225" t="n">
        <v>26</v>
      </c>
      <c r="J87" s="225" t="n">
        <v>31</v>
      </c>
      <c r="K87" s="225" t="inlineStr">
        <is>
          <t>seats</t>
        </is>
      </c>
      <c r="L87" s="225" t="inlineStr">
        <is>
          <t>Department expansion - data team scaling</t>
        </is>
      </c>
      <c r="M87" s="225" t="inlineStr">
        <is>
          <t>Analytics Enterprise</t>
        </is>
      </c>
      <c r="N87" s="225" t="inlineStr">
        <is>
          <t>Monthly</t>
        </is>
      </c>
      <c r="O87" s="225" t="n">
        <v>31</v>
      </c>
      <c r="P87" s="225" t="n">
        <v>180</v>
      </c>
      <c r="Q87" s="225" t="n">
        <v>0</v>
      </c>
      <c r="R87" s="225">
        <f t="array" ref="R87">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
      </c>
      <c r="S87" s="224">
        <f t="array" ref="S87">IF(N87="Monthly",IFS(H87="created",O87*P87*(1-Q87/100),H87="cancelled",-(O87*P87*(1-Q87/100)),H87="seats_change",(J87-I87)*P87*(1-Q87/100),H87="price_change",(J87-I87)*O87*(1-Q87/100),H87="discount_added",-(O87*P87*(J87-I87)/100),H87="plan_upgrade",O87*(XLOOKUP(J87,$M:$M,$P:$P)-XLOOKUP(I87,$M:$M,$P:$P))*(1-Q87/100),H87="plan_downgrade",O87*(XLOOKUP(J87,$M:$M,$P:$P)-XLOOKUP(I87,$M:$M,$P:$P))*(1-Q87/100)),IFS(H87="created",O87*P87*(1-Q87/100)/12,H87="cancelled",-(O87*P87*(1-Q87/100))/12,H87="seats_change",(J87-I87)*P87*(1-Q87/100)/12,H87="price_change",(J87-I87)*O87*(1-Q87/100)/12,H87="plan_upgrade",(O87*(XLOOKUP(J87,$M:$M,$P:$P)-XLOOKUP(I87,$M:$M,$P:$P))*(1-Q87/100))/12,H87="plan_downgrade",(O87*(XLOOKUP(J87,$M:$M,$P:$P)-XLOOKUP(I87,$M:$M,$P:$P))*(1-Q87/100))/12,H87="discount_added",-(O87*P87*(J87-I87)/100)/12))</f>
        <v/>
      </c>
      <c r="T87" s="225">
        <f>IF(H87&lt;&gt;"created",0,IF(COUNTIFS($C$1:C86,$C87,$H$1:H86,"created")=0,1,0))</f>
        <v/>
      </c>
      <c r="U87" s="225">
        <f>IF(H87&lt;&gt;"cancelled",0,IF(COUNTIFS($C$2:$C$102,$C87,$H$2:$H$102,"created",$F$2:$F$102,"&lt;="&amp;F87)-COUNTIFS($C$2:$C$102,$C87,$H$2:$H$102,"cancelled",$F$2:$F$102,"&lt;="&amp;F87)=0,1,0))</f>
        <v/>
      </c>
      <c r="V87" s="225">
        <f>IF(AND(H87="created",T87=0,COUNTIFS($C$2:$C$102,$C87,$H$2:$H$102,"cancelled",$F$2:$F$102,"&lt;"&amp;F87)&gt;0,COUNTIFS($C$2:$C$102,$C87,$H$2:$H$102,"created",$F$2:$F$102,"&lt;"&amp;F87)-COUNTIFS($C$2:$C$102,$C87,$H$2:$H$102,"cancelled",$F$2:$F$102,"&lt;"&amp;F87)=0),1,0)</f>
        <v/>
      </c>
    </row>
    <row r="88" hidden="1" ht="14.25" customHeight="1" s="281">
      <c r="A88" s="225" t="inlineStr">
        <is>
          <t>EVT087</t>
        </is>
      </c>
      <c r="B88" s="225" t="inlineStr">
        <is>
          <t>SUB033</t>
        </is>
      </c>
      <c r="C88" s="225" t="inlineStr">
        <is>
          <t>CUST033</t>
        </is>
      </c>
      <c r="D88" s="225" t="inlineStr">
        <is>
          <t>Ottawa Retail Solutions</t>
        </is>
      </c>
      <c r="E88" s="225" t="inlineStr">
        <is>
          <t>Eastern Canada</t>
        </is>
      </c>
      <c r="F88" s="222" t="n">
        <v>45901</v>
      </c>
      <c r="G88" s="223" t="n">
        <v>45930</v>
      </c>
      <c r="H88" s="225" t="inlineStr">
        <is>
          <t>price_change</t>
        </is>
      </c>
      <c r="I88" s="225" t="n">
        <v>90</v>
      </c>
      <c r="J88" s="225" t="n">
        <v>85</v>
      </c>
      <c r="K88" s="225" t="inlineStr">
        <is>
          <t>price_per_seat</t>
        </is>
      </c>
      <c r="L88" s="225" t="inlineStr">
        <is>
          <t>Renewal negotiation - loyalty discount applied</t>
        </is>
      </c>
      <c r="M88" s="225" t="inlineStr">
        <is>
          <t>Marketing Pro</t>
        </is>
      </c>
      <c r="N88" s="225" t="inlineStr">
        <is>
          <t>Monthly</t>
        </is>
      </c>
      <c r="O88" s="225" t="n">
        <v>25</v>
      </c>
      <c r="P88" s="225" t="n">
        <v>85</v>
      </c>
      <c r="Q88" s="225" t="n">
        <v>0</v>
      </c>
      <c r="R88" s="225">
        <f t="array" ref="R88">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
      </c>
      <c r="S88" s="224">
        <f t="array" ref="S88">IF(N88="Monthly",IFS(H88="created",O88*P88*(1-Q88/100),H88="cancelled",-(O88*P88*(1-Q88/100)),H88="seats_change",(J88-I88)*P88*(1-Q88/100),H88="price_change",(J88-I88)*O88*(1-Q88/100),H88="discount_added",-(O88*P88*(J88-I88)/100),H88="plan_upgrade",O88*(XLOOKUP(J88,$M:$M,$P:$P)-XLOOKUP(I88,$M:$M,$P:$P))*(1-Q88/100),H88="plan_downgrade",O88*(XLOOKUP(J88,$M:$M,$P:$P)-XLOOKUP(I88,$M:$M,$P:$P))*(1-Q88/100)),IFS(H88="created",O88*P88*(1-Q88/100)/12,H88="cancelled",-(O88*P88*(1-Q88/100))/12,H88="seats_change",(J88-I88)*P88*(1-Q88/100)/12,H88="price_change",(J88-I88)*O88*(1-Q88/100)/12,H88="plan_upgrade",(O88*(XLOOKUP(J88,$M:$M,$P:$P)-XLOOKUP(I88,$M:$M,$P:$P))*(1-Q88/100))/12,H88="plan_downgrade",(O88*(XLOOKUP(J88,$M:$M,$P:$P)-XLOOKUP(I88,$M:$M,$P:$P))*(1-Q88/100))/12,H88="discount_added",-(O88*P88*(J88-I88)/100)/12))</f>
        <v/>
      </c>
      <c r="T88" s="225">
        <f>IF(H88&lt;&gt;"created",0,IF(COUNTIFS($C$1:C87,$C88,$H$1:H87,"created")=0,1,0))</f>
        <v/>
      </c>
      <c r="U88" s="225">
        <f>IF(H88&lt;&gt;"cancelled",0,IF(COUNTIFS($C$2:$C$102,$C88,$H$2:$H$102,"created",$F$2:$F$102,"&lt;="&amp;F88)-COUNTIFS($C$2:$C$102,$C88,$H$2:$H$102,"cancelled",$F$2:$F$102,"&lt;="&amp;F88)=0,1,0))</f>
        <v/>
      </c>
      <c r="V88" s="225">
        <f>IF(AND(H88="created",T88=0,COUNTIFS($C$2:$C$102,$C88,$H$2:$H$102,"cancelled",$F$2:$F$102,"&lt;"&amp;F88)&gt;0,COUNTIFS($C$2:$C$102,$C88,$H$2:$H$102,"created",$F$2:$F$102,"&lt;"&amp;F88)-COUNTIFS($C$2:$C$102,$C88,$H$2:$H$102,"cancelled",$F$2:$F$102,"&lt;"&amp;F88)=0),1,0)</f>
        <v/>
      </c>
    </row>
    <row r="89" hidden="1" ht="14.25" customHeight="1" s="281">
      <c r="A89" s="225" t="inlineStr">
        <is>
          <t>EVT088</t>
        </is>
      </c>
      <c r="B89" s="225" t="inlineStr">
        <is>
          <t>SUB024</t>
        </is>
      </c>
      <c r="C89" s="225" t="inlineStr">
        <is>
          <t>CUST024</t>
        </is>
      </c>
      <c r="D89" s="225" t="inlineStr">
        <is>
          <t>Western Retail Group</t>
        </is>
      </c>
      <c r="E89" s="225" t="inlineStr">
        <is>
          <t>Western Canada</t>
        </is>
      </c>
      <c r="F89" s="222" t="n">
        <v>45931</v>
      </c>
      <c r="G89" s="223" t="n">
        <v>45935</v>
      </c>
      <c r="H89" s="225" t="inlineStr">
        <is>
          <t>seats_change</t>
        </is>
      </c>
      <c r="I89" s="225" t="n">
        <v>26</v>
      </c>
      <c r="J89" s="225" t="n">
        <v>31</v>
      </c>
      <c r="K89" s="225" t="inlineStr">
        <is>
          <t>seats</t>
        </is>
      </c>
      <c r="L89" s="225" t="inlineStr">
        <is>
          <t>New department added - customer success team</t>
        </is>
      </c>
      <c r="M89" s="225" t="inlineStr">
        <is>
          <t>Marketing Pro</t>
        </is>
      </c>
      <c r="N89" s="225" t="inlineStr">
        <is>
          <t>Monthly</t>
        </is>
      </c>
      <c r="O89" s="225" t="n">
        <v>31</v>
      </c>
      <c r="P89" s="225" t="n">
        <v>85</v>
      </c>
      <c r="Q89" s="225" t="n">
        <v>0</v>
      </c>
      <c r="R89" s="225">
        <f t="array" ref="R89">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
      </c>
      <c r="S89" s="224">
        <f t="array" ref="S89">IF(N89="Monthly",IFS(H89="created",O89*P89*(1-Q89/100),H89="cancelled",-(O89*P89*(1-Q89/100)),H89="seats_change",(J89-I89)*P89*(1-Q89/100),H89="price_change",(J89-I89)*O89*(1-Q89/100),H89="discount_added",-(O89*P89*(J89-I89)/100),H89="plan_upgrade",O89*(XLOOKUP(J89,$M:$M,$P:$P)-XLOOKUP(I89,$M:$M,$P:$P))*(1-Q89/100),H89="plan_downgrade",O89*(XLOOKUP(J89,$M:$M,$P:$P)-XLOOKUP(I89,$M:$M,$P:$P))*(1-Q89/100)),IFS(H89="created",O89*P89*(1-Q89/100)/12,H89="cancelled",-(O89*P89*(1-Q89/100))/12,H89="seats_change",(J89-I89)*P89*(1-Q89/100)/12,H89="price_change",(J89-I89)*O89*(1-Q89/100)/12,H89="plan_upgrade",(O89*(XLOOKUP(J89,$M:$M,$P:$P)-XLOOKUP(I89,$M:$M,$P:$P))*(1-Q89/100))/12,H89="plan_downgrade",(O89*(XLOOKUP(J89,$M:$M,$P:$P)-XLOOKUP(I89,$M:$M,$P:$P))*(1-Q89/100))/12,H89="discount_added",-(O89*P89*(J89-I89)/100)/12))</f>
        <v/>
      </c>
      <c r="T89" s="225">
        <f>IF(H89&lt;&gt;"created",0,IF(COUNTIFS($C$1:C88,$C89,$H$1:H88,"created")=0,1,0))</f>
        <v/>
      </c>
      <c r="U89" s="225">
        <f>IF(H89&lt;&gt;"cancelled",0,IF(COUNTIFS($C$2:$C$102,$C89,$H$2:$H$102,"created",$F$2:$F$102,"&lt;="&amp;F89)-COUNTIFS($C$2:$C$102,$C89,$H$2:$H$102,"cancelled",$F$2:$F$102,"&lt;="&amp;F89)=0,1,0))</f>
        <v/>
      </c>
      <c r="V89" s="225">
        <f>IF(AND(H89="created",T89=0,COUNTIFS($C$2:$C$102,$C89,$H$2:$H$102,"cancelled",$F$2:$F$102,"&lt;"&amp;F89)&gt;0,COUNTIFS($C$2:$C$102,$C89,$H$2:$H$102,"created",$F$2:$F$102,"&lt;"&amp;F89)-COUNTIFS($C$2:$C$102,$C89,$H$2:$H$102,"cancelled",$F$2:$F$102,"&lt;"&amp;F89)=0),1,0)</f>
        <v/>
      </c>
    </row>
    <row r="90" hidden="1" ht="14.25" customHeight="1" s="281">
      <c r="A90" s="225" t="inlineStr">
        <is>
          <t>EVT089</t>
        </is>
      </c>
      <c r="B90" s="225" t="inlineStr">
        <is>
          <t>SUB062</t>
        </is>
      </c>
      <c r="C90" s="225" t="inlineStr">
        <is>
          <t>CUST023</t>
        </is>
      </c>
      <c r="D90" s="225" t="inlineStr">
        <is>
          <t>Island Media Productions</t>
        </is>
      </c>
      <c r="E90" s="225" t="inlineStr">
        <is>
          <t>Eastern Canada</t>
        </is>
      </c>
      <c r="F90" s="222" t="n">
        <v>45931</v>
      </c>
      <c r="G90" s="223" t="n">
        <v>45945</v>
      </c>
      <c r="H90" s="225" t="inlineStr">
        <is>
          <t>created</t>
        </is>
      </c>
      <c r="L90" s="225" t="inlineStr">
        <is>
          <t>Returning customer â€” reactivation</t>
        </is>
      </c>
      <c r="M90" s="225" t="inlineStr">
        <is>
          <t>Marketing Pro</t>
        </is>
      </c>
      <c r="N90" s="225" t="inlineStr">
        <is>
          <t>Monthly</t>
        </is>
      </c>
      <c r="O90" s="225" t="n">
        <v>11</v>
      </c>
      <c r="P90" s="225" t="n">
        <v>85</v>
      </c>
      <c r="Q90" s="225" t="n">
        <v>0</v>
      </c>
      <c r="R90" s="225">
        <f t="array" ref="R90">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
      </c>
      <c r="S90" s="224">
        <f t="array" ref="S90">IF(N90="Monthly",IFS(H90="created",O90*P90*(1-Q90/100),H90="cancelled",-(O90*P90*(1-Q90/100)),H90="seats_change",(J90-I90)*P90*(1-Q90/100),H90="price_change",(J90-I90)*O90*(1-Q90/100),H90="discount_added",-(O90*P90*(J90-I90)/100),H90="plan_upgrade",O90*(XLOOKUP(J90,$M:$M,$P:$P)-XLOOKUP(I90,$M:$M,$P:$P))*(1-Q90/100),H90="plan_downgrade",O90*(XLOOKUP(J90,$M:$M,$P:$P)-XLOOKUP(I90,$M:$M,$P:$P))*(1-Q90/100)),IFS(H90="created",O90*P90*(1-Q90/100)/12,H90="cancelled",-(O90*P90*(1-Q90/100))/12,H90="seats_change",(J90-I90)*P90*(1-Q90/100)/12,H90="price_change",(J90-I90)*O90*(1-Q90/100)/12,H90="plan_upgrade",(O90*(XLOOKUP(J90,$M:$M,$P:$P)-XLOOKUP(I90,$M:$M,$P:$P))*(1-Q90/100))/12,H90="plan_downgrade",(O90*(XLOOKUP(J90,$M:$M,$P:$P)-XLOOKUP(I90,$M:$M,$P:$P))*(1-Q90/100))/12,H90="discount_added",-(O90*P90*(J90-I90)/100)/12))</f>
        <v/>
      </c>
      <c r="T90" s="225">
        <f>IF(H90&lt;&gt;"created",0,IF(COUNTIFS($C$1:C89,$C90,$H$1:H89,"created")=0,1,0))</f>
        <v/>
      </c>
      <c r="U90" s="225">
        <f>IF(H90&lt;&gt;"cancelled",0,IF(COUNTIFS($C$2:$C$102,$C90,$H$2:$H$102,"created",$F$2:$F$102,"&lt;="&amp;F90)-COUNTIFS($C$2:$C$102,$C90,$H$2:$H$102,"cancelled",$F$2:$F$102,"&lt;="&amp;F90)=0,1,0))</f>
        <v/>
      </c>
      <c r="V90" s="225">
        <f>IF(AND(H90="created",T90=0,COUNTIFS($C$2:$C$102,$C90,$H$2:$H$102,"cancelled",$F$2:$F$102,"&lt;"&amp;F90)&gt;0,COUNTIFS($C$2:$C$102,$C90,$H$2:$H$102,"created",$F$2:$F$102,"&lt;"&amp;F90)-COUNTIFS($C$2:$C$102,$C90,$H$2:$H$102,"cancelled",$F$2:$F$102,"&lt;"&amp;F90)=0),1,0)</f>
        <v/>
      </c>
    </row>
    <row r="91" hidden="1" ht="14.25" customHeight="1" s="281">
      <c r="A91" s="225" t="inlineStr">
        <is>
          <t>EVT090</t>
        </is>
      </c>
      <c r="B91" s="225" t="inlineStr">
        <is>
          <t>SUB036</t>
        </is>
      </c>
      <c r="C91" s="225" t="inlineStr">
        <is>
          <t>CUST036</t>
        </is>
      </c>
      <c r="D91" s="225" t="inlineStr">
        <is>
          <t>Manitoba Finance Group</t>
        </is>
      </c>
      <c r="E91" s="225" t="inlineStr">
        <is>
          <t>Central Canada</t>
        </is>
      </c>
      <c r="F91" s="222" t="n">
        <v>45931</v>
      </c>
      <c r="G91" s="223" t="n">
        <v>45950</v>
      </c>
      <c r="H91" s="225" t="inlineStr">
        <is>
          <t>plan_upgrade</t>
        </is>
      </c>
      <c r="I91" s="225" t="inlineStr">
        <is>
          <t>Analytics Starter</t>
        </is>
      </c>
      <c r="J91" s="225" t="inlineStr">
        <is>
          <t>Analytics Growth</t>
        </is>
      </c>
      <c r="K91" s="225" t="inlineStr">
        <is>
          <t>plan_name</t>
        </is>
      </c>
      <c r="L91" s="225" t="inlineStr">
        <is>
          <t>Reached Starter usage limits - upgraded</t>
        </is>
      </c>
      <c r="M91" s="225" t="inlineStr">
        <is>
          <t>Analytics Growth</t>
        </is>
      </c>
      <c r="N91" s="225" t="inlineStr">
        <is>
          <t>Monthly</t>
        </is>
      </c>
      <c r="O91" s="225" t="n">
        <v>18</v>
      </c>
      <c r="P91" s="225" t="n">
        <v>95</v>
      </c>
      <c r="Q91" s="225" t="n">
        <v>0</v>
      </c>
      <c r="R91" s="225">
        <f t="array" ref="R91">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
      </c>
      <c r="S91" s="224">
        <f t="array" ref="S91">IF(N91="Monthly",IFS(H91="created",O91*P91*(1-Q91/100),H91="cancelled",-(O91*P91*(1-Q91/100)),H91="seats_change",(J91-I91)*P91*(1-Q91/100),H91="price_change",(J91-I91)*O91*(1-Q91/100),H91="discount_added",-(O91*P91*(J91-I91)/100),H91="plan_upgrade",O91*(XLOOKUP(J91,$M:$M,$P:$P)-XLOOKUP(I91,$M:$M,$P:$P))*(1-Q91/100),H91="plan_downgrade",O91*(XLOOKUP(J91,$M:$M,$P:$P)-XLOOKUP(I91,$M:$M,$P:$P))*(1-Q91/100)),IFS(H91="created",O91*P91*(1-Q91/100)/12,H91="cancelled",-(O91*P91*(1-Q91/100))/12,H91="seats_change",(J91-I91)*P91*(1-Q91/100)/12,H91="price_change",(J91-I91)*O91*(1-Q91/100)/12,H91="plan_upgrade",(O91*(XLOOKUP(J91,$M:$M,$P:$P)-XLOOKUP(I91,$M:$M,$P:$P))*(1-Q91/100))/12,H91="plan_downgrade",(O91*(XLOOKUP(J91,$M:$M,$P:$P)-XLOOKUP(I91,$M:$M,$P:$P))*(1-Q91/100))/12,H91="discount_added",-(O91*P91*(J91-I91)/100)/12))</f>
        <v/>
      </c>
      <c r="T91" s="225">
        <f>IF(H91&lt;&gt;"created",0,IF(COUNTIFS($C$1:C90,$C91,$H$1:H90,"created")=0,1,0))</f>
        <v/>
      </c>
      <c r="U91" s="225">
        <f>IF(H91&lt;&gt;"cancelled",0,IF(COUNTIFS($C$2:$C$102,$C91,$H$2:$H$102,"created",$F$2:$F$102,"&lt;="&amp;F91)-COUNTIFS($C$2:$C$102,$C91,$H$2:$H$102,"cancelled",$F$2:$F$102,"&lt;="&amp;F91)=0,1,0))</f>
        <v/>
      </c>
      <c r="V91" s="225">
        <f>IF(AND(H91="created",T91=0,COUNTIFS($C$2:$C$102,$C91,$H$2:$H$102,"cancelled",$F$2:$F$102,"&lt;"&amp;F91)&gt;0,COUNTIFS($C$2:$C$102,$C91,$H$2:$H$102,"created",$F$2:$F$102,"&lt;"&amp;F91)-COUNTIFS($C$2:$C$102,$C91,$H$2:$H$102,"cancelled",$F$2:$F$102,"&lt;"&amp;F91)=0),1,0)</f>
        <v/>
      </c>
    </row>
    <row r="92" hidden="1" ht="14.25" customHeight="1" s="281">
      <c r="A92" s="225" t="inlineStr">
        <is>
          <t>EVT091</t>
        </is>
      </c>
      <c r="B92" s="225" t="inlineStr">
        <is>
          <t>SUB015</t>
        </is>
      </c>
      <c r="C92" s="225" t="inlineStr">
        <is>
          <t>CUST015</t>
        </is>
      </c>
      <c r="D92" s="225" t="inlineStr">
        <is>
          <t>BC Retail Networks</t>
        </is>
      </c>
      <c r="E92" s="225" t="inlineStr">
        <is>
          <t>Western Canada</t>
        </is>
      </c>
      <c r="F92" s="222" t="n">
        <v>45962</v>
      </c>
      <c r="G92" s="223" t="n">
        <v>45962</v>
      </c>
      <c r="H92" s="225" t="inlineStr">
        <is>
          <t>discount_added</t>
        </is>
      </c>
      <c r="I92" s="225" t="n">
        <v>0</v>
      </c>
      <c r="J92" s="225" t="n">
        <v>10</v>
      </c>
      <c r="K92" s="225" t="inlineStr">
        <is>
          <t>discount_percent</t>
        </is>
      </c>
      <c r="L92" s="225" t="inlineStr">
        <is>
          <t>Retention discount - customer at-risk of churning</t>
        </is>
      </c>
      <c r="M92" s="225" t="inlineStr">
        <is>
          <t>Analytics Growth</t>
        </is>
      </c>
      <c r="N92" s="225" t="inlineStr">
        <is>
          <t>Monthly</t>
        </is>
      </c>
      <c r="O92" s="225" t="n">
        <v>19</v>
      </c>
      <c r="P92" s="225" t="n">
        <v>95</v>
      </c>
      <c r="Q92" s="225" t="n">
        <v>10</v>
      </c>
      <c r="R92" s="225">
        <f t="array" ref="R92">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
      </c>
      <c r="S92" s="224">
        <f t="array" ref="S92">IF(N92="Monthly",IFS(H92="created",O92*P92*(1-Q92/100),H92="cancelled",-(O92*P92*(1-Q92/100)),H92="seats_change",(J92-I92)*P92*(1-Q92/100),H92="price_change",(J92-I92)*O92*(1-Q92/100),H92="discount_added",-(O92*P92*(J92-I92)/100),H92="plan_upgrade",O92*(XLOOKUP(J92,$M:$M,$P:$P)-XLOOKUP(I92,$M:$M,$P:$P))*(1-Q92/100),H92="plan_downgrade",O92*(XLOOKUP(J92,$M:$M,$P:$P)-XLOOKUP(I92,$M:$M,$P:$P))*(1-Q92/100)),IFS(H92="created",O92*P92*(1-Q92/100)/12,H92="cancelled",-(O92*P92*(1-Q92/100))/12,H92="seats_change",(J92-I92)*P92*(1-Q92/100)/12,H92="price_change",(J92-I92)*O92*(1-Q92/100)/12,H92="plan_upgrade",(O92*(XLOOKUP(J92,$M:$M,$P:$P)-XLOOKUP(I92,$M:$M,$P:$P))*(1-Q92/100))/12,H92="plan_downgrade",(O92*(XLOOKUP(J92,$M:$M,$P:$P)-XLOOKUP(I92,$M:$M,$P:$P))*(1-Q92/100))/12,H92="discount_added",-(O92*P92*(J92-I92)/100)/12))</f>
        <v/>
      </c>
      <c r="T92" s="225">
        <f>IF(H92&lt;&gt;"created",0,IF(COUNTIFS($C$1:C91,$C92,$H$1:H91,"created")=0,1,0))</f>
        <v/>
      </c>
      <c r="U92" s="225">
        <f>IF(H92&lt;&gt;"cancelled",0,IF(COUNTIFS($C$2:$C$102,$C92,$H$2:$H$102,"created",$F$2:$F$102,"&lt;="&amp;F92)-COUNTIFS($C$2:$C$102,$C92,$H$2:$H$102,"cancelled",$F$2:$F$102,"&lt;="&amp;F92)=0,1,0))</f>
        <v/>
      </c>
      <c r="V92" s="225">
        <f>IF(AND(H92="created",T92=0,COUNTIFS($C$2:$C$102,$C92,$H$2:$H$102,"cancelled",$F$2:$F$102,"&lt;"&amp;F92)&gt;0,COUNTIFS($C$2:$C$102,$C92,$H$2:$H$102,"created",$F$2:$F$102,"&lt;"&amp;F92)-COUNTIFS($C$2:$C$102,$C92,$H$2:$H$102,"cancelled",$F$2:$F$102,"&lt;"&amp;F92)=0),1,0)</f>
        <v/>
      </c>
    </row>
    <row r="93" hidden="1" ht="14.25" customHeight="1" s="281">
      <c r="A93" s="225" t="inlineStr">
        <is>
          <t>EVT092</t>
        </is>
      </c>
      <c r="B93" s="225" t="inlineStr">
        <is>
          <t>SUB039</t>
        </is>
      </c>
      <c r="C93" s="225" t="inlineStr">
        <is>
          <t>CUST039</t>
        </is>
      </c>
      <c r="D93" s="225" t="inlineStr">
        <is>
          <t>Toronto Commerce Cloud</t>
        </is>
      </c>
      <c r="E93" s="225" t="inlineStr">
        <is>
          <t>Eastern Canada</t>
        </is>
      </c>
      <c r="F93" s="222" t="n">
        <v>45962</v>
      </c>
      <c r="G93" s="223" t="n">
        <v>45976</v>
      </c>
      <c r="H93" s="225" t="inlineStr">
        <is>
          <t>seats_change</t>
        </is>
      </c>
      <c r="I93" s="225" t="n">
        <v>32</v>
      </c>
      <c r="J93" s="225" t="n">
        <v>29</v>
      </c>
      <c r="K93" s="225" t="inlineStr">
        <is>
          <t>seats</t>
        </is>
      </c>
      <c r="L93" s="225" t="inlineStr">
        <is>
          <t>Restructuring - reduced team size</t>
        </is>
      </c>
      <c r="M93" s="225" t="inlineStr">
        <is>
          <t>Marketing Pro</t>
        </is>
      </c>
      <c r="N93" s="225" t="inlineStr">
        <is>
          <t>Monthly</t>
        </is>
      </c>
      <c r="O93" s="225" t="n">
        <v>29</v>
      </c>
      <c r="P93" s="225" t="n">
        <v>85</v>
      </c>
      <c r="Q93" s="225" t="n">
        <v>0</v>
      </c>
      <c r="R93" s="225">
        <f t="array" ref="R93">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
      </c>
      <c r="S93" s="224">
        <f t="array" ref="S93">IF(N93="Monthly",IFS(H93="created",O93*P93*(1-Q93/100),H93="cancelled",-(O93*P93*(1-Q93/100)),H93="seats_change",(J93-I93)*P93*(1-Q93/100),H93="price_change",(J93-I93)*O93*(1-Q93/100),H93="discount_added",-(O93*P93*(J93-I93)/100),H93="plan_upgrade",O93*(XLOOKUP(J93,$M:$M,$P:$P)-XLOOKUP(I93,$M:$M,$P:$P))*(1-Q93/100),H93="plan_downgrade",O93*(XLOOKUP(J93,$M:$M,$P:$P)-XLOOKUP(I93,$M:$M,$P:$P))*(1-Q93/100)),IFS(H93="created",O93*P93*(1-Q93/100)/12,H93="cancelled",-(O93*P93*(1-Q93/100))/12,H93="seats_change",(J93-I93)*P93*(1-Q93/100)/12,H93="price_change",(J93-I93)*O93*(1-Q93/100)/12,H93="plan_upgrade",(O93*(XLOOKUP(J93,$M:$M,$P:$P)-XLOOKUP(I93,$M:$M,$P:$P))*(1-Q93/100))/12,H93="plan_downgrade",(O93*(XLOOKUP(J93,$M:$M,$P:$P)-XLOOKUP(I93,$M:$M,$P:$P))*(1-Q93/100))/12,H93="discount_added",-(O93*P93*(J93-I93)/100)/12))</f>
        <v/>
      </c>
      <c r="T93" s="225">
        <f>IF(H93&lt;&gt;"created",0,IF(COUNTIFS($C$1:C92,$C93,$H$1:H92,"created")=0,1,0))</f>
        <v/>
      </c>
      <c r="U93" s="225">
        <f>IF(H93&lt;&gt;"cancelled",0,IF(COUNTIFS($C$2:$C$102,$C93,$H$2:$H$102,"created",$F$2:$F$102,"&lt;="&amp;F93)-COUNTIFS($C$2:$C$102,$C93,$H$2:$H$102,"cancelled",$F$2:$F$102,"&lt;="&amp;F93)=0,1,0))</f>
        <v/>
      </c>
      <c r="V93" s="225">
        <f>IF(AND(H93="created",T93=0,COUNTIFS($C$2:$C$102,$C93,$H$2:$H$102,"cancelled",$F$2:$F$102,"&lt;"&amp;F93)&gt;0,COUNTIFS($C$2:$C$102,$C93,$H$2:$H$102,"created",$F$2:$F$102,"&lt;"&amp;F93)-COUNTIFS($C$2:$C$102,$C93,$H$2:$H$102,"cancelled",$F$2:$F$102,"&lt;"&amp;F93)=0),1,0)</f>
        <v/>
      </c>
    </row>
    <row r="94" hidden="1" ht="14.25" customHeight="1" s="281">
      <c r="A94" s="225" t="inlineStr">
        <is>
          <t>EVT093</t>
        </is>
      </c>
      <c r="B94" s="225" t="inlineStr">
        <is>
          <t>SUB047</t>
        </is>
      </c>
      <c r="C94" s="225" t="inlineStr">
        <is>
          <t>CUST022</t>
        </is>
      </c>
      <c r="D94" s="225" t="inlineStr">
        <is>
          <t>Toronto Tech Ventures</t>
        </is>
      </c>
      <c r="E94" s="225" t="inlineStr">
        <is>
          <t>Eastern Canada</t>
        </is>
      </c>
      <c r="F94" s="222" t="n">
        <v>45992</v>
      </c>
      <c r="G94" s="223" t="n">
        <v>45999</v>
      </c>
      <c r="H94" s="225" t="inlineStr">
        <is>
          <t>seats_change</t>
        </is>
      </c>
      <c r="I94" s="225" t="n">
        <v>22</v>
      </c>
      <c r="J94" s="225" t="n">
        <v>26</v>
      </c>
      <c r="K94" s="225" t="inlineStr">
        <is>
          <t>seats</t>
        </is>
      </c>
      <c r="L94" s="225" t="inlineStr">
        <is>
          <t>Year-end headcount increase</t>
        </is>
      </c>
      <c r="M94" s="225" t="inlineStr">
        <is>
          <t>Sales Hub</t>
        </is>
      </c>
      <c r="N94" s="225" t="inlineStr">
        <is>
          <t>Monthly</t>
        </is>
      </c>
      <c r="O94" s="225" t="n">
        <v>26</v>
      </c>
      <c r="P94" s="225" t="n">
        <v>110</v>
      </c>
      <c r="Q94" s="225" t="n">
        <v>0</v>
      </c>
      <c r="R94" s="225">
        <f t="array" ref="R94">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
      </c>
      <c r="S94" s="224">
        <f t="array" ref="S94">IF(N94="Monthly",IFS(H94="created",O94*P94*(1-Q94/100),H94="cancelled",-(O94*P94*(1-Q94/100)),H94="seats_change",(J94-I94)*P94*(1-Q94/100),H94="price_change",(J94-I94)*O94*(1-Q94/100),H94="discount_added",-(O94*P94*(J94-I94)/100),H94="plan_upgrade",O94*(XLOOKUP(J94,$M:$M,$P:$P)-XLOOKUP(I94,$M:$M,$P:$P))*(1-Q94/100),H94="plan_downgrade",O94*(XLOOKUP(J94,$M:$M,$P:$P)-XLOOKUP(I94,$M:$M,$P:$P))*(1-Q94/100)),IFS(H94="created",O94*P94*(1-Q94/100)/12,H94="cancelled",-(O94*P94*(1-Q94/100))/12,H94="seats_change",(J94-I94)*P94*(1-Q94/100)/12,H94="price_change",(J94-I94)*O94*(1-Q94/100)/12,H94="plan_upgrade",(O94*(XLOOKUP(J94,$M:$M,$P:$P)-XLOOKUP(I94,$M:$M,$P:$P))*(1-Q94/100))/12,H94="plan_downgrade",(O94*(XLOOKUP(J94,$M:$M,$P:$P)-XLOOKUP(I94,$M:$M,$P:$P))*(1-Q94/100))/12,H94="discount_added",-(O94*P94*(J94-I94)/100)/12))</f>
        <v/>
      </c>
      <c r="T94" s="225">
        <f>IF(H94&lt;&gt;"created",0,IF(COUNTIFS($C$1:C93,$C94,$H$1:H93,"created")=0,1,0))</f>
        <v/>
      </c>
      <c r="U94" s="225">
        <f>IF(H94&lt;&gt;"cancelled",0,IF(COUNTIFS($C$2:$C$102,$C94,$H$2:$H$102,"created",$F$2:$F$102,"&lt;="&amp;F94)-COUNTIFS($C$2:$C$102,$C94,$H$2:$H$102,"cancelled",$F$2:$F$102,"&lt;="&amp;F94)=0,1,0))</f>
        <v/>
      </c>
      <c r="V94" s="225">
        <f>IF(AND(H94="created",T94=0,COUNTIFS($C$2:$C$102,$C94,$H$2:$H$102,"cancelled",$F$2:$F$102,"&lt;"&amp;F94)&gt;0,COUNTIFS($C$2:$C$102,$C94,$H$2:$H$102,"created",$F$2:$F$102,"&lt;"&amp;F94)-COUNTIFS($C$2:$C$102,$C94,$H$2:$H$102,"cancelled",$F$2:$F$102,"&lt;"&amp;F94)=0),1,0)</f>
        <v/>
      </c>
    </row>
    <row r="95" hidden="1" ht="14.25" customHeight="1" s="281">
      <c r="A95" s="225" t="inlineStr">
        <is>
          <t>EVT094</t>
        </is>
      </c>
      <c r="B95" s="225" t="inlineStr">
        <is>
          <t>SUB050</t>
        </is>
      </c>
      <c r="C95" s="225" t="inlineStr">
        <is>
          <t>CUST007</t>
        </is>
      </c>
      <c r="D95" s="225" t="inlineStr">
        <is>
          <t>Ontario Manufacturing Tech</t>
        </is>
      </c>
      <c r="E95" s="225" t="inlineStr">
        <is>
          <t>Eastern Canada</t>
        </is>
      </c>
      <c r="F95" s="222" t="n">
        <v>45992</v>
      </c>
      <c r="G95" s="223" t="n">
        <v>46006</v>
      </c>
      <c r="H95" s="225" t="inlineStr">
        <is>
          <t>discount_added</t>
        </is>
      </c>
      <c r="I95" s="225" t="n">
        <v>0</v>
      </c>
      <c r="J95" s="225" t="n">
        <v>12</v>
      </c>
      <c r="K95" s="225" t="inlineStr">
        <is>
          <t>discount_percent</t>
        </is>
      </c>
      <c r="L95" s="225" t="inlineStr">
        <is>
          <t>Retention discount - at-risk account escalated</t>
        </is>
      </c>
      <c r="M95" s="225" t="inlineStr">
        <is>
          <t>Analytics Starter</t>
        </is>
      </c>
      <c r="N95" s="225" t="inlineStr">
        <is>
          <t>Monthly</t>
        </is>
      </c>
      <c r="O95" s="225" t="n">
        <v>15</v>
      </c>
      <c r="P95" s="225" t="n">
        <v>45</v>
      </c>
      <c r="Q95" s="225" t="n">
        <v>12</v>
      </c>
      <c r="R95" s="225">
        <f t="array" ref="R95">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
      </c>
      <c r="S95" s="224">
        <f t="array" ref="S95">IF(N95="Monthly",IFS(H95="created",O95*P95*(1-Q95/100),H95="cancelled",-(O95*P95*(1-Q95/100)),H95="seats_change",(J95-I95)*P95*(1-Q95/100),H95="price_change",(J95-I95)*O95*(1-Q95/100),H95="discount_added",-(O95*P95*(J95-I95)/100),H95="plan_upgrade",O95*(XLOOKUP(J95,$M:$M,$P:$P)-XLOOKUP(I95,$M:$M,$P:$P))*(1-Q95/100),H95="plan_downgrade",O95*(XLOOKUP(J95,$M:$M,$P:$P)-XLOOKUP(I95,$M:$M,$P:$P))*(1-Q95/100)),IFS(H95="created",O95*P95*(1-Q95/100)/12,H95="cancelled",-(O95*P95*(1-Q95/100))/12,H95="seats_change",(J95-I95)*P95*(1-Q95/100)/12,H95="price_change",(J95-I95)*O95*(1-Q95/100)/12,H95="plan_upgrade",(O95*(XLOOKUP(J95,$M:$M,$P:$P)-XLOOKUP(I95,$M:$M,$P:$P))*(1-Q95/100))/12,H95="plan_downgrade",(O95*(XLOOKUP(J95,$M:$M,$P:$P)-XLOOKUP(I95,$M:$M,$P:$P))*(1-Q95/100))/12,H95="discount_added",-(O95*P95*(J95-I95)/100)/12))</f>
        <v/>
      </c>
      <c r="T95" s="225">
        <f>IF(H95&lt;&gt;"created",0,IF(COUNTIFS($C$1:C94,$C95,$H$1:H94,"created")=0,1,0))</f>
        <v/>
      </c>
      <c r="U95" s="225">
        <f>IF(H95&lt;&gt;"cancelled",0,IF(COUNTIFS($C$2:$C$102,$C95,$H$2:$H$102,"created",$F$2:$F$102,"&lt;="&amp;F95)-COUNTIFS($C$2:$C$102,$C95,$H$2:$H$102,"cancelled",$F$2:$F$102,"&lt;="&amp;F95)=0,1,0))</f>
        <v/>
      </c>
      <c r="V95" s="225">
        <f>IF(AND(H95="created",T95=0,COUNTIFS($C$2:$C$102,$C95,$H$2:$H$102,"cancelled",$F$2:$F$102,"&lt;"&amp;F95)&gt;0,COUNTIFS($C$2:$C$102,$C95,$H$2:$H$102,"created",$F$2:$F$102,"&lt;"&amp;F95)-COUNTIFS($C$2:$C$102,$C95,$H$2:$H$102,"cancelled",$F$2:$F$102,"&lt;"&amp;F95)=0),1,0)</f>
        <v/>
      </c>
    </row>
    <row r="96" hidden="1" ht="14.25" customHeight="1" s="281">
      <c r="A96" s="225" t="inlineStr">
        <is>
          <t>EVT095</t>
        </is>
      </c>
      <c r="B96" s="225" t="inlineStr">
        <is>
          <t>SUB015</t>
        </is>
      </c>
      <c r="C96" s="225" t="inlineStr">
        <is>
          <t>CUST015</t>
        </is>
      </c>
      <c r="D96" s="225" t="inlineStr">
        <is>
          <t>BC Retail Networks</t>
        </is>
      </c>
      <c r="E96" s="225" t="inlineStr">
        <is>
          <t>Western Canada</t>
        </is>
      </c>
      <c r="F96" s="222" t="n">
        <v>45992</v>
      </c>
      <c r="G96" s="223" t="n">
        <v>46021</v>
      </c>
      <c r="H96" s="225" t="inlineStr">
        <is>
          <t>cancelled</t>
        </is>
      </c>
      <c r="I96" s="225" t="inlineStr">
        <is>
          <t>active</t>
        </is>
      </c>
      <c r="J96" s="225" t="inlineStr">
        <is>
          <t>churned</t>
        </is>
      </c>
      <c r="K96" s="225" t="inlineStr">
        <is>
          <t>status</t>
        </is>
      </c>
      <c r="L96" s="225" t="inlineStr">
        <is>
          <t>Switched to competitor</t>
        </is>
      </c>
      <c r="M96" s="225" t="inlineStr">
        <is>
          <t>Analytics Growth</t>
        </is>
      </c>
      <c r="N96" s="225" t="inlineStr">
        <is>
          <t>Monthly</t>
        </is>
      </c>
      <c r="O96" s="225" t="n">
        <v>19</v>
      </c>
      <c r="P96" s="225" t="n">
        <v>95</v>
      </c>
      <c r="Q96" s="225" t="n">
        <v>10</v>
      </c>
      <c r="R96" s="225">
        <f t="array" ref="R96">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
      </c>
      <c r="S96" s="224">
        <f t="array" ref="S96">IF(N96="Monthly",IFS(H96="created",O96*P96*(1-Q96/100),H96="cancelled",-(O96*P96*(1-Q96/100)),H96="seats_change",(J96-I96)*P96*(1-Q96/100),H96="price_change",(J96-I96)*O96*(1-Q96/100),H96="discount_added",-(O96*P96*(J96-I96)/100),H96="plan_upgrade",O96*(XLOOKUP(J96,$M:$M,$P:$P)-XLOOKUP(I96,$M:$M,$P:$P))*(1-Q96/100),H96="plan_downgrade",O96*(XLOOKUP(J96,$M:$M,$P:$P)-XLOOKUP(I96,$M:$M,$P:$P))*(1-Q96/100)),IFS(H96="created",O96*P96*(1-Q96/100)/12,H96="cancelled",-(O96*P96*(1-Q96/100))/12,H96="seats_change",(J96-I96)*P96*(1-Q96/100)/12,H96="price_change",(J96-I96)*O96*(1-Q96/100)/12,H96="plan_upgrade",(O96*(XLOOKUP(J96,$M:$M,$P:$P)-XLOOKUP(I96,$M:$M,$P:$P))*(1-Q96/100))/12,H96="plan_downgrade",(O96*(XLOOKUP(J96,$M:$M,$P:$P)-XLOOKUP(I96,$M:$M,$P:$P))*(1-Q96/100))/12,H96="discount_added",-(O96*P96*(J96-I96)/100)/12))</f>
        <v/>
      </c>
      <c r="T96" s="225">
        <f>IF(H96&lt;&gt;"created",0,IF(COUNTIFS($C$1:C95,$C96,$H$1:H95,"created")=0,1,0))</f>
        <v/>
      </c>
      <c r="U96" s="225">
        <f>IF(H96&lt;&gt;"cancelled",0,IF(COUNTIFS($C$2:$C$102,$C96,$H$2:$H$102,"created",$F$2:$F$102,"&lt;="&amp;F96)-COUNTIFS($C$2:$C$102,$C96,$H$2:$H$102,"cancelled",$F$2:$F$102,"&lt;="&amp;F96)=0,1,0))</f>
        <v/>
      </c>
      <c r="V96" s="225">
        <f>IF(AND(H96="created",T96=0,COUNTIFS($C$2:$C$102,$C96,$H$2:$H$102,"cancelled",$F$2:$F$102,"&lt;"&amp;F96)&gt;0,COUNTIFS($C$2:$C$102,$C96,$H$2:$H$102,"created",$F$2:$F$102,"&lt;"&amp;F96)-COUNTIFS($C$2:$C$102,$C96,$H$2:$H$102,"cancelled",$F$2:$F$102,"&lt;"&amp;F96)=0),1,0)</f>
        <v/>
      </c>
    </row>
    <row r="97" hidden="1" ht="14.25" customHeight="1" s="281">
      <c r="A97" s="225" t="inlineStr">
        <is>
          <t>EVT096</t>
        </is>
      </c>
      <c r="B97" s="225" t="inlineStr">
        <is>
          <t>SUB040</t>
        </is>
      </c>
      <c r="C97" s="225" t="inlineStr">
        <is>
          <t>CUST040</t>
        </is>
      </c>
      <c r="D97" s="225" t="inlineStr">
        <is>
          <t>BC Education Innovations</t>
        </is>
      </c>
      <c r="E97" s="225" t="inlineStr">
        <is>
          <t>Western Canada</t>
        </is>
      </c>
      <c r="F97" s="222" t="n">
        <v>46023</v>
      </c>
      <c r="G97" s="223" t="n">
        <v>46048</v>
      </c>
      <c r="H97" s="225" t="inlineStr">
        <is>
          <t>created</t>
        </is>
      </c>
      <c r="M97" s="225" t="inlineStr">
        <is>
          <t>Analytics Growth</t>
        </is>
      </c>
      <c r="N97" s="225" t="inlineStr">
        <is>
          <t>Monthly</t>
        </is>
      </c>
      <c r="O97" s="225" t="n">
        <v>18</v>
      </c>
      <c r="P97" s="225" t="n">
        <v>95</v>
      </c>
      <c r="Q97" s="225" t="n">
        <v>0</v>
      </c>
      <c r="R97" s="225">
        <f t="array" ref="R97">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
      </c>
      <c r="S97" s="224">
        <f t="array" ref="S97">IF(N97="Monthly",IFS(H97="created",O97*P97*(1-Q97/100),H97="cancelled",-(O97*P97*(1-Q97/100)),H97="seats_change",(J97-I97)*P97*(1-Q97/100),H97="price_change",(J97-I97)*O97*(1-Q97/100),H97="discount_added",-(O97*P97*(J97-I97)/100),H97="plan_upgrade",O97*(XLOOKUP(J97,$M:$M,$P:$P)-XLOOKUP(I97,$M:$M,$P:$P))*(1-Q97/100),H97="plan_downgrade",O97*(XLOOKUP(J97,$M:$M,$P:$P)-XLOOKUP(I97,$M:$M,$P:$P))*(1-Q97/100)),IFS(H97="created",O97*P97*(1-Q97/100)/12,H97="cancelled",-(O97*P97*(1-Q97/100))/12,H97="seats_change",(J97-I97)*P97*(1-Q97/100)/12,H97="price_change",(J97-I97)*O97*(1-Q97/100)/12,H97="plan_upgrade",(O97*(XLOOKUP(J97,$M:$M,$P:$P)-XLOOKUP(I97,$M:$M,$P:$P))*(1-Q97/100))/12,H97="plan_downgrade",(O97*(XLOOKUP(J97,$M:$M,$P:$P)-XLOOKUP(I97,$M:$M,$P:$P))*(1-Q97/100))/12,H97="discount_added",-(O97*P97*(J97-I97)/100)/12))</f>
        <v/>
      </c>
      <c r="T97" s="225">
        <f>IF(H97&lt;&gt;"created",0,IF(COUNTIFS($C$1:C96,$C97,$H$1:H96,"created")=0,1,0))</f>
        <v/>
      </c>
      <c r="U97" s="225">
        <f>IF(H97&lt;&gt;"cancelled",0,IF(COUNTIFS($C$2:$C$102,$C97,$H$2:$H$102,"created",$F$2:$F$102,"&lt;="&amp;F97)-COUNTIFS($C$2:$C$102,$C97,$H$2:$H$102,"cancelled",$F$2:$F$102,"&lt;="&amp;F97)=0,1,0))</f>
        <v/>
      </c>
      <c r="V97" s="225">
        <f>IF(AND(H97="created",T97=0,COUNTIFS($C$2:$C$102,$C97,$H$2:$H$102,"cancelled",$F$2:$F$102,"&lt;"&amp;F97)&gt;0,COUNTIFS($C$2:$C$102,$C97,$H$2:$H$102,"created",$F$2:$F$102,"&lt;"&amp;F97)-COUNTIFS($C$2:$C$102,$C97,$H$2:$H$102,"cancelled",$F$2:$F$102,"&lt;"&amp;F97)=0),1,0)</f>
        <v/>
      </c>
    </row>
    <row r="98" hidden="1" ht="14.25" customHeight="1" s="281">
      <c r="A98" s="225" t="inlineStr">
        <is>
          <t>EVT097</t>
        </is>
      </c>
      <c r="B98" s="225" t="inlineStr">
        <is>
          <t>SUB050</t>
        </is>
      </c>
      <c r="C98" s="225" t="inlineStr">
        <is>
          <t>CUST007</t>
        </is>
      </c>
      <c r="D98" s="225" t="inlineStr">
        <is>
          <t>Ontario Manufacturing Tech</t>
        </is>
      </c>
      <c r="E98" s="225" t="inlineStr">
        <is>
          <t>Eastern Canada</t>
        </is>
      </c>
      <c r="F98" s="222" t="n">
        <v>46054</v>
      </c>
      <c r="G98" s="223" t="n">
        <v>46073</v>
      </c>
      <c r="H98" s="225" t="inlineStr">
        <is>
          <t>cancelled</t>
        </is>
      </c>
      <c r="I98" s="225" t="inlineStr">
        <is>
          <t>active</t>
        </is>
      </c>
      <c r="J98" s="225" t="inlineStr">
        <is>
          <t>churned</t>
        </is>
      </c>
      <c r="K98" s="225" t="inlineStr">
        <is>
          <t>status</t>
        </is>
      </c>
      <c r="L98" s="225" t="inlineStr">
        <is>
          <t>Poor support</t>
        </is>
      </c>
      <c r="M98" s="225" t="inlineStr">
        <is>
          <t>Analytics Starter</t>
        </is>
      </c>
      <c r="N98" s="225" t="inlineStr">
        <is>
          <t>Monthly</t>
        </is>
      </c>
      <c r="O98" s="225" t="n">
        <v>15</v>
      </c>
      <c r="P98" s="225" t="n">
        <v>45</v>
      </c>
      <c r="Q98" s="225" t="n">
        <v>12</v>
      </c>
      <c r="R98" s="225">
        <f t="array" ref="R98">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
      </c>
      <c r="S98" s="224">
        <f t="array" ref="S98">IF(N98="Monthly",IFS(H98="created",O98*P98*(1-Q98/100),H98="cancelled",-(O98*P98*(1-Q98/100)),H98="seats_change",(J98-I98)*P98*(1-Q98/100),H98="price_change",(J98-I98)*O98*(1-Q98/100),H98="discount_added",-(O98*P98*(J98-I98)/100),H98="plan_upgrade",O98*(XLOOKUP(J98,$M:$M,$P:$P)-XLOOKUP(I98,$M:$M,$P:$P))*(1-Q98/100),H98="plan_downgrade",O98*(XLOOKUP(J98,$M:$M,$P:$P)-XLOOKUP(I98,$M:$M,$P:$P))*(1-Q98/100)),IFS(H98="created",O98*P98*(1-Q98/100)/12,H98="cancelled",-(O98*P98*(1-Q98/100))/12,H98="seats_change",(J98-I98)*P98*(1-Q98/100)/12,H98="price_change",(J98-I98)*O98*(1-Q98/100)/12,H98="plan_upgrade",(O98*(XLOOKUP(J98,$M:$M,$P:$P)-XLOOKUP(I98,$M:$M,$P:$P))*(1-Q98/100))/12,H98="plan_downgrade",(O98*(XLOOKUP(J98,$M:$M,$P:$P)-XLOOKUP(I98,$M:$M,$P:$P))*(1-Q98/100))/12,H98="discount_added",-(O98*P98*(J98-I98)/100)/12))</f>
        <v/>
      </c>
      <c r="T98" s="225">
        <f>IF(H98&lt;&gt;"created",0,IF(COUNTIFS($C$1:C97,$C98,$H$1:H97,"created")=0,1,0))</f>
        <v/>
      </c>
      <c r="U98" s="225">
        <f>IF(H98&lt;&gt;"cancelled",0,IF(COUNTIFS($C$2:$C$102,$C98,$H$2:$H$102,"created",$F$2:$F$102,"&lt;="&amp;F98)-COUNTIFS($C$2:$C$102,$C98,$H$2:$H$102,"cancelled",$F$2:$F$102,"&lt;="&amp;F98)=0,1,0))</f>
        <v/>
      </c>
      <c r="V98" s="225">
        <f>IF(AND(H98="created",T98=0,COUNTIFS($C$2:$C$102,$C98,$H$2:$H$102,"cancelled",$F$2:$F$102,"&lt;"&amp;F98)&gt;0,COUNTIFS($C$2:$C$102,$C98,$H$2:$H$102,"created",$F$2:$F$102,"&lt;"&amp;F98)-COUNTIFS($C$2:$C$102,$C98,$H$2:$H$102,"cancelled",$F$2:$F$102,"&lt;"&amp;F98)=0),1,0)</f>
        <v/>
      </c>
    </row>
    <row r="99" hidden="1" ht="14.25" customHeight="1" s="281">
      <c r="A99" s="225" t="inlineStr">
        <is>
          <t>EVT098</t>
        </is>
      </c>
      <c r="B99" s="225" t="inlineStr">
        <is>
          <t>SUB063</t>
        </is>
      </c>
      <c r="C99" s="225" t="inlineStr">
        <is>
          <t>CUST041</t>
        </is>
      </c>
      <c r="D99" s="225" t="inlineStr">
        <is>
          <t>Dynamic Retail Solutions</t>
        </is>
      </c>
      <c r="E99" s="225" t="inlineStr">
        <is>
          <t>Central Canada</t>
        </is>
      </c>
      <c r="F99" s="222" t="n">
        <v>46054</v>
      </c>
      <c r="G99" s="223" t="n">
        <v>46063</v>
      </c>
      <c r="H99" s="225" t="inlineStr">
        <is>
          <t>created</t>
        </is>
      </c>
      <c r="M99" s="225" t="inlineStr">
        <is>
          <t>Sales Hub</t>
        </is>
      </c>
      <c r="N99" s="225" t="inlineStr">
        <is>
          <t>Monthly</t>
        </is>
      </c>
      <c r="O99" s="225" t="n">
        <v>28</v>
      </c>
      <c r="P99" s="225" t="n">
        <v>110</v>
      </c>
      <c r="Q99" s="225" t="n">
        <v>0</v>
      </c>
      <c r="R99" s="225">
        <f t="array" ref="R99">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
      </c>
      <c r="S99" s="224">
        <f t="array" ref="S99">IF(N99="Monthly",IFS(H99="created",O99*P99*(1-Q99/100),H99="cancelled",-(O99*P99*(1-Q99/100)),H99="seats_change",(J99-I99)*P99*(1-Q99/100),H99="price_change",(J99-I99)*O99*(1-Q99/100),H99="discount_added",-(O99*P99*(J99-I99)/100),H99="plan_upgrade",O99*(XLOOKUP(J99,$M:$M,$P:$P)-XLOOKUP(I99,$M:$M,$P:$P))*(1-Q99/100),H99="plan_downgrade",O99*(XLOOKUP(J99,$M:$M,$P:$P)-XLOOKUP(I99,$M:$M,$P:$P))*(1-Q99/100)),IFS(H99="created",O99*P99*(1-Q99/100)/12,H99="cancelled",-(O99*P99*(1-Q99/100))/12,H99="seats_change",(J99-I99)*P99*(1-Q99/100)/12,H99="price_change",(J99-I99)*O99*(1-Q99/100)/12,H99="plan_upgrade",(O99*(XLOOKUP(J99,$M:$M,$P:$P)-XLOOKUP(I99,$M:$M,$P:$P))*(1-Q99/100))/12,H99="plan_downgrade",(O99*(XLOOKUP(J99,$M:$M,$P:$P)-XLOOKUP(I99,$M:$M,$P:$P))*(1-Q99/100))/12,H99="discount_added",-(O99*P99*(J99-I99)/100)/12))</f>
        <v/>
      </c>
      <c r="T99" s="225">
        <f>IF(H99&lt;&gt;"created",0,IF(COUNTIFS($C$1:C98,$C99,$H$1:H98,"created")=0,1,0))</f>
        <v/>
      </c>
      <c r="U99" s="225">
        <f>IF(H99&lt;&gt;"cancelled",0,IF(COUNTIFS($C$2:$C$102,$C99,$H$2:$H$102,"created",$F$2:$F$102,"&lt;="&amp;F99)-COUNTIFS($C$2:$C$102,$C99,$H$2:$H$102,"cancelled",$F$2:$F$102,"&lt;="&amp;F99)=0,1,0))</f>
        <v/>
      </c>
      <c r="V99" s="225">
        <f>IF(AND(H99="created",T99=0,COUNTIFS($C$2:$C$102,$C99,$H$2:$H$102,"cancelled",$F$2:$F$102,"&lt;"&amp;F99)&gt;0,COUNTIFS($C$2:$C$102,$C99,$H$2:$H$102,"created",$F$2:$F$102,"&lt;"&amp;F99)-COUNTIFS($C$2:$C$102,$C99,$H$2:$H$102,"cancelled",$F$2:$F$102,"&lt;"&amp;F99)=0),1,0)</f>
        <v/>
      </c>
    </row>
    <row r="100" hidden="1" ht="14.25" customHeight="1" s="281">
      <c r="A100" s="225" t="inlineStr">
        <is>
          <t>EVT099</t>
        </is>
      </c>
      <c r="B100" s="225" t="inlineStr">
        <is>
          <t>SUB064</t>
        </is>
      </c>
      <c r="C100" s="225" t="inlineStr">
        <is>
          <t>CUST042</t>
        </is>
      </c>
      <c r="D100" s="225" t="inlineStr">
        <is>
          <t>Pacific Coast Analytics</t>
        </is>
      </c>
      <c r="E100" s="225" t="inlineStr">
        <is>
          <t>Western Canada</t>
        </is>
      </c>
      <c r="F100" s="222" t="n">
        <v>46054</v>
      </c>
      <c r="G100" s="223" t="n">
        <v>46073</v>
      </c>
      <c r="H100" s="225" t="inlineStr">
        <is>
          <t>created</t>
        </is>
      </c>
      <c r="M100" s="225" t="inlineStr">
        <is>
          <t>Analytics Growth</t>
        </is>
      </c>
      <c r="N100" s="225" t="inlineStr">
        <is>
          <t>Monthly</t>
        </is>
      </c>
      <c r="O100" s="225" t="n">
        <v>32</v>
      </c>
      <c r="P100" s="225" t="n">
        <v>95</v>
      </c>
      <c r="Q100" s="225" t="n">
        <v>0</v>
      </c>
      <c r="R100" s="225">
        <f t="array" ref="R100">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
      </c>
      <c r="S100" s="224">
        <f t="array" ref="S100">IF(N100="Monthly",IFS(H100="created",O100*P100*(1-Q100/100),H100="cancelled",-(O100*P100*(1-Q100/100)),H100="seats_change",(J100-I100)*P100*(1-Q100/100),H100="price_change",(J100-I100)*O100*(1-Q100/100),H100="discount_added",-(O100*P100*(J100-I100)/100),H100="plan_upgrade",O100*(XLOOKUP(J100,$M:$M,$P:$P)-XLOOKUP(I100,$M:$M,$P:$P))*(1-Q100/100),H100="plan_downgrade",O100*(XLOOKUP(J100,$M:$M,$P:$P)-XLOOKUP(I100,$M:$M,$P:$P))*(1-Q100/100)),IFS(H100="created",O100*P100*(1-Q100/100)/12,H100="cancelled",-(O100*P100*(1-Q100/100))/12,H100="seats_change",(J100-I100)*P100*(1-Q100/100)/12,H100="price_change",(J100-I100)*O100*(1-Q100/100)/12,H100="plan_upgrade",(O100*(XLOOKUP(J100,$M:$M,$P:$P)-XLOOKUP(I100,$M:$M,$P:$P))*(1-Q100/100))/12,H100="plan_downgrade",(O100*(XLOOKUP(J100,$M:$M,$P:$P)-XLOOKUP(I100,$M:$M,$P:$P))*(1-Q100/100))/12,H100="discount_added",-(O100*P100*(J100-I100)/100)/12))</f>
        <v/>
      </c>
      <c r="T100" s="225">
        <f>IF(H100&lt;&gt;"created",0,IF(COUNTIFS($C$1:C99,$C100,$H$1:H99,"created")=0,1,0))</f>
        <v/>
      </c>
      <c r="U100" s="225">
        <f>IF(H100&lt;&gt;"cancelled",0,IF(COUNTIFS($C$2:$C$102,$C100,$H$2:$H$102,"created",$F$2:$F$102,"&lt;="&amp;F100)-COUNTIFS($C$2:$C$102,$C100,$H$2:$H$102,"cancelled",$F$2:$F$102,"&lt;="&amp;F100)=0,1,0))</f>
        <v/>
      </c>
      <c r="V100" s="225">
        <f>IF(AND(H100="created",T100=0,COUNTIFS($C$2:$C$102,$C100,$H$2:$H$102,"cancelled",$F$2:$F$102,"&lt;"&amp;F100)&gt;0,COUNTIFS($C$2:$C$102,$C100,$H$2:$H$102,"created",$F$2:$F$102,"&lt;"&amp;F100)-COUNTIFS($C$2:$C$102,$C100,$H$2:$H$102,"cancelled",$F$2:$F$102,"&lt;"&amp;F100)=0),1,0)</f>
        <v/>
      </c>
    </row>
    <row r="101" hidden="1" ht="14.25" customHeight="1" s="281">
      <c r="A101" s="225" t="inlineStr">
        <is>
          <t>EVT100</t>
        </is>
      </c>
      <c r="B101" s="225" t="inlineStr">
        <is>
          <t>SUB065</t>
        </is>
      </c>
      <c r="C101" s="225" t="inlineStr">
        <is>
          <t>CUST043</t>
        </is>
      </c>
      <c r="D101" s="225" t="inlineStr">
        <is>
          <t>Atlantic Financial Group</t>
        </is>
      </c>
      <c r="E101" s="225" t="inlineStr">
        <is>
          <t>Eastern Canada</t>
        </is>
      </c>
      <c r="F101" s="222" t="n">
        <v>46082</v>
      </c>
      <c r="G101" s="223" t="n">
        <v>46089</v>
      </c>
      <c r="H101" s="225" t="inlineStr">
        <is>
          <t>created</t>
        </is>
      </c>
      <c r="M101" s="225" t="inlineStr">
        <is>
          <t>Platform Suite</t>
        </is>
      </c>
      <c r="N101" s="225" t="inlineStr">
        <is>
          <t>Monthly</t>
        </is>
      </c>
      <c r="O101" s="225" t="n">
        <v>20</v>
      </c>
      <c r="P101" s="225" t="n">
        <v>150</v>
      </c>
      <c r="Q101" s="225" t="n">
        <v>0</v>
      </c>
      <c r="R101" s="225">
        <f t="array" ref="R101">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
      </c>
      <c r="S101" s="224">
        <f t="array" ref="S101">IF(N101="Monthly",IFS(H101="created",O101*P101*(1-Q101/100),H101="cancelled",-(O101*P101*(1-Q101/100)),H101="seats_change",(J101-I101)*P101*(1-Q101/100),H101="price_change",(J101-I101)*O101*(1-Q101/100),H101="discount_added",-(O101*P101*(J101-I101)/100),H101="plan_upgrade",O101*(XLOOKUP(J101,$M:$M,$P:$P)-XLOOKUP(I101,$M:$M,$P:$P))*(1-Q101/100),H101="plan_downgrade",O101*(XLOOKUP(J101,$M:$M,$P:$P)-XLOOKUP(I101,$M:$M,$P:$P))*(1-Q101/100)),IFS(H101="created",O101*P101*(1-Q101/100)/12,H101="cancelled",-(O101*P101*(1-Q101/100))/12,H101="seats_change",(J101-I101)*P101*(1-Q101/100)/12,H101="price_change",(J101-I101)*O101*(1-Q101/100)/12,H101="plan_upgrade",(O101*(XLOOKUP(J101,$M:$M,$P:$P)-XLOOKUP(I101,$M:$M,$P:$P))*(1-Q101/100))/12,H101="plan_downgrade",(O101*(XLOOKUP(J101,$M:$M,$P:$P)-XLOOKUP(I101,$M:$M,$P:$P))*(1-Q101/100))/12,H101="discount_added",-(O101*P101*(J101-I101)/100)/12))</f>
        <v/>
      </c>
      <c r="T101" s="225">
        <f>IF(H101&lt;&gt;"created",0,IF(COUNTIFS($C$1:C100,$C101,$H$1:H100,"created")=0,1,0))</f>
        <v/>
      </c>
      <c r="U101" s="225">
        <f>IF(H101&lt;&gt;"cancelled",0,IF(COUNTIFS($C$2:$C$102,$C101,$H$2:$H$102,"created",$F$2:$F$102,"&lt;="&amp;F101)-COUNTIFS($C$2:$C$102,$C101,$H$2:$H$102,"cancelled",$F$2:$F$102,"&lt;="&amp;F101)=0,1,0))</f>
        <v/>
      </c>
      <c r="V101" s="225">
        <f>IF(AND(H101="created",T101=0,COUNTIFS($C$2:$C$102,$C101,$H$2:$H$102,"cancelled",$F$2:$F$102,"&lt;"&amp;F101)&gt;0,COUNTIFS($C$2:$C$102,$C101,$H$2:$H$102,"created",$F$2:$F$102,"&lt;"&amp;F101)-COUNTIFS($C$2:$C$102,$C101,$H$2:$H$102,"cancelled",$F$2:$F$102,"&lt;"&amp;F101)=0),1,0)</f>
        <v/>
      </c>
    </row>
    <row r="102" hidden="1" ht="14.25" customHeight="1" s="281">
      <c r="A102" s="225" t="inlineStr">
        <is>
          <t>EVT101</t>
        </is>
      </c>
      <c r="B102" s="225" t="inlineStr">
        <is>
          <t>SUB012</t>
        </is>
      </c>
      <c r="C102" s="225" t="inlineStr">
        <is>
          <t>CUST012</t>
        </is>
      </c>
      <c r="D102" s="225" t="inlineStr">
        <is>
          <t>Maritime E-commerce</t>
        </is>
      </c>
      <c r="E102" s="225" t="inlineStr">
        <is>
          <t>Eastern Canada</t>
        </is>
      </c>
      <c r="F102" s="222" t="n">
        <v>46082</v>
      </c>
      <c r="G102" s="223" t="n">
        <v>46096</v>
      </c>
      <c r="H102" s="225" t="inlineStr">
        <is>
          <t>seats_change</t>
        </is>
      </c>
      <c r="I102" s="225" t="n">
        <v>23</v>
      </c>
      <c r="J102" s="225" t="n">
        <v>27</v>
      </c>
      <c r="K102" s="225" t="inlineStr">
        <is>
          <t>seats</t>
        </is>
      </c>
      <c r="L102" s="225" t="inlineStr">
        <is>
          <t>Team expansion</t>
        </is>
      </c>
      <c r="M102" s="225" t="inlineStr">
        <is>
          <t>Analytics Growth</t>
        </is>
      </c>
      <c r="N102" s="225" t="inlineStr">
        <is>
          <t>Monthly</t>
        </is>
      </c>
      <c r="O102" s="225" t="n">
        <v>27</v>
      </c>
      <c r="P102" s="225" t="n">
        <v>95</v>
      </c>
      <c r="Q102" s="225" t="n">
        <v>0</v>
      </c>
      <c r="R102" s="225">
        <f t="array" ref="R102">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
      </c>
      <c r="S102" s="224">
        <f t="array" ref="S102">IF(N102="Monthly",IFS(H102="created",O102*P102*(1-Q102/100),H102="cancelled",-(O102*P102*(1-Q102/100)),H102="seats_change",(J102-I102)*P102*(1-Q102/100),H102="price_change",(J102-I102)*O102*(1-Q102/100),H102="discount_added",-(O102*P102*(J102-I102)/100),H102="plan_upgrade",O102*(XLOOKUP(J102,$M:$M,$P:$P)-XLOOKUP(I102,$M:$M,$P:$P))*(1-Q102/100),H102="plan_downgrade",O102*(XLOOKUP(J102,$M:$M,$P:$P)-XLOOKUP(I102,$M:$M,$P:$P))*(1-Q102/100)),IFS(H102="created",O102*P102*(1-Q102/100)/12,H102="cancelled",-(O102*P102*(1-Q102/100))/12,H102="seats_change",(J102-I102)*P102*(1-Q102/100)/12,H102="price_change",(J102-I102)*O102*(1-Q102/100)/12,H102="plan_upgrade",(O102*(XLOOKUP(J102,$M:$M,$P:$P)-XLOOKUP(I102,$M:$M,$P:$P))*(1-Q102/100))/12,H102="plan_downgrade",(O102*(XLOOKUP(J102,$M:$M,$P:$P)-XLOOKUP(I102,$M:$M,$P:$P))*(1-Q102/100))/12,H102="discount_added",-(O102*P102*(J102-I102)/100)/12))</f>
        <v/>
      </c>
      <c r="T102" s="225">
        <f>IF(H102&lt;&gt;"created",0,IF(COUNTIFS($C$1:C101,$C102,$H$1:H101,"created")=0,1,0))</f>
        <v/>
      </c>
      <c r="U102" s="225">
        <f>IF(H102&lt;&gt;"cancelled",0,IF(COUNTIFS($C$2:$C$102,$C102,$H$2:$H$102,"created",$F$2:$F$102,"&lt;="&amp;F102)-COUNTIFS($C$2:$C$102,$C102,$H$2:$H$102,"cancelled",$F$2:$F$102,"&lt;="&amp;F102)=0,1,0))</f>
        <v/>
      </c>
      <c r="V102" s="225">
        <f>IF(AND(H102="created",T102=0,COUNTIFS($C$2:$C$102,$C102,$H$2:$H$102,"cancelled",$F$2:$F$102,"&lt;"&amp;F102)&gt;0,COUNTIFS($C$2:$C$102,$C102,$H$2:$H$102,"created",$F$2:$F$102,"&lt;"&amp;F102)-COUNTIFS($C$2:$C$102,$C102,$H$2:$H$102,"cancelled",$F$2:$F$102,"&lt;"&amp;F102)=0),1,0)</f>
        <v/>
      </c>
    </row>
    <row r="103" hidden="1" ht="14.25" customHeight="1" s="281">
      <c r="A103" s="225" t="inlineStr">
        <is>
          <t>EVT102</t>
        </is>
      </c>
      <c r="B103" s="225" t="inlineStr">
        <is>
          <t>SUB066</t>
        </is>
      </c>
      <c r="C103" s="225" t="inlineStr">
        <is>
          <t>CUST044</t>
        </is>
      </c>
      <c r="D103" s="225" t="inlineStr">
        <is>
          <t>Lakeside Retail Group</t>
        </is>
      </c>
      <c r="E103" s="225" t="inlineStr">
        <is>
          <t>Central Canada</t>
        </is>
      </c>
      <c r="F103" s="222" t="n">
        <v>46113</v>
      </c>
      <c r="G103" s="226" t="n">
        <v>46121</v>
      </c>
      <c r="H103" s="227" t="inlineStr">
        <is>
          <t>created</t>
        </is>
      </c>
      <c r="I103" s="225" t="n"/>
      <c r="M103" s="225" t="inlineStr">
        <is>
          <t>Marketing Pro</t>
        </is>
      </c>
      <c r="N103" s="225" t="inlineStr">
        <is>
          <t>Monthly</t>
        </is>
      </c>
      <c r="O103" s="225" t="n">
        <v>18</v>
      </c>
      <c r="P103" s="225" t="n">
        <v>85</v>
      </c>
      <c r="Q103" s="225" t="n">
        <v>0</v>
      </c>
      <c r="R103" s="225">
        <f t="array" ref="R103">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
      </c>
      <c r="S103" s="224">
        <f t="array" ref="S103">IF(N103="Monthly",IFS(H103="created",O103*P103*(1-Q103/100),H103="cancelled",-(O103*P103*(1-Q103/100)),H103="seats_change",(J103-I103)*P103*(1-Q103/100),H103="price_change",(J103-I103)*O103*(1-Q103/100),H103="discount_added",-(O103*P103*(J103-I103)/100),H103="plan_upgrade",O103*(XLOOKUP(J103,$M:$M,$P:$P)-XLOOKUP(I103,$M:$M,$P:$P))*(1-Q103/100),H103="plan_downgrade",O103*(XLOOKUP(J103,$M:$M,$P:$P)-XLOOKUP(I103,$M:$M,$P:$P))*(1-Q103/100)),IFS(H103="created",O103*P103*(1-Q103/100)/12,H103="cancelled",-(O103*P103*(1-Q103/100))/12,H103="seats_change",(J103-I103)*P103*(1-Q103/100)/12,H103="price_change",(J103-I103)*O103*(1-Q103/100)/12,H103="plan_upgrade",(O103*(XLOOKUP(J103,$M:$M,$P:$P)-XLOOKUP(I103,$M:$M,$P:$P))*(1-Q103/100))/12,H103="plan_downgrade",(O103*(XLOOKUP(J103,$M:$M,$P:$P)-XLOOKUP(I103,$M:$M,$P:$P))*(1-Q103/100))/12,H103="discount_added",-(O103*P103*(J103-I103)/100)/12))</f>
        <v/>
      </c>
      <c r="T103" s="225">
        <f>IF(H103&lt;&gt;"created",0,IF(COUNTIFS($C$1:C102,$C103,$H$1:H102,"created")=0,1,0))</f>
        <v/>
      </c>
      <c r="U103" s="225">
        <f>IF(H103&lt;&gt;"cancelled",0,IF(COUNTIFS($C$2:$C$102,$C103,$H$2:$H$102,"created",$F$2:$F$102,"&lt;="&amp;F103)-COUNTIFS($C$2:$C$102,$C103,$H$2:$H$102,"cancelled",$F$2:$F$102,"&lt;="&amp;F103)=0,1,0))</f>
        <v/>
      </c>
      <c r="V103" s="225">
        <f>IF(AND(H103="created",T103=0,COUNTIFS($C$2:$C$102,$C103,$H$2:$H$102,"cancelled",$F$2:$F$102,"&lt;"&amp;F103)&gt;0,COUNTIFS($C$2:$C$102,$C103,$H$2:$H$102,"created",$F$2:$F$102,"&lt;"&amp;F103)-COUNTIFS($C$2:$C$102,$C103,$H$2:$H$102,"cancelled",$F$2:$F$102,"&lt;"&amp;F103)=0),1,0)</f>
        <v/>
      </c>
    </row>
    <row r="104" hidden="1" ht="14.25" customHeight="1" s="281">
      <c r="A104" s="225" t="inlineStr">
        <is>
          <t>EVT103</t>
        </is>
      </c>
      <c r="B104" s="225" t="inlineStr">
        <is>
          <t>SUB035</t>
        </is>
      </c>
      <c r="C104" s="225" t="inlineStr">
        <is>
          <t>CUST035</t>
        </is>
      </c>
      <c r="D104" s="225" t="inlineStr">
        <is>
          <t>Vancouver Health Systems</t>
        </is>
      </c>
      <c r="E104" s="225" t="inlineStr">
        <is>
          <t>Western Canada</t>
        </is>
      </c>
      <c r="F104" s="222" t="n">
        <v>46113</v>
      </c>
      <c r="G104" s="226" t="n">
        <v>46126</v>
      </c>
      <c r="H104" s="227" t="inlineStr">
        <is>
          <t>seats_change</t>
        </is>
      </c>
      <c r="I104" s="225" t="n">
        <v>20</v>
      </c>
      <c r="J104" s="225" t="n">
        <v>24</v>
      </c>
      <c r="K104" s="225" t="inlineStr">
        <is>
          <t>seats</t>
        </is>
      </c>
      <c r="L104" s="225" t="inlineStr">
        <is>
          <t>Team expansion</t>
        </is>
      </c>
      <c r="M104" s="225" t="inlineStr">
        <is>
          <t>Sales Hub</t>
        </is>
      </c>
      <c r="N104" s="225" t="inlineStr">
        <is>
          <t>Monthly</t>
        </is>
      </c>
      <c r="O104" s="225" t="n">
        <v>24</v>
      </c>
      <c r="P104" s="225" t="n">
        <v>110</v>
      </c>
      <c r="Q104" s="225" t="n">
        <v>0</v>
      </c>
      <c r="R104" s="225">
        <f t="array" ref="R104">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
      </c>
      <c r="S104" s="224">
        <f t="array" ref="S104">IF(N104="Monthly",IFS(H104="created",O104*P104*(1-Q104/100),H104="cancelled",-(O104*P104*(1-Q104/100)),H104="seats_change",(J104-I104)*P104*(1-Q104/100),H104="price_change",(J104-I104)*O104*(1-Q104/100),H104="discount_added",-(O104*P104*(J104-I104)/100),H104="plan_upgrade",O104*(XLOOKUP(J104,$M:$M,$P:$P)-XLOOKUP(I104,$M:$M,$P:$P))*(1-Q104/100),H104="plan_downgrade",O104*(XLOOKUP(J104,$M:$M,$P:$P)-XLOOKUP(I104,$M:$M,$P:$P))*(1-Q104/100)),IFS(H104="created",O104*P104*(1-Q104/100)/12,H104="cancelled",-(O104*P104*(1-Q104/100))/12,H104="seats_change",(J104-I104)*P104*(1-Q104/100)/12,H104="price_change",(J104-I104)*O104*(1-Q104/100)/12,H104="plan_upgrade",(O104*(XLOOKUP(J104,$M:$M,$P:$P)-XLOOKUP(I104,$M:$M,$P:$P))*(1-Q104/100))/12,H104="plan_downgrade",(O104*(XLOOKUP(J104,$M:$M,$P:$P)-XLOOKUP(I104,$M:$M,$P:$P))*(1-Q104/100))/12,H104="discount_added",-(O104*P104*(J104-I104)/100)/12))</f>
        <v/>
      </c>
      <c r="T104" s="225">
        <f>IF(H104&lt;&gt;"created",0,IF(COUNTIFS($C$1:C103,$C104,$H$1:H103,"created")=0,1,0))</f>
        <v/>
      </c>
      <c r="U104" s="225">
        <f>IF(H104&lt;&gt;"cancelled",0,IF(COUNTIFS($C$2:$C$102,$C104,$H$2:$H$102,"created",$F$2:$F$102,"&lt;="&amp;F104)-COUNTIFS($C$2:$C$102,$C104,$H$2:$H$102,"cancelled",$F$2:$F$102,"&lt;="&amp;F104)=0,1,0))</f>
        <v/>
      </c>
      <c r="V104" s="225">
        <f>IF(AND(H104="created",T104=0,COUNTIFS($C$2:$C$102,$C104,$H$2:$H$102,"cancelled",$F$2:$F$102,"&lt;"&amp;F104)&gt;0,COUNTIFS($C$2:$C$102,$C104,$H$2:$H$102,"created",$F$2:$F$102,"&lt;"&amp;F104)-COUNTIFS($C$2:$C$102,$C104,$H$2:$H$102,"cancelled",$F$2:$F$102,"&lt;"&amp;F104)=0),1,0)</f>
        <v/>
      </c>
    </row>
    <row r="105" hidden="1" ht="14.25" customHeight="1" s="281">
      <c r="A105" s="225" t="inlineStr">
        <is>
          <t>EVT104</t>
        </is>
      </c>
      <c r="B105" s="225" t="inlineStr">
        <is>
          <t>SUB067</t>
        </is>
      </c>
      <c r="C105" s="225" t="inlineStr">
        <is>
          <t>CUST045</t>
        </is>
      </c>
      <c r="D105" s="225" t="inlineStr">
        <is>
          <t>Summit Software Co</t>
        </is>
      </c>
      <c r="E105" s="225" t="inlineStr">
        <is>
          <t>Western Canada</t>
        </is>
      </c>
      <c r="F105" s="222" t="n">
        <v>46113</v>
      </c>
      <c r="G105" s="226" t="n">
        <v>46133</v>
      </c>
      <c r="H105" s="227" t="inlineStr">
        <is>
          <t>created</t>
        </is>
      </c>
      <c r="I105" s="225" t="n"/>
      <c r="M105" s="225" t="inlineStr">
        <is>
          <t>Analytics Growth</t>
        </is>
      </c>
      <c r="N105" s="225" t="inlineStr">
        <is>
          <t>Monthly</t>
        </is>
      </c>
      <c r="O105" s="225" t="n">
        <v>24</v>
      </c>
      <c r="P105" s="225" t="n">
        <v>95</v>
      </c>
      <c r="Q105" s="225" t="n">
        <v>0</v>
      </c>
      <c r="R105" s="225">
        <f t="array" ref="R105">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
      </c>
      <c r="S105" s="224">
        <f t="array" ref="S105">IF(N105="Monthly",IFS(H105="created",O105*P105*(1-Q105/100),H105="cancelled",-(O105*P105*(1-Q105/100)),H105="seats_change",(J105-I105)*P105*(1-Q105/100),H105="price_change",(J105-I105)*O105*(1-Q105/100),H105="discount_added",-(O105*P105*(J105-I105)/100),H105="plan_upgrade",O105*(XLOOKUP(J105,$M:$M,$P:$P)-XLOOKUP(I105,$M:$M,$P:$P))*(1-Q105/100),H105="plan_downgrade",O105*(XLOOKUP(J105,$M:$M,$P:$P)-XLOOKUP(I105,$M:$M,$P:$P))*(1-Q105/100)),IFS(H105="created",O105*P105*(1-Q105/100)/12,H105="cancelled",-(O105*P105*(1-Q105/100))/12,H105="seats_change",(J105-I105)*P105*(1-Q105/100)/12,H105="price_change",(J105-I105)*O105*(1-Q105/100)/12,H105="plan_upgrade",(O105*(XLOOKUP(J105,$M:$M,$P:$P)-XLOOKUP(I105,$M:$M,$P:$P))*(1-Q105/100))/12,H105="plan_downgrade",(O105*(XLOOKUP(J105,$M:$M,$P:$P)-XLOOKUP(I105,$M:$M,$P:$P))*(1-Q105/100))/12,H105="discount_added",-(O105*P105*(J105-I105)/100)/12))</f>
        <v/>
      </c>
      <c r="T105" s="225">
        <f>IF(H105&lt;&gt;"created",0,IF(COUNTIFS($C$1:C104,$C105,$H$1:H104,"created")=0,1,0))</f>
        <v/>
      </c>
      <c r="U105" s="225">
        <f>IF(H105&lt;&gt;"cancelled",0,IF(COUNTIFS($C$2:$C$102,$C105,$H$2:$H$102,"created",$F$2:$F$102,"&lt;="&amp;F105)-COUNTIFS($C$2:$C$102,$C105,$H$2:$H$102,"cancelled",$F$2:$F$102,"&lt;="&amp;F105)=0,1,0))</f>
        <v/>
      </c>
      <c r="V105" s="225">
        <f>IF(AND(H105="created",T105=0,COUNTIFS($C$2:$C$102,$C105,$H$2:$H$102,"cancelled",$F$2:$F$102,"&lt;"&amp;F105)&gt;0,COUNTIFS($C$2:$C$102,$C105,$H$2:$H$102,"created",$F$2:$F$102,"&lt;"&amp;F105)-COUNTIFS($C$2:$C$102,$C105,$H$2:$H$102,"cancelled",$F$2:$F$102,"&lt;"&amp;F105)=0),1,0)</f>
        <v/>
      </c>
    </row>
    <row r="106" hidden="1" ht="14.25" customHeight="1" s="281">
      <c r="A106" s="225" t="inlineStr">
        <is>
          <t>EVT105</t>
        </is>
      </c>
      <c r="B106" s="225" t="inlineStr">
        <is>
          <t>SUB045</t>
        </is>
      </c>
      <c r="C106" s="225" t="inlineStr">
        <is>
          <t>CUST010</t>
        </is>
      </c>
      <c r="D106" s="225" t="inlineStr">
        <is>
          <t>Montreal Finance Hub</t>
        </is>
      </c>
      <c r="E106" s="225" t="inlineStr">
        <is>
          <t>Eastern Canada</t>
        </is>
      </c>
      <c r="F106" s="222" t="n">
        <v>46113</v>
      </c>
      <c r="G106" s="226" t="n">
        <v>46136</v>
      </c>
      <c r="H106" s="227" t="inlineStr">
        <is>
          <t>cancelled</t>
        </is>
      </c>
      <c r="I106" s="225" t="inlineStr">
        <is>
          <t>active</t>
        </is>
      </c>
      <c r="J106" s="225" t="inlineStr">
        <is>
          <t>churned</t>
        </is>
      </c>
      <c r="K106" s="225" t="inlineStr">
        <is>
          <t>status</t>
        </is>
      </c>
      <c r="L106" s="225" t="inlineStr">
        <is>
          <t>Price too high</t>
        </is>
      </c>
      <c r="M106" s="225" t="inlineStr">
        <is>
          <t>Marketing Pro</t>
        </is>
      </c>
      <c r="N106" s="225" t="inlineStr">
        <is>
          <t>Monthly</t>
        </is>
      </c>
      <c r="O106" s="225" t="n">
        <v>13</v>
      </c>
      <c r="P106" s="225" t="n">
        <v>85</v>
      </c>
      <c r="Q106" s="225" t="n">
        <v>0</v>
      </c>
      <c r="R106" s="225">
        <f t="array" ref="R106">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
      </c>
      <c r="S106" s="224">
        <f t="array" ref="S106">IF(N106="Monthly",IFS(H106="created",O106*P106*(1-Q106/100),H106="cancelled",-(O106*P106*(1-Q106/100)),H106="seats_change",(J106-I106)*P106*(1-Q106/100),H106="price_change",(J106-I106)*O106*(1-Q106/100),H106="discount_added",-(O106*P106*(J106-I106)/100),H106="plan_upgrade",O106*(XLOOKUP(J106,$M:$M,$P:$P)-XLOOKUP(I106,$M:$M,$P:$P))*(1-Q106/100),H106="plan_downgrade",O106*(XLOOKUP(J106,$M:$M,$P:$P)-XLOOKUP(I106,$M:$M,$P:$P))*(1-Q106/100)),IFS(H106="created",O106*P106*(1-Q106/100)/12,H106="cancelled",-(O106*P106*(1-Q106/100))/12,H106="seats_change",(J106-I106)*P106*(1-Q106/100)/12,H106="price_change",(J106-I106)*O106*(1-Q106/100)/12,H106="plan_upgrade",(O106*(XLOOKUP(J106,$M:$M,$P:$P)-XLOOKUP(I106,$M:$M,$P:$P))*(1-Q106/100))/12,H106="plan_downgrade",(O106*(XLOOKUP(J106,$M:$M,$P:$P)-XLOOKUP(I106,$M:$M,$P:$P))*(1-Q106/100))/12,H106="discount_added",-(O106*P106*(J106-I106)/100)/12))</f>
        <v/>
      </c>
      <c r="T106" s="225">
        <f>IF(H106&lt;&gt;"created",0,IF(COUNTIFS($C$1:C105,$C106,$H$1:H105,"created")=0,1,0))</f>
        <v/>
      </c>
      <c r="U106" s="225">
        <f>IF(H106&lt;&gt;"cancelled",0,IF(COUNTIFS($C$2:$C$102,$C106,$H$2:$H$102,"created",$F$2:$F$102,"&lt;="&amp;F106)-COUNTIFS($C$2:$C$102,$C106,$H$2:$H$102,"cancelled",$F$2:$F$102,"&lt;="&amp;F106)=0,1,0))</f>
        <v/>
      </c>
      <c r="V106" s="225">
        <f>IF(AND(H106="created",T106=0,COUNTIFS($C$2:$C$102,$C106,$H$2:$H$102,"cancelled",$F$2:$F$102,"&lt;"&amp;F106)&gt;0,COUNTIFS($C$2:$C$102,$C106,$H$2:$H$102,"created",$F$2:$F$102,"&lt;"&amp;F106)-COUNTIFS($C$2:$C$102,$C106,$H$2:$H$102,"cancelled",$F$2:$F$102,"&lt;"&amp;F106)=0),1,0)</f>
        <v/>
      </c>
    </row>
    <row r="107" ht="14.25" customHeight="1" s="281">
      <c r="J107" s="228" t="n"/>
      <c r="S107" s="229" t="n"/>
    </row>
    <row r="108" ht="14.25" customHeight="1" s="281">
      <c r="J108" s="228" t="n"/>
      <c r="S108" s="229" t="n"/>
    </row>
    <row r="109" ht="14.25" customHeight="1" s="281">
      <c r="S109" s="229" t="n"/>
    </row>
    <row r="110" ht="14.25" customHeight="1" s="281">
      <c r="S110" s="229" t="n"/>
    </row>
    <row r="111" ht="14.25" customHeight="1" s="281">
      <c r="S111" s="229" t="n"/>
    </row>
    <row r="112" ht="14.25" customHeight="1" s="281">
      <c r="S112" s="229" t="n"/>
    </row>
    <row r="113" ht="14.25" customHeight="1" s="281">
      <c r="S113" s="229" t="n"/>
    </row>
    <row r="114" ht="14.25" customHeight="1" s="281">
      <c r="S114" s="229" t="n"/>
    </row>
    <row r="115" ht="14.25" customHeight="1" s="281">
      <c r="S115" s="229" t="n"/>
    </row>
    <row r="116" ht="14.25" customHeight="1" s="281">
      <c r="S116" s="229" t="n"/>
    </row>
    <row r="117" ht="14.25" customHeight="1" s="281">
      <c r="S117" s="229" t="n"/>
    </row>
    <row r="118" ht="14.25" customHeight="1" s="281">
      <c r="S118" s="229" t="n"/>
    </row>
    <row r="119" ht="14.25" customHeight="1" s="281">
      <c r="S119" s="229" t="n"/>
    </row>
    <row r="120" ht="14.25" customHeight="1" s="281">
      <c r="S120" s="229" t="n"/>
    </row>
    <row r="121" ht="14.25" customHeight="1" s="281">
      <c r="S121" s="229" t="n"/>
    </row>
    <row r="122" ht="14.25" customHeight="1" s="281">
      <c r="S122" s="229" t="n"/>
    </row>
    <row r="123" ht="14.25" customHeight="1" s="281">
      <c r="S123" s="229" t="n"/>
    </row>
    <row r="124" ht="14.25" customHeight="1" s="281">
      <c r="S124" s="229" t="n"/>
    </row>
    <row r="125" ht="14.25" customHeight="1" s="281">
      <c r="S125" s="229" t="n"/>
    </row>
    <row r="126" ht="14.25" customHeight="1" s="281">
      <c r="S126" s="229" t="n"/>
    </row>
    <row r="127" ht="14.25" customHeight="1" s="281">
      <c r="S127" s="229" t="n"/>
    </row>
    <row r="128" ht="14.25" customHeight="1" s="281">
      <c r="S128" s="229" t="n"/>
    </row>
    <row r="129" ht="14.25" customHeight="1" s="281">
      <c r="S129" s="229" t="n"/>
    </row>
    <row r="130" ht="14.25" customHeight="1" s="281">
      <c r="S130" s="229" t="n"/>
    </row>
    <row r="131" ht="14.25" customHeight="1" s="281">
      <c r="S131" s="229" t="n"/>
    </row>
    <row r="132" ht="14.25" customHeight="1" s="281">
      <c r="S132" s="229" t="n"/>
    </row>
    <row r="133" ht="14.25" customHeight="1" s="281">
      <c r="S133" s="229" t="n"/>
    </row>
    <row r="134" ht="14.25" customHeight="1" s="281">
      <c r="S134" s="229" t="n"/>
    </row>
    <row r="135" ht="14.25" customHeight="1" s="281">
      <c r="S135" s="229" t="n"/>
    </row>
    <row r="136" ht="14.25" customHeight="1" s="281">
      <c r="S136" s="229" t="n"/>
    </row>
    <row r="137" ht="14.25" customHeight="1" s="281">
      <c r="S137" s="229" t="n"/>
    </row>
    <row r="138" ht="14.25" customHeight="1" s="281">
      <c r="S138" s="229" t="n"/>
    </row>
    <row r="139" ht="14.25" customHeight="1" s="281">
      <c r="S139" s="229" t="n"/>
    </row>
    <row r="140" ht="14.25" customHeight="1" s="281">
      <c r="S140" s="229" t="n"/>
    </row>
    <row r="141" ht="14.25" customHeight="1" s="281">
      <c r="S141" s="229" t="n"/>
    </row>
    <row r="142" ht="14.25" customHeight="1" s="281">
      <c r="S142" s="229" t="n"/>
    </row>
    <row r="143" ht="14.25" customHeight="1" s="281">
      <c r="S143" s="229" t="n"/>
    </row>
    <row r="144" ht="14.25" customHeight="1" s="281">
      <c r="S144" s="229" t="n"/>
    </row>
    <row r="145" ht="14.25" customHeight="1" s="281">
      <c r="S145" s="229" t="n"/>
    </row>
    <row r="146" ht="14.25" customHeight="1" s="281">
      <c r="S146" s="229" t="n"/>
    </row>
    <row r="147" ht="14.25" customHeight="1" s="281">
      <c r="S147" s="229" t="n"/>
    </row>
    <row r="148" ht="14.25" customHeight="1" s="281">
      <c r="S148" s="229" t="n"/>
    </row>
    <row r="149" ht="14.25" customHeight="1" s="281">
      <c r="S149" s="229" t="n"/>
    </row>
    <row r="150" ht="14.25" customHeight="1" s="281">
      <c r="S150" s="229" t="n"/>
    </row>
    <row r="151" ht="14.25" customHeight="1" s="281">
      <c r="S151" s="229" t="n"/>
    </row>
    <row r="152" ht="14.25" customHeight="1" s="281">
      <c r="S152" s="229" t="n"/>
    </row>
    <row r="153" ht="14.25" customHeight="1" s="281">
      <c r="S153" s="229" t="n"/>
    </row>
    <row r="154" ht="14.25" customHeight="1" s="281">
      <c r="S154" s="229" t="n"/>
    </row>
    <row r="155" ht="14.25" customHeight="1" s="281">
      <c r="S155" s="229" t="n"/>
    </row>
    <row r="156" ht="14.25" customHeight="1" s="281">
      <c r="S156" s="229" t="n"/>
    </row>
    <row r="157" ht="14.25" customHeight="1" s="281">
      <c r="S157" s="229" t="n"/>
    </row>
    <row r="158" ht="14.25" customHeight="1" s="281">
      <c r="S158" s="229" t="n"/>
    </row>
    <row r="159" ht="14.25" customHeight="1" s="281">
      <c r="S159" s="229" t="n"/>
    </row>
    <row r="160" ht="14.25" customHeight="1" s="281">
      <c r="S160" s="229" t="n"/>
    </row>
    <row r="161" ht="14.25" customHeight="1" s="281">
      <c r="S161" s="229" t="n"/>
    </row>
    <row r="162" ht="14.25" customHeight="1" s="281">
      <c r="S162" s="229" t="n"/>
    </row>
    <row r="163" ht="14.25" customHeight="1" s="281">
      <c r="S163" s="229" t="n"/>
    </row>
    <row r="164" ht="14.25" customHeight="1" s="281">
      <c r="S164" s="229" t="n"/>
    </row>
    <row r="165" ht="14.25" customHeight="1" s="281">
      <c r="S165" s="229" t="n"/>
    </row>
    <row r="166" ht="14.25" customHeight="1" s="281">
      <c r="S166" s="229" t="n"/>
    </row>
    <row r="167" ht="14.25" customHeight="1" s="281">
      <c r="S167" s="229" t="n"/>
    </row>
    <row r="168" ht="14.25" customHeight="1" s="281">
      <c r="S168" s="229" t="n"/>
    </row>
    <row r="169" ht="14.25" customHeight="1" s="281">
      <c r="S169" s="229" t="n"/>
    </row>
    <row r="170" ht="14.25" customHeight="1" s="281">
      <c r="S170" s="229" t="n"/>
    </row>
    <row r="171" ht="14.25" customHeight="1" s="281">
      <c r="S171" s="229" t="n"/>
    </row>
    <row r="172" ht="14.25" customHeight="1" s="281">
      <c r="S172" s="229" t="n"/>
    </row>
    <row r="173" ht="14.25" customHeight="1" s="281">
      <c r="S173" s="229" t="n"/>
    </row>
    <row r="174" ht="14.25" customHeight="1" s="281">
      <c r="S174" s="229" t="n"/>
    </row>
    <row r="175" ht="14.25" customHeight="1" s="281">
      <c r="S175" s="229" t="n"/>
    </row>
    <row r="176" ht="14.25" customHeight="1" s="281">
      <c r="S176" s="229" t="n"/>
    </row>
    <row r="177" ht="14.25" customHeight="1" s="281">
      <c r="S177" s="229" t="n"/>
    </row>
    <row r="178" ht="14.25" customHeight="1" s="281">
      <c r="S178" s="229" t="n"/>
    </row>
    <row r="179" ht="14.25" customHeight="1" s="281">
      <c r="S179" s="229" t="n"/>
    </row>
    <row r="180" ht="14.25" customHeight="1" s="281">
      <c r="S180" s="229" t="n"/>
    </row>
    <row r="181" ht="14.25" customHeight="1" s="281">
      <c r="S181" s="229" t="n"/>
    </row>
    <row r="182" ht="14.25" customHeight="1" s="281">
      <c r="S182" s="229" t="n"/>
    </row>
    <row r="183" ht="14.25" customHeight="1" s="281">
      <c r="S183" s="229" t="n"/>
    </row>
    <row r="184" ht="14.25" customHeight="1" s="281">
      <c r="S184" s="229" t="n"/>
    </row>
    <row r="185" ht="14.25" customHeight="1" s="281">
      <c r="S185" s="229" t="n"/>
    </row>
    <row r="186" ht="14.25" customHeight="1" s="281">
      <c r="S186" s="229" t="n"/>
    </row>
    <row r="187" ht="14.25" customHeight="1" s="281">
      <c r="S187" s="229" t="n"/>
    </row>
    <row r="188" ht="14.25" customHeight="1" s="281">
      <c r="S188" s="229" t="n"/>
    </row>
    <row r="189" ht="14.25" customHeight="1" s="281">
      <c r="S189" s="229" t="n"/>
    </row>
    <row r="190" ht="14.25" customHeight="1" s="281">
      <c r="S190" s="229" t="n"/>
    </row>
    <row r="191" ht="14.25" customHeight="1" s="281">
      <c r="S191" s="229" t="n"/>
    </row>
    <row r="192" ht="14.25" customHeight="1" s="281">
      <c r="S192" s="229" t="n"/>
    </row>
    <row r="193" ht="14.25" customHeight="1" s="281">
      <c r="S193" s="229" t="n"/>
    </row>
    <row r="194" ht="14.25" customHeight="1" s="281">
      <c r="S194" s="229" t="n"/>
    </row>
    <row r="195" ht="14.25" customHeight="1" s="281">
      <c r="S195" s="229" t="n"/>
    </row>
    <row r="196" ht="14.25" customHeight="1" s="281">
      <c r="S196" s="229" t="n"/>
    </row>
    <row r="197" ht="14.25" customHeight="1" s="281">
      <c r="S197" s="229" t="n"/>
    </row>
    <row r="198" ht="14.25" customHeight="1" s="281">
      <c r="S198" s="229" t="n"/>
    </row>
    <row r="199" ht="14.25" customHeight="1" s="281">
      <c r="S199" s="229" t="n"/>
    </row>
    <row r="200" ht="14.25" customHeight="1" s="281">
      <c r="S200" s="229" t="n"/>
    </row>
    <row r="201" ht="14.25" customHeight="1" s="281">
      <c r="S201" s="229" t="n"/>
    </row>
    <row r="202" ht="14.25" customHeight="1" s="281">
      <c r="S202" s="229" t="n"/>
    </row>
    <row r="203" ht="14.25" customHeight="1" s="281">
      <c r="S203" s="229" t="n"/>
    </row>
    <row r="204" ht="14.25" customHeight="1" s="281">
      <c r="S204" s="229" t="n"/>
    </row>
    <row r="205" ht="14.25" customHeight="1" s="281">
      <c r="S205" s="229" t="n"/>
    </row>
    <row r="206" ht="14.25" customHeight="1" s="281">
      <c r="S206" s="229" t="n"/>
    </row>
    <row r="207" ht="14.25" customHeight="1" s="281">
      <c r="S207" s="229" t="n"/>
    </row>
    <row r="208" ht="14.25" customHeight="1" s="281">
      <c r="S208" s="229" t="n"/>
    </row>
    <row r="209" ht="14.25" customHeight="1" s="281">
      <c r="S209" s="229" t="n"/>
    </row>
    <row r="210" ht="14.25" customHeight="1" s="281">
      <c r="S210" s="229" t="n"/>
    </row>
    <row r="211" ht="14.25" customHeight="1" s="281">
      <c r="S211" s="229" t="n"/>
    </row>
    <row r="212" ht="14.25" customHeight="1" s="281">
      <c r="S212" s="229" t="n"/>
    </row>
    <row r="213" ht="14.25" customHeight="1" s="281">
      <c r="S213" s="229" t="n"/>
    </row>
    <row r="214" ht="14.25" customHeight="1" s="281">
      <c r="S214" s="229" t="n"/>
    </row>
    <row r="215" ht="14.25" customHeight="1" s="281">
      <c r="S215" s="229" t="n"/>
    </row>
    <row r="216" ht="14.25" customHeight="1" s="281">
      <c r="S216" s="229" t="n"/>
    </row>
    <row r="217" ht="14.25" customHeight="1" s="281">
      <c r="S217" s="229" t="n"/>
    </row>
    <row r="218" ht="14.25" customHeight="1" s="281">
      <c r="S218" s="229" t="n"/>
    </row>
    <row r="219" ht="14.25" customHeight="1" s="281">
      <c r="S219" s="229" t="n"/>
    </row>
    <row r="220" ht="14.25" customHeight="1" s="281">
      <c r="S220" s="229" t="n"/>
    </row>
    <row r="221" ht="14.25" customHeight="1" s="281">
      <c r="S221" s="229" t="n"/>
    </row>
    <row r="222" ht="14.25" customHeight="1" s="281">
      <c r="S222" s="229" t="n"/>
    </row>
    <row r="223" ht="14.25" customHeight="1" s="281">
      <c r="S223" s="229" t="n"/>
    </row>
    <row r="224" ht="14.25" customHeight="1" s="281">
      <c r="S224" s="229" t="n"/>
    </row>
    <row r="225" ht="14.25" customHeight="1" s="281">
      <c r="S225" s="229" t="n"/>
    </row>
    <row r="226" ht="14.25" customHeight="1" s="281">
      <c r="S226" s="229" t="n"/>
    </row>
    <row r="227" ht="14.25" customHeight="1" s="281">
      <c r="S227" s="229" t="n"/>
    </row>
    <row r="228" ht="14.25" customHeight="1" s="281">
      <c r="S228" s="229" t="n"/>
    </row>
    <row r="229" ht="14.25" customHeight="1" s="281">
      <c r="S229" s="229" t="n"/>
    </row>
    <row r="230" ht="14.25" customHeight="1" s="281">
      <c r="S230" s="229" t="n"/>
    </row>
    <row r="231" ht="14.25" customHeight="1" s="281">
      <c r="S231" s="229" t="n"/>
    </row>
    <row r="232" ht="14.25" customHeight="1" s="281">
      <c r="S232" s="229" t="n"/>
    </row>
    <row r="233" ht="14.25" customHeight="1" s="281">
      <c r="S233" s="229" t="n"/>
    </row>
    <row r="234" ht="14.25" customHeight="1" s="281">
      <c r="S234" s="229" t="n"/>
    </row>
    <row r="235" ht="14.25" customHeight="1" s="281">
      <c r="S235" s="229" t="n"/>
    </row>
    <row r="236" ht="14.25" customHeight="1" s="281">
      <c r="S236" s="229" t="n"/>
    </row>
    <row r="237" ht="14.25" customHeight="1" s="281">
      <c r="S237" s="229" t="n"/>
    </row>
    <row r="238" ht="14.25" customHeight="1" s="281">
      <c r="S238" s="229" t="n"/>
    </row>
    <row r="239" ht="14.25" customHeight="1" s="281">
      <c r="S239" s="229" t="n"/>
    </row>
    <row r="240" ht="14.25" customHeight="1" s="281">
      <c r="S240" s="229" t="n"/>
    </row>
    <row r="241" ht="14.25" customHeight="1" s="281">
      <c r="S241" s="229" t="n"/>
    </row>
    <row r="242" ht="14.25" customHeight="1" s="281">
      <c r="S242" s="229" t="n"/>
    </row>
    <row r="243" ht="14.25" customHeight="1" s="281">
      <c r="S243" s="229" t="n"/>
    </row>
    <row r="244" ht="14.25" customHeight="1" s="281">
      <c r="S244" s="229" t="n"/>
    </row>
    <row r="245" ht="14.25" customHeight="1" s="281">
      <c r="S245" s="229" t="n"/>
    </row>
    <row r="246" ht="14.25" customHeight="1" s="281">
      <c r="S246" s="229" t="n"/>
    </row>
    <row r="247" ht="14.25" customHeight="1" s="281">
      <c r="S247" s="229" t="n"/>
    </row>
    <row r="248" ht="14.25" customHeight="1" s="281">
      <c r="S248" s="229" t="n"/>
    </row>
    <row r="249" ht="14.25" customHeight="1" s="281">
      <c r="S249" s="229" t="n"/>
    </row>
    <row r="250" ht="14.25" customHeight="1" s="281">
      <c r="S250" s="229" t="n"/>
    </row>
    <row r="251" ht="14.25" customHeight="1" s="281">
      <c r="S251" s="229" t="n"/>
    </row>
    <row r="252" ht="14.25" customHeight="1" s="281">
      <c r="S252" s="229" t="n"/>
    </row>
    <row r="253" ht="14.25" customHeight="1" s="281">
      <c r="S253" s="229" t="n"/>
    </row>
    <row r="254" ht="14.25" customHeight="1" s="281">
      <c r="S254" s="229" t="n"/>
    </row>
    <row r="255" ht="14.25" customHeight="1" s="281">
      <c r="S255" s="229" t="n"/>
    </row>
    <row r="256" ht="14.25" customHeight="1" s="281">
      <c r="S256" s="229" t="n"/>
    </row>
    <row r="257" ht="14.25" customHeight="1" s="281">
      <c r="S257" s="229" t="n"/>
    </row>
    <row r="258" ht="14.25" customHeight="1" s="281">
      <c r="S258" s="229" t="n"/>
    </row>
    <row r="259" ht="14.25" customHeight="1" s="281">
      <c r="S259" s="229" t="n"/>
    </row>
    <row r="260" ht="14.25" customHeight="1" s="281">
      <c r="S260" s="229" t="n"/>
    </row>
    <row r="261" ht="14.25" customHeight="1" s="281">
      <c r="S261" s="229" t="n"/>
    </row>
    <row r="262" ht="14.25" customHeight="1" s="281">
      <c r="S262" s="229" t="n"/>
    </row>
    <row r="263" ht="14.25" customHeight="1" s="281">
      <c r="S263" s="229" t="n"/>
    </row>
    <row r="264" ht="14.25" customHeight="1" s="281">
      <c r="S264" s="229" t="n"/>
    </row>
    <row r="265" ht="14.25" customHeight="1" s="281">
      <c r="S265" s="229" t="n"/>
    </row>
    <row r="266" ht="14.25" customHeight="1" s="281">
      <c r="S266" s="229" t="n"/>
    </row>
    <row r="267" ht="14.25" customHeight="1" s="281">
      <c r="S267" s="229" t="n"/>
    </row>
    <row r="268" ht="14.25" customHeight="1" s="281">
      <c r="S268" s="229" t="n"/>
    </row>
    <row r="269" ht="14.25" customHeight="1" s="281">
      <c r="S269" s="229" t="n"/>
    </row>
    <row r="270" ht="14.25" customHeight="1" s="281">
      <c r="S270" s="229" t="n"/>
    </row>
    <row r="271" ht="14.25" customHeight="1" s="281">
      <c r="S271" s="229" t="n"/>
    </row>
    <row r="272" ht="14.25" customHeight="1" s="281">
      <c r="S272" s="229" t="n"/>
    </row>
    <row r="273" ht="14.25" customHeight="1" s="281">
      <c r="S273" s="229" t="n"/>
    </row>
    <row r="274" ht="14.25" customHeight="1" s="281">
      <c r="S274" s="229" t="n"/>
    </row>
    <row r="275" ht="14.25" customHeight="1" s="281">
      <c r="S275" s="229" t="n"/>
    </row>
    <row r="276" ht="14.25" customHeight="1" s="281">
      <c r="S276" s="229" t="n"/>
    </row>
    <row r="277" ht="14.25" customHeight="1" s="281">
      <c r="S277" s="229" t="n"/>
    </row>
    <row r="278" ht="14.25" customHeight="1" s="281">
      <c r="S278" s="229" t="n"/>
    </row>
    <row r="279" ht="14.25" customHeight="1" s="281">
      <c r="S279" s="229" t="n"/>
    </row>
    <row r="280" ht="14.25" customHeight="1" s="281">
      <c r="S280" s="229" t="n"/>
    </row>
    <row r="281" ht="14.25" customHeight="1" s="281">
      <c r="S281" s="229" t="n"/>
    </row>
    <row r="282" ht="14.25" customHeight="1" s="281">
      <c r="S282" s="229" t="n"/>
    </row>
    <row r="283" ht="14.25" customHeight="1" s="281">
      <c r="S283" s="229" t="n"/>
    </row>
    <row r="284" ht="14.25" customHeight="1" s="281">
      <c r="S284" s="229" t="n"/>
    </row>
    <row r="285" ht="14.25" customHeight="1" s="281">
      <c r="S285" s="229" t="n"/>
    </row>
    <row r="286" ht="14.25" customHeight="1" s="281">
      <c r="S286" s="229" t="n"/>
    </row>
    <row r="287" ht="14.25" customHeight="1" s="281">
      <c r="S287" s="229" t="n"/>
    </row>
    <row r="288" ht="14.25" customHeight="1" s="281">
      <c r="S288" s="229" t="n"/>
    </row>
    <row r="289" ht="14.25" customHeight="1" s="281">
      <c r="S289" s="229" t="n"/>
    </row>
    <row r="290" ht="14.25" customHeight="1" s="281">
      <c r="S290" s="229" t="n"/>
    </row>
    <row r="291" ht="14.25" customHeight="1" s="281">
      <c r="S291" s="229" t="n"/>
    </row>
    <row r="292" ht="14.25" customHeight="1" s="281">
      <c r="S292" s="229" t="n"/>
    </row>
    <row r="293" ht="14.25" customHeight="1" s="281">
      <c r="S293" s="229" t="n"/>
    </row>
    <row r="294" ht="14.25" customHeight="1" s="281">
      <c r="S294" s="229" t="n"/>
    </row>
    <row r="295" ht="14.25" customHeight="1" s="281">
      <c r="S295" s="229" t="n"/>
    </row>
    <row r="296" ht="14.25" customHeight="1" s="281">
      <c r="S296" s="229" t="n"/>
    </row>
    <row r="297" ht="14.25" customHeight="1" s="281">
      <c r="S297" s="229" t="n"/>
    </row>
    <row r="298" ht="14.25" customHeight="1" s="281">
      <c r="S298" s="229" t="n"/>
    </row>
    <row r="299" ht="14.25" customHeight="1" s="281">
      <c r="S299" s="229" t="n"/>
    </row>
    <row r="300" ht="14.25" customHeight="1" s="281">
      <c r="S300" s="229" t="n"/>
    </row>
    <row r="301" ht="14.25" customHeight="1" s="281">
      <c r="S301" s="229" t="n"/>
    </row>
    <row r="302" ht="14.25" customHeight="1" s="281">
      <c r="S302" s="229" t="n"/>
    </row>
    <row r="303" ht="14.25" customHeight="1" s="281">
      <c r="S303" s="229" t="n"/>
    </row>
    <row r="304" ht="14.25" customHeight="1" s="281">
      <c r="S304" s="229" t="n"/>
    </row>
    <row r="305" ht="14.25" customHeight="1" s="281">
      <c r="S305" s="229" t="n"/>
    </row>
    <row r="306" ht="14.25" customHeight="1" s="281">
      <c r="S306" s="229" t="n"/>
    </row>
    <row r="307" ht="14.25" customHeight="1" s="281">
      <c r="S307" s="229" t="n"/>
    </row>
    <row r="308" ht="14.25" customHeight="1" s="281">
      <c r="S308" s="229" t="n"/>
    </row>
    <row r="309" ht="14.25" customHeight="1" s="281">
      <c r="S309" s="229" t="n"/>
    </row>
    <row r="310" ht="14.25" customHeight="1" s="281">
      <c r="S310" s="229" t="n"/>
    </row>
    <row r="311" ht="14.25" customHeight="1" s="281">
      <c r="S311" s="229" t="n"/>
    </row>
    <row r="312" ht="14.25" customHeight="1" s="281">
      <c r="S312" s="229" t="n"/>
    </row>
    <row r="313" ht="14.25" customHeight="1" s="281">
      <c r="S313" s="229" t="n"/>
    </row>
    <row r="314" ht="14.25" customHeight="1" s="281">
      <c r="S314" s="229" t="n"/>
    </row>
    <row r="315" ht="14.25" customHeight="1" s="281">
      <c r="S315" s="229" t="n"/>
    </row>
    <row r="316" ht="14.25" customHeight="1" s="281">
      <c r="S316" s="229" t="n"/>
    </row>
    <row r="317" ht="14.25" customHeight="1" s="281">
      <c r="S317" s="229" t="n"/>
    </row>
    <row r="318" ht="14.25" customHeight="1" s="281">
      <c r="S318" s="229" t="n"/>
    </row>
    <row r="319" ht="14.25" customHeight="1" s="281">
      <c r="S319" s="229" t="n"/>
    </row>
    <row r="320" ht="14.25" customHeight="1" s="281">
      <c r="S320" s="229" t="n"/>
    </row>
    <row r="321" ht="14.25" customHeight="1" s="281">
      <c r="S321" s="229" t="n"/>
    </row>
    <row r="322" ht="14.25" customHeight="1" s="281">
      <c r="S322" s="229" t="n"/>
    </row>
    <row r="323" ht="14.25" customHeight="1" s="281">
      <c r="S323" s="229" t="n"/>
    </row>
    <row r="324" ht="14.25" customHeight="1" s="281">
      <c r="S324" s="229" t="n"/>
    </row>
    <row r="325" ht="14.25" customHeight="1" s="281">
      <c r="S325" s="229" t="n"/>
    </row>
    <row r="326" ht="14.25" customHeight="1" s="281">
      <c r="S326" s="229" t="n"/>
    </row>
    <row r="327" ht="14.25" customHeight="1" s="281">
      <c r="S327" s="229" t="n"/>
    </row>
    <row r="328" ht="14.25" customHeight="1" s="281">
      <c r="S328" s="229" t="n"/>
    </row>
    <row r="329" ht="14.25" customHeight="1" s="281">
      <c r="S329" s="229" t="n"/>
    </row>
    <row r="330" ht="14.25" customHeight="1" s="281">
      <c r="S330" s="229" t="n"/>
    </row>
    <row r="331" ht="14.25" customHeight="1" s="281">
      <c r="S331" s="229" t="n"/>
    </row>
    <row r="332" ht="14.25" customHeight="1" s="281">
      <c r="S332" s="229" t="n"/>
    </row>
    <row r="333" ht="14.25" customHeight="1" s="281">
      <c r="S333" s="229" t="n"/>
    </row>
    <row r="334" ht="14.25" customHeight="1" s="281">
      <c r="S334" s="229" t="n"/>
    </row>
    <row r="335" ht="14.25" customHeight="1" s="281">
      <c r="S335" s="229" t="n"/>
    </row>
    <row r="336" ht="14.25" customHeight="1" s="281">
      <c r="S336" s="229" t="n"/>
    </row>
    <row r="337" ht="14.25" customHeight="1" s="281">
      <c r="S337" s="229" t="n"/>
    </row>
    <row r="338" ht="14.25" customHeight="1" s="281">
      <c r="S338" s="229" t="n"/>
    </row>
    <row r="339" ht="14.25" customHeight="1" s="281">
      <c r="S339" s="229" t="n"/>
    </row>
    <row r="340" ht="14.25" customHeight="1" s="281">
      <c r="S340" s="229" t="n"/>
    </row>
    <row r="341" ht="14.25" customHeight="1" s="281">
      <c r="S341" s="229" t="n"/>
    </row>
    <row r="342" ht="14.25" customHeight="1" s="281">
      <c r="S342" s="229" t="n"/>
    </row>
    <row r="343" ht="14.25" customHeight="1" s="281">
      <c r="S343" s="229" t="n"/>
    </row>
    <row r="344" ht="14.25" customHeight="1" s="281">
      <c r="S344" s="229" t="n"/>
    </row>
    <row r="345" ht="14.25" customHeight="1" s="281">
      <c r="S345" s="229" t="n"/>
    </row>
    <row r="346" ht="14.25" customHeight="1" s="281">
      <c r="S346" s="229" t="n"/>
    </row>
    <row r="347" ht="14.25" customHeight="1" s="281">
      <c r="S347" s="229" t="n"/>
    </row>
    <row r="348" ht="14.25" customHeight="1" s="281">
      <c r="S348" s="229" t="n"/>
    </row>
    <row r="349" ht="14.25" customHeight="1" s="281">
      <c r="S349" s="229" t="n"/>
    </row>
    <row r="350" ht="14.25" customHeight="1" s="281">
      <c r="S350" s="229" t="n"/>
    </row>
    <row r="351" ht="14.25" customHeight="1" s="281">
      <c r="S351" s="229" t="n"/>
    </row>
    <row r="352" ht="14.25" customHeight="1" s="281">
      <c r="S352" s="229" t="n"/>
    </row>
    <row r="353" ht="14.25" customHeight="1" s="281">
      <c r="S353" s="229" t="n"/>
    </row>
    <row r="354" ht="14.25" customHeight="1" s="281">
      <c r="S354" s="229" t="n"/>
    </row>
    <row r="355" ht="14.25" customHeight="1" s="281">
      <c r="S355" s="229" t="n"/>
    </row>
    <row r="356" ht="14.25" customHeight="1" s="281">
      <c r="S356" s="229" t="n"/>
    </row>
    <row r="357" ht="14.25" customHeight="1" s="281">
      <c r="S357" s="229" t="n"/>
    </row>
    <row r="358" ht="14.25" customHeight="1" s="281">
      <c r="S358" s="229" t="n"/>
    </row>
    <row r="359" ht="14.25" customHeight="1" s="281">
      <c r="S359" s="229" t="n"/>
    </row>
    <row r="360" ht="14.25" customHeight="1" s="281">
      <c r="S360" s="229" t="n"/>
    </row>
    <row r="361" ht="14.25" customHeight="1" s="281">
      <c r="S361" s="229" t="n"/>
    </row>
    <row r="362" ht="14.25" customHeight="1" s="281">
      <c r="S362" s="229" t="n"/>
    </row>
    <row r="363" ht="14.25" customHeight="1" s="281">
      <c r="S363" s="229" t="n"/>
    </row>
    <row r="364" ht="14.25" customHeight="1" s="281">
      <c r="S364" s="229" t="n"/>
    </row>
    <row r="365" ht="14.25" customHeight="1" s="281">
      <c r="S365" s="229" t="n"/>
    </row>
    <row r="366" ht="14.25" customHeight="1" s="281">
      <c r="S366" s="229" t="n"/>
    </row>
    <row r="367" ht="14.25" customHeight="1" s="281">
      <c r="S367" s="229" t="n"/>
    </row>
    <row r="368" ht="14.25" customHeight="1" s="281">
      <c r="S368" s="229" t="n"/>
    </row>
    <row r="369" ht="14.25" customHeight="1" s="281">
      <c r="S369" s="229" t="n"/>
    </row>
    <row r="370" ht="14.25" customHeight="1" s="281">
      <c r="S370" s="229" t="n"/>
    </row>
    <row r="371" ht="14.25" customHeight="1" s="281">
      <c r="S371" s="229" t="n"/>
    </row>
    <row r="372" ht="14.25" customHeight="1" s="281">
      <c r="S372" s="229" t="n"/>
    </row>
    <row r="373" ht="14.25" customHeight="1" s="281">
      <c r="S373" s="229" t="n"/>
    </row>
    <row r="374" ht="14.25" customHeight="1" s="281">
      <c r="S374" s="229" t="n"/>
    </row>
    <row r="375" ht="14.25" customHeight="1" s="281">
      <c r="S375" s="229" t="n"/>
    </row>
    <row r="376" ht="14.25" customHeight="1" s="281">
      <c r="S376" s="229" t="n"/>
    </row>
    <row r="377" ht="14.25" customHeight="1" s="281">
      <c r="S377" s="229" t="n"/>
    </row>
    <row r="378" ht="14.25" customHeight="1" s="281">
      <c r="S378" s="229" t="n"/>
    </row>
    <row r="379" ht="14.25" customHeight="1" s="281">
      <c r="S379" s="229" t="n"/>
    </row>
    <row r="380" ht="14.25" customHeight="1" s="281">
      <c r="S380" s="229" t="n"/>
    </row>
    <row r="381" ht="14.25" customHeight="1" s="281">
      <c r="S381" s="229" t="n"/>
    </row>
    <row r="382" ht="14.25" customHeight="1" s="281">
      <c r="S382" s="229" t="n"/>
    </row>
    <row r="383" ht="14.25" customHeight="1" s="281">
      <c r="S383" s="229" t="n"/>
    </row>
    <row r="384" ht="14.25" customHeight="1" s="281">
      <c r="S384" s="229" t="n"/>
    </row>
    <row r="385" ht="14.25" customHeight="1" s="281">
      <c r="S385" s="229" t="n"/>
    </row>
    <row r="386" ht="14.25" customHeight="1" s="281">
      <c r="S386" s="229" t="n"/>
    </row>
    <row r="387" ht="14.25" customHeight="1" s="281">
      <c r="S387" s="229" t="n"/>
    </row>
    <row r="388" ht="14.25" customHeight="1" s="281">
      <c r="S388" s="229" t="n"/>
    </row>
    <row r="389" ht="14.25" customHeight="1" s="281">
      <c r="S389" s="229" t="n"/>
    </row>
    <row r="390" ht="14.25" customHeight="1" s="281">
      <c r="S390" s="229" t="n"/>
    </row>
    <row r="391" ht="14.25" customHeight="1" s="281">
      <c r="S391" s="229" t="n"/>
    </row>
    <row r="392" ht="14.25" customHeight="1" s="281">
      <c r="S392" s="229" t="n"/>
    </row>
    <row r="393" ht="14.25" customHeight="1" s="281">
      <c r="S393" s="229" t="n"/>
    </row>
    <row r="394" ht="14.25" customHeight="1" s="281">
      <c r="S394" s="229" t="n"/>
    </row>
    <row r="395" ht="14.25" customHeight="1" s="281">
      <c r="S395" s="229" t="n"/>
    </row>
    <row r="396" ht="14.25" customHeight="1" s="281">
      <c r="S396" s="229" t="n"/>
    </row>
    <row r="397" ht="14.25" customHeight="1" s="281">
      <c r="S397" s="229" t="n"/>
    </row>
    <row r="398" ht="14.25" customHeight="1" s="281">
      <c r="S398" s="229" t="n"/>
    </row>
    <row r="399" ht="14.25" customHeight="1" s="281">
      <c r="S399" s="229" t="n"/>
    </row>
    <row r="400" ht="14.25" customHeight="1" s="281">
      <c r="S400" s="229" t="n"/>
    </row>
    <row r="401" ht="14.25" customHeight="1" s="281">
      <c r="S401" s="229" t="n"/>
    </row>
    <row r="402" ht="14.25" customHeight="1" s="281">
      <c r="S402" s="229" t="n"/>
    </row>
    <row r="403" ht="14.25" customHeight="1" s="281">
      <c r="S403" s="229" t="n"/>
    </row>
    <row r="404" ht="14.25" customHeight="1" s="281">
      <c r="S404" s="229" t="n"/>
    </row>
    <row r="405" ht="14.25" customHeight="1" s="281">
      <c r="S405" s="229" t="n"/>
    </row>
    <row r="406" ht="14.25" customHeight="1" s="281">
      <c r="S406" s="229" t="n"/>
    </row>
    <row r="407" ht="14.25" customHeight="1" s="281">
      <c r="S407" s="229" t="n"/>
    </row>
    <row r="408" ht="14.25" customHeight="1" s="281">
      <c r="S408" s="229" t="n"/>
    </row>
    <row r="409" ht="14.25" customHeight="1" s="281">
      <c r="S409" s="229" t="n"/>
    </row>
    <row r="410" ht="14.25" customHeight="1" s="281">
      <c r="S410" s="229" t="n"/>
    </row>
    <row r="411" ht="14.25" customHeight="1" s="281">
      <c r="S411" s="229" t="n"/>
    </row>
    <row r="412" ht="14.25" customHeight="1" s="281">
      <c r="S412" s="229" t="n"/>
    </row>
    <row r="413" ht="14.25" customHeight="1" s="281">
      <c r="S413" s="229" t="n"/>
    </row>
    <row r="414" ht="14.25" customHeight="1" s="281">
      <c r="S414" s="229" t="n"/>
    </row>
    <row r="415" ht="14.25" customHeight="1" s="281">
      <c r="S415" s="229" t="n"/>
    </row>
    <row r="416" ht="14.25" customHeight="1" s="281">
      <c r="S416" s="229" t="n"/>
    </row>
    <row r="417" ht="14.25" customHeight="1" s="281">
      <c r="S417" s="229" t="n"/>
    </row>
    <row r="418" ht="14.25" customHeight="1" s="281">
      <c r="S418" s="229" t="n"/>
    </row>
    <row r="419" ht="14.25" customHeight="1" s="281">
      <c r="S419" s="229" t="n"/>
    </row>
    <row r="420" ht="14.25" customHeight="1" s="281">
      <c r="S420" s="229" t="n"/>
    </row>
    <row r="421" ht="14.25" customHeight="1" s="281">
      <c r="S421" s="229" t="n"/>
    </row>
    <row r="422" ht="14.25" customHeight="1" s="281">
      <c r="S422" s="229" t="n"/>
    </row>
    <row r="423" ht="14.25" customHeight="1" s="281">
      <c r="S423" s="229" t="n"/>
    </row>
    <row r="424" ht="14.25" customHeight="1" s="281">
      <c r="S424" s="229" t="n"/>
    </row>
    <row r="425" ht="14.25" customHeight="1" s="281">
      <c r="S425" s="229" t="n"/>
    </row>
    <row r="426" ht="14.25" customHeight="1" s="281">
      <c r="S426" s="229" t="n"/>
    </row>
    <row r="427" ht="14.25" customHeight="1" s="281">
      <c r="S427" s="229" t="n"/>
    </row>
    <row r="428" ht="14.25" customHeight="1" s="281">
      <c r="S428" s="229" t="n"/>
    </row>
    <row r="429" ht="14.25" customHeight="1" s="281">
      <c r="S429" s="229" t="n"/>
    </row>
    <row r="430" ht="14.25" customHeight="1" s="281">
      <c r="S430" s="229" t="n"/>
    </row>
    <row r="431" ht="14.25" customHeight="1" s="281">
      <c r="S431" s="229" t="n"/>
    </row>
    <row r="432" ht="14.25" customHeight="1" s="281">
      <c r="S432" s="229" t="n"/>
    </row>
    <row r="433" ht="14.25" customHeight="1" s="281">
      <c r="S433" s="229" t="n"/>
    </row>
    <row r="434" ht="14.25" customHeight="1" s="281">
      <c r="S434" s="229" t="n"/>
    </row>
    <row r="435" ht="14.25" customHeight="1" s="281">
      <c r="S435" s="229" t="n"/>
    </row>
    <row r="436" ht="14.25" customHeight="1" s="281">
      <c r="S436" s="229" t="n"/>
    </row>
    <row r="437" ht="14.25" customHeight="1" s="281">
      <c r="S437" s="229" t="n"/>
    </row>
    <row r="438" ht="14.25" customHeight="1" s="281">
      <c r="S438" s="229" t="n"/>
    </row>
    <row r="439" ht="14.25" customHeight="1" s="281">
      <c r="S439" s="229" t="n"/>
    </row>
    <row r="440" ht="14.25" customHeight="1" s="281">
      <c r="S440" s="229" t="n"/>
    </row>
    <row r="441" ht="14.25" customHeight="1" s="281">
      <c r="S441" s="229" t="n"/>
    </row>
    <row r="442" ht="14.25" customHeight="1" s="281">
      <c r="S442" s="229" t="n"/>
    </row>
    <row r="443" ht="14.25" customHeight="1" s="281">
      <c r="S443" s="229" t="n"/>
    </row>
    <row r="444" ht="14.25" customHeight="1" s="281">
      <c r="S444" s="229" t="n"/>
    </row>
    <row r="445" ht="14.25" customHeight="1" s="281">
      <c r="S445" s="229" t="n"/>
    </row>
    <row r="446" ht="14.25" customHeight="1" s="281">
      <c r="S446" s="229" t="n"/>
    </row>
    <row r="447" ht="14.25" customHeight="1" s="281">
      <c r="S447" s="229" t="n"/>
    </row>
    <row r="448" ht="14.25" customHeight="1" s="281">
      <c r="S448" s="229" t="n"/>
    </row>
    <row r="449" ht="14.25" customHeight="1" s="281">
      <c r="S449" s="229" t="n"/>
    </row>
    <row r="450" ht="14.25" customHeight="1" s="281">
      <c r="S450" s="229" t="n"/>
    </row>
    <row r="451" ht="14.25" customHeight="1" s="281">
      <c r="S451" s="229" t="n"/>
    </row>
    <row r="452" ht="14.25" customHeight="1" s="281">
      <c r="S452" s="229" t="n"/>
    </row>
    <row r="453" ht="14.25" customHeight="1" s="281">
      <c r="S453" s="229" t="n"/>
    </row>
    <row r="454" ht="14.25" customHeight="1" s="281">
      <c r="S454" s="229" t="n"/>
    </row>
    <row r="455" ht="14.25" customHeight="1" s="281">
      <c r="S455" s="229" t="n"/>
    </row>
    <row r="456" ht="14.25" customHeight="1" s="281">
      <c r="S456" s="229" t="n"/>
    </row>
    <row r="457" ht="14.25" customHeight="1" s="281">
      <c r="S457" s="229" t="n"/>
    </row>
    <row r="458" ht="14.25" customHeight="1" s="281">
      <c r="S458" s="229" t="n"/>
    </row>
    <row r="459" ht="14.25" customHeight="1" s="281">
      <c r="S459" s="229" t="n"/>
    </row>
    <row r="460" ht="14.25" customHeight="1" s="281">
      <c r="S460" s="229" t="n"/>
    </row>
    <row r="461" ht="14.25" customHeight="1" s="281">
      <c r="S461" s="229" t="n"/>
    </row>
    <row r="462" ht="14.25" customHeight="1" s="281">
      <c r="S462" s="229" t="n"/>
    </row>
    <row r="463" ht="14.25" customHeight="1" s="281">
      <c r="S463" s="229" t="n"/>
    </row>
    <row r="464" ht="14.25" customHeight="1" s="281">
      <c r="S464" s="229" t="n"/>
    </row>
    <row r="465" ht="14.25" customHeight="1" s="281">
      <c r="S465" s="229" t="n"/>
    </row>
    <row r="466" ht="14.25" customHeight="1" s="281">
      <c r="S466" s="229" t="n"/>
    </row>
    <row r="467" ht="14.25" customHeight="1" s="281">
      <c r="S467" s="229" t="n"/>
    </row>
    <row r="468" ht="14.25" customHeight="1" s="281">
      <c r="S468" s="229" t="n"/>
    </row>
    <row r="469" ht="14.25" customHeight="1" s="281">
      <c r="S469" s="229" t="n"/>
    </row>
    <row r="470" ht="14.25" customHeight="1" s="281">
      <c r="S470" s="229" t="n"/>
    </row>
    <row r="471" ht="14.25" customHeight="1" s="281">
      <c r="S471" s="229" t="n"/>
    </row>
    <row r="472" ht="14.25" customHeight="1" s="281">
      <c r="S472" s="229" t="n"/>
    </row>
    <row r="473" ht="14.25" customHeight="1" s="281">
      <c r="S473" s="229" t="n"/>
    </row>
    <row r="474" ht="14.25" customHeight="1" s="281">
      <c r="S474" s="229" t="n"/>
    </row>
    <row r="475" ht="14.25" customHeight="1" s="281">
      <c r="S475" s="229" t="n"/>
    </row>
    <row r="476" ht="14.25" customHeight="1" s="281">
      <c r="S476" s="229" t="n"/>
    </row>
    <row r="477" ht="14.25" customHeight="1" s="281">
      <c r="S477" s="229" t="n"/>
    </row>
    <row r="478" ht="14.25" customHeight="1" s="281">
      <c r="S478" s="229" t="n"/>
    </row>
    <row r="479" ht="14.25" customHeight="1" s="281">
      <c r="S479" s="229" t="n"/>
    </row>
    <row r="480" ht="14.25" customHeight="1" s="281">
      <c r="S480" s="229" t="n"/>
    </row>
    <row r="481" ht="14.25" customHeight="1" s="281">
      <c r="S481" s="229" t="n"/>
    </row>
    <row r="482" ht="14.25" customHeight="1" s="281">
      <c r="S482" s="229" t="n"/>
    </row>
    <row r="483" ht="14.25" customHeight="1" s="281">
      <c r="S483" s="229" t="n"/>
    </row>
    <row r="484" ht="14.25" customHeight="1" s="281">
      <c r="S484" s="229" t="n"/>
    </row>
    <row r="485" ht="14.25" customHeight="1" s="281">
      <c r="S485" s="229" t="n"/>
    </row>
    <row r="486" ht="14.25" customHeight="1" s="281">
      <c r="S486" s="229" t="n"/>
    </row>
    <row r="487" ht="14.25" customHeight="1" s="281">
      <c r="S487" s="229" t="n"/>
    </row>
    <row r="488" ht="14.25" customHeight="1" s="281">
      <c r="S488" s="229" t="n"/>
    </row>
    <row r="489" ht="14.25" customHeight="1" s="281">
      <c r="S489" s="229" t="n"/>
    </row>
    <row r="490" ht="14.25" customHeight="1" s="281">
      <c r="S490" s="229" t="n"/>
    </row>
    <row r="491" ht="14.25" customHeight="1" s="281">
      <c r="S491" s="229" t="n"/>
    </row>
    <row r="492" ht="14.25" customHeight="1" s="281">
      <c r="S492" s="229" t="n"/>
    </row>
    <row r="493" ht="14.25" customHeight="1" s="281">
      <c r="S493" s="229" t="n"/>
    </row>
    <row r="494" ht="14.25" customHeight="1" s="281">
      <c r="S494" s="229" t="n"/>
    </row>
    <row r="495" ht="14.25" customHeight="1" s="281">
      <c r="S495" s="229" t="n"/>
    </row>
    <row r="496" ht="14.25" customHeight="1" s="281">
      <c r="S496" s="229" t="n"/>
    </row>
    <row r="497" ht="14.25" customHeight="1" s="281">
      <c r="S497" s="229" t="n"/>
    </row>
    <row r="498" ht="14.25" customHeight="1" s="281">
      <c r="S498" s="229" t="n"/>
    </row>
    <row r="499" ht="14.25" customHeight="1" s="281">
      <c r="S499" s="229" t="n"/>
    </row>
    <row r="500" ht="14.25" customHeight="1" s="281">
      <c r="S500" s="229" t="n"/>
    </row>
    <row r="501" ht="14.25" customHeight="1" s="281">
      <c r="S501" s="229" t="n"/>
    </row>
    <row r="502" ht="14.25" customHeight="1" s="281">
      <c r="S502" s="229" t="n"/>
    </row>
    <row r="503" ht="14.25" customHeight="1" s="281">
      <c r="S503" s="229" t="n"/>
    </row>
    <row r="504" ht="14.25" customHeight="1" s="281">
      <c r="S504" s="229" t="n"/>
    </row>
    <row r="505" ht="14.25" customHeight="1" s="281">
      <c r="S505" s="229" t="n"/>
    </row>
    <row r="506" ht="14.25" customHeight="1" s="281">
      <c r="S506" s="229" t="n"/>
    </row>
    <row r="507" ht="14.25" customHeight="1" s="281">
      <c r="S507" s="229" t="n"/>
    </row>
    <row r="508" ht="14.25" customHeight="1" s="281">
      <c r="S508" s="229" t="n"/>
    </row>
    <row r="509" ht="14.25" customHeight="1" s="281">
      <c r="S509" s="229" t="n"/>
    </row>
    <row r="510" ht="14.25" customHeight="1" s="281">
      <c r="S510" s="229" t="n"/>
    </row>
    <row r="511" ht="14.25" customHeight="1" s="281">
      <c r="S511" s="229" t="n"/>
    </row>
    <row r="512" ht="14.25" customHeight="1" s="281">
      <c r="S512" s="229" t="n"/>
    </row>
    <row r="513" ht="14.25" customHeight="1" s="281">
      <c r="S513" s="229" t="n"/>
    </row>
    <row r="514" ht="14.25" customHeight="1" s="281">
      <c r="S514" s="229" t="n"/>
    </row>
    <row r="515" ht="14.25" customHeight="1" s="281">
      <c r="S515" s="229" t="n"/>
    </row>
    <row r="516" ht="14.25" customHeight="1" s="281">
      <c r="S516" s="229" t="n"/>
    </row>
    <row r="517" ht="14.25" customHeight="1" s="281">
      <c r="S517" s="229" t="n"/>
    </row>
    <row r="518" ht="14.25" customHeight="1" s="281">
      <c r="S518" s="229" t="n"/>
    </row>
    <row r="519" ht="14.25" customHeight="1" s="281">
      <c r="S519" s="229" t="n"/>
    </row>
    <row r="520" ht="14.25" customHeight="1" s="281">
      <c r="S520" s="229" t="n"/>
    </row>
    <row r="521" ht="14.25" customHeight="1" s="281">
      <c r="S521" s="229" t="n"/>
    </row>
    <row r="522" ht="14.25" customHeight="1" s="281">
      <c r="S522" s="229" t="n"/>
    </row>
    <row r="523" ht="14.25" customHeight="1" s="281">
      <c r="S523" s="229" t="n"/>
    </row>
    <row r="524" ht="14.25" customHeight="1" s="281">
      <c r="S524" s="229" t="n"/>
    </row>
    <row r="525" ht="14.25" customHeight="1" s="281">
      <c r="S525" s="229" t="n"/>
    </row>
    <row r="526" ht="14.25" customHeight="1" s="281">
      <c r="S526" s="229" t="n"/>
    </row>
    <row r="527" ht="14.25" customHeight="1" s="281">
      <c r="S527" s="229" t="n"/>
    </row>
    <row r="528" ht="14.25" customHeight="1" s="281">
      <c r="S528" s="229" t="n"/>
    </row>
    <row r="529" ht="14.25" customHeight="1" s="281">
      <c r="S529" s="229" t="n"/>
    </row>
    <row r="530" ht="14.25" customHeight="1" s="281">
      <c r="S530" s="229" t="n"/>
    </row>
    <row r="531" ht="14.25" customHeight="1" s="281">
      <c r="S531" s="229" t="n"/>
    </row>
    <row r="532" ht="14.25" customHeight="1" s="281">
      <c r="S532" s="229" t="n"/>
    </row>
    <row r="533" ht="14.25" customHeight="1" s="281">
      <c r="S533" s="229" t="n"/>
    </row>
    <row r="534" ht="14.25" customHeight="1" s="281">
      <c r="S534" s="229" t="n"/>
    </row>
    <row r="535" ht="14.25" customHeight="1" s="281">
      <c r="S535" s="229" t="n"/>
    </row>
    <row r="536" ht="14.25" customHeight="1" s="281">
      <c r="S536" s="229" t="n"/>
    </row>
    <row r="537" ht="14.25" customHeight="1" s="281">
      <c r="S537" s="229" t="n"/>
    </row>
    <row r="538" ht="14.25" customHeight="1" s="281">
      <c r="S538" s="229" t="n"/>
    </row>
    <row r="539" ht="14.25" customHeight="1" s="281">
      <c r="S539" s="229" t="n"/>
    </row>
    <row r="540" ht="14.25" customHeight="1" s="281">
      <c r="S540" s="229" t="n"/>
    </row>
    <row r="541" ht="14.25" customHeight="1" s="281">
      <c r="S541" s="229" t="n"/>
    </row>
    <row r="542" ht="14.25" customHeight="1" s="281">
      <c r="S542" s="229" t="n"/>
    </row>
    <row r="543" ht="14.25" customHeight="1" s="281">
      <c r="S543" s="229" t="n"/>
    </row>
    <row r="544" ht="14.25" customHeight="1" s="281">
      <c r="S544" s="229" t="n"/>
    </row>
    <row r="545" ht="14.25" customHeight="1" s="281">
      <c r="S545" s="229" t="n"/>
    </row>
    <row r="546" ht="14.25" customHeight="1" s="281">
      <c r="S546" s="229" t="n"/>
    </row>
    <row r="547" ht="14.25" customHeight="1" s="281">
      <c r="S547" s="229" t="n"/>
    </row>
    <row r="548" ht="14.25" customHeight="1" s="281">
      <c r="S548" s="229" t="n"/>
    </row>
    <row r="549" ht="14.25" customHeight="1" s="281">
      <c r="S549" s="229" t="n"/>
    </row>
    <row r="550" ht="14.25" customHeight="1" s="281">
      <c r="S550" s="229" t="n"/>
    </row>
    <row r="551" ht="14.25" customHeight="1" s="281">
      <c r="S551" s="229" t="n"/>
    </row>
    <row r="552" ht="14.25" customHeight="1" s="281">
      <c r="S552" s="229" t="n"/>
    </row>
    <row r="553" ht="14.25" customHeight="1" s="281">
      <c r="S553" s="229" t="n"/>
    </row>
    <row r="554" ht="14.25" customHeight="1" s="281">
      <c r="S554" s="229" t="n"/>
    </row>
    <row r="555" ht="14.25" customHeight="1" s="281">
      <c r="S555" s="229" t="n"/>
    </row>
    <row r="556" ht="14.25" customHeight="1" s="281">
      <c r="S556" s="229" t="n"/>
    </row>
    <row r="557" ht="14.25" customHeight="1" s="281">
      <c r="S557" s="229" t="n"/>
    </row>
    <row r="558" ht="14.25" customHeight="1" s="281">
      <c r="S558" s="229" t="n"/>
    </row>
    <row r="559" ht="14.25" customHeight="1" s="281">
      <c r="S559" s="229" t="n"/>
    </row>
    <row r="560" ht="14.25" customHeight="1" s="281">
      <c r="S560" s="229" t="n"/>
    </row>
    <row r="561" ht="14.25" customHeight="1" s="281">
      <c r="S561" s="229" t="n"/>
    </row>
    <row r="562" ht="14.25" customHeight="1" s="281">
      <c r="S562" s="229" t="n"/>
    </row>
    <row r="563" ht="14.25" customHeight="1" s="281">
      <c r="S563" s="229" t="n"/>
    </row>
    <row r="564" ht="14.25" customHeight="1" s="281">
      <c r="S564" s="229" t="n"/>
    </row>
    <row r="565" ht="14.25" customHeight="1" s="281">
      <c r="S565" s="229" t="n"/>
    </row>
    <row r="566" ht="14.25" customHeight="1" s="281">
      <c r="S566" s="229" t="n"/>
    </row>
    <row r="567" ht="14.25" customHeight="1" s="281">
      <c r="S567" s="229" t="n"/>
    </row>
    <row r="568" ht="14.25" customHeight="1" s="281">
      <c r="S568" s="229" t="n"/>
    </row>
    <row r="569" ht="14.25" customHeight="1" s="281">
      <c r="S569" s="229" t="n"/>
    </row>
    <row r="570" ht="14.25" customHeight="1" s="281">
      <c r="S570" s="229" t="n"/>
    </row>
    <row r="571" ht="14.25" customHeight="1" s="281">
      <c r="S571" s="229" t="n"/>
    </row>
    <row r="572" ht="14.25" customHeight="1" s="281">
      <c r="S572" s="229" t="n"/>
    </row>
    <row r="573" ht="14.25" customHeight="1" s="281">
      <c r="S573" s="229" t="n"/>
    </row>
    <row r="574" ht="14.25" customHeight="1" s="281">
      <c r="S574" s="229" t="n"/>
    </row>
    <row r="575" ht="14.25" customHeight="1" s="281">
      <c r="S575" s="229" t="n"/>
    </row>
    <row r="576" ht="14.25" customHeight="1" s="281">
      <c r="S576" s="229" t="n"/>
    </row>
    <row r="577" ht="14.25" customHeight="1" s="281">
      <c r="S577" s="229" t="n"/>
    </row>
    <row r="578" ht="14.25" customHeight="1" s="281">
      <c r="S578" s="229" t="n"/>
    </row>
    <row r="579" ht="14.25" customHeight="1" s="281">
      <c r="S579" s="229" t="n"/>
    </row>
    <row r="580" ht="14.25" customHeight="1" s="281">
      <c r="S580" s="229" t="n"/>
    </row>
    <row r="581" ht="14.25" customHeight="1" s="281">
      <c r="S581" s="229" t="n"/>
    </row>
    <row r="582" ht="14.25" customHeight="1" s="281">
      <c r="S582" s="229" t="n"/>
    </row>
    <row r="583" ht="14.25" customHeight="1" s="281">
      <c r="S583" s="229" t="n"/>
    </row>
    <row r="584" ht="14.25" customHeight="1" s="281">
      <c r="S584" s="229" t="n"/>
    </row>
    <row r="585" ht="14.25" customHeight="1" s="281">
      <c r="S585" s="229" t="n"/>
    </row>
    <row r="586" ht="14.25" customHeight="1" s="281">
      <c r="S586" s="229" t="n"/>
    </row>
    <row r="587" ht="14.25" customHeight="1" s="281">
      <c r="S587" s="229" t="n"/>
    </row>
    <row r="588" ht="14.25" customHeight="1" s="281">
      <c r="S588" s="229" t="n"/>
    </row>
    <row r="589" ht="14.25" customHeight="1" s="281">
      <c r="S589" s="229" t="n"/>
    </row>
    <row r="590" ht="14.25" customHeight="1" s="281">
      <c r="S590" s="229" t="n"/>
    </row>
    <row r="591" ht="14.25" customHeight="1" s="281">
      <c r="S591" s="229" t="n"/>
    </row>
    <row r="592" ht="14.25" customHeight="1" s="281">
      <c r="S592" s="229" t="n"/>
    </row>
    <row r="593" ht="14.25" customHeight="1" s="281">
      <c r="S593" s="229" t="n"/>
    </row>
    <row r="594" ht="14.25" customHeight="1" s="281">
      <c r="S594" s="229" t="n"/>
    </row>
    <row r="595" ht="14.25" customHeight="1" s="281">
      <c r="S595" s="229" t="n"/>
    </row>
    <row r="596" ht="14.25" customHeight="1" s="281">
      <c r="S596" s="229" t="n"/>
    </row>
    <row r="597" ht="14.25" customHeight="1" s="281">
      <c r="S597" s="229" t="n"/>
    </row>
    <row r="598" ht="14.25" customHeight="1" s="281">
      <c r="S598" s="229" t="n"/>
    </row>
    <row r="599" ht="14.25" customHeight="1" s="281">
      <c r="S599" s="229" t="n"/>
    </row>
    <row r="600" ht="14.25" customHeight="1" s="281">
      <c r="S600" s="229" t="n"/>
    </row>
    <row r="601" ht="14.25" customHeight="1" s="281">
      <c r="S601" s="229" t="n"/>
    </row>
    <row r="602" ht="14.25" customHeight="1" s="281">
      <c r="S602" s="229" t="n"/>
    </row>
    <row r="603" ht="14.25" customHeight="1" s="281">
      <c r="S603" s="229" t="n"/>
    </row>
    <row r="604" ht="14.25" customHeight="1" s="281">
      <c r="S604" s="229" t="n"/>
    </row>
    <row r="605" ht="14.25" customHeight="1" s="281">
      <c r="S605" s="229" t="n"/>
    </row>
    <row r="606" ht="14.25" customHeight="1" s="281">
      <c r="S606" s="229" t="n"/>
    </row>
    <row r="607" ht="14.25" customHeight="1" s="281">
      <c r="S607" s="229" t="n"/>
    </row>
    <row r="608" ht="14.25" customHeight="1" s="281">
      <c r="S608" s="229" t="n"/>
    </row>
    <row r="609" ht="14.25" customHeight="1" s="281">
      <c r="S609" s="229" t="n"/>
    </row>
    <row r="610" ht="14.25" customHeight="1" s="281">
      <c r="S610" s="229" t="n"/>
    </row>
    <row r="611" ht="14.25" customHeight="1" s="281">
      <c r="S611" s="229" t="n"/>
    </row>
    <row r="612" ht="14.25" customHeight="1" s="281">
      <c r="S612" s="229" t="n"/>
    </row>
    <row r="613" ht="14.25" customHeight="1" s="281">
      <c r="S613" s="229" t="n"/>
    </row>
    <row r="614" ht="14.25" customHeight="1" s="281">
      <c r="S614" s="229" t="n"/>
    </row>
    <row r="615" ht="14.25" customHeight="1" s="281">
      <c r="S615" s="229" t="n"/>
    </row>
    <row r="616" ht="14.25" customHeight="1" s="281">
      <c r="S616" s="229" t="n"/>
    </row>
    <row r="617" ht="14.25" customHeight="1" s="281">
      <c r="S617" s="229" t="n"/>
    </row>
    <row r="618" ht="14.25" customHeight="1" s="281">
      <c r="S618" s="229" t="n"/>
    </row>
    <row r="619" ht="14.25" customHeight="1" s="281">
      <c r="S619" s="229" t="n"/>
    </row>
    <row r="620" ht="14.25" customHeight="1" s="281">
      <c r="S620" s="229" t="n"/>
    </row>
    <row r="621" ht="14.25" customHeight="1" s="281">
      <c r="S621" s="229" t="n"/>
    </row>
    <row r="622" ht="14.25" customHeight="1" s="281">
      <c r="S622" s="229" t="n"/>
    </row>
    <row r="623" ht="14.25" customHeight="1" s="281">
      <c r="S623" s="229" t="n"/>
    </row>
    <row r="624" ht="14.25" customHeight="1" s="281">
      <c r="S624" s="229" t="n"/>
    </row>
    <row r="625" ht="14.25" customHeight="1" s="281">
      <c r="S625" s="229" t="n"/>
    </row>
    <row r="626" ht="14.25" customHeight="1" s="281">
      <c r="S626" s="229" t="n"/>
    </row>
    <row r="627" ht="14.25" customHeight="1" s="281">
      <c r="S627" s="229" t="n"/>
    </row>
    <row r="628" ht="14.25" customHeight="1" s="281">
      <c r="S628" s="229" t="n"/>
    </row>
    <row r="629" ht="14.25" customHeight="1" s="281">
      <c r="S629" s="229" t="n"/>
    </row>
    <row r="630" ht="14.25" customHeight="1" s="281">
      <c r="S630" s="229" t="n"/>
    </row>
    <row r="631" ht="14.25" customHeight="1" s="281">
      <c r="S631" s="229" t="n"/>
    </row>
    <row r="632" ht="14.25" customHeight="1" s="281">
      <c r="S632" s="229" t="n"/>
    </row>
    <row r="633" ht="14.25" customHeight="1" s="281">
      <c r="S633" s="229" t="n"/>
    </row>
    <row r="634" ht="14.25" customHeight="1" s="281">
      <c r="S634" s="229" t="n"/>
    </row>
    <row r="635" ht="14.25" customHeight="1" s="281">
      <c r="S635" s="229" t="n"/>
    </row>
    <row r="636" ht="14.25" customHeight="1" s="281">
      <c r="S636" s="229" t="n"/>
    </row>
    <row r="637" ht="14.25" customHeight="1" s="281">
      <c r="S637" s="229" t="n"/>
    </row>
    <row r="638" ht="14.25" customHeight="1" s="281">
      <c r="S638" s="229" t="n"/>
    </row>
    <row r="639" ht="14.25" customHeight="1" s="281">
      <c r="S639" s="229" t="n"/>
    </row>
    <row r="640" ht="14.25" customHeight="1" s="281">
      <c r="S640" s="229" t="n"/>
    </row>
    <row r="641" ht="14.25" customHeight="1" s="281">
      <c r="S641" s="229" t="n"/>
    </row>
    <row r="642" ht="14.25" customHeight="1" s="281">
      <c r="S642" s="229" t="n"/>
    </row>
    <row r="643" ht="14.25" customHeight="1" s="281">
      <c r="S643" s="229" t="n"/>
    </row>
    <row r="644" ht="14.25" customHeight="1" s="281">
      <c r="S644" s="229" t="n"/>
    </row>
    <row r="645" ht="14.25" customHeight="1" s="281">
      <c r="S645" s="229" t="n"/>
    </row>
    <row r="646" ht="14.25" customHeight="1" s="281">
      <c r="S646" s="229" t="n"/>
    </row>
    <row r="647" ht="14.25" customHeight="1" s="281">
      <c r="S647" s="229" t="n"/>
    </row>
    <row r="648" ht="14.25" customHeight="1" s="281">
      <c r="S648" s="229" t="n"/>
    </row>
    <row r="649" ht="14.25" customHeight="1" s="281">
      <c r="S649" s="229" t="n"/>
    </row>
    <row r="650" ht="14.25" customHeight="1" s="281">
      <c r="S650" s="229" t="n"/>
    </row>
    <row r="651" ht="14.25" customHeight="1" s="281">
      <c r="S651" s="229" t="n"/>
    </row>
    <row r="652" ht="14.25" customHeight="1" s="281">
      <c r="S652" s="229" t="n"/>
    </row>
    <row r="653" ht="14.25" customHeight="1" s="281">
      <c r="S653" s="229" t="n"/>
    </row>
    <row r="654" ht="14.25" customHeight="1" s="281">
      <c r="S654" s="229" t="n"/>
    </row>
    <row r="655" ht="14.25" customHeight="1" s="281">
      <c r="S655" s="229" t="n"/>
    </row>
    <row r="656" ht="14.25" customHeight="1" s="281">
      <c r="S656" s="229" t="n"/>
    </row>
    <row r="657" ht="14.25" customHeight="1" s="281">
      <c r="S657" s="229" t="n"/>
    </row>
    <row r="658" ht="14.25" customHeight="1" s="281">
      <c r="S658" s="229" t="n"/>
    </row>
    <row r="659" ht="14.25" customHeight="1" s="281">
      <c r="S659" s="229" t="n"/>
    </row>
    <row r="660" ht="14.25" customHeight="1" s="281">
      <c r="S660" s="229" t="n"/>
    </row>
    <row r="661" ht="14.25" customHeight="1" s="281">
      <c r="S661" s="229" t="n"/>
    </row>
    <row r="662" ht="14.25" customHeight="1" s="281">
      <c r="S662" s="229" t="n"/>
    </row>
    <row r="663" ht="14.25" customHeight="1" s="281">
      <c r="S663" s="229" t="n"/>
    </row>
    <row r="664" ht="14.25" customHeight="1" s="281">
      <c r="S664" s="229" t="n"/>
    </row>
    <row r="665" ht="14.25" customHeight="1" s="281">
      <c r="S665" s="229" t="n"/>
    </row>
    <row r="666" ht="14.25" customHeight="1" s="281">
      <c r="S666" s="229" t="n"/>
    </row>
    <row r="667" ht="14.25" customHeight="1" s="281">
      <c r="S667" s="229" t="n"/>
    </row>
    <row r="668" ht="14.25" customHeight="1" s="281">
      <c r="S668" s="229" t="n"/>
    </row>
    <row r="669" ht="14.25" customHeight="1" s="281">
      <c r="S669" s="229" t="n"/>
    </row>
    <row r="670" ht="14.25" customHeight="1" s="281">
      <c r="S670" s="229" t="n"/>
    </row>
    <row r="671" ht="14.25" customHeight="1" s="281">
      <c r="S671" s="229" t="n"/>
    </row>
    <row r="672" ht="14.25" customHeight="1" s="281">
      <c r="S672" s="229" t="n"/>
    </row>
    <row r="673" ht="14.25" customHeight="1" s="281">
      <c r="S673" s="229" t="n"/>
    </row>
    <row r="674" ht="14.25" customHeight="1" s="281">
      <c r="S674" s="229" t="n"/>
    </row>
    <row r="675" ht="14.25" customHeight="1" s="281">
      <c r="S675" s="229" t="n"/>
    </row>
    <row r="676" ht="14.25" customHeight="1" s="281">
      <c r="S676" s="229" t="n"/>
    </row>
    <row r="677" ht="14.25" customHeight="1" s="281">
      <c r="S677" s="229" t="n"/>
    </row>
    <row r="678" ht="14.25" customHeight="1" s="281">
      <c r="S678" s="229" t="n"/>
    </row>
    <row r="679" ht="14.25" customHeight="1" s="281">
      <c r="S679" s="229" t="n"/>
    </row>
    <row r="680" ht="14.25" customHeight="1" s="281">
      <c r="S680" s="229" t="n"/>
    </row>
    <row r="681" ht="14.25" customHeight="1" s="281">
      <c r="S681" s="229" t="n"/>
    </row>
    <row r="682" ht="14.25" customHeight="1" s="281">
      <c r="S682" s="229" t="n"/>
    </row>
    <row r="683" ht="14.25" customHeight="1" s="281">
      <c r="S683" s="229" t="n"/>
    </row>
    <row r="684" ht="14.25" customHeight="1" s="281">
      <c r="S684" s="229" t="n"/>
    </row>
    <row r="685" ht="14.25" customHeight="1" s="281">
      <c r="S685" s="229" t="n"/>
    </row>
    <row r="686" ht="14.25" customHeight="1" s="281">
      <c r="S686" s="229" t="n"/>
    </row>
    <row r="687" ht="14.25" customHeight="1" s="281">
      <c r="S687" s="229" t="n"/>
    </row>
    <row r="688" ht="14.25" customHeight="1" s="281">
      <c r="S688" s="229" t="n"/>
    </row>
    <row r="689" ht="14.25" customHeight="1" s="281">
      <c r="S689" s="229" t="n"/>
    </row>
    <row r="690" ht="14.25" customHeight="1" s="281">
      <c r="S690" s="229" t="n"/>
    </row>
    <row r="691" ht="14.25" customHeight="1" s="281">
      <c r="S691" s="229" t="n"/>
    </row>
    <row r="692" ht="14.25" customHeight="1" s="281">
      <c r="S692" s="229" t="n"/>
    </row>
    <row r="693" ht="14.25" customHeight="1" s="281">
      <c r="S693" s="229" t="n"/>
    </row>
    <row r="694" ht="14.25" customHeight="1" s="281">
      <c r="S694" s="229" t="n"/>
    </row>
    <row r="695" ht="14.25" customHeight="1" s="281">
      <c r="S695" s="229" t="n"/>
    </row>
    <row r="696" ht="14.25" customHeight="1" s="281">
      <c r="S696" s="229" t="n"/>
    </row>
    <row r="697" ht="14.25" customHeight="1" s="281">
      <c r="S697" s="229" t="n"/>
    </row>
    <row r="698" ht="14.25" customHeight="1" s="281">
      <c r="S698" s="229" t="n"/>
    </row>
    <row r="699" ht="14.25" customHeight="1" s="281">
      <c r="S699" s="229" t="n"/>
    </row>
    <row r="700" ht="14.25" customHeight="1" s="281">
      <c r="S700" s="229" t="n"/>
    </row>
    <row r="701" ht="14.25" customHeight="1" s="281">
      <c r="S701" s="229" t="n"/>
    </row>
    <row r="702" ht="14.25" customHeight="1" s="281">
      <c r="S702" s="229" t="n"/>
    </row>
    <row r="703" ht="14.25" customHeight="1" s="281">
      <c r="S703" s="229" t="n"/>
    </row>
    <row r="704" ht="14.25" customHeight="1" s="281">
      <c r="S704" s="229" t="n"/>
    </row>
    <row r="705" ht="14.25" customHeight="1" s="281">
      <c r="S705" s="229" t="n"/>
    </row>
    <row r="706" ht="14.25" customHeight="1" s="281">
      <c r="S706" s="229" t="n"/>
    </row>
    <row r="707" ht="14.25" customHeight="1" s="281">
      <c r="S707" s="229" t="n"/>
    </row>
    <row r="708" ht="14.25" customHeight="1" s="281">
      <c r="S708" s="229" t="n"/>
    </row>
    <row r="709" ht="14.25" customHeight="1" s="281">
      <c r="S709" s="229" t="n"/>
    </row>
    <row r="710" ht="14.25" customHeight="1" s="281">
      <c r="S710" s="229" t="n"/>
    </row>
    <row r="711" ht="14.25" customHeight="1" s="281">
      <c r="S711" s="229" t="n"/>
    </row>
    <row r="712" ht="14.25" customHeight="1" s="281">
      <c r="S712" s="229" t="n"/>
    </row>
    <row r="713" ht="14.25" customHeight="1" s="281">
      <c r="S713" s="229" t="n"/>
    </row>
    <row r="714" ht="14.25" customHeight="1" s="281">
      <c r="S714" s="229" t="n"/>
    </row>
    <row r="715" ht="14.25" customHeight="1" s="281">
      <c r="S715" s="229" t="n"/>
    </row>
    <row r="716" ht="14.25" customHeight="1" s="281">
      <c r="S716" s="229" t="n"/>
    </row>
    <row r="717" ht="14.25" customHeight="1" s="281">
      <c r="S717" s="229" t="n"/>
    </row>
    <row r="718" ht="14.25" customHeight="1" s="281">
      <c r="S718" s="229" t="n"/>
    </row>
    <row r="719" ht="14.25" customHeight="1" s="281">
      <c r="S719" s="229" t="n"/>
    </row>
    <row r="720" ht="14.25" customHeight="1" s="281">
      <c r="S720" s="229" t="n"/>
    </row>
    <row r="721" ht="14.25" customHeight="1" s="281">
      <c r="S721" s="229" t="n"/>
    </row>
    <row r="722" ht="14.25" customHeight="1" s="281">
      <c r="S722" s="229" t="n"/>
    </row>
    <row r="723" ht="14.25" customHeight="1" s="281">
      <c r="S723" s="229" t="n"/>
    </row>
    <row r="724" ht="14.25" customHeight="1" s="281">
      <c r="S724" s="229" t="n"/>
    </row>
    <row r="725" ht="14.25" customHeight="1" s="281">
      <c r="S725" s="229" t="n"/>
    </row>
    <row r="726" ht="14.25" customHeight="1" s="281">
      <c r="S726" s="229" t="n"/>
    </row>
    <row r="727" ht="14.25" customHeight="1" s="281">
      <c r="S727" s="229" t="n"/>
    </row>
    <row r="728" ht="14.25" customHeight="1" s="281">
      <c r="S728" s="229" t="n"/>
    </row>
    <row r="729" ht="14.25" customHeight="1" s="281">
      <c r="S729" s="229" t="n"/>
    </row>
    <row r="730" ht="14.25" customHeight="1" s="281">
      <c r="S730" s="229" t="n"/>
    </row>
    <row r="731" ht="14.25" customHeight="1" s="281">
      <c r="S731" s="229" t="n"/>
    </row>
    <row r="732" ht="14.25" customHeight="1" s="281">
      <c r="S732" s="229" t="n"/>
    </row>
    <row r="733" ht="14.25" customHeight="1" s="281">
      <c r="S733" s="229" t="n"/>
    </row>
    <row r="734" ht="14.25" customHeight="1" s="281">
      <c r="S734" s="229" t="n"/>
    </row>
    <row r="735" ht="14.25" customHeight="1" s="281">
      <c r="S735" s="229" t="n"/>
    </row>
    <row r="736" ht="14.25" customHeight="1" s="281">
      <c r="S736" s="229" t="n"/>
    </row>
    <row r="737" ht="14.25" customHeight="1" s="281">
      <c r="S737" s="229" t="n"/>
    </row>
    <row r="738" ht="14.25" customHeight="1" s="281">
      <c r="S738" s="229" t="n"/>
    </row>
    <row r="739" ht="14.25" customHeight="1" s="281">
      <c r="S739" s="229" t="n"/>
    </row>
    <row r="740" ht="14.25" customHeight="1" s="281">
      <c r="S740" s="229" t="n"/>
    </row>
    <row r="741" ht="14.25" customHeight="1" s="281">
      <c r="S741" s="229" t="n"/>
    </row>
    <row r="742" ht="14.25" customHeight="1" s="281">
      <c r="S742" s="229" t="n"/>
    </row>
    <row r="743" ht="14.25" customHeight="1" s="281">
      <c r="S743" s="229" t="n"/>
    </row>
    <row r="744" ht="14.25" customHeight="1" s="281">
      <c r="S744" s="229" t="n"/>
    </row>
    <row r="745" ht="14.25" customHeight="1" s="281">
      <c r="S745" s="229" t="n"/>
    </row>
    <row r="746" ht="14.25" customHeight="1" s="281">
      <c r="S746" s="229" t="n"/>
    </row>
    <row r="747" ht="14.25" customHeight="1" s="281">
      <c r="S747" s="229" t="n"/>
    </row>
    <row r="748" ht="14.25" customHeight="1" s="281">
      <c r="S748" s="229" t="n"/>
    </row>
    <row r="749" ht="14.25" customHeight="1" s="281">
      <c r="S749" s="229" t="n"/>
    </row>
    <row r="750" ht="14.25" customHeight="1" s="281">
      <c r="S750" s="229" t="n"/>
    </row>
    <row r="751" ht="14.25" customHeight="1" s="281">
      <c r="S751" s="229" t="n"/>
    </row>
    <row r="752" ht="14.25" customHeight="1" s="281">
      <c r="S752" s="229" t="n"/>
    </row>
    <row r="753" ht="14.25" customHeight="1" s="281">
      <c r="S753" s="229" t="n"/>
    </row>
    <row r="754" ht="14.25" customHeight="1" s="281">
      <c r="S754" s="229" t="n"/>
    </row>
    <row r="755" ht="14.25" customHeight="1" s="281">
      <c r="S755" s="229" t="n"/>
    </row>
    <row r="756" ht="14.25" customHeight="1" s="281">
      <c r="S756" s="229" t="n"/>
    </row>
    <row r="757" ht="14.25" customHeight="1" s="281">
      <c r="S757" s="229" t="n"/>
    </row>
    <row r="758" ht="14.25" customHeight="1" s="281">
      <c r="S758" s="229" t="n"/>
    </row>
    <row r="759" ht="14.25" customHeight="1" s="281">
      <c r="S759" s="229" t="n"/>
    </row>
    <row r="760" ht="14.25" customHeight="1" s="281">
      <c r="S760" s="229" t="n"/>
    </row>
    <row r="761" ht="14.25" customHeight="1" s="281">
      <c r="S761" s="229" t="n"/>
    </row>
    <row r="762" ht="14.25" customHeight="1" s="281">
      <c r="S762" s="229" t="n"/>
    </row>
    <row r="763" ht="14.25" customHeight="1" s="281">
      <c r="S763" s="229" t="n"/>
    </row>
    <row r="764" ht="14.25" customHeight="1" s="281">
      <c r="S764" s="229" t="n"/>
    </row>
    <row r="765" ht="14.25" customHeight="1" s="281">
      <c r="S765" s="229" t="n"/>
    </row>
    <row r="766" ht="14.25" customHeight="1" s="281">
      <c r="S766" s="229" t="n"/>
    </row>
    <row r="767" ht="14.25" customHeight="1" s="281">
      <c r="S767" s="229" t="n"/>
    </row>
    <row r="768" ht="14.25" customHeight="1" s="281">
      <c r="S768" s="229" t="n"/>
    </row>
    <row r="769" ht="14.25" customHeight="1" s="281">
      <c r="S769" s="229" t="n"/>
    </row>
    <row r="770" ht="14.25" customHeight="1" s="281">
      <c r="S770" s="229" t="n"/>
    </row>
    <row r="771" ht="14.25" customHeight="1" s="281">
      <c r="S771" s="229" t="n"/>
    </row>
    <row r="772" ht="14.25" customHeight="1" s="281">
      <c r="S772" s="229" t="n"/>
    </row>
    <row r="773" ht="14.25" customHeight="1" s="281">
      <c r="S773" s="229" t="n"/>
    </row>
    <row r="774" ht="14.25" customHeight="1" s="281">
      <c r="S774" s="229" t="n"/>
    </row>
    <row r="775" ht="14.25" customHeight="1" s="281">
      <c r="S775" s="229" t="n"/>
    </row>
    <row r="776" ht="14.25" customHeight="1" s="281">
      <c r="S776" s="229" t="n"/>
    </row>
    <row r="777" ht="14.25" customHeight="1" s="281">
      <c r="S777" s="229" t="n"/>
    </row>
    <row r="778" ht="14.25" customHeight="1" s="281">
      <c r="S778" s="229" t="n"/>
    </row>
    <row r="779" ht="14.25" customHeight="1" s="281">
      <c r="S779" s="229" t="n"/>
    </row>
    <row r="780" ht="14.25" customHeight="1" s="281">
      <c r="S780" s="229" t="n"/>
    </row>
    <row r="781" ht="14.25" customHeight="1" s="281">
      <c r="S781" s="229" t="n"/>
    </row>
    <row r="782" ht="14.25" customHeight="1" s="281">
      <c r="S782" s="229" t="n"/>
    </row>
    <row r="783" ht="14.25" customHeight="1" s="281">
      <c r="S783" s="229" t="n"/>
    </row>
    <row r="784" ht="14.25" customHeight="1" s="281">
      <c r="S784" s="229" t="n"/>
    </row>
    <row r="785" ht="14.25" customHeight="1" s="281">
      <c r="S785" s="229" t="n"/>
    </row>
    <row r="786" ht="14.25" customHeight="1" s="281">
      <c r="S786" s="229" t="n"/>
    </row>
    <row r="787" ht="14.25" customHeight="1" s="281">
      <c r="S787" s="229" t="n"/>
    </row>
    <row r="788" ht="14.25" customHeight="1" s="281">
      <c r="S788" s="229" t="n"/>
    </row>
    <row r="789" ht="14.25" customHeight="1" s="281">
      <c r="S789" s="229" t="n"/>
    </row>
    <row r="790" ht="14.25" customHeight="1" s="281">
      <c r="S790" s="229" t="n"/>
    </row>
    <row r="791" ht="14.25" customHeight="1" s="281">
      <c r="S791" s="229" t="n"/>
    </row>
    <row r="792" ht="14.25" customHeight="1" s="281">
      <c r="S792" s="229" t="n"/>
    </row>
    <row r="793" ht="14.25" customHeight="1" s="281">
      <c r="S793" s="229" t="n"/>
    </row>
    <row r="794" ht="14.25" customHeight="1" s="281">
      <c r="S794" s="229" t="n"/>
    </row>
    <row r="795" ht="14.25" customHeight="1" s="281">
      <c r="S795" s="229" t="n"/>
    </row>
    <row r="796" ht="14.25" customHeight="1" s="281">
      <c r="S796" s="229" t="n"/>
    </row>
    <row r="797" ht="14.25" customHeight="1" s="281">
      <c r="S797" s="229" t="n"/>
    </row>
    <row r="798" ht="14.25" customHeight="1" s="281">
      <c r="S798" s="229" t="n"/>
    </row>
    <row r="799" ht="14.25" customHeight="1" s="281">
      <c r="S799" s="229" t="n"/>
    </row>
    <row r="800" ht="14.25" customHeight="1" s="281">
      <c r="S800" s="229" t="n"/>
    </row>
    <row r="801" ht="14.25" customHeight="1" s="281">
      <c r="S801" s="229" t="n"/>
    </row>
    <row r="802" ht="14.25" customHeight="1" s="281">
      <c r="S802" s="229" t="n"/>
    </row>
    <row r="803" ht="14.25" customHeight="1" s="281">
      <c r="S803" s="229" t="n"/>
    </row>
    <row r="804" ht="14.25" customHeight="1" s="281">
      <c r="S804" s="229" t="n"/>
    </row>
    <row r="805" ht="14.25" customHeight="1" s="281">
      <c r="S805" s="229" t="n"/>
    </row>
    <row r="806" ht="14.25" customHeight="1" s="281">
      <c r="S806" s="229" t="n"/>
    </row>
    <row r="807" ht="14.25" customHeight="1" s="281">
      <c r="S807" s="229" t="n"/>
    </row>
    <row r="808" ht="14.25" customHeight="1" s="281">
      <c r="S808" s="229" t="n"/>
    </row>
    <row r="809" ht="14.25" customHeight="1" s="281">
      <c r="S809" s="229" t="n"/>
    </row>
    <row r="810" ht="14.25" customHeight="1" s="281">
      <c r="S810" s="229" t="n"/>
    </row>
    <row r="811" ht="14.25" customHeight="1" s="281">
      <c r="S811" s="229" t="n"/>
    </row>
    <row r="812" ht="14.25" customHeight="1" s="281">
      <c r="S812" s="229" t="n"/>
    </row>
    <row r="813" ht="14.25" customHeight="1" s="281">
      <c r="S813" s="229" t="n"/>
    </row>
    <row r="814" ht="14.25" customHeight="1" s="281">
      <c r="S814" s="229" t="n"/>
    </row>
    <row r="815" ht="14.25" customHeight="1" s="281">
      <c r="S815" s="229" t="n"/>
    </row>
    <row r="816" ht="14.25" customHeight="1" s="281">
      <c r="S816" s="229" t="n"/>
    </row>
    <row r="817" ht="14.25" customHeight="1" s="281">
      <c r="S817" s="229" t="n"/>
    </row>
    <row r="818" ht="14.25" customHeight="1" s="281">
      <c r="S818" s="229" t="n"/>
    </row>
    <row r="819" ht="14.25" customHeight="1" s="281">
      <c r="S819" s="229" t="n"/>
    </row>
    <row r="820" ht="14.25" customHeight="1" s="281">
      <c r="S820" s="229" t="n"/>
    </row>
    <row r="821" ht="14.25" customHeight="1" s="281">
      <c r="S821" s="229" t="n"/>
    </row>
    <row r="822" ht="14.25" customHeight="1" s="281">
      <c r="S822" s="229" t="n"/>
    </row>
    <row r="823" ht="14.25" customHeight="1" s="281">
      <c r="S823" s="229" t="n"/>
    </row>
    <row r="824" ht="14.25" customHeight="1" s="281">
      <c r="S824" s="229" t="n"/>
    </row>
    <row r="825" ht="14.25" customHeight="1" s="281">
      <c r="S825" s="229" t="n"/>
    </row>
    <row r="826" ht="14.25" customHeight="1" s="281">
      <c r="S826" s="229" t="n"/>
    </row>
    <row r="827" ht="14.25" customHeight="1" s="281">
      <c r="S827" s="229" t="n"/>
    </row>
    <row r="828" ht="14.25" customHeight="1" s="281">
      <c r="S828" s="229" t="n"/>
    </row>
    <row r="829" ht="14.25" customHeight="1" s="281">
      <c r="S829" s="229" t="n"/>
    </row>
    <row r="830" ht="14.25" customHeight="1" s="281">
      <c r="S830" s="229" t="n"/>
    </row>
    <row r="831" ht="14.25" customHeight="1" s="281">
      <c r="S831" s="229" t="n"/>
    </row>
    <row r="832" ht="14.25" customHeight="1" s="281">
      <c r="S832" s="229" t="n"/>
    </row>
    <row r="833" ht="14.25" customHeight="1" s="281">
      <c r="S833" s="229" t="n"/>
    </row>
    <row r="834" ht="14.25" customHeight="1" s="281">
      <c r="S834" s="229" t="n"/>
    </row>
    <row r="835" ht="14.25" customHeight="1" s="281">
      <c r="S835" s="229" t="n"/>
    </row>
    <row r="836" ht="14.25" customHeight="1" s="281">
      <c r="S836" s="229" t="n"/>
    </row>
    <row r="837" ht="14.25" customHeight="1" s="281">
      <c r="S837" s="229" t="n"/>
    </row>
    <row r="838" ht="14.25" customHeight="1" s="281">
      <c r="S838" s="229" t="n"/>
    </row>
    <row r="839" ht="14.25" customHeight="1" s="281">
      <c r="S839" s="229" t="n"/>
    </row>
    <row r="840" ht="14.25" customHeight="1" s="281">
      <c r="S840" s="229" t="n"/>
    </row>
    <row r="841" ht="14.25" customHeight="1" s="281">
      <c r="S841" s="229" t="n"/>
    </row>
    <row r="842" ht="14.25" customHeight="1" s="281">
      <c r="S842" s="229" t="n"/>
    </row>
    <row r="843" ht="14.25" customHeight="1" s="281">
      <c r="S843" s="229" t="n"/>
    </row>
    <row r="844" ht="14.25" customHeight="1" s="281">
      <c r="S844" s="229" t="n"/>
    </row>
    <row r="845" ht="14.25" customHeight="1" s="281">
      <c r="S845" s="229" t="n"/>
    </row>
    <row r="846" ht="14.25" customHeight="1" s="281">
      <c r="S846" s="229" t="n"/>
    </row>
    <row r="847" ht="14.25" customHeight="1" s="281">
      <c r="S847" s="229" t="n"/>
    </row>
    <row r="848" ht="14.25" customHeight="1" s="281">
      <c r="S848" s="229" t="n"/>
    </row>
    <row r="849" ht="14.25" customHeight="1" s="281">
      <c r="S849" s="229" t="n"/>
    </row>
    <row r="850" ht="14.25" customHeight="1" s="281">
      <c r="S850" s="229" t="n"/>
    </row>
    <row r="851" ht="14.25" customHeight="1" s="281">
      <c r="S851" s="229" t="n"/>
    </row>
    <row r="852" ht="14.25" customHeight="1" s="281">
      <c r="S852" s="229" t="n"/>
    </row>
    <row r="853" ht="14.25" customHeight="1" s="281">
      <c r="S853" s="229" t="n"/>
    </row>
    <row r="854" ht="14.25" customHeight="1" s="281">
      <c r="S854" s="229" t="n"/>
    </row>
    <row r="855" ht="14.25" customHeight="1" s="281">
      <c r="S855" s="229" t="n"/>
    </row>
    <row r="856" ht="14.25" customHeight="1" s="281">
      <c r="S856" s="229" t="n"/>
    </row>
    <row r="857" ht="14.25" customHeight="1" s="281">
      <c r="S857" s="229" t="n"/>
    </row>
    <row r="858" ht="14.25" customHeight="1" s="281">
      <c r="S858" s="229" t="n"/>
    </row>
    <row r="859" ht="14.25" customHeight="1" s="281">
      <c r="S859" s="229" t="n"/>
    </row>
    <row r="860" ht="14.25" customHeight="1" s="281">
      <c r="S860" s="229" t="n"/>
    </row>
    <row r="861" ht="14.25" customHeight="1" s="281">
      <c r="S861" s="229" t="n"/>
    </row>
    <row r="862" ht="14.25" customHeight="1" s="281">
      <c r="S862" s="229" t="n"/>
    </row>
    <row r="863" ht="14.25" customHeight="1" s="281">
      <c r="S863" s="229" t="n"/>
    </row>
    <row r="864" ht="14.25" customHeight="1" s="281">
      <c r="S864" s="229" t="n"/>
    </row>
    <row r="865" ht="14.25" customHeight="1" s="281">
      <c r="S865" s="229" t="n"/>
    </row>
    <row r="866" ht="14.25" customHeight="1" s="281">
      <c r="S866" s="229" t="n"/>
    </row>
    <row r="867" ht="14.25" customHeight="1" s="281">
      <c r="S867" s="229" t="n"/>
    </row>
    <row r="868" ht="14.25" customHeight="1" s="281">
      <c r="S868" s="229" t="n"/>
    </row>
    <row r="869" ht="14.25" customHeight="1" s="281">
      <c r="S869" s="229" t="n"/>
    </row>
    <row r="870" ht="14.25" customHeight="1" s="281">
      <c r="S870" s="229" t="n"/>
    </row>
    <row r="871" ht="14.25" customHeight="1" s="281">
      <c r="S871" s="229" t="n"/>
    </row>
    <row r="872" ht="14.25" customHeight="1" s="281">
      <c r="S872" s="229" t="n"/>
    </row>
    <row r="873" ht="14.25" customHeight="1" s="281">
      <c r="S873" s="229" t="n"/>
    </row>
    <row r="874" ht="14.25" customHeight="1" s="281">
      <c r="S874" s="229" t="n"/>
    </row>
    <row r="875" ht="14.25" customHeight="1" s="281">
      <c r="S875" s="229" t="n"/>
    </row>
    <row r="876" ht="14.25" customHeight="1" s="281">
      <c r="S876" s="229" t="n"/>
    </row>
    <row r="877" ht="14.25" customHeight="1" s="281">
      <c r="S877" s="229" t="n"/>
    </row>
    <row r="878" ht="14.25" customHeight="1" s="281">
      <c r="S878" s="229" t="n"/>
    </row>
    <row r="879" ht="14.25" customHeight="1" s="281">
      <c r="S879" s="229" t="n"/>
    </row>
    <row r="880" ht="14.25" customHeight="1" s="281">
      <c r="S880" s="229" t="n"/>
    </row>
    <row r="881" ht="14.25" customHeight="1" s="281">
      <c r="S881" s="229" t="n"/>
    </row>
    <row r="882" ht="14.25" customHeight="1" s="281">
      <c r="S882" s="229" t="n"/>
    </row>
    <row r="883" ht="14.25" customHeight="1" s="281">
      <c r="S883" s="229" t="n"/>
    </row>
    <row r="884" ht="14.25" customHeight="1" s="281">
      <c r="S884" s="229" t="n"/>
    </row>
    <row r="885" ht="14.25" customHeight="1" s="281">
      <c r="S885" s="229" t="n"/>
    </row>
    <row r="886" ht="14.25" customHeight="1" s="281">
      <c r="S886" s="229" t="n"/>
    </row>
    <row r="887" ht="14.25" customHeight="1" s="281">
      <c r="S887" s="229" t="n"/>
    </row>
    <row r="888" ht="14.25" customHeight="1" s="281">
      <c r="S888" s="229" t="n"/>
    </row>
    <row r="889" ht="14.25" customHeight="1" s="281">
      <c r="S889" s="229" t="n"/>
    </row>
    <row r="890" ht="14.25" customHeight="1" s="281">
      <c r="S890" s="229" t="n"/>
    </row>
    <row r="891" ht="14.25" customHeight="1" s="281">
      <c r="S891" s="229" t="n"/>
    </row>
    <row r="892" ht="14.25" customHeight="1" s="281">
      <c r="S892" s="229" t="n"/>
    </row>
    <row r="893" ht="14.25" customHeight="1" s="281">
      <c r="S893" s="229" t="n"/>
    </row>
    <row r="894" ht="14.25" customHeight="1" s="281">
      <c r="S894" s="229" t="n"/>
    </row>
    <row r="895" ht="14.25" customHeight="1" s="281">
      <c r="S895" s="229" t="n"/>
    </row>
    <row r="896" ht="14.25" customHeight="1" s="281">
      <c r="S896" s="229" t="n"/>
    </row>
    <row r="897" ht="14.25" customHeight="1" s="281">
      <c r="S897" s="229" t="n"/>
    </row>
    <row r="898" ht="14.25" customHeight="1" s="281">
      <c r="S898" s="229" t="n"/>
    </row>
    <row r="899" ht="14.25" customHeight="1" s="281">
      <c r="S899" s="229" t="n"/>
    </row>
    <row r="900" ht="14.25" customHeight="1" s="281">
      <c r="S900" s="229" t="n"/>
    </row>
    <row r="901" ht="14.25" customHeight="1" s="281">
      <c r="S901" s="229" t="n"/>
    </row>
    <row r="902" ht="14.25" customHeight="1" s="281">
      <c r="S902" s="229" t="n"/>
    </row>
    <row r="903" ht="14.25" customHeight="1" s="281">
      <c r="S903" s="229" t="n"/>
    </row>
    <row r="904" ht="14.25" customHeight="1" s="281">
      <c r="S904" s="229" t="n"/>
    </row>
    <row r="905" ht="14.25" customHeight="1" s="281">
      <c r="S905" s="229" t="n"/>
    </row>
    <row r="906" ht="14.25" customHeight="1" s="281">
      <c r="S906" s="229" t="n"/>
    </row>
    <row r="907" ht="14.25" customHeight="1" s="281">
      <c r="S907" s="229" t="n"/>
    </row>
    <row r="908" ht="14.25" customHeight="1" s="281">
      <c r="S908" s="229" t="n"/>
    </row>
    <row r="909" ht="14.25" customHeight="1" s="281">
      <c r="S909" s="229" t="n"/>
    </row>
    <row r="910" ht="14.25" customHeight="1" s="281">
      <c r="S910" s="229" t="n"/>
    </row>
    <row r="911" ht="14.25" customHeight="1" s="281">
      <c r="S911" s="229" t="n"/>
    </row>
    <row r="912" ht="14.25" customHeight="1" s="281">
      <c r="S912" s="229" t="n"/>
    </row>
    <row r="913" ht="14.25" customHeight="1" s="281">
      <c r="S913" s="229" t="n"/>
    </row>
    <row r="914" ht="14.25" customHeight="1" s="281">
      <c r="S914" s="229" t="n"/>
    </row>
    <row r="915" ht="14.25" customHeight="1" s="281">
      <c r="S915" s="229" t="n"/>
    </row>
    <row r="916" ht="14.25" customHeight="1" s="281">
      <c r="S916" s="229" t="n"/>
    </row>
    <row r="917" ht="14.25" customHeight="1" s="281">
      <c r="S917" s="229" t="n"/>
    </row>
    <row r="918" ht="14.25" customHeight="1" s="281">
      <c r="S918" s="229" t="n"/>
    </row>
    <row r="919" ht="14.25" customHeight="1" s="281">
      <c r="S919" s="229" t="n"/>
    </row>
    <row r="920" ht="14.25" customHeight="1" s="281">
      <c r="S920" s="229" t="n"/>
    </row>
    <row r="921" ht="14.25" customHeight="1" s="281">
      <c r="S921" s="229" t="n"/>
    </row>
    <row r="922" ht="14.25" customHeight="1" s="281">
      <c r="S922" s="229" t="n"/>
    </row>
    <row r="923" ht="14.25" customHeight="1" s="281">
      <c r="S923" s="229" t="n"/>
    </row>
    <row r="924" ht="14.25" customHeight="1" s="281">
      <c r="S924" s="229" t="n"/>
    </row>
    <row r="925" ht="14.25" customHeight="1" s="281">
      <c r="S925" s="229" t="n"/>
    </row>
    <row r="926" ht="14.25" customHeight="1" s="281">
      <c r="S926" s="229" t="n"/>
    </row>
    <row r="927" ht="14.25" customHeight="1" s="281">
      <c r="S927" s="229" t="n"/>
    </row>
    <row r="928" ht="14.25" customHeight="1" s="281">
      <c r="S928" s="229" t="n"/>
    </row>
    <row r="929" ht="14.25" customHeight="1" s="281">
      <c r="S929" s="229" t="n"/>
    </row>
    <row r="930" ht="14.25" customHeight="1" s="281">
      <c r="S930" s="229" t="n"/>
    </row>
    <row r="931" ht="14.25" customHeight="1" s="281">
      <c r="S931" s="229" t="n"/>
    </row>
    <row r="932" ht="14.25" customHeight="1" s="281">
      <c r="S932" s="229" t="n"/>
    </row>
    <row r="933" ht="14.25" customHeight="1" s="281">
      <c r="S933" s="229" t="n"/>
    </row>
    <row r="934" ht="14.25" customHeight="1" s="281">
      <c r="S934" s="229" t="n"/>
    </row>
    <row r="935" ht="14.25" customHeight="1" s="281">
      <c r="S935" s="229" t="n"/>
    </row>
    <row r="936" ht="14.25" customHeight="1" s="281">
      <c r="S936" s="229" t="n"/>
    </row>
    <row r="937" ht="14.25" customHeight="1" s="281">
      <c r="S937" s="229" t="n"/>
    </row>
    <row r="938" ht="14.25" customHeight="1" s="281">
      <c r="S938" s="229" t="n"/>
    </row>
    <row r="939" ht="14.25" customHeight="1" s="281">
      <c r="S939" s="229" t="n"/>
    </row>
    <row r="940" ht="14.25" customHeight="1" s="281">
      <c r="S940" s="229" t="n"/>
    </row>
    <row r="941" ht="14.25" customHeight="1" s="281">
      <c r="S941" s="229" t="n"/>
    </row>
    <row r="942" ht="14.25" customHeight="1" s="281">
      <c r="S942" s="229" t="n"/>
    </row>
    <row r="943" ht="14.25" customHeight="1" s="281">
      <c r="S943" s="229" t="n"/>
    </row>
    <row r="944" ht="14.25" customHeight="1" s="281">
      <c r="S944" s="229" t="n"/>
    </row>
    <row r="945" ht="14.25" customHeight="1" s="281">
      <c r="S945" s="229" t="n"/>
    </row>
    <row r="946" ht="14.25" customHeight="1" s="281">
      <c r="S946" s="229" t="n"/>
    </row>
    <row r="947" ht="14.25" customHeight="1" s="281">
      <c r="S947" s="229" t="n"/>
    </row>
    <row r="948" ht="14.25" customHeight="1" s="281">
      <c r="S948" s="229" t="n"/>
    </row>
    <row r="949" ht="14.25" customHeight="1" s="281">
      <c r="S949" s="229" t="n"/>
    </row>
    <row r="950" ht="14.25" customHeight="1" s="281">
      <c r="S950" s="229" t="n"/>
    </row>
    <row r="951" ht="14.25" customHeight="1" s="281">
      <c r="S951" s="229" t="n"/>
    </row>
    <row r="952" ht="14.25" customHeight="1" s="281">
      <c r="S952" s="229" t="n"/>
    </row>
    <row r="953" ht="14.25" customHeight="1" s="281">
      <c r="S953" s="229" t="n"/>
    </row>
    <row r="954" ht="14.25" customHeight="1" s="281">
      <c r="S954" s="229" t="n"/>
    </row>
    <row r="955" ht="14.25" customHeight="1" s="281">
      <c r="S955" s="229" t="n"/>
    </row>
    <row r="956" ht="14.25" customHeight="1" s="281">
      <c r="S956" s="229" t="n"/>
    </row>
    <row r="957" ht="14.25" customHeight="1" s="281">
      <c r="S957" s="229" t="n"/>
    </row>
    <row r="958" ht="14.25" customHeight="1" s="281">
      <c r="S958" s="229" t="n"/>
    </row>
    <row r="959" ht="14.25" customHeight="1" s="281">
      <c r="S959" s="229" t="n"/>
    </row>
    <row r="960" ht="14.25" customHeight="1" s="281">
      <c r="S960" s="229" t="n"/>
    </row>
    <row r="961" ht="14.25" customHeight="1" s="281">
      <c r="S961" s="229" t="n"/>
    </row>
    <row r="962" ht="14.25" customHeight="1" s="281">
      <c r="S962" s="229" t="n"/>
    </row>
    <row r="963" ht="14.25" customHeight="1" s="281">
      <c r="S963" s="229" t="n"/>
    </row>
    <row r="964" ht="14.25" customHeight="1" s="281">
      <c r="S964" s="229" t="n"/>
    </row>
    <row r="965" ht="14.25" customHeight="1" s="281">
      <c r="S965" s="229" t="n"/>
    </row>
    <row r="966" ht="14.25" customHeight="1" s="281">
      <c r="S966" s="229" t="n"/>
    </row>
    <row r="967" ht="14.25" customHeight="1" s="281">
      <c r="S967" s="229" t="n"/>
    </row>
    <row r="968" ht="14.25" customHeight="1" s="281">
      <c r="S968" s="229" t="n"/>
    </row>
    <row r="969" ht="14.25" customHeight="1" s="281">
      <c r="S969" s="229" t="n"/>
    </row>
    <row r="970" ht="14.25" customHeight="1" s="281">
      <c r="S970" s="229" t="n"/>
    </row>
    <row r="971" ht="14.25" customHeight="1" s="281">
      <c r="S971" s="229" t="n"/>
    </row>
    <row r="972" ht="14.25" customHeight="1" s="281">
      <c r="S972" s="229" t="n"/>
    </row>
    <row r="973" ht="14.25" customHeight="1" s="281">
      <c r="S973" s="229" t="n"/>
    </row>
    <row r="974" ht="14.25" customHeight="1" s="281">
      <c r="S974" s="229" t="n"/>
    </row>
    <row r="975" ht="14.25" customHeight="1" s="281">
      <c r="S975" s="229" t="n"/>
    </row>
    <row r="976" ht="14.25" customHeight="1" s="281">
      <c r="S976" s="229" t="n"/>
    </row>
    <row r="977" ht="14.25" customHeight="1" s="281">
      <c r="S977" s="229" t="n"/>
    </row>
    <row r="978" ht="14.25" customHeight="1" s="281">
      <c r="S978" s="229" t="n"/>
    </row>
    <row r="979" ht="14.25" customHeight="1" s="281">
      <c r="S979" s="229" t="n"/>
    </row>
    <row r="980" ht="14.25" customHeight="1" s="281">
      <c r="S980" s="229" t="n"/>
    </row>
    <row r="981" ht="14.25" customHeight="1" s="281">
      <c r="S981" s="229" t="n"/>
    </row>
    <row r="982" ht="14.25" customHeight="1" s="281">
      <c r="S982" s="229" t="n"/>
    </row>
    <row r="983" ht="14.25" customHeight="1" s="281">
      <c r="S983" s="229" t="n"/>
    </row>
    <row r="984" ht="14.25" customHeight="1" s="281">
      <c r="S984" s="229" t="n"/>
    </row>
    <row r="985" ht="14.25" customHeight="1" s="281">
      <c r="S985" s="229" t="n"/>
    </row>
    <row r="986" ht="14.25" customHeight="1" s="281">
      <c r="S986" s="229" t="n"/>
    </row>
    <row r="987" ht="14.25" customHeight="1" s="281">
      <c r="S987" s="229" t="n"/>
    </row>
    <row r="988" ht="14.25" customHeight="1" s="281">
      <c r="S988" s="229" t="n"/>
    </row>
    <row r="989" ht="14.25" customHeight="1" s="281">
      <c r="S989" s="229" t="n"/>
    </row>
    <row r="990" ht="14.25" customHeight="1" s="281">
      <c r="S990" s="229" t="n"/>
    </row>
    <row r="991" ht="14.25" customHeight="1" s="281">
      <c r="S991" s="229" t="n"/>
    </row>
    <row r="992" ht="14.25" customHeight="1" s="281">
      <c r="S992" s="229" t="n"/>
    </row>
    <row r="993" ht="14.25" customHeight="1" s="281">
      <c r="S993" s="229" t="n"/>
    </row>
    <row r="994" ht="14.25" customHeight="1" s="281">
      <c r="S994" s="229" t="n"/>
    </row>
    <row r="995" ht="14.25" customHeight="1" s="281">
      <c r="S995" s="229" t="n"/>
    </row>
    <row r="996" ht="14.25" customHeight="1" s="281">
      <c r="S996" s="229" t="n"/>
    </row>
    <row r="997" ht="14.25" customHeight="1" s="281">
      <c r="S997" s="229" t="n"/>
    </row>
    <row r="998" ht="14.25" customHeight="1" s="281">
      <c r="S998" s="229" t="n"/>
    </row>
    <row r="999" ht="14.25" customHeight="1" s="281">
      <c r="S999" s="229" t="n"/>
    </row>
    <row r="1000" ht="14.25" customHeight="1" s="281">
      <c r="S1000" s="229" t="n"/>
    </row>
    <row r="1001" ht="14.25" customHeight="1" s="281">
      <c r="S1001" s="229" t="n"/>
    </row>
    <row r="1002" ht="14.25" customHeight="1" s="281">
      <c r="S1002" s="229" t="n"/>
    </row>
  </sheetData>
  <dataValidations count="2">
    <dataValidation sqref="F2:G106" showDropDown="1" showInputMessage="0" showErrorMessage="0" allowBlank="1" type="custom">
      <formula1>OR(NOT(ISERROR(DATEVALUE(F2))), AND(ISNUMBER(F2), LEFT(CELL("format", F2))="D"))</formula1>
    </dataValidation>
    <dataValidation sqref="S2:S106" showDropDown="1" showInputMessage="0" showErrorMessage="0" allowBlank="1" type="custom">
      <formula1>AND(ISNUMBER(S2),(NOT(OR(NOT(ISERROR(DATEVALUE(S2))), AND(ISNUMBER(S2), LEFT(CELL("format", S2))="D")))))</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81" min="1" max="1"/>
    <col width="17.71" customWidth="1" style="281" min="2" max="2"/>
    <col width="14.14" customWidth="1" style="281" min="3" max="3"/>
    <col width="19.57" customWidth="1" style="281" min="4" max="4"/>
    <col width="20.86" customWidth="1" style="281" min="5" max="5"/>
    <col width="17.86" customWidth="1" style="281" min="6" max="6"/>
    <col width="13.43" customWidth="1" style="281" min="7" max="7"/>
    <col width="17" customWidth="1" style="281" min="8" max="8"/>
    <col width="8.710000000000001" customWidth="1" style="281" min="9" max="26"/>
  </cols>
  <sheetData>
    <row r="1" ht="14.25" customHeight="1" s="281">
      <c r="A1" s="230" t="inlineStr">
        <is>
          <t>MRR Waterfall - January 2024 to April 2026</t>
        </is>
      </c>
    </row>
    <row r="2" ht="14.25" customHeight="1" s="281">
      <c r="A2" s="230" t="n"/>
      <c r="B2" s="230" t="n"/>
      <c r="C2" s="230" t="n"/>
      <c r="D2" s="230" t="n"/>
      <c r="E2" s="230" t="n"/>
      <c r="F2" s="230" t="n"/>
      <c r="G2" s="230" t="n"/>
      <c r="H2" s="230" t="n"/>
    </row>
    <row r="3" ht="14.25" customHeight="1" s="281">
      <c r="A3" s="218" t="inlineStr">
        <is>
          <t>Month</t>
        </is>
      </c>
      <c r="B3" s="218" t="inlineStr">
        <is>
          <t>Opening MRR</t>
        </is>
      </c>
      <c r="C3" s="218" t="inlineStr">
        <is>
          <t>New</t>
        </is>
      </c>
      <c r="D3" s="218" t="inlineStr">
        <is>
          <t>Expansion</t>
        </is>
      </c>
      <c r="E3" s="218" t="inlineStr">
        <is>
          <t>Contraction</t>
        </is>
      </c>
      <c r="F3" s="218" t="inlineStr">
        <is>
          <t>Churned</t>
        </is>
      </c>
      <c r="G3" s="218" t="inlineStr">
        <is>
          <t>Net</t>
        </is>
      </c>
      <c r="H3" s="218" t="inlineStr">
        <is>
          <t>Closing</t>
        </is>
      </c>
    </row>
    <row r="4" ht="14.25" customHeight="1" s="281">
      <c r="A4" s="231" t="n">
        <v>45292</v>
      </c>
      <c r="B4" s="232">
        <f>0</f>
        <v/>
      </c>
      <c r="C4" s="232">
        <f>SUMIFS(Engine[mrr_delta], Engine[movement], "New", Engine[month], Waterfall!A4)</f>
        <v/>
      </c>
      <c r="D4" s="232">
        <f>SUMIFS(Engine[mrr_delta], Engine[movement], "Expansion", Engine[month], Waterfall!A4)</f>
        <v/>
      </c>
      <c r="E4" s="232">
        <f>SUMIFS(Engine[mrr_delta], Engine[movement], "Contraction", Engine[month], Waterfall!A4)</f>
        <v/>
      </c>
      <c r="F4" s="232">
        <f>SUMIFS(Engine[mrr_delta], Engine[movement], "Churned", Engine[month], Waterfall!A4)</f>
        <v/>
      </c>
      <c r="G4" s="232">
        <f>C4+D4+E4+F4</f>
        <v/>
      </c>
      <c r="H4" s="232">
        <f>B4+G4</f>
        <v/>
      </c>
    </row>
    <row r="5" ht="14.25" customHeight="1" s="281">
      <c r="A5" s="231" t="n">
        <v>45323</v>
      </c>
      <c r="B5" s="232">
        <f>H4</f>
        <v/>
      </c>
      <c r="C5" s="232">
        <f>SUMIFS(Engine[mrr_delta], Engine[movement], "New", Engine[month], Waterfall!A5)</f>
        <v/>
      </c>
      <c r="D5" s="232">
        <f>SUMIFS(Engine[mrr_delta], Engine[movement], "Expansion", Engine[month], Waterfall!A5)</f>
        <v/>
      </c>
      <c r="E5" s="232">
        <f>SUMIFS(Engine[mrr_delta], Engine[movement], "Contraction", Engine[month], Waterfall!A5)</f>
        <v/>
      </c>
      <c r="F5" s="232">
        <f>SUMIFS(Engine[mrr_delta], Engine[movement], "Churned", Engine[month], Waterfall!A5)</f>
        <v/>
      </c>
      <c r="G5" s="232">
        <f>C5+D5+E5+F5</f>
        <v/>
      </c>
      <c r="H5" s="232">
        <f>B5+G5</f>
        <v/>
      </c>
    </row>
    <row r="6" ht="14.25" customHeight="1" s="281">
      <c r="A6" s="231" t="n">
        <v>45352</v>
      </c>
      <c r="B6" s="232">
        <f>H5</f>
        <v/>
      </c>
      <c r="C6" s="232">
        <f>SUMIFS(Engine[mrr_delta], Engine[movement], "New", Engine[month], Waterfall!A6)</f>
        <v/>
      </c>
      <c r="D6" s="232">
        <f>SUMIFS(Engine[mrr_delta], Engine[movement], "Expansion", Engine[month], Waterfall!A6)</f>
        <v/>
      </c>
      <c r="E6" s="232">
        <f>SUMIFS(Engine[mrr_delta], Engine[movement], "Contraction", Engine[month], Waterfall!A6)</f>
        <v/>
      </c>
      <c r="F6" s="232">
        <f>SUMIFS(Engine[mrr_delta], Engine[movement], "Churned", Engine[month], Waterfall!A6)</f>
        <v/>
      </c>
      <c r="G6" s="232">
        <f>C6+D6+E6+F6</f>
        <v/>
      </c>
      <c r="H6" s="232">
        <f>B6+G6</f>
        <v/>
      </c>
    </row>
    <row r="7" ht="14.25" customHeight="1" s="281">
      <c r="A7" s="231" t="n">
        <v>45383</v>
      </c>
      <c r="B7" s="232">
        <f>H6</f>
        <v/>
      </c>
      <c r="C7" s="232">
        <f>SUMIFS(Engine[mrr_delta], Engine[movement], "New", Engine[month], Waterfall!A7)</f>
        <v/>
      </c>
      <c r="D7" s="232">
        <f>SUMIFS(Engine[mrr_delta], Engine[movement], "Expansion", Engine[month], Waterfall!A7)</f>
        <v/>
      </c>
      <c r="E7" s="232">
        <f>SUMIFS(Engine[mrr_delta], Engine[movement], "Contraction", Engine[month], Waterfall!A7)</f>
        <v/>
      </c>
      <c r="F7" s="232">
        <f>SUMIFS(Engine[mrr_delta], Engine[movement], "Churned", Engine[month], Waterfall!A7)</f>
        <v/>
      </c>
      <c r="G7" s="232">
        <f>C7+D7+E7+F7</f>
        <v/>
      </c>
      <c r="H7" s="232">
        <f>B7+G7</f>
        <v/>
      </c>
    </row>
    <row r="8" ht="14.25" customHeight="1" s="281">
      <c r="A8" s="231" t="n">
        <v>45413</v>
      </c>
      <c r="B8" s="232">
        <f>H7</f>
        <v/>
      </c>
      <c r="C8" s="232">
        <f>SUMIFS(Engine[mrr_delta], Engine[movement], "New", Engine[month], Waterfall!A8)</f>
        <v/>
      </c>
      <c r="D8" s="232">
        <f>SUMIFS(Engine[mrr_delta], Engine[movement], "Expansion", Engine[month], Waterfall!A8)</f>
        <v/>
      </c>
      <c r="E8" s="232">
        <f>SUMIFS(Engine[mrr_delta], Engine[movement], "Contraction", Engine[month], Waterfall!A8)</f>
        <v/>
      </c>
      <c r="F8" s="232">
        <f>SUMIFS(Engine[mrr_delta], Engine[movement], "Churned", Engine[month], Waterfall!A8)</f>
        <v/>
      </c>
      <c r="G8" s="232">
        <f>C8+D8+E8+F8</f>
        <v/>
      </c>
      <c r="H8" s="232">
        <f>B8+G8</f>
        <v/>
      </c>
    </row>
    <row r="9" ht="14.25" customHeight="1" s="281">
      <c r="A9" s="231" t="n">
        <v>45444</v>
      </c>
      <c r="B9" s="232">
        <f>H8</f>
        <v/>
      </c>
      <c r="C9" s="232">
        <f>SUMIFS(Engine[mrr_delta], Engine[movement], "New", Engine[month], Waterfall!A9)</f>
        <v/>
      </c>
      <c r="D9" s="232">
        <f>SUMIFS(Engine[mrr_delta], Engine[movement], "Expansion", Engine[month], Waterfall!A9)</f>
        <v/>
      </c>
      <c r="E9" s="232">
        <f>SUMIFS(Engine[mrr_delta], Engine[movement], "Contraction", Engine[month], Waterfall!A9)</f>
        <v/>
      </c>
      <c r="F9" s="232">
        <f>SUMIFS(Engine[mrr_delta], Engine[movement], "Churned", Engine[month], Waterfall!A9)</f>
        <v/>
      </c>
      <c r="G9" s="232">
        <f>C9+D9+E9+F9</f>
        <v/>
      </c>
      <c r="H9" s="232">
        <f>B9+G9</f>
        <v/>
      </c>
    </row>
    <row r="10" ht="14.25" customHeight="1" s="281">
      <c r="A10" s="231" t="n">
        <v>45474</v>
      </c>
      <c r="B10" s="232">
        <f>H9</f>
        <v/>
      </c>
      <c r="C10" s="232">
        <f>SUMIFS(Engine[mrr_delta], Engine[movement], "New", Engine[month], Waterfall!A10)</f>
        <v/>
      </c>
      <c r="D10" s="232">
        <f>SUMIFS(Engine[mrr_delta], Engine[movement], "Expansion", Engine[month], Waterfall!A10)</f>
        <v/>
      </c>
      <c r="E10" s="232">
        <f>SUMIFS(Engine[mrr_delta], Engine[movement], "Contraction", Engine[month], Waterfall!A10)</f>
        <v/>
      </c>
      <c r="F10" s="232">
        <f>SUMIFS(Engine[mrr_delta], Engine[movement], "Churned", Engine[month], Waterfall!A10)</f>
        <v/>
      </c>
      <c r="G10" s="232">
        <f>C10+D10+E10+F10</f>
        <v/>
      </c>
      <c r="H10" s="232">
        <f>B10+G10</f>
        <v/>
      </c>
    </row>
    <row r="11" ht="14.25" customHeight="1" s="281">
      <c r="A11" s="231" t="n">
        <v>45505</v>
      </c>
      <c r="B11" s="232">
        <f>H10</f>
        <v/>
      </c>
      <c r="C11" s="232">
        <f>SUMIFS(Engine[mrr_delta], Engine[movement], "New", Engine[month], Waterfall!A11)</f>
        <v/>
      </c>
      <c r="D11" s="232">
        <f>SUMIFS(Engine[mrr_delta], Engine[movement], "Expansion", Engine[month], Waterfall!A11)</f>
        <v/>
      </c>
      <c r="E11" s="232">
        <f>SUMIFS(Engine[mrr_delta], Engine[movement], "Contraction", Engine[month], Waterfall!A11)</f>
        <v/>
      </c>
      <c r="F11" s="232">
        <f>SUMIFS(Engine[mrr_delta], Engine[movement], "Churned", Engine[month], Waterfall!A11)</f>
        <v/>
      </c>
      <c r="G11" s="232">
        <f>C11+D11+E11+F11</f>
        <v/>
      </c>
      <c r="H11" s="232">
        <f>B11+G11</f>
        <v/>
      </c>
    </row>
    <row r="12" ht="14.25" customHeight="1" s="281">
      <c r="A12" s="231" t="n">
        <v>45536</v>
      </c>
      <c r="B12" s="232">
        <f>H11</f>
        <v/>
      </c>
      <c r="C12" s="232">
        <f>SUMIFS(Engine[mrr_delta], Engine[movement], "New", Engine[month], Waterfall!A12)</f>
        <v/>
      </c>
      <c r="D12" s="232">
        <f>SUMIFS(Engine[mrr_delta], Engine[movement], "Expansion", Engine[month], Waterfall!A12)</f>
        <v/>
      </c>
      <c r="E12" s="232">
        <f>SUMIFS(Engine[mrr_delta], Engine[movement], "Contraction", Engine[month], Waterfall!A12)</f>
        <v/>
      </c>
      <c r="F12" s="232">
        <f>SUMIFS(Engine[mrr_delta], Engine[movement], "Churned", Engine[month], Waterfall!A12)</f>
        <v/>
      </c>
      <c r="G12" s="232">
        <f>C12+D12+E12+F12</f>
        <v/>
      </c>
      <c r="H12" s="232">
        <f>B12+G12</f>
        <v/>
      </c>
    </row>
    <row r="13" ht="14.25" customHeight="1" s="281">
      <c r="A13" s="231" t="n">
        <v>45566</v>
      </c>
      <c r="B13" s="232">
        <f>H12</f>
        <v/>
      </c>
      <c r="C13" s="232">
        <f>SUMIFS(Engine[mrr_delta], Engine[movement], "New", Engine[month], Waterfall!A13)</f>
        <v/>
      </c>
      <c r="D13" s="232">
        <f>SUMIFS(Engine[mrr_delta], Engine[movement], "Expansion", Engine[month], Waterfall!A13)</f>
        <v/>
      </c>
      <c r="E13" s="232">
        <f>SUMIFS(Engine[mrr_delta], Engine[movement], "Contraction", Engine[month], Waterfall!A13)</f>
        <v/>
      </c>
      <c r="F13" s="232">
        <f>SUMIFS(Engine[mrr_delta], Engine[movement], "Churned", Engine[month], Waterfall!A13)</f>
        <v/>
      </c>
      <c r="G13" s="232">
        <f>C13+D13+E13+F13</f>
        <v/>
      </c>
      <c r="H13" s="232">
        <f>B13+G13</f>
        <v/>
      </c>
    </row>
    <row r="14" ht="14.25" customHeight="1" s="281">
      <c r="A14" s="231" t="n">
        <v>45597</v>
      </c>
      <c r="B14" s="232">
        <f>H13</f>
        <v/>
      </c>
      <c r="C14" s="232">
        <f>SUMIFS(Engine[mrr_delta], Engine[movement], "New", Engine[month], Waterfall!A14)</f>
        <v/>
      </c>
      <c r="D14" s="232">
        <f>SUMIFS(Engine[mrr_delta], Engine[movement], "Expansion", Engine[month], Waterfall!A14)</f>
        <v/>
      </c>
      <c r="E14" s="232">
        <f>SUMIFS(Engine[mrr_delta], Engine[movement], "Contraction", Engine[month], Waterfall!A14)</f>
        <v/>
      </c>
      <c r="F14" s="232">
        <f>SUMIFS(Engine[mrr_delta], Engine[movement], "Churned", Engine[month], Waterfall!A14)</f>
        <v/>
      </c>
      <c r="G14" s="232">
        <f>C14+D14+E14+F14</f>
        <v/>
      </c>
      <c r="H14" s="232">
        <f>B14+G14</f>
        <v/>
      </c>
    </row>
    <row r="15" ht="14.25" customHeight="1" s="281">
      <c r="A15" s="231" t="n">
        <v>45627</v>
      </c>
      <c r="B15" s="232">
        <f>H14</f>
        <v/>
      </c>
      <c r="C15" s="232">
        <f>SUMIFS(Engine[mrr_delta], Engine[movement], "New", Engine[month], Waterfall!A15)</f>
        <v/>
      </c>
      <c r="D15" s="232">
        <f>SUMIFS(Engine[mrr_delta], Engine[movement], "Expansion", Engine[month], Waterfall!A15)</f>
        <v/>
      </c>
      <c r="E15" s="232">
        <f>SUMIFS(Engine[mrr_delta], Engine[movement], "Contraction", Engine[month], Waterfall!A15)</f>
        <v/>
      </c>
      <c r="F15" s="232">
        <f>SUMIFS(Engine[mrr_delta], Engine[movement], "Churned", Engine[month], Waterfall!A15)</f>
        <v/>
      </c>
      <c r="G15" s="232">
        <f>C15+D15+E15+F15</f>
        <v/>
      </c>
      <c r="H15" s="232">
        <f>B15+G15</f>
        <v/>
      </c>
    </row>
    <row r="16" ht="14.25" customHeight="1" s="281">
      <c r="A16" s="231" t="n">
        <v>45658</v>
      </c>
      <c r="B16" s="232">
        <f>H15</f>
        <v/>
      </c>
      <c r="C16" s="232">
        <f>SUMIFS(Engine[mrr_delta], Engine[movement], "New", Engine[month], Waterfall!A16)</f>
        <v/>
      </c>
      <c r="D16" s="232">
        <f>SUMIFS(Engine[mrr_delta], Engine[movement], "Expansion", Engine[month], Waterfall!A16)</f>
        <v/>
      </c>
      <c r="E16" s="232">
        <f>SUMIFS(Engine[mrr_delta], Engine[movement], "Contraction", Engine[month], Waterfall!A16)</f>
        <v/>
      </c>
      <c r="F16" s="232">
        <f>SUMIFS(Engine[mrr_delta], Engine[movement], "Churned", Engine[month], Waterfall!A16)</f>
        <v/>
      </c>
      <c r="G16" s="232">
        <f>C16+D16+E16+F16</f>
        <v/>
      </c>
      <c r="H16" s="232">
        <f>B16+G16</f>
        <v/>
      </c>
    </row>
    <row r="17" ht="14.25" customHeight="1" s="281">
      <c r="A17" s="231" t="n">
        <v>45689</v>
      </c>
      <c r="B17" s="232">
        <f>H16</f>
        <v/>
      </c>
      <c r="C17" s="232">
        <f>SUMIFS(Engine[mrr_delta], Engine[movement], "New", Engine[month], Waterfall!A17)</f>
        <v/>
      </c>
      <c r="D17" s="232">
        <f>SUMIFS(Engine[mrr_delta], Engine[movement], "Expansion", Engine[month], Waterfall!A17)</f>
        <v/>
      </c>
      <c r="E17" s="232">
        <f>SUMIFS(Engine[mrr_delta], Engine[movement], "Contraction", Engine[month], Waterfall!A17)</f>
        <v/>
      </c>
      <c r="F17" s="232">
        <f>SUMIFS(Engine[mrr_delta], Engine[movement], "Churned", Engine[month], Waterfall!A17)</f>
        <v/>
      </c>
      <c r="G17" s="232">
        <f>C17+D17+E17+F17</f>
        <v/>
      </c>
      <c r="H17" s="232">
        <f>B17+G17</f>
        <v/>
      </c>
    </row>
    <row r="18" ht="14.25" customHeight="1" s="281">
      <c r="A18" s="231" t="n">
        <v>45717</v>
      </c>
      <c r="B18" s="232">
        <f>H17</f>
        <v/>
      </c>
      <c r="C18" s="232">
        <f>SUMIFS(Engine[mrr_delta], Engine[movement], "New", Engine[month], Waterfall!A18)</f>
        <v/>
      </c>
      <c r="D18" s="232">
        <f>SUMIFS(Engine[mrr_delta], Engine[movement], "Expansion", Engine[month], Waterfall!A18)</f>
        <v/>
      </c>
      <c r="E18" s="232">
        <f>SUMIFS(Engine[mrr_delta], Engine[movement], "Contraction", Engine[month], Waterfall!A18)</f>
        <v/>
      </c>
      <c r="F18" s="232">
        <f>SUMIFS(Engine[mrr_delta], Engine[movement], "Churned", Engine[month], Waterfall!A18)</f>
        <v/>
      </c>
      <c r="G18" s="232">
        <f>C18+D18+E18+F18</f>
        <v/>
      </c>
      <c r="H18" s="232">
        <f>B18+G18</f>
        <v/>
      </c>
    </row>
    <row r="19" ht="14.25" customHeight="1" s="281">
      <c r="A19" s="231" t="n">
        <v>45748</v>
      </c>
      <c r="B19" s="232">
        <f>H18</f>
        <v/>
      </c>
      <c r="C19" s="232">
        <f>SUMIFS(Engine[mrr_delta], Engine[movement], "New", Engine[month], Waterfall!A19)</f>
        <v/>
      </c>
      <c r="D19" s="232">
        <f>SUMIFS(Engine[mrr_delta], Engine[movement], "Expansion", Engine[month], Waterfall!A19)</f>
        <v/>
      </c>
      <c r="E19" s="232">
        <f>SUMIFS(Engine[mrr_delta], Engine[movement], "Contraction", Engine[month], Waterfall!A19)</f>
        <v/>
      </c>
      <c r="F19" s="232">
        <f>SUMIFS(Engine[mrr_delta], Engine[movement], "Churned", Engine[month], Waterfall!A19)</f>
        <v/>
      </c>
      <c r="G19" s="232">
        <f>C19+D19+E19+F19</f>
        <v/>
      </c>
      <c r="H19" s="232">
        <f>B19+G19</f>
        <v/>
      </c>
    </row>
    <row r="20" ht="14.25" customHeight="1" s="281">
      <c r="A20" s="231" t="n">
        <v>45778</v>
      </c>
      <c r="B20" s="232">
        <f>H19</f>
        <v/>
      </c>
      <c r="C20" s="232">
        <f>SUMIFS(Engine[mrr_delta], Engine[movement], "New", Engine[month], Waterfall!A20)</f>
        <v/>
      </c>
      <c r="D20" s="232">
        <f>SUMIFS(Engine[mrr_delta], Engine[movement], "Expansion", Engine[month], Waterfall!A20)</f>
        <v/>
      </c>
      <c r="E20" s="232">
        <f>SUMIFS(Engine[mrr_delta], Engine[movement], "Contraction", Engine[month], Waterfall!A20)</f>
        <v/>
      </c>
      <c r="F20" s="232">
        <f>SUMIFS(Engine[mrr_delta], Engine[movement], "Churned", Engine[month], Waterfall!A20)</f>
        <v/>
      </c>
      <c r="G20" s="232">
        <f>C20+D20+E20+F20</f>
        <v/>
      </c>
      <c r="H20" s="232">
        <f>B20+G20</f>
        <v/>
      </c>
    </row>
    <row r="21" ht="14.25" customHeight="1" s="281">
      <c r="A21" s="231" t="n">
        <v>45809</v>
      </c>
      <c r="B21" s="232">
        <f>H20</f>
        <v/>
      </c>
      <c r="C21" s="232">
        <f>SUMIFS(Engine[mrr_delta], Engine[movement], "New", Engine[month], Waterfall!A21)</f>
        <v/>
      </c>
      <c r="D21" s="232">
        <f>SUMIFS(Engine[mrr_delta], Engine[movement], "Expansion", Engine[month], Waterfall!A21)</f>
        <v/>
      </c>
      <c r="E21" s="232">
        <f>SUMIFS(Engine[mrr_delta], Engine[movement], "Contraction", Engine[month], Waterfall!A21)</f>
        <v/>
      </c>
      <c r="F21" s="232">
        <f>SUMIFS(Engine[mrr_delta], Engine[movement], "Churned", Engine[month], Waterfall!A21)</f>
        <v/>
      </c>
      <c r="G21" s="232">
        <f>C21+D21+E21+F21</f>
        <v/>
      </c>
      <c r="H21" s="232">
        <f>B21+G21</f>
        <v/>
      </c>
    </row>
    <row r="22" ht="14.25" customHeight="1" s="281">
      <c r="A22" s="231" t="n">
        <v>45839</v>
      </c>
      <c r="B22" s="232">
        <f>H21</f>
        <v/>
      </c>
      <c r="C22" s="232">
        <f>SUMIFS(Engine[mrr_delta], Engine[movement], "New", Engine[month], Waterfall!A22)</f>
        <v/>
      </c>
      <c r="D22" s="232">
        <f>SUMIFS(Engine[mrr_delta], Engine[movement], "Expansion", Engine[month], Waterfall!A22)</f>
        <v/>
      </c>
      <c r="E22" s="232">
        <f>SUMIFS(Engine[mrr_delta], Engine[movement], "Contraction", Engine[month], Waterfall!A22)</f>
        <v/>
      </c>
      <c r="F22" s="232">
        <f>SUMIFS(Engine[mrr_delta], Engine[movement], "Churned", Engine[month], Waterfall!A22)</f>
        <v/>
      </c>
      <c r="G22" s="232">
        <f>C22+D22+E22+F22</f>
        <v/>
      </c>
      <c r="H22" s="232">
        <f>B22+G22</f>
        <v/>
      </c>
    </row>
    <row r="23" ht="14.25" customHeight="1" s="281">
      <c r="A23" s="231" t="n">
        <v>45870</v>
      </c>
      <c r="B23" s="232">
        <f>H22</f>
        <v/>
      </c>
      <c r="C23" s="232">
        <f>SUMIFS(Engine[mrr_delta], Engine[movement], "New", Engine[month], Waterfall!A23)</f>
        <v/>
      </c>
      <c r="D23" s="232">
        <f>SUMIFS(Engine[mrr_delta], Engine[movement], "Expansion", Engine[month], Waterfall!A23)</f>
        <v/>
      </c>
      <c r="E23" s="232">
        <f>SUMIFS(Engine[mrr_delta], Engine[movement], "Contraction", Engine[month], Waterfall!A23)</f>
        <v/>
      </c>
      <c r="F23" s="232">
        <f>SUMIFS(Engine[mrr_delta], Engine[movement], "Churned", Engine[month], Waterfall!A23)</f>
        <v/>
      </c>
      <c r="G23" s="232">
        <f>C23+D23+E23+F23</f>
        <v/>
      </c>
      <c r="H23" s="232">
        <f>B23+G23</f>
        <v/>
      </c>
    </row>
    <row r="24" ht="14.25" customHeight="1" s="281">
      <c r="A24" s="231" t="n">
        <v>45901</v>
      </c>
      <c r="B24" s="232">
        <f>H23</f>
        <v/>
      </c>
      <c r="C24" s="232">
        <f>SUMIFS(Engine[mrr_delta], Engine[movement], "New", Engine[month], Waterfall!A24)</f>
        <v/>
      </c>
      <c r="D24" s="232">
        <f>SUMIFS(Engine[mrr_delta], Engine[movement], "Expansion", Engine[month], Waterfall!A24)</f>
        <v/>
      </c>
      <c r="E24" s="232">
        <f>SUMIFS(Engine[mrr_delta], Engine[movement], "Contraction", Engine[month], Waterfall!A24)</f>
        <v/>
      </c>
      <c r="F24" s="232">
        <f>SUMIFS(Engine[mrr_delta], Engine[movement], "Churned", Engine[month], Waterfall!A24)</f>
        <v/>
      </c>
      <c r="G24" s="232">
        <f>C24+D24+E24+F24</f>
        <v/>
      </c>
      <c r="H24" s="232">
        <f>B24+G24</f>
        <v/>
      </c>
    </row>
    <row r="25" ht="14.25" customHeight="1" s="281">
      <c r="A25" s="231" t="n">
        <v>45931</v>
      </c>
      <c r="B25" s="232">
        <f>H24</f>
        <v/>
      </c>
      <c r="C25" s="232">
        <f>SUMIFS(Engine[mrr_delta], Engine[movement], "New", Engine[month], Waterfall!A25)</f>
        <v/>
      </c>
      <c r="D25" s="232">
        <f>SUMIFS(Engine[mrr_delta], Engine[movement], "Expansion", Engine[month], Waterfall!A25)</f>
        <v/>
      </c>
      <c r="E25" s="232">
        <f>SUMIFS(Engine[mrr_delta], Engine[movement], "Contraction", Engine[month], Waterfall!A25)</f>
        <v/>
      </c>
      <c r="F25" s="232">
        <f>SUMIFS(Engine[mrr_delta], Engine[movement], "Churned", Engine[month], Waterfall!A25)</f>
        <v/>
      </c>
      <c r="G25" s="232">
        <f>C25+D25+E25+F25</f>
        <v/>
      </c>
      <c r="H25" s="232">
        <f>B25+G25</f>
        <v/>
      </c>
    </row>
    <row r="26" ht="14.25" customHeight="1" s="281">
      <c r="A26" s="231" t="n">
        <v>45962</v>
      </c>
      <c r="B26" s="232">
        <f>H25</f>
        <v/>
      </c>
      <c r="C26" s="232">
        <f>SUMIFS(Engine[mrr_delta], Engine[movement], "New", Engine[month], Waterfall!A26)</f>
        <v/>
      </c>
      <c r="D26" s="232">
        <f>SUMIFS(Engine[mrr_delta], Engine[movement], "Expansion", Engine[month], Waterfall!A26)</f>
        <v/>
      </c>
      <c r="E26" s="232">
        <f>SUMIFS(Engine[mrr_delta], Engine[movement], "Contraction", Engine[month], Waterfall!A26)</f>
        <v/>
      </c>
      <c r="F26" s="232">
        <f>SUMIFS(Engine[mrr_delta], Engine[movement], "Churned", Engine[month], Waterfall!A26)</f>
        <v/>
      </c>
      <c r="G26" s="233">
        <f>C26+D26+E26+F26</f>
        <v/>
      </c>
      <c r="H26" s="232">
        <f>B26+G26</f>
        <v/>
      </c>
    </row>
    <row r="27" ht="14.25" customHeight="1" s="281">
      <c r="A27" s="231" t="n">
        <v>45992</v>
      </c>
      <c r="B27" s="232">
        <f>H26</f>
        <v/>
      </c>
      <c r="C27" s="232">
        <f>SUMIFS(Engine[mrr_delta], Engine[movement], "New", Engine[month], Waterfall!A27)</f>
        <v/>
      </c>
      <c r="D27" s="232">
        <f>SUMIFS(Engine[mrr_delta], Engine[movement], "Expansion", Engine[month], Waterfall!A27)</f>
        <v/>
      </c>
      <c r="E27" s="232">
        <f>SUMIFS(Engine[mrr_delta], Engine[movement], "Contraction", Engine[month], Waterfall!A27)</f>
        <v/>
      </c>
      <c r="F27" s="232">
        <f>SUMIFS(Engine[mrr_delta], Engine[movement], "Churned", Engine[month], Waterfall!A27)</f>
        <v/>
      </c>
      <c r="G27" s="232">
        <f>C27+D27+E27+F27</f>
        <v/>
      </c>
      <c r="H27" s="232">
        <f>B27+G27</f>
        <v/>
      </c>
    </row>
    <row r="28" ht="14.25" customHeight="1" s="281">
      <c r="A28" s="231" t="n">
        <v>46023</v>
      </c>
      <c r="B28" s="232">
        <f>'Jan 2026 A vs F '!B3</f>
        <v/>
      </c>
      <c r="C28" s="232">
        <f>SUMIFS(Engine[mrr_delta], Engine[movement], "New", Engine[month], Waterfall!A28)</f>
        <v/>
      </c>
      <c r="D28" s="232">
        <f>SUMIFS(Engine[mrr_delta], Engine[movement], "Expansion", Engine[month], Waterfall!A28)</f>
        <v/>
      </c>
      <c r="E28" s="232">
        <f>SUMIFS(Engine[mrr_delta], Engine[movement], "Contraction", Engine[month], Waterfall!A28)</f>
        <v/>
      </c>
      <c r="F28" s="232">
        <f>SUMIFS(Engine[mrr_delta], Engine[movement], "Churned", Engine[month], Waterfall!A28)</f>
        <v/>
      </c>
      <c r="G28" s="232">
        <f>C28+D28+E28+F28</f>
        <v/>
      </c>
      <c r="H28" s="232">
        <f>B28+G28</f>
        <v/>
      </c>
    </row>
    <row r="29" ht="14.25" customHeight="1" s="281">
      <c r="A29" s="231" t="n">
        <v>46054</v>
      </c>
      <c r="B29" s="232">
        <f>H28</f>
        <v/>
      </c>
      <c r="C29" s="232">
        <f>SUMIFS(Engine[mrr_delta], Engine[movement], "New", Engine[month], Waterfall!A29)</f>
        <v/>
      </c>
      <c r="D29" s="232">
        <f>SUMIFS(Engine[mrr_delta], Engine[movement], "Expansion", Engine[month], Waterfall!A29)</f>
        <v/>
      </c>
      <c r="E29" s="232">
        <f>SUMIFS(Engine[mrr_delta], Engine[movement], "Contraction", Engine[month], Waterfall!A29)</f>
        <v/>
      </c>
      <c r="F29" s="232">
        <f>SUMIFS(Engine[mrr_delta], Engine[movement], "Churned", Engine[month], Waterfall!A29)</f>
        <v/>
      </c>
      <c r="G29" s="232">
        <f>C29+D29+E29+F29</f>
        <v/>
      </c>
      <c r="H29" s="232">
        <f>B29+G29</f>
        <v/>
      </c>
    </row>
    <row r="30" ht="14.25" customHeight="1" s="281">
      <c r="A30" s="231" t="n">
        <v>46082</v>
      </c>
      <c r="B30" s="232">
        <f>H29</f>
        <v/>
      </c>
      <c r="C30" s="232">
        <f>SUMIFS(Engine[mrr_delta], Engine[movement], "New", Engine[month], Waterfall!A30)</f>
        <v/>
      </c>
      <c r="D30" s="232">
        <f>SUMIFS(Engine[mrr_delta], Engine[movement], "Expansion", Engine[month], Waterfall!A30)</f>
        <v/>
      </c>
      <c r="E30" s="232">
        <f>SUMIFS(Engine[mrr_delta], Engine[movement], "Contraction", Engine[month], Waterfall!A30)</f>
        <v/>
      </c>
      <c r="F30" s="232">
        <f>SUMIFS(Engine[mrr_delta], Engine[movement], "Churned", Engine[month], Waterfall!A30)</f>
        <v/>
      </c>
      <c r="G30" s="232">
        <f>C30+D30+E30+F30</f>
        <v/>
      </c>
      <c r="H30" s="232">
        <f>B30+G30</f>
        <v/>
      </c>
    </row>
    <row r="31" ht="14.25" customHeight="1" s="281">
      <c r="A31" s="231">
        <f>edate(A30,1)</f>
        <v/>
      </c>
      <c r="B31" s="232">
        <f>H30</f>
        <v/>
      </c>
      <c r="C31" s="232">
        <f>SUMIFS(Engine[mrr_delta], Engine[movement], "New", Engine[month], Waterfall!A31)</f>
        <v/>
      </c>
      <c r="D31" s="232">
        <f>SUMIFS(Engine[mrr_delta], Engine[movement], "Expansion", Engine[month], Waterfall!A31)</f>
        <v/>
      </c>
      <c r="E31" s="232">
        <f>SUMIFS(Engine[mrr_delta], Engine[movement], "Contraction", Engine[month], Waterfall!A31)</f>
        <v/>
      </c>
      <c r="F31" s="232">
        <f>SUMIFS(Engine[mrr_delta], Engine[movement], "Churned", Engine[month], Waterfall!A31)</f>
        <v/>
      </c>
      <c r="G31" s="232">
        <f>C31+D31+E31+F31</f>
        <v/>
      </c>
      <c r="H31" s="232">
        <f>B31+G31</f>
        <v/>
      </c>
    </row>
    <row r="32" ht="14.25" customHeight="1" s="281"/>
    <row r="33" ht="14.25" customHeight="1" s="281">
      <c r="A33" s="230" t="inlineStr">
        <is>
          <t>Waterfall Closing MRR:</t>
        </is>
      </c>
      <c r="B33" s="234">
        <f>H31</f>
        <v/>
      </c>
    </row>
    <row r="34" ht="14.25" customHeight="1" s="281">
      <c r="A34" s="230" t="inlineStr">
        <is>
          <t>Snapshot MRR:</t>
        </is>
      </c>
      <c r="B34" s="234">
        <f>SUM(Engine!$S$2:$S$102)</f>
        <v/>
      </c>
    </row>
    <row r="35" ht="14.25" customHeight="1" s="281">
      <c r="A35" s="230" t="inlineStr">
        <is>
          <t>Reconciliation Gap:</t>
        </is>
      </c>
      <c r="B35" s="234">
        <f>B33-B34</f>
        <v/>
      </c>
    </row>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row r="1001" ht="14.25" customHeight="1" s="281"/>
  </sheetData>
  <dataValidations count="2">
    <dataValidation sqref="A4:A31" showDropDown="1" showInputMessage="0" showErrorMessage="0" allowBlank="1" type="custom">
      <formula1>OR(NOT(ISERROR(DATEVALUE(A4))), AND(ISNUMBER(A4), LEFT(CELL("format", A4))="D"))</formula1>
    </dataValidation>
    <dataValidation sqref="B4:H31" showDropDown="1" showInputMessage="0" showErrorMessage="0" allowBlank="1" type="custom">
      <formula1>AND(ISNUMBER(B4),(NOT(OR(NOT(ISERROR(DATEVALUE(B4))), AND(ISNUMBER(B4), LEFT(CELL("format", B4))="D")))))</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AM37"/>
  <sheetViews>
    <sheetView workbookViewId="0">
      <selection activeCell="A1" sqref="A1"/>
    </sheetView>
  </sheetViews>
  <sheetFormatPr baseColWidth="8" defaultColWidth="14.43" defaultRowHeight="15" customHeight="1"/>
  <cols>
    <col width="40" customWidth="1" style="281" min="1" max="1"/>
    <col width="8.710000000000001" customWidth="1" style="281" min="2" max="2"/>
    <col width="10.86" customWidth="1" style="281" min="3" max="3"/>
    <col width="12" customWidth="1" style="281" min="4" max="14"/>
    <col width="13" customWidth="1" style="281" min="15" max="39"/>
  </cols>
  <sheetData>
    <row r="1" ht="14.25" customHeight="1" s="281">
      <c r="A1" s="235" t="inlineStr">
        <is>
          <t>Retention Analysis — January 2024 to February 2026</t>
        </is>
      </c>
    </row>
    <row r="2" ht="14.25" customHeight="1" s="281"/>
    <row r="3" ht="14.25" customHeight="1" s="281">
      <c r="A3" s="27" t="inlineStr">
        <is>
          <t>1. Monthly Retention Rates</t>
        </is>
      </c>
    </row>
    <row r="4" ht="14.25" customHeight="1" s="281">
      <c r="A4" s="27" t="inlineStr">
        <is>
          <t>Month</t>
        </is>
      </c>
      <c r="B4" s="237">
        <f>Waterfall!A4</f>
        <v/>
      </c>
      <c r="C4" s="237">
        <f>Waterfall!A5</f>
        <v/>
      </c>
      <c r="D4" s="237">
        <f>Waterfall!A6</f>
        <v/>
      </c>
      <c r="E4" s="237">
        <f>Waterfall!A7</f>
        <v/>
      </c>
      <c r="F4" s="237">
        <f>Waterfall!A8</f>
        <v/>
      </c>
      <c r="G4" s="237">
        <f>Waterfall!A9</f>
        <v/>
      </c>
      <c r="H4" s="237">
        <f>Waterfall!A10</f>
        <v/>
      </c>
      <c r="I4" s="237">
        <f>Waterfall!A11</f>
        <v/>
      </c>
      <c r="J4" s="237">
        <f>Waterfall!A12</f>
        <v/>
      </c>
      <c r="K4" s="237">
        <f>Waterfall!A13</f>
        <v/>
      </c>
      <c r="L4" s="237">
        <f>Waterfall!A14</f>
        <v/>
      </c>
      <c r="M4" s="237">
        <f>Waterfall!A15</f>
        <v/>
      </c>
      <c r="N4" s="237">
        <f>Waterfall!A16</f>
        <v/>
      </c>
      <c r="O4" s="237">
        <f>Waterfall!A17</f>
        <v/>
      </c>
      <c r="P4" s="237">
        <f>Waterfall!A18</f>
        <v/>
      </c>
      <c r="Q4" s="237">
        <f>Waterfall!A19</f>
        <v/>
      </c>
      <c r="R4" s="237">
        <f>Waterfall!A20</f>
        <v/>
      </c>
      <c r="S4" s="237">
        <f>Waterfall!A21</f>
        <v/>
      </c>
      <c r="T4" s="237">
        <f>Waterfall!A22</f>
        <v/>
      </c>
      <c r="U4" s="237">
        <f>Waterfall!A23</f>
        <v/>
      </c>
      <c r="V4" s="237">
        <f>Waterfall!A24</f>
        <v/>
      </c>
      <c r="W4" s="237">
        <f>Waterfall!A25</f>
        <v/>
      </c>
      <c r="X4" s="237">
        <f>Waterfall!A26</f>
        <v/>
      </c>
      <c r="Y4" s="237">
        <f>Waterfall!A27</f>
        <v/>
      </c>
      <c r="Z4" s="237">
        <f>Waterfall!A28</f>
        <v/>
      </c>
      <c r="AA4" s="237">
        <f>Waterfall!A29</f>
        <v/>
      </c>
      <c r="AB4" s="237">
        <f>Waterfall!A30</f>
        <v/>
      </c>
      <c r="AC4" s="237" t="n">
        <v>46113</v>
      </c>
      <c r="AD4" s="237" t="n"/>
      <c r="AE4" s="237" t="n"/>
      <c r="AF4" s="237" t="n"/>
      <c r="AG4" s="237" t="n"/>
      <c r="AH4" s="237" t="n"/>
      <c r="AI4" s="237" t="n"/>
      <c r="AJ4" s="237" t="n"/>
      <c r="AK4" s="237" t="n"/>
      <c r="AL4" s="237" t="n"/>
      <c r="AM4" s="237" t="n"/>
    </row>
    <row r="5" ht="14.25" customHeight="1" s="281">
      <c r="A5" s="27" t="inlineStr">
        <is>
          <t>Opening MRR</t>
        </is>
      </c>
      <c r="B5" s="234">
        <f t="array" ref="B5">index(Waterfall[Opening MRR], MATCH(B4, Waterfall[Month], 0))</f>
        <v/>
      </c>
      <c r="C5" s="234">
        <f t="array" ref="C5">index(Waterfall[Opening MRR], MATCH(C4, Waterfall[Month], 0))</f>
        <v/>
      </c>
      <c r="D5" s="234">
        <f t="array" ref="D5">index(Waterfall[Opening MRR], MATCH(D4, Waterfall[Month], 0))</f>
        <v/>
      </c>
      <c r="E5" s="234">
        <f t="array" ref="E5">index(Waterfall[Opening MRR], MATCH(E4, Waterfall[Month], 0))</f>
        <v/>
      </c>
      <c r="F5" s="234">
        <f t="array" ref="F5">index(Waterfall[Opening MRR], MATCH(F4, Waterfall[Month], 0))</f>
        <v/>
      </c>
      <c r="G5" s="234">
        <f t="array" ref="G5">index(Waterfall[Opening MRR], MATCH(G4, Waterfall[Month], 0))</f>
        <v/>
      </c>
      <c r="H5" s="234">
        <f t="array" ref="H5">index(Waterfall[Opening MRR], MATCH(H4, Waterfall[Month], 0))</f>
        <v/>
      </c>
      <c r="I5" s="234">
        <f t="array" ref="I5">index(Waterfall[Opening MRR], MATCH(I4, Waterfall[Month], 0))</f>
        <v/>
      </c>
      <c r="J5" s="234">
        <f t="array" ref="J5">index(Waterfall[Opening MRR], MATCH(J4, Waterfall[Month], 0))</f>
        <v/>
      </c>
      <c r="K5" s="234">
        <f t="array" ref="K5">index(Waterfall[Opening MRR], MATCH(K4, Waterfall[Month], 0))</f>
        <v/>
      </c>
      <c r="L5" s="234">
        <f t="array" ref="L5">index(Waterfall[Opening MRR], MATCH(L4, Waterfall[Month], 0))</f>
        <v/>
      </c>
      <c r="M5" s="234">
        <f t="array" ref="M5">index(Waterfall[Opening MRR], MATCH(M4, Waterfall[Month], 0))</f>
        <v/>
      </c>
      <c r="N5" s="234">
        <f t="array" ref="N5">index(Waterfall[Opening MRR], MATCH(N4, Waterfall[Month], 0))</f>
        <v/>
      </c>
      <c r="O5" s="234">
        <f t="array" ref="O5">index(Waterfall[Opening MRR], MATCH(O4, Waterfall[Month], 0))</f>
        <v/>
      </c>
      <c r="P5" s="234">
        <f t="array" ref="P5">index(Waterfall[Opening MRR], MATCH(P4, Waterfall[Month], 0))</f>
        <v/>
      </c>
      <c r="Q5" s="234">
        <f t="array" ref="Q5">index(Waterfall[Opening MRR], MATCH(Q4, Waterfall[Month], 0))</f>
        <v/>
      </c>
      <c r="R5" s="234">
        <f t="array" ref="R5">index(Waterfall[Opening MRR], MATCH(R4, Waterfall[Month], 0))</f>
        <v/>
      </c>
      <c r="S5" s="234">
        <f t="array" ref="S5">index(Waterfall[Opening MRR], MATCH(S4, Waterfall[Month], 0))</f>
        <v/>
      </c>
      <c r="T5" s="234">
        <f t="array" ref="T5">index(Waterfall[Opening MRR], MATCH(T4, Waterfall[Month], 0))</f>
        <v/>
      </c>
      <c r="U5" s="234">
        <f t="array" ref="U5">index(Waterfall[Opening MRR], MATCH(U4, Waterfall[Month], 0))</f>
        <v/>
      </c>
      <c r="V5" s="234">
        <f t="array" ref="V5">index(Waterfall[Opening MRR], MATCH(V4, Waterfall[Month], 0))</f>
        <v/>
      </c>
      <c r="W5" s="234">
        <f t="array" ref="W5">index(Waterfall[Opening MRR], MATCH(W4, Waterfall[Month], 0))</f>
        <v/>
      </c>
      <c r="X5" s="234">
        <f t="array" ref="X5">index(Waterfall[Opening MRR], MATCH(X4, Waterfall[Month], 0))</f>
        <v/>
      </c>
      <c r="Y5" s="234">
        <f t="array" ref="Y5">index(Waterfall[Opening MRR], MATCH(Y4, Waterfall[Month], 0))</f>
        <v/>
      </c>
      <c r="Z5" s="234">
        <f t="array" ref="Z5">index(Waterfall[Opening MRR], MATCH(Z4, Waterfall[Month], 0))</f>
        <v/>
      </c>
      <c r="AA5" s="234">
        <f t="array" ref="AA5">index(Waterfall[Opening MRR], MATCH(AA4, Waterfall[Month], 0))</f>
        <v/>
      </c>
      <c r="AB5" s="234">
        <f t="array" ref="AB5">index(Waterfall[Opening MRR], MATCH(AB4, Waterfall[Month], 0))</f>
        <v/>
      </c>
      <c r="AC5" s="234">
        <f t="array" ref="AC5">index(Waterfall[Opening MRR], MATCH(AC4, Waterfall[Month], 0))</f>
        <v/>
      </c>
      <c r="AD5" s="234" t="n"/>
      <c r="AE5" s="234" t="n"/>
      <c r="AF5" s="234" t="n"/>
      <c r="AG5" s="234" t="n"/>
      <c r="AH5" s="234" t="n"/>
      <c r="AI5" s="234" t="n"/>
      <c r="AJ5" s="234" t="n"/>
      <c r="AK5" s="234" t="n"/>
      <c r="AL5" s="234" t="n"/>
      <c r="AM5" s="234" t="n"/>
    </row>
    <row r="6" ht="14.25" customHeight="1" s="281">
      <c r="A6" s="27" t="inlineStr">
        <is>
          <t>GRR (Gross Revenue Retention)</t>
        </is>
      </c>
      <c r="B6" s="175">
        <f t="array" ref="B6">let(r, match(B4, Waterfall[Month], 0), o, index(Waterfall[Opening MRR], r), if(o=0, "-", 1 + (index(Waterfall[Contraction],r)+index(Waterfall[Churned],r))/o))</f>
        <v/>
      </c>
      <c r="C6" s="175">
        <f t="array" ref="C6">let(r, match(C4, Waterfall[Month], 0), o, index(Waterfall[Opening MRR], r), if(o=0, "-", 1 + (index(Waterfall[Contraction],r)+index(Waterfall[Churned],r))/o))</f>
        <v/>
      </c>
      <c r="D6" s="175">
        <f t="array" ref="D6">let(r, match(D4, Waterfall[Month], 0), o, index(Waterfall[Opening MRR], r), if(o=0, "-", 1 + (index(Waterfall[Contraction],r)+index(Waterfall[Churned],r))/o))</f>
        <v/>
      </c>
      <c r="E6" s="175">
        <f t="array" ref="E6">let(r, match(E4, Waterfall[Month], 0), o, index(Waterfall[Opening MRR], r), if(o=0, "-", 1 + (index(Waterfall[Contraction],r)+index(Waterfall[Churned],r))/o))</f>
        <v/>
      </c>
      <c r="F6" s="175">
        <f t="array" ref="F6">let(r, match(F4, Waterfall[Month], 0), o, index(Waterfall[Opening MRR], r), if(o=0, "-", 1 + (index(Waterfall[Contraction],r)+index(Waterfall[Churned],r))/o))</f>
        <v/>
      </c>
      <c r="G6" s="175">
        <f t="array" ref="G6">let(r, match(G4, Waterfall[Month], 0), o, index(Waterfall[Opening MRR], r), if(o=0, "-", 1 + (index(Waterfall[Contraction],r)+index(Waterfall[Churned],r))/o))</f>
        <v/>
      </c>
      <c r="H6" s="175">
        <f t="array" ref="H6">let(r, match(H4, Waterfall[Month], 0), o, index(Waterfall[Opening MRR], r), if(o=0, "-", 1 + (index(Waterfall[Contraction],r)+index(Waterfall[Churned],r))/o))</f>
        <v/>
      </c>
      <c r="I6" s="175">
        <f t="array" ref="I6">let(r, match(I4, Waterfall[Month], 0), o, index(Waterfall[Opening MRR], r), if(o=0, "-", 1 + (index(Waterfall[Contraction],r)+index(Waterfall[Churned],r))/o))</f>
        <v/>
      </c>
      <c r="J6" s="175">
        <f t="array" ref="J6">let(r, match(J4, Waterfall[Month], 0), o, index(Waterfall[Opening MRR], r), if(o=0, "-", 1 + (index(Waterfall[Contraction],r)+index(Waterfall[Churned],r))/o))</f>
        <v/>
      </c>
      <c r="K6" s="175">
        <f t="array" ref="K6">let(r, match(K4, Waterfall[Month], 0), o, index(Waterfall[Opening MRR], r), if(o=0, "-", 1 + (index(Waterfall[Contraction],r)+index(Waterfall[Churned],r))/o))</f>
        <v/>
      </c>
      <c r="L6" s="175">
        <f t="array" ref="L6">let(r, match(L4, Waterfall[Month], 0), o, index(Waterfall[Opening MRR], r), if(o=0, "-", 1 + (index(Waterfall[Contraction],r)+index(Waterfall[Churned],r))/o))</f>
        <v/>
      </c>
      <c r="M6" s="175">
        <f t="array" ref="M6">let(r, match(M4, Waterfall[Month], 0), o, index(Waterfall[Opening MRR], r), if(o=0, "-", 1 + (index(Waterfall[Contraction],r)+index(Waterfall[Churned],r))/o))</f>
        <v/>
      </c>
      <c r="N6" s="175">
        <f t="array" ref="N6">let(r, match(N4, Waterfall[Month], 0), o, index(Waterfall[Opening MRR], r), if(o=0, "-", 1 + (index(Waterfall[Contraction],r)+index(Waterfall[Churned],r))/o))</f>
        <v/>
      </c>
      <c r="O6" s="175">
        <f t="array" ref="O6">let(r, match(O4, Waterfall[Month], 0), o, index(Waterfall[Opening MRR], r), if(o=0, "-", 1 + (index(Waterfall[Contraction],r)+index(Waterfall[Churned],r))/o))</f>
        <v/>
      </c>
      <c r="P6" s="175">
        <f t="array" ref="P6">let(r, match(P4, Waterfall[Month], 0), o, index(Waterfall[Opening MRR], r), if(o=0, "-", 1 + (index(Waterfall[Contraction],r)+index(Waterfall[Churned],r))/o))</f>
        <v/>
      </c>
      <c r="Q6" s="175">
        <f t="array" ref="Q6">let(r, match(Q4, Waterfall[Month], 0), o, index(Waterfall[Opening MRR], r), if(o=0, "-", 1 + (index(Waterfall[Contraction],r)+index(Waterfall[Churned],r))/o))</f>
        <v/>
      </c>
      <c r="R6" s="175">
        <f t="array" ref="R6">let(r, match(R4, Waterfall[Month], 0), o, index(Waterfall[Opening MRR], r), if(o=0, "-", 1 + (index(Waterfall[Contraction],r)+index(Waterfall[Churned],r))/o))</f>
        <v/>
      </c>
      <c r="S6" s="175">
        <f t="array" ref="S6">let(r, match(S4, Waterfall[Month], 0), o, index(Waterfall[Opening MRR], r), if(o=0, "-", 1 + (index(Waterfall[Contraction],r)+index(Waterfall[Churned],r))/o))</f>
        <v/>
      </c>
      <c r="T6" s="175">
        <f t="array" ref="T6">let(r, match(T4, Waterfall[Month], 0), o, index(Waterfall[Opening MRR], r), if(o=0, "-", 1 + (index(Waterfall[Contraction],r)+index(Waterfall[Churned],r))/o))</f>
        <v/>
      </c>
      <c r="U6" s="175">
        <f t="array" ref="U6">let(r, match(U4, Waterfall[Month], 0), o, index(Waterfall[Opening MRR], r), if(o=0, "-", 1 + (index(Waterfall[Contraction],r)+index(Waterfall[Churned],r))/o))</f>
        <v/>
      </c>
      <c r="V6" s="175">
        <f t="array" ref="V6">let(r, match(V4, Waterfall[Month], 0), o, index(Waterfall[Opening MRR], r), if(o=0, "-", 1 + (index(Waterfall[Contraction],r)+index(Waterfall[Churned],r))/o))</f>
        <v/>
      </c>
      <c r="W6" s="175">
        <f t="array" ref="W6">let(r, match(W4, Waterfall[Month], 0), o, index(Waterfall[Opening MRR], r), if(o=0, "-", 1 + (index(Waterfall[Contraction],r)+index(Waterfall[Churned],r))/o))</f>
        <v/>
      </c>
      <c r="X6" s="175">
        <f t="array" ref="X6">let(r, match(X4, Waterfall[Month], 0), o, index(Waterfall[Opening MRR], r), if(o=0, "-", 1 + (index(Waterfall[Contraction],r)+index(Waterfall[Churned],r))/o))</f>
        <v/>
      </c>
      <c r="Y6" s="175">
        <f t="array" ref="Y6">let(r, match(Y4, Waterfall[Month], 0), o, index(Waterfall[Opening MRR], r), if(o=0, "-", 1 + (index(Waterfall[Contraction],r)+index(Waterfall[Churned],r))/o))</f>
        <v/>
      </c>
      <c r="Z6" s="175">
        <f t="array" ref="Z6">let(r, match(Z4, Waterfall[Month], 0), o, index(Waterfall[Opening MRR], r), if(o=0, "-", 1 + (index(Waterfall[Contraction],r)+index(Waterfall[Churned],r))/o))</f>
        <v/>
      </c>
      <c r="AA6" s="175">
        <f t="array" ref="AA6">let(r, match(AA4, Waterfall[Month], 0), o, index(Waterfall[Opening MRR], r), if(o=0, "-", 1 + (index(Waterfall[Contraction],r)+index(Waterfall[Churned],r))/o))</f>
        <v/>
      </c>
      <c r="AB6" s="175">
        <f t="array" ref="AB6">let(r, match(AB4, Waterfall[Month], 0), o, index(Waterfall[Opening MRR], r), if(o=0, "-", 1 + (index(Waterfall[Contraction],r)+index(Waterfall[Churned],r))/o))</f>
        <v/>
      </c>
      <c r="AC6" s="175">
        <f t="array" ref="AC6">let(r, match(AC4, Waterfall[Month], 0), o, index(Waterfall[Opening MRR], r), if(o=0, "-", 1 + (index(Waterfall[Contraction],r)+index(Waterfall[Churned],r))/o))</f>
        <v/>
      </c>
      <c r="AD6" s="175" t="n"/>
      <c r="AE6" s="181" t="n"/>
      <c r="AF6" s="175" t="n"/>
      <c r="AG6" s="175" t="n"/>
      <c r="AH6" s="175" t="n"/>
      <c r="AI6" s="175" t="n"/>
      <c r="AJ6" s="175" t="n"/>
      <c r="AK6" s="175" t="n"/>
      <c r="AL6" s="175" t="n"/>
      <c r="AM6" s="175" t="n"/>
    </row>
    <row r="7" ht="14.25" customHeight="1" s="281">
      <c r="A7" s="27" t="inlineStr">
        <is>
          <t>NRR (Net Revenue Retention)</t>
        </is>
      </c>
      <c r="B7" s="175">
        <f t="array" ref="B7">let(r, match(B4, Waterfall[Month], 0), o, index(Waterfall[Opening MRR], r), if(o=0, "-", 1 + ((index(Waterfall[Expansion],r) + index(Waterfall[Contraction],r)+index(Waterfall[Churned],r))/o)))</f>
        <v/>
      </c>
      <c r="C7" s="175">
        <f t="array" ref="C7">let(r, match(C4, Waterfall[Month], 0), o, index(Waterfall[Opening MRR], r), if(o=0, "-", 1 + ((index(Waterfall[Expansion],r) + index(Waterfall[Contraction],r)+index(Waterfall[Churned],r))/o)))</f>
        <v/>
      </c>
      <c r="D7" s="175">
        <f t="array" ref="D7">let(r, match(D4, Waterfall[Month], 0), o, index(Waterfall[Opening MRR], r), if(o=0, "-", 1 + ((index(Waterfall[Expansion],r) + index(Waterfall[Contraction],r)+index(Waterfall[Churned],r))/o)))</f>
        <v/>
      </c>
      <c r="E7" s="175">
        <f t="array" ref="E7">let(r, match(E4, Waterfall[Month], 0), o, index(Waterfall[Opening MRR], r), if(o=0, "-", 1 + ((index(Waterfall[Expansion],r) + index(Waterfall[Contraction],r)+index(Waterfall[Churned],r))/o)))</f>
        <v/>
      </c>
      <c r="F7" s="175">
        <f t="array" ref="F7">let(r, match(F4, Waterfall[Month], 0), o, index(Waterfall[Opening MRR], r), if(o=0, "-", 1 + ((index(Waterfall[Expansion],r) + index(Waterfall[Contraction],r)+index(Waterfall[Churned],r))/o)))</f>
        <v/>
      </c>
      <c r="G7" s="175">
        <f t="array" ref="G7">let(r, match(G4, Waterfall[Month], 0), o, index(Waterfall[Opening MRR], r), if(o=0, "-", 1 + ((index(Waterfall[Expansion],r) + index(Waterfall[Contraction],r)+index(Waterfall[Churned],r))/o)))</f>
        <v/>
      </c>
      <c r="H7" s="175">
        <f t="array" ref="H7">let(r, match(H4, Waterfall[Month], 0), o, index(Waterfall[Opening MRR], r), if(o=0, "-", 1 + ((index(Waterfall[Expansion],r) + index(Waterfall[Contraction],r)+index(Waterfall[Churned],r))/o)))</f>
        <v/>
      </c>
      <c r="I7" s="175">
        <f t="array" ref="I7">let(r, match(I4, Waterfall[Month], 0), o, index(Waterfall[Opening MRR], r), if(o=0, "-", 1 + ((index(Waterfall[Expansion],r) + index(Waterfall[Contraction],r)+index(Waterfall[Churned],r))/o)))</f>
        <v/>
      </c>
      <c r="J7" s="175">
        <f t="array" ref="J7">let(r, match(J4, Waterfall[Month], 0), o, index(Waterfall[Opening MRR], r), if(o=0, "-", 1 + ((index(Waterfall[Expansion],r) + index(Waterfall[Contraction],r)+index(Waterfall[Churned],r))/o)))</f>
        <v/>
      </c>
      <c r="K7" s="175">
        <f t="array" ref="K7">let(r, match(K4, Waterfall[Month], 0), o, index(Waterfall[Opening MRR], r), if(o=0, "-", 1 + ((index(Waterfall[Expansion],r) + index(Waterfall[Contraction],r)+index(Waterfall[Churned],r))/o)))</f>
        <v/>
      </c>
      <c r="L7" s="175">
        <f t="array" ref="L7">let(r, match(L4, Waterfall[Month], 0), o, index(Waterfall[Opening MRR], r), if(o=0, "-", 1 + ((index(Waterfall[Expansion],r) + index(Waterfall[Contraction],r)+index(Waterfall[Churned],r))/o)))</f>
        <v/>
      </c>
      <c r="M7" s="175">
        <f t="array" ref="M7">let(r, match(M4, Waterfall[Month], 0), o, index(Waterfall[Opening MRR], r), if(o=0, "-", 1 + ((index(Waterfall[Expansion],r) + index(Waterfall[Contraction],r)+index(Waterfall[Churned],r))/o)))</f>
        <v/>
      </c>
      <c r="N7" s="175">
        <f t="array" ref="N7">let(r, match(N4, Waterfall[Month], 0), o, index(Waterfall[Opening MRR], r), if(o=0, "-", 1 + ((index(Waterfall[Expansion],r) + index(Waterfall[Contraction],r)+index(Waterfall[Churned],r))/o)))</f>
        <v/>
      </c>
      <c r="O7" s="175">
        <f t="array" ref="O7">let(r, match(O4, Waterfall[Month], 0), o, index(Waterfall[Opening MRR], r), if(o=0, "-", 1 + ((index(Waterfall[Expansion],r) + index(Waterfall[Contraction],r)+index(Waterfall[Churned],r))/o)))</f>
        <v/>
      </c>
      <c r="P7" s="175">
        <f t="array" ref="P7">let(r, match(P4, Waterfall[Month], 0), o, index(Waterfall[Opening MRR], r), if(o=0, "-", 1 + ((index(Waterfall[Expansion],r) + index(Waterfall[Contraction],r)+index(Waterfall[Churned],r))/o)))</f>
        <v/>
      </c>
      <c r="Q7" s="175">
        <f t="array" ref="Q7">let(r, match(Q4, Waterfall[Month], 0), o, index(Waterfall[Opening MRR], r), if(o=0, "-", 1 + ((index(Waterfall[Expansion],r) + index(Waterfall[Contraction],r)+index(Waterfall[Churned],r))/o)))</f>
        <v/>
      </c>
      <c r="R7" s="175">
        <f t="array" ref="R7">let(r, match(R4, Waterfall[Month], 0), o, index(Waterfall[Opening MRR], r), if(o=0, "-", 1 + ((index(Waterfall[Expansion],r) + index(Waterfall[Contraction],r)+index(Waterfall[Churned],r))/o)))</f>
        <v/>
      </c>
      <c r="S7" s="175">
        <f t="array" ref="S7">let(r, match(S4, Waterfall[Month], 0), o, index(Waterfall[Opening MRR], r), if(o=0, "-", 1 + ((index(Waterfall[Expansion],r) + index(Waterfall[Contraction],r)+index(Waterfall[Churned],r))/o)))</f>
        <v/>
      </c>
      <c r="T7" s="175">
        <f t="array" ref="T7">let(r, match(T4, Waterfall[Month], 0), o, index(Waterfall[Opening MRR], r), if(o=0, "-", 1 + ((index(Waterfall[Expansion],r) + index(Waterfall[Contraction],r)+index(Waterfall[Churned],r))/o)))</f>
        <v/>
      </c>
      <c r="U7" s="175">
        <f t="array" ref="U7">let(r, match(U4, Waterfall[Month], 0), o, index(Waterfall[Opening MRR], r), if(o=0, "-", 1 + ((index(Waterfall[Expansion],r) + index(Waterfall[Contraction],r)+index(Waterfall[Churned],r))/o)))</f>
        <v/>
      </c>
      <c r="V7" s="175">
        <f t="array" ref="V7">let(r, match(V4, Waterfall[Month], 0), o, index(Waterfall[Opening MRR], r), if(o=0, "-", 1 + ((index(Waterfall[Expansion],r) + index(Waterfall[Contraction],r)+index(Waterfall[Churned],r))/o)))</f>
        <v/>
      </c>
      <c r="W7" s="175">
        <f t="array" ref="W7">let(r, match(W4, Waterfall[Month], 0), o, index(Waterfall[Opening MRR], r), if(o=0, "-", 1 + ((index(Waterfall[Expansion],r) + index(Waterfall[Contraction],r)+index(Waterfall[Churned],r))/o)))</f>
        <v/>
      </c>
      <c r="X7" s="175">
        <f t="array" ref="X7">let(r, match(X4, Waterfall[Month], 0), o, index(Waterfall[Opening MRR], r), if(o=0, "-", 1 + ((index(Waterfall[Expansion],r) + index(Waterfall[Contraction],r)+index(Waterfall[Churned],r))/o)))</f>
        <v/>
      </c>
      <c r="Y7" s="175">
        <f t="array" ref="Y7">let(r, match(Y4, Waterfall[Month], 0), o, index(Waterfall[Opening MRR], r), if(o=0, "-", 1 + ((index(Waterfall[Expansion],r) + index(Waterfall[Contraction],r)+index(Waterfall[Churned],r))/o)))</f>
        <v/>
      </c>
      <c r="Z7" s="175">
        <f t="array" ref="Z7">let(r, match(Z4, Waterfall[Month], 0), o, index(Waterfall[Opening MRR], r), if(o=0, "-", 1 + ((index(Waterfall[Expansion],r) + index(Waterfall[Contraction],r)+index(Waterfall[Churned],r))/o)))</f>
        <v/>
      </c>
      <c r="AA7" s="175">
        <f t="array" ref="AA7">let(r, match(AA4, Waterfall[Month], 0), o, index(Waterfall[Opening MRR], r), if(o=0, "-", 1 + ((index(Waterfall[Expansion],r) + index(Waterfall[Contraction],r)+index(Waterfall[Churned],r))/o)))</f>
        <v/>
      </c>
      <c r="AB7" s="175">
        <f t="array" ref="AB7">let(r, match(AB4, Waterfall[Month], 0), o, index(Waterfall[Opening MRR], r), if(o=0, "-", 1 + ((index(Waterfall[Expansion],r) + index(Waterfall[Contraction],r)+index(Waterfall[Churned],r))/o)))</f>
        <v/>
      </c>
      <c r="AC7" s="175">
        <f t="array" ref="AC7">let(r, match(AC4, Waterfall[Month], 0), o, index(Waterfall[Opening MRR], r), if(o=0, "-", 1 + ((index(Waterfall[Expansion],r) + index(Waterfall[Contraction],r)+index(Waterfall[Churned],r))/o)))</f>
        <v/>
      </c>
      <c r="AD7" s="175" t="n"/>
      <c r="AE7" s="175" t="n"/>
      <c r="AF7" s="175" t="n"/>
      <c r="AG7" s="175" t="n"/>
      <c r="AH7" s="175" t="n"/>
      <c r="AI7" s="175" t="n"/>
      <c r="AJ7" s="175" t="n"/>
      <c r="AK7" s="175" t="n"/>
      <c r="AL7" s="175" t="n"/>
      <c r="AM7" s="175" t="n"/>
    </row>
    <row r="8" ht="14.25" customHeight="1" s="281"/>
    <row r="9" ht="14.25" customHeight="1" s="281">
      <c r="A9" s="27" t="inlineStr">
        <is>
          <t>2. MRR Churn Rates</t>
        </is>
      </c>
    </row>
    <row r="10" ht="14.25" customHeight="1" s="281">
      <c r="A10" s="27" t="inlineStr">
        <is>
          <t>Month</t>
        </is>
      </c>
      <c r="B10" s="237">
        <f>B4</f>
        <v/>
      </c>
      <c r="C10" s="237">
        <f>C4</f>
        <v/>
      </c>
      <c r="D10" s="237">
        <f>D4</f>
        <v/>
      </c>
      <c r="E10" s="237">
        <f>E4</f>
        <v/>
      </c>
      <c r="F10" s="237">
        <f>F4</f>
        <v/>
      </c>
      <c r="G10" s="237">
        <f>G4</f>
        <v/>
      </c>
      <c r="H10" s="237">
        <f>H4</f>
        <v/>
      </c>
      <c r="I10" s="237">
        <f>I4</f>
        <v/>
      </c>
      <c r="J10" s="237">
        <f>J4</f>
        <v/>
      </c>
      <c r="K10" s="237">
        <f>K4</f>
        <v/>
      </c>
      <c r="L10" s="237">
        <f>L4</f>
        <v/>
      </c>
      <c r="M10" s="237">
        <f>M4</f>
        <v/>
      </c>
      <c r="N10" s="237">
        <f>N4</f>
        <v/>
      </c>
      <c r="O10" s="237">
        <f>O4</f>
        <v/>
      </c>
      <c r="P10" s="237">
        <f>P4</f>
        <v/>
      </c>
      <c r="Q10" s="237">
        <f>Q4</f>
        <v/>
      </c>
      <c r="R10" s="237">
        <f>R4</f>
        <v/>
      </c>
      <c r="S10" s="237">
        <f>S4</f>
        <v/>
      </c>
      <c r="T10" s="237">
        <f>T4</f>
        <v/>
      </c>
      <c r="U10" s="237">
        <f>U4</f>
        <v/>
      </c>
      <c r="V10" s="237">
        <f>V4</f>
        <v/>
      </c>
      <c r="W10" s="237">
        <f>W4</f>
        <v/>
      </c>
      <c r="X10" s="237">
        <f>X4</f>
        <v/>
      </c>
      <c r="Y10" s="237">
        <f>Y4</f>
        <v/>
      </c>
      <c r="Z10" s="237">
        <f>Z4</f>
        <v/>
      </c>
      <c r="AA10" s="237">
        <f>AA4</f>
        <v/>
      </c>
      <c r="AB10" s="237">
        <f>AB4</f>
        <v/>
      </c>
      <c r="AC10" s="237">
        <f>AC4</f>
        <v/>
      </c>
      <c r="AD10" s="237" t="n"/>
      <c r="AE10" s="237" t="n"/>
      <c r="AF10" s="237" t="n"/>
      <c r="AG10" s="237" t="n"/>
      <c r="AH10" s="237" t="n"/>
      <c r="AI10" s="237" t="n"/>
      <c r="AJ10" s="237" t="n"/>
      <c r="AK10" s="237" t="n"/>
      <c r="AL10" s="237" t="n"/>
      <c r="AM10" s="237" t="n"/>
    </row>
    <row r="11" ht="14.25" customHeight="1" s="281">
      <c r="A11" s="27" t="inlineStr">
        <is>
          <t>MRR Churn Rate</t>
        </is>
      </c>
      <c r="B11" s="175">
        <f t="array" ref="B11">let(r, match(B4, Waterfall[Month], 0), o, index(Waterfall[Opening MRR], r),ch, index(Waterfall[Churned], r), if(o=0, "-",-ch/o))</f>
        <v/>
      </c>
      <c r="C11" s="175">
        <f t="array" ref="C11">let(r, match(C4, Waterfall[Month], 0), o, index(Waterfall[Opening MRR], r),ch, index(Waterfall[Churned], r), if(o=0, "-",-ch/o))</f>
        <v/>
      </c>
      <c r="D11" s="175">
        <f t="array" ref="D11">let(r, match(D4, Waterfall[Month], 0), o, index(Waterfall[Opening MRR], r),ch, index(Waterfall[Churned], r), if(o=0, "-",-ch/o))</f>
        <v/>
      </c>
      <c r="E11" s="175">
        <f t="array" ref="E11">let(r, match(E4, Waterfall[Month], 0), o, index(Waterfall[Opening MRR], r),ch, index(Waterfall[Churned], r), if(o=0, "-",-ch/o))</f>
        <v/>
      </c>
      <c r="F11" s="175">
        <f t="array" ref="F11">let(r, match(F4, Waterfall[Month], 0), o, index(Waterfall[Opening MRR], r),ch, index(Waterfall[Churned], r), if(o=0, "-",-ch/o))</f>
        <v/>
      </c>
      <c r="G11" s="175">
        <f t="array" ref="G11">let(r, match(G4, Waterfall[Month], 0), o, index(Waterfall[Opening MRR], r),ch, index(Waterfall[Churned], r), if(o=0, "-",-ch/o))</f>
        <v/>
      </c>
      <c r="H11" s="175">
        <f t="array" ref="H11">let(r, match(H4, Waterfall[Month], 0), o, index(Waterfall[Opening MRR], r),ch, index(Waterfall[Churned], r), if(o=0, "-",-ch/o))</f>
        <v/>
      </c>
      <c r="I11" s="175">
        <f t="array" ref="I11">let(r, match(I4, Waterfall[Month], 0), o, index(Waterfall[Opening MRR], r),ch, index(Waterfall[Churned], r), if(o=0, "-",-ch/o))</f>
        <v/>
      </c>
      <c r="J11" s="175">
        <f t="array" ref="J11">let(r, match(J4, Waterfall[Month], 0), o, index(Waterfall[Opening MRR], r),ch, index(Waterfall[Churned], r), if(o=0, "-",-ch/o))</f>
        <v/>
      </c>
      <c r="K11" s="175">
        <f t="array" ref="K11">let(r, match(K4, Waterfall[Month], 0), o, index(Waterfall[Opening MRR], r),ch, index(Waterfall[Churned], r), if(o=0, "-",-ch/o))</f>
        <v/>
      </c>
      <c r="L11" s="175">
        <f t="array" ref="L11">let(r, match(L4, Waterfall[Month], 0), o, index(Waterfall[Opening MRR], r),ch, index(Waterfall[Churned], r), if(o=0, "-",-ch/o))</f>
        <v/>
      </c>
      <c r="M11" s="175">
        <f t="array" ref="M11">let(r, match(M4, Waterfall[Month], 0), o, index(Waterfall[Opening MRR], r),ch, index(Waterfall[Churned], r), if(o=0, "-",-ch/o))</f>
        <v/>
      </c>
      <c r="N11" s="175">
        <f t="array" ref="N11">let(r, match(N4, Waterfall[Month], 0), o, index(Waterfall[Opening MRR], r),ch, index(Waterfall[Churned], r), if(o=0, "-",-ch/o))</f>
        <v/>
      </c>
      <c r="O11" s="175">
        <f t="array" ref="O11">let(r, match(O4, Waterfall[Month], 0), o, index(Waterfall[Opening MRR], r),ch, index(Waterfall[Churned], r), if(o=0, "-",-ch/o))</f>
        <v/>
      </c>
      <c r="P11" s="175">
        <f t="array" ref="P11">let(r, match(P4, Waterfall[Month], 0), o, index(Waterfall[Opening MRR], r),ch, index(Waterfall[Churned], r), if(o=0, "-",-ch/o))</f>
        <v/>
      </c>
      <c r="Q11" s="175">
        <f t="array" ref="Q11">let(r, match(Q4, Waterfall[Month], 0), o, index(Waterfall[Opening MRR], r),ch, index(Waterfall[Churned], r), if(o=0, "-",-ch/o))</f>
        <v/>
      </c>
      <c r="R11" s="175">
        <f t="array" ref="R11">let(r, match(R4, Waterfall[Month], 0), o, index(Waterfall[Opening MRR], r),ch, index(Waterfall[Churned], r), if(o=0, "-",-ch/o))</f>
        <v/>
      </c>
      <c r="S11" s="175">
        <f t="array" ref="S11">let(r, match(S4, Waterfall[Month], 0), o, index(Waterfall[Opening MRR], r),ch, index(Waterfall[Churned], r), if(o=0, "-",-ch/o))</f>
        <v/>
      </c>
      <c r="T11" s="175">
        <f t="array" ref="T11">let(r, match(T4, Waterfall[Month], 0), o, index(Waterfall[Opening MRR], r),ch, index(Waterfall[Churned], r), if(o=0, "-",-ch/o))</f>
        <v/>
      </c>
      <c r="U11" s="175">
        <f t="array" ref="U11">let(r, match(U4, Waterfall[Month], 0), o, index(Waterfall[Opening MRR], r),ch, index(Waterfall[Churned], r), if(o=0, "-",-ch/o))</f>
        <v/>
      </c>
      <c r="V11" s="175">
        <f t="array" ref="V11">let(r, match(V4, Waterfall[Month], 0), o, index(Waterfall[Opening MRR], r),ch, index(Waterfall[Churned], r), if(o=0, "-",-ch/o))</f>
        <v/>
      </c>
      <c r="W11" s="175">
        <f t="array" ref="W11">let(r, match(W4, Waterfall[Month], 0), o, index(Waterfall[Opening MRR], r),ch, index(Waterfall[Churned], r), if(o=0, "-",-ch/o))</f>
        <v/>
      </c>
      <c r="X11" s="175">
        <f t="array" ref="X11">let(r, match(X4, Waterfall[Month], 0), o, index(Waterfall[Opening MRR], r),ch, index(Waterfall[Churned], r), if(o=0, "-",-ch/o))</f>
        <v/>
      </c>
      <c r="Y11" s="175">
        <f t="array" ref="Y11">let(r, match(Y4, Waterfall[Month], 0), o, index(Waterfall[Opening MRR], r),ch, index(Waterfall[Churned], r), if(o=0, "-",-ch/o))</f>
        <v/>
      </c>
      <c r="Z11" s="175">
        <f t="array" ref="Z11">let(r, match(Z4, Waterfall[Month], 0), o, index(Waterfall[Opening MRR], r),ch, index(Waterfall[Churned], r), if(o=0, "-",-ch/o))</f>
        <v/>
      </c>
      <c r="AA11" s="175">
        <f t="array" ref="AA11">let(r, match(AA4, Waterfall[Month], 0), o, index(Waterfall[Opening MRR], r),ch, index(Waterfall[Churned], r), if(o=0, "-",-ch/o))</f>
        <v/>
      </c>
      <c r="AB11" s="175">
        <f t="array" ref="AB11">let(r, match(AB4, Waterfall[Month], 0), o, index(Waterfall[Opening MRR], r),ch, index(Waterfall[Churned], r), if(o=0, "-",-ch/o))</f>
        <v/>
      </c>
      <c r="AC11" s="175">
        <f t="array" ref="AC11">let(r, match(AC4, Waterfall[Month], 0), o, index(Waterfall[Opening MRR], r),ch, index(Waterfall[Churned], r), if(o=0, "-",-ch/o))</f>
        <v/>
      </c>
      <c r="AD11" s="175" t="n"/>
      <c r="AE11" s="175" t="n"/>
      <c r="AF11" s="175" t="n"/>
      <c r="AG11" s="175" t="n"/>
      <c r="AH11" s="175" t="n"/>
      <c r="AI11" s="175" t="n"/>
      <c r="AJ11" s="175" t="n"/>
      <c r="AK11" s="175" t="n"/>
      <c r="AL11" s="175" t="n"/>
      <c r="AM11" s="175" t="n"/>
    </row>
    <row r="12" ht="14.25" customHeight="1" s="281">
      <c r="A12" s="27" t="inlineStr">
        <is>
          <t>Gross MRR Churn Rate</t>
        </is>
      </c>
      <c r="B12" s="175">
        <f t="array" ref="B12">let(r, match(B10, Waterfall[Month], 0), o, index(Waterfall[Opening MRR], r), con, index(Waterfall[Contraction], r), ch, index(Waterfall[Churned], r), if(o=0,"-",-(con+ch)/o))</f>
        <v/>
      </c>
      <c r="C12" s="175">
        <f t="array" ref="C12">let(r, match(C10, Waterfall[Month], 0), o, index(Waterfall[Opening MRR], r), con, index(Waterfall[Contraction], r), ch, index(Waterfall[Churned], r), if(o=0,"-",-(con+ch)/o))</f>
        <v/>
      </c>
      <c r="D12" s="175">
        <f t="array" ref="D12">let(r, match(D10, Waterfall[Month], 0), o, index(Waterfall[Opening MRR], r), con, index(Waterfall[Contraction], r), ch, index(Waterfall[Churned], r), if(o=0,"-",-(con+ch)/o))</f>
        <v/>
      </c>
      <c r="E12" s="175">
        <f t="array" ref="E12">let(r, match(E10, Waterfall[Month], 0), o, index(Waterfall[Opening MRR], r), con, index(Waterfall[Contraction], r), ch, index(Waterfall[Churned], r), if(o=0,"-",-(con+ch)/o))</f>
        <v/>
      </c>
      <c r="F12" s="175">
        <f t="array" ref="F12">let(r, match(F10, Waterfall[Month], 0), o, index(Waterfall[Opening MRR], r), con, index(Waterfall[Contraction], r), ch, index(Waterfall[Churned], r), if(o=0,"-",-(con+ch)/o))</f>
        <v/>
      </c>
      <c r="G12" s="175">
        <f t="array" ref="G12">let(r, match(G10, Waterfall[Month], 0), o, index(Waterfall[Opening MRR], r), con, index(Waterfall[Contraction], r), ch, index(Waterfall[Churned], r), if(o=0,"-",-(con+ch)/o))</f>
        <v/>
      </c>
      <c r="H12" s="175">
        <f t="array" ref="H12">let(r, match(H10, Waterfall[Month], 0), o, index(Waterfall[Opening MRR], r), con, index(Waterfall[Contraction], r), ch, index(Waterfall[Churned], r), if(o=0,"-",-(con+ch)/o))</f>
        <v/>
      </c>
      <c r="I12" s="175">
        <f t="array" ref="I12">let(r, match(I10, Waterfall[Month], 0), o, index(Waterfall[Opening MRR], r), con, index(Waterfall[Contraction], r), ch, index(Waterfall[Churned], r), if(o=0,"-",-(con+ch)/o))</f>
        <v/>
      </c>
      <c r="J12" s="175">
        <f t="array" ref="J12">let(r, match(J10, Waterfall[Month], 0), o, index(Waterfall[Opening MRR], r), con, index(Waterfall[Contraction], r), ch, index(Waterfall[Churned], r), if(o=0,"-",-(con+ch)/o))</f>
        <v/>
      </c>
      <c r="K12" s="175">
        <f t="array" ref="K12">let(r, match(K10, Waterfall[Month], 0), o, index(Waterfall[Opening MRR], r), con, index(Waterfall[Contraction], r), ch, index(Waterfall[Churned], r), if(o=0,"-",-(con+ch)/o))</f>
        <v/>
      </c>
      <c r="L12" s="175">
        <f t="array" ref="L12">let(r, match(L10, Waterfall[Month], 0), o, index(Waterfall[Opening MRR], r), con, index(Waterfall[Contraction], r), ch, index(Waterfall[Churned], r), if(o=0,"-",-(con+ch)/o))</f>
        <v/>
      </c>
      <c r="M12" s="175">
        <f t="array" ref="M12">let(r, match(M10, Waterfall[Month], 0), o, index(Waterfall[Opening MRR], r), con, index(Waterfall[Contraction], r), ch, index(Waterfall[Churned], r), if(o=0,"-",-(con+ch)/o))</f>
        <v/>
      </c>
      <c r="N12" s="175">
        <f t="array" ref="N12">let(r, match(N10, Waterfall[Month], 0), o, index(Waterfall[Opening MRR], r), con, index(Waterfall[Contraction], r), ch, index(Waterfall[Churned], r), if(o=0,"-",-(con+ch)/o))</f>
        <v/>
      </c>
      <c r="O12" s="175">
        <f t="array" ref="O12">let(r, match(O10, Waterfall[Month], 0), o, index(Waterfall[Opening MRR], r), con, index(Waterfall[Contraction], r), ch, index(Waterfall[Churned], r), if(o=0,"-",-(con+ch)/o))</f>
        <v/>
      </c>
      <c r="P12" s="175">
        <f t="array" ref="P12">let(r, match(P10, Waterfall[Month], 0), o, index(Waterfall[Opening MRR], r), con, index(Waterfall[Contraction], r), ch, index(Waterfall[Churned], r), if(o=0,"-",-(con+ch)/o))</f>
        <v/>
      </c>
      <c r="Q12" s="175">
        <f t="array" ref="Q12">let(r, match(Q10, Waterfall[Month], 0), o, index(Waterfall[Opening MRR], r), con, index(Waterfall[Contraction], r), ch, index(Waterfall[Churned], r), if(o=0,"-",-(con+ch)/o))</f>
        <v/>
      </c>
      <c r="R12" s="175">
        <f t="array" ref="R12">let(r, match(R10, Waterfall[Month], 0), o, index(Waterfall[Opening MRR], r), con, index(Waterfall[Contraction], r), ch, index(Waterfall[Churned], r), if(o=0,"-",-(con+ch)/o))</f>
        <v/>
      </c>
      <c r="S12" s="175">
        <f t="array" ref="S12">let(r, match(S10, Waterfall[Month], 0), o, index(Waterfall[Opening MRR], r), con, index(Waterfall[Contraction], r), ch, index(Waterfall[Churned], r), if(o=0,"-",-(con+ch)/o))</f>
        <v/>
      </c>
      <c r="T12" s="175">
        <f t="array" ref="T12">let(r, match(T10, Waterfall[Month], 0), o, index(Waterfall[Opening MRR], r), con, index(Waterfall[Contraction], r), ch, index(Waterfall[Churned], r), if(o=0,"-",-(con+ch)/o))</f>
        <v/>
      </c>
      <c r="U12" s="175">
        <f t="array" ref="U12">let(r, match(U10, Waterfall[Month], 0), o, index(Waterfall[Opening MRR], r), con, index(Waterfall[Contraction], r), ch, index(Waterfall[Churned], r), if(o=0,"-",-(con+ch)/o))</f>
        <v/>
      </c>
      <c r="V12" s="175">
        <f t="array" ref="V12">let(r, match(V10, Waterfall[Month], 0), o, index(Waterfall[Opening MRR], r), con, index(Waterfall[Contraction], r), ch, index(Waterfall[Churned], r), if(o=0,"-",-(con+ch)/o))</f>
        <v/>
      </c>
      <c r="W12" s="175">
        <f t="array" ref="W12">let(r, match(W10, Waterfall[Month], 0), o, index(Waterfall[Opening MRR], r), con, index(Waterfall[Contraction], r), ch, index(Waterfall[Churned], r), if(o=0,"-",-(con+ch)/o))</f>
        <v/>
      </c>
      <c r="X12" s="175">
        <f t="array" ref="X12">let(r, match(X10, Waterfall[Month], 0), o, index(Waterfall[Opening MRR], r), con, index(Waterfall[Contraction], r), ch, index(Waterfall[Churned], r), if(o=0,"-",-(con+ch)/o))</f>
        <v/>
      </c>
      <c r="Y12" s="175">
        <f t="array" ref="Y12">let(r, match(Y10, Waterfall[Month], 0), o, index(Waterfall[Opening MRR], r), con, index(Waterfall[Contraction], r), ch, index(Waterfall[Churned], r), if(o=0,"-",-(con+ch)/o))</f>
        <v/>
      </c>
      <c r="Z12" s="175">
        <f t="array" ref="Z12">let(r, match(Z10, Waterfall[Month], 0), o, index(Waterfall[Opening MRR], r), con, index(Waterfall[Contraction], r), ch, index(Waterfall[Churned], r), if(o=0,"-",-(con+ch)/o))</f>
        <v/>
      </c>
      <c r="AA12" s="175">
        <f t="array" ref="AA12">let(r, match(AA10, Waterfall[Month], 0), o, index(Waterfall[Opening MRR], r), con, index(Waterfall[Contraction], r), ch, index(Waterfall[Churned], r), if(o=0,"-",-(con+ch)/o))</f>
        <v/>
      </c>
      <c r="AB12" s="175">
        <f t="array" ref="AB12">let(r, match(AB10, Waterfall[Month], 0), o, index(Waterfall[Opening MRR], r), con, index(Waterfall[Contraction], r), ch, index(Waterfall[Churned], r), if(o=0,"-",-(con+ch)/o))</f>
        <v/>
      </c>
      <c r="AC12" s="175">
        <f t="array" ref="AC12">let(r, match(AC10, Waterfall[Month], 0), o, index(Waterfall[Opening MRR], r), con, index(Waterfall[Contraction], r), ch, index(Waterfall[Churned], r), if(o=0,"-",-(con+ch)/o))</f>
        <v/>
      </c>
      <c r="AD12" s="175" t="n"/>
      <c r="AE12" s="175" t="n"/>
      <c r="AF12" s="175" t="n"/>
      <c r="AG12" s="175" t="n"/>
      <c r="AH12" s="175" t="n"/>
      <c r="AI12" s="175" t="n"/>
      <c r="AJ12" s="175" t="n"/>
      <c r="AK12" s="175" t="n"/>
      <c r="AL12" s="175" t="n"/>
      <c r="AM12" s="175" t="n"/>
    </row>
    <row r="13" ht="14.25" customHeight="1" s="281"/>
    <row r="14" ht="14.25" customHeight="1" s="281">
      <c r="A14" s="27" t="inlineStr">
        <is>
          <t>3. Subscription Churn vs. Logo Churn</t>
        </is>
      </c>
    </row>
    <row r="15" ht="14.25" customHeight="1" s="281">
      <c r="A15" s="27" t="inlineStr">
        <is>
          <t>Month</t>
        </is>
      </c>
      <c r="B15" s="237">
        <f>B4</f>
        <v/>
      </c>
      <c r="C15" s="237">
        <f>C4</f>
        <v/>
      </c>
      <c r="D15" s="237">
        <f>D4</f>
        <v/>
      </c>
      <c r="E15" s="237">
        <f>E4</f>
        <v/>
      </c>
      <c r="F15" s="237">
        <f>F4</f>
        <v/>
      </c>
      <c r="G15" s="237">
        <f>G4</f>
        <v/>
      </c>
      <c r="H15" s="237">
        <f>H4</f>
        <v/>
      </c>
      <c r="I15" s="237">
        <f>I4</f>
        <v/>
      </c>
      <c r="J15" s="237">
        <f>J4</f>
        <v/>
      </c>
      <c r="K15" s="237">
        <f>K4</f>
        <v/>
      </c>
      <c r="L15" s="237">
        <f>L4</f>
        <v/>
      </c>
      <c r="M15" s="237">
        <f>M4</f>
        <v/>
      </c>
      <c r="N15" s="237">
        <f>N4</f>
        <v/>
      </c>
      <c r="O15" s="237">
        <f>O4</f>
        <v/>
      </c>
      <c r="P15" s="237">
        <f>P4</f>
        <v/>
      </c>
      <c r="Q15" s="237">
        <f>Q4</f>
        <v/>
      </c>
      <c r="R15" s="237">
        <f>R4</f>
        <v/>
      </c>
      <c r="S15" s="237">
        <f>S4</f>
        <v/>
      </c>
      <c r="T15" s="237">
        <f>T4</f>
        <v/>
      </c>
      <c r="U15" s="237">
        <f>U4</f>
        <v/>
      </c>
      <c r="V15" s="237">
        <f>V4</f>
        <v/>
      </c>
      <c r="W15" s="237">
        <f>W4</f>
        <v/>
      </c>
      <c r="X15" s="237">
        <f>X4</f>
        <v/>
      </c>
      <c r="Y15" s="237">
        <f>Y4</f>
        <v/>
      </c>
      <c r="Z15" s="237">
        <f>Z4</f>
        <v/>
      </c>
      <c r="AA15" s="237">
        <f>AA4</f>
        <v/>
      </c>
      <c r="AB15" s="237">
        <f>AB4</f>
        <v/>
      </c>
      <c r="AC15" s="237">
        <f>AC4</f>
        <v/>
      </c>
      <c r="AD15" s="237" t="n"/>
      <c r="AE15" s="237" t="n"/>
      <c r="AF15" s="237" t="n"/>
      <c r="AG15" s="237" t="n"/>
      <c r="AH15" s="237" t="n"/>
      <c r="AI15" s="237" t="n"/>
      <c r="AJ15" s="237" t="n"/>
      <c r="AK15" s="237" t="n"/>
      <c r="AL15" s="237" t="n"/>
      <c r="AM15" s="237" t="n"/>
    </row>
    <row r="16" ht="14.25" customHeight="1" s="281">
      <c r="A16" s="27" t="inlineStr">
        <is>
          <t>Active Subs (Start of Month)</t>
        </is>
      </c>
      <c r="B16" s="54" t="n">
        <v>0</v>
      </c>
      <c r="C16" s="54">
        <f>B16+COUNTIFS(Engine[event_type],"created",Engine[month],B15)-COUNTIFS(Engine[event_type],"cancelled",Engine[month],B15)</f>
        <v/>
      </c>
      <c r="D16" s="54">
        <f>C16+COUNTIFS(Engine[event_type],"created",Engine[month],C15)-COUNTIFS(Engine[event_type],"cancelled",Engine[month],C15)</f>
        <v/>
      </c>
      <c r="E16" s="54">
        <f>D16+COUNTIFS(Engine[event_type],"created",Engine[month],D15)-COUNTIFS(Engine[event_type],"cancelled",Engine[month],D15)</f>
        <v/>
      </c>
      <c r="F16" s="54">
        <f>E16+COUNTIFS(Engine[event_type],"created",Engine[month],E15)-COUNTIFS(Engine[event_type],"cancelled",Engine[month],E15)</f>
        <v/>
      </c>
      <c r="G16" s="54">
        <f>F16+COUNTIFS(Engine[event_type],"created",Engine[month],F15)-COUNTIFS(Engine[event_type],"cancelled",Engine[month],F15)</f>
        <v/>
      </c>
      <c r="H16" s="54">
        <f>G16+COUNTIFS(Engine[event_type],"created",Engine[month],G15)-COUNTIFS(Engine[event_type],"cancelled",Engine[month],G15)</f>
        <v/>
      </c>
      <c r="I16" s="54">
        <f>H16+COUNTIFS(Engine[event_type],"created",Engine[month],H15)-COUNTIFS(Engine[event_type],"cancelled",Engine[month],H15)</f>
        <v/>
      </c>
      <c r="J16" s="54">
        <f>I16+COUNTIFS(Engine[event_type],"created",Engine[month],I15)-COUNTIFS(Engine[event_type],"cancelled",Engine[month],I15)</f>
        <v/>
      </c>
      <c r="K16" s="54">
        <f>J16+COUNTIFS(Engine[event_type],"created",Engine[month],J15)-COUNTIFS(Engine[event_type],"cancelled",Engine[month],J15)</f>
        <v/>
      </c>
      <c r="L16" s="54">
        <f>K16+COUNTIFS(Engine[event_type],"created",Engine[month],K15)-COUNTIFS(Engine[event_type],"cancelled",Engine[month],K15)</f>
        <v/>
      </c>
      <c r="M16" s="54">
        <f>L16+COUNTIFS(Engine[event_type],"created",Engine[month],L15)-COUNTIFS(Engine[event_type],"cancelled",Engine[month],L15)</f>
        <v/>
      </c>
      <c r="N16" s="54">
        <f>M16+COUNTIFS(Engine[event_type],"created",Engine[month],M15)-COUNTIFS(Engine[event_type],"cancelled",Engine[month],M15)</f>
        <v/>
      </c>
      <c r="O16" s="54">
        <f>N16+COUNTIFS(Engine[event_type],"created",Engine[month],N15)-COUNTIFS(Engine[event_type],"cancelled",Engine[month],N15)</f>
        <v/>
      </c>
      <c r="P16" s="54">
        <f>O16+COUNTIFS(Engine[event_type],"created",Engine[month],O15)-COUNTIFS(Engine[event_type],"cancelled",Engine[month],O15)</f>
        <v/>
      </c>
      <c r="Q16" s="54">
        <f>P16+COUNTIFS(Engine[event_type],"created",Engine[month],P15)-COUNTIFS(Engine[event_type],"cancelled",Engine[month],P15)</f>
        <v/>
      </c>
      <c r="R16" s="54">
        <f>Q16+COUNTIFS(Engine[event_type],"created",Engine[month],Q15)-COUNTIFS(Engine[event_type],"cancelled",Engine[month],Q15)</f>
        <v/>
      </c>
      <c r="S16" s="54">
        <f>R16+COUNTIFS(Engine[event_type],"created",Engine[month],R15)-COUNTIFS(Engine[event_type],"cancelled",Engine[month],R15)</f>
        <v/>
      </c>
      <c r="T16" s="54">
        <f>S16+COUNTIFS(Engine[event_type],"created",Engine[month],S15)-COUNTIFS(Engine[event_type],"cancelled",Engine[month],S15)</f>
        <v/>
      </c>
      <c r="U16" s="54">
        <f>T16+COUNTIFS(Engine[event_type],"created",Engine[month],T15)-COUNTIFS(Engine[event_type],"cancelled",Engine[month],T15)</f>
        <v/>
      </c>
      <c r="V16" s="54">
        <f>U16+COUNTIFS(Engine[event_type],"created",Engine[month],U15)-COUNTIFS(Engine[event_type],"cancelled",Engine[month],U15)</f>
        <v/>
      </c>
      <c r="W16" s="54">
        <f>V16+COUNTIFS(Engine[event_type],"created",Engine[month],V15)-COUNTIFS(Engine[event_type],"cancelled",Engine[month],V15)</f>
        <v/>
      </c>
      <c r="X16" s="54">
        <f>W16+COUNTIFS(Engine[event_type],"created",Engine[month],W15)-COUNTIFS(Engine[event_type],"cancelled",Engine[month],W15)</f>
        <v/>
      </c>
      <c r="Y16" s="54">
        <f>X16+COUNTIFS(Engine[event_type],"created",Engine[month],X15)-COUNTIFS(Engine[event_type],"cancelled",Engine[month],X15)</f>
        <v/>
      </c>
      <c r="Z16" s="54">
        <f>Y16+COUNTIFS(Engine[event_type],"created",Engine[month],Y15)-COUNTIFS(Engine[event_type],"cancelled",Engine[month],Y15)</f>
        <v/>
      </c>
      <c r="AA16" s="54">
        <f>Z16+COUNTIFS(Engine[event_type],"created",Engine[month],Z15)-COUNTIFS(Engine[event_type],"cancelled",Engine[month],Z15)</f>
        <v/>
      </c>
      <c r="AB16" s="54">
        <f>AA16+COUNTIFS(Engine[event_type],"created",Engine[month],AA15)-COUNTIFS(Engine[event_type],"cancelled",Engine[month],AA15)</f>
        <v/>
      </c>
      <c r="AC16" s="54">
        <f>AB16+COUNTIFS(Engine[event_type],"created",Engine[month],AB15)-COUNTIFS(Engine[event_type],"cancelled",Engine[month],AB15)</f>
        <v/>
      </c>
      <c r="AD16" s="54" t="n"/>
      <c r="AE16" s="54" t="n"/>
      <c r="AF16" s="54" t="n"/>
      <c r="AG16" s="54" t="n"/>
      <c r="AH16" s="54" t="n"/>
      <c r="AI16" s="54" t="n"/>
      <c r="AJ16" s="54" t="n"/>
      <c r="AK16" s="54" t="n"/>
      <c r="AL16" s="54" t="n"/>
      <c r="AM16" s="54" t="n"/>
    </row>
    <row r="17" ht="14.25" customHeight="1" s="281">
      <c r="A17" s="27" t="inlineStr">
        <is>
          <t>Cancelled Subs</t>
        </is>
      </c>
      <c r="B17" s="54">
        <f>COUNTIFS(Engine[event_type],"cancelled",Engine[month],B15)</f>
        <v/>
      </c>
      <c r="C17" s="54">
        <f>COUNTIFS(Engine[event_type],"cancelled",Engine[month],C15)</f>
        <v/>
      </c>
      <c r="D17" s="54">
        <f>COUNTIFS(Engine[event_type],"cancelled",Engine[month],D15)</f>
        <v/>
      </c>
      <c r="E17" s="54">
        <f>COUNTIFS(Engine[event_type],"cancelled",Engine[month],E15)</f>
        <v/>
      </c>
      <c r="F17" s="54">
        <f>COUNTIFS(Engine[event_type],"cancelled",Engine[month],F15)</f>
        <v/>
      </c>
      <c r="G17" s="54">
        <f>COUNTIFS(Engine[event_type],"cancelled",Engine[month],G15)</f>
        <v/>
      </c>
      <c r="H17" s="54">
        <f>COUNTIFS(Engine[event_type],"cancelled",Engine[month],H15)</f>
        <v/>
      </c>
      <c r="I17" s="54">
        <f>COUNTIFS(Engine[event_type],"cancelled",Engine[month],I15)</f>
        <v/>
      </c>
      <c r="J17" s="54">
        <f>COUNTIFS(Engine[event_type],"cancelled",Engine[month],J15)</f>
        <v/>
      </c>
      <c r="K17" s="54">
        <f>COUNTIFS(Engine[event_type],"cancelled",Engine[month],K15)</f>
        <v/>
      </c>
      <c r="L17" s="54">
        <f>COUNTIFS(Engine[event_type],"cancelled",Engine[month],L15)</f>
        <v/>
      </c>
      <c r="M17" s="54">
        <f>COUNTIFS(Engine[event_type],"cancelled",Engine[month],M15)</f>
        <v/>
      </c>
      <c r="N17" s="54">
        <f>COUNTIFS(Engine[event_type],"cancelled",Engine[month],N15)</f>
        <v/>
      </c>
      <c r="O17" s="54">
        <f>COUNTIFS(Engine[event_type],"cancelled",Engine[month],O15)</f>
        <v/>
      </c>
      <c r="P17" s="54">
        <f>COUNTIFS(Engine[event_type],"cancelled",Engine[month],P15)</f>
        <v/>
      </c>
      <c r="Q17" s="54">
        <f>COUNTIFS(Engine[event_type],"cancelled",Engine[month],Q15)</f>
        <v/>
      </c>
      <c r="R17" s="54">
        <f>COUNTIFS(Engine[event_type],"cancelled",Engine[month],R15)</f>
        <v/>
      </c>
      <c r="S17" s="54">
        <f>COUNTIFS(Engine[event_type],"cancelled",Engine[month],S15)</f>
        <v/>
      </c>
      <c r="T17" s="54">
        <f>COUNTIFS(Engine[event_type],"cancelled",Engine[month],T15)</f>
        <v/>
      </c>
      <c r="U17" s="54">
        <f>COUNTIFS(Engine[event_type],"cancelled",Engine[month],U15)</f>
        <v/>
      </c>
      <c r="V17" s="54">
        <f>COUNTIFS(Engine[event_type],"cancelled",Engine[month],V15)</f>
        <v/>
      </c>
      <c r="W17" s="54">
        <f>COUNTIFS(Engine[event_type],"cancelled",Engine[month],W15)</f>
        <v/>
      </c>
      <c r="X17" s="54">
        <f>COUNTIFS(Engine[event_type],"cancelled",Engine[month],X15)</f>
        <v/>
      </c>
      <c r="Y17" s="54">
        <f>COUNTIFS(Engine[event_type],"cancelled",Engine[month],Y15)</f>
        <v/>
      </c>
      <c r="Z17" s="54">
        <f>COUNTIFS(Engine[event_type],"cancelled",Engine[month],Z15)</f>
        <v/>
      </c>
      <c r="AA17" s="54">
        <f>COUNTIFS(Engine[event_type],"cancelled",Engine[month],AA15)</f>
        <v/>
      </c>
      <c r="AB17" s="54">
        <f>COUNTIFS(Engine[event_type],"cancelled",Engine[month],AB15)</f>
        <v/>
      </c>
      <c r="AC17" s="54">
        <f>COUNTIFS(Engine[event_type],"cancelled",Engine[month],AC15)</f>
        <v/>
      </c>
      <c r="AD17" s="54" t="n"/>
      <c r="AE17" s="54" t="n"/>
      <c r="AF17" s="54" t="n"/>
      <c r="AG17" s="54" t="n"/>
      <c r="AH17" s="54" t="n"/>
      <c r="AI17" s="54" t="n"/>
      <c r="AJ17" s="54" t="n"/>
      <c r="AK17" s="54" t="n"/>
      <c r="AL17" s="54" t="n"/>
      <c r="AM17" s="54" t="n"/>
    </row>
    <row r="18" ht="14.25" customHeight="1" s="281">
      <c r="A18" s="27" t="inlineStr">
        <is>
          <t>Subscription Churn Rate</t>
        </is>
      </c>
      <c r="B18" s="175">
        <f>IF(B16=0,"-",B17/B16)</f>
        <v/>
      </c>
      <c r="C18" s="175">
        <f>IF(C16=0,"-",C17/C16)</f>
        <v/>
      </c>
      <c r="D18" s="175">
        <f>IF(D16=0,"-",D17/D16)</f>
        <v/>
      </c>
      <c r="E18" s="175">
        <f>IF(E16=0,"-",E17/E16)</f>
        <v/>
      </c>
      <c r="F18" s="175">
        <f>IF(F16=0,"-",F17/F16)</f>
        <v/>
      </c>
      <c r="G18" s="175">
        <f>IF(G16=0,"-",G17/G16)</f>
        <v/>
      </c>
      <c r="H18" s="175">
        <f>IF(H16=0,"-",H17/H16)</f>
        <v/>
      </c>
      <c r="I18" s="175">
        <f>IF(I16=0,"-",I17/I16)</f>
        <v/>
      </c>
      <c r="J18" s="175">
        <f>IF(J16=0,"-",J17/J16)</f>
        <v/>
      </c>
      <c r="K18" s="175">
        <f>IF(K16=0,"-",K17/K16)</f>
        <v/>
      </c>
      <c r="L18" s="175">
        <f>IF(L16=0,"-",L17/L16)</f>
        <v/>
      </c>
      <c r="M18" s="175">
        <f>IF(M16=0,"-",M17/M16)</f>
        <v/>
      </c>
      <c r="N18" s="175">
        <f>IF(N16=0,"-",N17/N16)</f>
        <v/>
      </c>
      <c r="O18" s="175">
        <f>IF(O16=0,"-",O17/O16)</f>
        <v/>
      </c>
      <c r="P18" s="175">
        <f>IF(P16=0,"-",P17/P16)</f>
        <v/>
      </c>
      <c r="Q18" s="175">
        <f>IF(Q16=0,"-",Q17/Q16)</f>
        <v/>
      </c>
      <c r="R18" s="175">
        <f>IF(R16=0,"-",R17/R16)</f>
        <v/>
      </c>
      <c r="S18" s="175">
        <f>IF(S16=0,"-",S17/S16)</f>
        <v/>
      </c>
      <c r="T18" s="175">
        <f>IF(T16=0,"-",T17/T16)</f>
        <v/>
      </c>
      <c r="U18" s="175">
        <f>IF(U16=0,"-",U17/U16)</f>
        <v/>
      </c>
      <c r="V18" s="175">
        <f>IF(V16=0,"-",V17/V16)</f>
        <v/>
      </c>
      <c r="W18" s="175">
        <f>IF(W16=0,"-",W17/W16)</f>
        <v/>
      </c>
      <c r="X18" s="175">
        <f>IF(X16=0,"-",X17/X16)</f>
        <v/>
      </c>
      <c r="Y18" s="175">
        <f>IF(Y16=0,"-",Y17/Y16)</f>
        <v/>
      </c>
      <c r="Z18" s="175">
        <f>IF(Z16=0,"-",Z17/Z16)</f>
        <v/>
      </c>
      <c r="AA18" s="175">
        <f>IF(AA16=0,"-",AA17/AA16)</f>
        <v/>
      </c>
      <c r="AB18" s="175">
        <f>IF(AB16=0,"-",AB17/AB16)</f>
        <v/>
      </c>
      <c r="AC18" s="175">
        <f>IF(AC16=0,"-",AC17/AC16)</f>
        <v/>
      </c>
      <c r="AD18" s="175" t="n"/>
      <c r="AE18" s="175" t="n"/>
      <c r="AF18" s="175" t="n"/>
      <c r="AG18" s="175" t="n"/>
      <c r="AH18" s="175" t="n"/>
      <c r="AI18" s="175" t="n"/>
      <c r="AJ18" s="175" t="n"/>
      <c r="AK18" s="175" t="n"/>
      <c r="AL18" s="175" t="n"/>
      <c r="AM18" s="175" t="n"/>
    </row>
    <row r="19" ht="14.25" customHeight="1" s="281">
      <c r="A19" s="238" t="inlineStr">
        <is>
          <t>Active Logos (Start of Month)</t>
        </is>
      </c>
      <c r="B19" s="239">
        <f>0</f>
        <v/>
      </c>
      <c r="C19" s="240">
        <f>COUNTIFS(Engine[is_new_logo],1,Engine[month],"&lt;="&amp;B15)+COUNTIFS(Engine[is_logo_reactivation],1,Engine[month],"&lt;="&amp;B15)-COUNTIFS(Engine[is_logo_churn],1,Engine[month],"&lt;="&amp;B15)</f>
        <v/>
      </c>
      <c r="D19" s="240">
        <f>COUNTIFS(Engine[is_new_logo],1,Engine[month],"&lt;="&amp;C15)+COUNTIFS(Engine[is_logo_reactivation],1,Engine[month],"&lt;="&amp;C15)-COUNTIFS(Engine[is_logo_churn],1,Engine[month],"&lt;="&amp;C15)</f>
        <v/>
      </c>
      <c r="E19" s="240">
        <f>COUNTIFS(Engine[is_new_logo],1,Engine[month],"&lt;="&amp;D15)+COUNTIFS(Engine[is_logo_reactivation],1,Engine[month],"&lt;="&amp;D15)-COUNTIFS(Engine[is_logo_churn],1,Engine[month],"&lt;="&amp;D15)</f>
        <v/>
      </c>
      <c r="F19" s="240">
        <f>COUNTIFS(Engine[is_new_logo],1,Engine[month],"&lt;="&amp;E15)+COUNTIFS(Engine[is_logo_reactivation],1,Engine[month],"&lt;="&amp;E15)-COUNTIFS(Engine[is_logo_churn],1,Engine[month],"&lt;="&amp;E15)</f>
        <v/>
      </c>
      <c r="G19" s="240">
        <f>COUNTIFS(Engine[is_new_logo],1,Engine[month],"&lt;="&amp;F15)+COUNTIFS(Engine[is_logo_reactivation],1,Engine[month],"&lt;="&amp;F15)-COUNTIFS(Engine[is_logo_churn],1,Engine[month],"&lt;="&amp;F15)</f>
        <v/>
      </c>
      <c r="H19" s="240">
        <f>COUNTIFS(Engine[is_new_logo],1,Engine[month],"&lt;="&amp;G15)+COUNTIFS(Engine[is_logo_reactivation],1,Engine[month],"&lt;="&amp;G15)-COUNTIFS(Engine[is_logo_churn],1,Engine[month],"&lt;="&amp;G15)</f>
        <v/>
      </c>
      <c r="I19" s="240">
        <f>COUNTIFS(Engine[is_new_logo],1,Engine[month],"&lt;="&amp;H15)+COUNTIFS(Engine[is_logo_reactivation],1,Engine[month],"&lt;="&amp;H15)-COUNTIFS(Engine[is_logo_churn],1,Engine[month],"&lt;="&amp;H15)</f>
        <v/>
      </c>
      <c r="J19" s="240">
        <f>COUNTIFS(Engine[is_new_logo],1,Engine[month],"&lt;="&amp;I15)+COUNTIFS(Engine[is_logo_reactivation],1,Engine[month],"&lt;="&amp;I15)-COUNTIFS(Engine[is_logo_churn],1,Engine[month],"&lt;="&amp;I15)</f>
        <v/>
      </c>
      <c r="K19" s="240">
        <f>COUNTIFS(Engine[is_new_logo],1,Engine[month],"&lt;="&amp;J15)+COUNTIFS(Engine[is_logo_reactivation],1,Engine[month],"&lt;="&amp;J15)-COUNTIFS(Engine[is_logo_churn],1,Engine[month],"&lt;="&amp;J15)</f>
        <v/>
      </c>
      <c r="L19" s="240">
        <f>COUNTIFS(Engine[is_new_logo],1,Engine[month],"&lt;="&amp;K15)+COUNTIFS(Engine[is_logo_reactivation],1,Engine[month],"&lt;="&amp;K15)-COUNTIFS(Engine[is_logo_churn],1,Engine[month],"&lt;="&amp;K15)</f>
        <v/>
      </c>
      <c r="M19" s="240">
        <f>COUNTIFS(Engine[is_new_logo],1,Engine[month],"&lt;="&amp;L15)+COUNTIFS(Engine[is_logo_reactivation],1,Engine[month],"&lt;="&amp;L15)-COUNTIFS(Engine[is_logo_churn],1,Engine[month],"&lt;="&amp;L15)</f>
        <v/>
      </c>
      <c r="N19" s="240">
        <f>COUNTIFS(Engine[is_new_logo],1,Engine[month],"&lt;="&amp;M15)+COUNTIFS(Engine[is_logo_reactivation],1,Engine[month],"&lt;="&amp;M15)-COUNTIFS(Engine[is_logo_churn],1,Engine[month],"&lt;="&amp;M15)</f>
        <v/>
      </c>
      <c r="O19" s="240">
        <f>COUNTIFS(Engine[is_new_logo],1,Engine[month],"&lt;="&amp;N15)+COUNTIFS(Engine[is_logo_reactivation],1,Engine[month],"&lt;="&amp;N15)-COUNTIFS(Engine[is_logo_churn],1,Engine[month],"&lt;="&amp;N15)</f>
        <v/>
      </c>
      <c r="P19" s="240">
        <f>COUNTIFS(Engine[is_new_logo],1,Engine[month],"&lt;="&amp;O15)+COUNTIFS(Engine[is_logo_reactivation],1,Engine[month],"&lt;="&amp;O15)-COUNTIFS(Engine[is_logo_churn],1,Engine[month],"&lt;="&amp;O15)</f>
        <v/>
      </c>
      <c r="Q19" s="240">
        <f>COUNTIFS(Engine[is_new_logo],1,Engine[month],"&lt;="&amp;P15)+COUNTIFS(Engine[is_logo_reactivation],1,Engine[month],"&lt;="&amp;P15)-COUNTIFS(Engine[is_logo_churn],1,Engine[month],"&lt;="&amp;P15)</f>
        <v/>
      </c>
      <c r="R19" s="240">
        <f>COUNTIFS(Engine[is_new_logo],1,Engine[month],"&lt;="&amp;Q15)+COUNTIFS(Engine[is_logo_reactivation],1,Engine[month],"&lt;="&amp;Q15)-COUNTIFS(Engine[is_logo_churn],1,Engine[month],"&lt;="&amp;Q15)</f>
        <v/>
      </c>
      <c r="S19" s="240">
        <f>COUNTIFS(Engine[is_new_logo],1,Engine[month],"&lt;="&amp;R15)+COUNTIFS(Engine[is_logo_reactivation],1,Engine[month],"&lt;="&amp;R15)-COUNTIFS(Engine[is_logo_churn],1,Engine[month],"&lt;="&amp;R15)</f>
        <v/>
      </c>
      <c r="T19" s="240">
        <f>COUNTIFS(Engine[is_new_logo],1,Engine[month],"&lt;="&amp;S15)+COUNTIFS(Engine[is_logo_reactivation],1,Engine[month],"&lt;="&amp;S15)-COUNTIFS(Engine[is_logo_churn],1,Engine[month],"&lt;="&amp;S15)</f>
        <v/>
      </c>
      <c r="U19" s="240">
        <f>COUNTIFS(Engine[is_new_logo],1,Engine[month],"&lt;="&amp;T15)+COUNTIFS(Engine[is_logo_reactivation],1,Engine[month],"&lt;="&amp;T15)-COUNTIFS(Engine[is_logo_churn],1,Engine[month],"&lt;="&amp;T15)</f>
        <v/>
      </c>
      <c r="V19" s="240">
        <f>COUNTIFS(Engine[is_new_logo],1,Engine[month],"&lt;="&amp;U15)+COUNTIFS(Engine[is_logo_reactivation],1,Engine[month],"&lt;="&amp;U15)-COUNTIFS(Engine[is_logo_churn],1,Engine[month],"&lt;="&amp;U15)</f>
        <v/>
      </c>
      <c r="W19" s="240">
        <f>COUNTIFS(Engine[is_new_logo],1,Engine[month],"&lt;="&amp;V15)+COUNTIFS(Engine[is_logo_reactivation],1,Engine[month],"&lt;="&amp;V15)-COUNTIFS(Engine[is_logo_churn],1,Engine[month],"&lt;="&amp;V15)</f>
        <v/>
      </c>
      <c r="X19" s="240">
        <f>COUNTIFS(Engine[is_new_logo],1,Engine[month],"&lt;="&amp;W15)+COUNTIFS(Engine[is_logo_reactivation],1,Engine[month],"&lt;="&amp;W15)-COUNTIFS(Engine[is_logo_churn],1,Engine[month],"&lt;="&amp;W15)</f>
        <v/>
      </c>
      <c r="Y19" s="240">
        <f>COUNTIFS(Engine[is_new_logo],1,Engine[month],"&lt;="&amp;X15)+COUNTIFS(Engine[is_logo_reactivation],1,Engine[month],"&lt;="&amp;X15)-COUNTIFS(Engine[is_logo_churn],1,Engine[month],"&lt;="&amp;X15)</f>
        <v/>
      </c>
      <c r="Z19" s="240">
        <f>COUNTIFS(Engine[is_new_logo],1,Engine[month],"&lt;="&amp;Y15)+COUNTIFS(Engine[is_logo_reactivation],1,Engine[month],"&lt;="&amp;Y15)-COUNTIFS(Engine[is_logo_churn],1,Engine[month],"&lt;="&amp;Y15)</f>
        <v/>
      </c>
      <c r="AA19" s="240">
        <f>COUNTIFS(Engine[is_new_logo],1,Engine[month],"&lt;="&amp;Z15)+COUNTIFS(Engine[is_logo_reactivation],1,Engine[month],"&lt;="&amp;Z15)-COUNTIFS(Engine[is_logo_churn],1,Engine[month],"&lt;="&amp;Z15)</f>
        <v/>
      </c>
      <c r="AB19" s="240">
        <f>COUNTIFS(Engine[is_new_logo],1,Engine[month],"&lt;="&amp;AA15)+COUNTIFS(Engine[is_logo_reactivation],1,Engine[month],"&lt;="&amp;AA15)-COUNTIFS(Engine[is_logo_churn],1,Engine[month],"&lt;="&amp;AA15)</f>
        <v/>
      </c>
      <c r="AC19" s="240">
        <f>COUNTIFS(Engine[is_new_logo],1,Engine[month],"&lt;="&amp;AB15)+COUNTIFS(Engine[is_logo_reactivation],1,Engine[month],"&lt;="&amp;AB15)-COUNTIFS(Engine[is_logo_churn],1,Engine[month],"&lt;="&amp;AB15)</f>
        <v/>
      </c>
      <c r="AD19" s="240" t="n"/>
      <c r="AE19" s="240" t="n"/>
      <c r="AF19" s="240" t="n"/>
      <c r="AG19" s="240" t="n"/>
      <c r="AH19" s="240" t="n"/>
      <c r="AI19" s="240" t="n"/>
      <c r="AJ19" s="240" t="n"/>
      <c r="AK19" s="240" t="n"/>
      <c r="AL19" s="240" t="n"/>
      <c r="AM19" s="240" t="n"/>
    </row>
    <row r="20" ht="14.25" customHeight="1" s="281">
      <c r="A20" s="238" t="inlineStr">
        <is>
          <t>True Logo Churns</t>
        </is>
      </c>
      <c r="B20" s="241">
        <f>COUNTIFS(Engine!$U$2:$U$102,1,Engine!$F$2:$F$102,B15)</f>
        <v/>
      </c>
      <c r="C20" s="240">
        <f>COUNTIFS(Engine[is_logo_churn],1,Engine[month],C15)</f>
        <v/>
      </c>
      <c r="D20" s="240">
        <f>COUNTIFS(Engine[is_logo_churn],1,Engine[month],D15)</f>
        <v/>
      </c>
      <c r="E20" s="240">
        <f>COUNTIFS(Engine[is_logo_churn],1,Engine[month],E15)</f>
        <v/>
      </c>
      <c r="F20" s="240">
        <f>COUNTIFS(Engine[is_logo_churn],1,Engine[month],F15)</f>
        <v/>
      </c>
      <c r="G20" s="240">
        <f>COUNTIFS(Engine[is_logo_churn],1,Engine[month],G15)</f>
        <v/>
      </c>
      <c r="H20" s="240">
        <f>COUNTIFS(Engine[is_logo_churn],1,Engine[month],H15)</f>
        <v/>
      </c>
      <c r="I20" s="240">
        <f>COUNTIFS(Engine[is_logo_churn],1,Engine[month],I15)</f>
        <v/>
      </c>
      <c r="J20" s="240">
        <f>COUNTIFS(Engine[is_logo_churn],1,Engine[month],J15)</f>
        <v/>
      </c>
      <c r="K20" s="240">
        <f>COUNTIFS(Engine[is_logo_churn],1,Engine[month],K15)</f>
        <v/>
      </c>
      <c r="L20" s="240">
        <f>COUNTIFS(Engine[is_logo_churn],1,Engine[month],L15)</f>
        <v/>
      </c>
      <c r="M20" s="240">
        <f>COUNTIFS(Engine[is_logo_churn],1,Engine[month],M15)</f>
        <v/>
      </c>
      <c r="N20" s="240">
        <f>COUNTIFS(Engine[is_logo_churn],1,Engine[month],N15)</f>
        <v/>
      </c>
      <c r="O20" s="240">
        <f>COUNTIFS(Engine[is_logo_churn],1,Engine[month],O15)</f>
        <v/>
      </c>
      <c r="P20" s="240">
        <f>COUNTIFS(Engine[is_logo_churn],1,Engine[month],P15)</f>
        <v/>
      </c>
      <c r="Q20" s="240">
        <f>COUNTIFS(Engine[is_logo_churn],1,Engine[month],Q15)</f>
        <v/>
      </c>
      <c r="R20" s="240">
        <f>COUNTIFS(Engine[is_logo_churn],1,Engine[month],R15)</f>
        <v/>
      </c>
      <c r="S20" s="240">
        <f>COUNTIFS(Engine[is_logo_churn],1,Engine[month],S15)</f>
        <v/>
      </c>
      <c r="T20" s="240">
        <f>COUNTIFS(Engine[is_logo_churn],1,Engine[month],T15)</f>
        <v/>
      </c>
      <c r="U20" s="240">
        <f>COUNTIFS(Engine[is_logo_churn],1,Engine[month],U15)</f>
        <v/>
      </c>
      <c r="V20" s="240">
        <f>COUNTIFS(Engine[is_logo_churn],1,Engine[month],V15)</f>
        <v/>
      </c>
      <c r="W20" s="240">
        <f>COUNTIFS(Engine[is_logo_churn],1,Engine[month],W15)</f>
        <v/>
      </c>
      <c r="X20" s="240">
        <f>COUNTIFS(Engine[is_logo_churn],1,Engine[month],X15)</f>
        <v/>
      </c>
      <c r="Y20" s="240">
        <f>COUNTIFS(Engine[is_logo_churn],1,Engine[month],Y15)</f>
        <v/>
      </c>
      <c r="Z20" s="240">
        <f>COUNTIFS(Engine[is_logo_churn],1,Engine[month],Z15)</f>
        <v/>
      </c>
      <c r="AA20" s="240">
        <f>COUNTIFS(Engine[is_logo_churn],1,Engine[month],AA15)</f>
        <v/>
      </c>
      <c r="AB20" s="240">
        <f>COUNTIFS(Engine[is_logo_churn],1,Engine[month],AB15)</f>
        <v/>
      </c>
      <c r="AC20" s="240">
        <f>COUNTIFS(Engine[is_logo_churn],1,Engine[month],AC15)</f>
        <v/>
      </c>
      <c r="AD20" s="240" t="n"/>
      <c r="AE20" s="240" t="n"/>
      <c r="AF20" s="240" t="n"/>
      <c r="AG20" s="240" t="n"/>
      <c r="AH20" s="240" t="n"/>
      <c r="AI20" s="240" t="n"/>
      <c r="AJ20" s="240" t="n"/>
      <c r="AK20" s="240" t="n"/>
      <c r="AL20" s="240" t="n"/>
      <c r="AM20" s="240" t="n"/>
    </row>
    <row r="21" ht="14.25" customHeight="1" s="281">
      <c r="A21" s="238" t="inlineStr">
        <is>
          <t>Logo Churn Rate</t>
        </is>
      </c>
      <c r="B21" s="242">
        <f>IF(B19=0,"-",B20/B19)</f>
        <v/>
      </c>
      <c r="C21" s="242">
        <f>IF(C19=0,"-",C20/C19)</f>
        <v/>
      </c>
      <c r="D21" s="242">
        <f>IF(D19=0,"-",D20/D19)</f>
        <v/>
      </c>
      <c r="E21" s="242">
        <f>IF(E19=0,"-",E20/E19)</f>
        <v/>
      </c>
      <c r="F21" s="242">
        <f>IF(F19=0,"-",F20/F19)</f>
        <v/>
      </c>
      <c r="G21" s="242">
        <f>IF(G19=0,"-",G20/G19)</f>
        <v/>
      </c>
      <c r="H21" s="242">
        <f>IF(H19=0,"-",H20/H19)</f>
        <v/>
      </c>
      <c r="I21" s="242">
        <f>IF(I19=0,"-",I20/I19)</f>
        <v/>
      </c>
      <c r="J21" s="242">
        <f>IF(J19=0,"-",J20/J19)</f>
        <v/>
      </c>
      <c r="K21" s="242">
        <f>IF(K19=0,"-",K20/K19)</f>
        <v/>
      </c>
      <c r="L21" s="242">
        <f>IF(L19=0,"-",L20/L19)</f>
        <v/>
      </c>
      <c r="M21" s="242">
        <f>IF(M19=0,"-",M20/M19)</f>
        <v/>
      </c>
      <c r="N21" s="242">
        <f>IF(N19=0,"-",N20/N19)</f>
        <v/>
      </c>
      <c r="O21" s="242">
        <f>IF(O19=0,"-",O20/O19)</f>
        <v/>
      </c>
      <c r="P21" s="242">
        <f>IF(P19=0,"-",P20/P19)</f>
        <v/>
      </c>
      <c r="Q21" s="242">
        <f>IF(Q19=0,"-",Q20/Q19)</f>
        <v/>
      </c>
      <c r="R21" s="242">
        <f>IF(R19=0,"-",R20/R19)</f>
        <v/>
      </c>
      <c r="S21" s="242">
        <f>IF(S19=0,"-",S20/S19)</f>
        <v/>
      </c>
      <c r="T21" s="242">
        <f>IF(T19=0,"-",T20/T19)</f>
        <v/>
      </c>
      <c r="U21" s="242">
        <f>IF(U19=0,"-",U20/U19)</f>
        <v/>
      </c>
      <c r="V21" s="242">
        <f>IF(V19=0,"-",V20/V19)</f>
        <v/>
      </c>
      <c r="W21" s="242">
        <f>IF(W19=0,"-",W20/W19)</f>
        <v/>
      </c>
      <c r="X21" s="242">
        <f>IF(X19=0,"-",X20/X19)</f>
        <v/>
      </c>
      <c r="Y21" s="242">
        <f>IF(Y19=0,"-",Y20/Y19)</f>
        <v/>
      </c>
      <c r="Z21" s="242">
        <f>IF(Z19=0,"-",Z20/Z19)</f>
        <v/>
      </c>
      <c r="AA21" s="242">
        <f>IF(AA19=0,"-",AA20/AA19)</f>
        <v/>
      </c>
      <c r="AB21" s="242">
        <f>IF(AB19=0,"-",AB20/AB19)</f>
        <v/>
      </c>
      <c r="AC21" s="243">
        <f>IF(AC19=0,"-",AC20/AC19)</f>
        <v/>
      </c>
      <c r="AD21" s="243" t="n"/>
      <c r="AE21" s="243" t="n"/>
      <c r="AF21" s="243" t="n"/>
      <c r="AG21" s="243" t="n"/>
      <c r="AH21" s="243" t="n"/>
      <c r="AI21" s="243" t="n"/>
      <c r="AJ21" s="243" t="n"/>
      <c r="AK21" s="243" t="n"/>
      <c r="AL21" s="243" t="n"/>
      <c r="AM21" s="243" t="n"/>
    </row>
    <row r="22" ht="14.25" customHeight="1" s="281"/>
    <row r="23" ht="14.25" customHeight="1" s="281">
      <c r="A23" s="27" t="inlineStr">
        <is>
          <t>4. Trailing Averages</t>
        </is>
      </c>
    </row>
    <row r="24" ht="14.25" customHeight="1" s="281">
      <c r="A24" s="27" t="inlineStr">
        <is>
          <t>Month</t>
        </is>
      </c>
      <c r="B24" s="237">
        <f>B4</f>
        <v/>
      </c>
      <c r="C24" s="237">
        <f>C4</f>
        <v/>
      </c>
      <c r="D24" s="237">
        <f>D4</f>
        <v/>
      </c>
      <c r="E24" s="237">
        <f>E4</f>
        <v/>
      </c>
      <c r="F24" s="237">
        <f>F4</f>
        <v/>
      </c>
      <c r="G24" s="237">
        <f>G4</f>
        <v/>
      </c>
      <c r="H24" s="237">
        <f>H4</f>
        <v/>
      </c>
      <c r="I24" s="237">
        <f>I4</f>
        <v/>
      </c>
      <c r="J24" s="237">
        <f>J4</f>
        <v/>
      </c>
      <c r="K24" s="237">
        <f>K4</f>
        <v/>
      </c>
      <c r="L24" s="237">
        <f>L4</f>
        <v/>
      </c>
      <c r="M24" s="237">
        <f>M4</f>
        <v/>
      </c>
      <c r="N24" s="237">
        <f>N4</f>
        <v/>
      </c>
      <c r="O24" s="237">
        <f>O4</f>
        <v/>
      </c>
      <c r="P24" s="237">
        <f>P4</f>
        <v/>
      </c>
      <c r="Q24" s="237">
        <f>Q4</f>
        <v/>
      </c>
      <c r="R24" s="237">
        <f>R4</f>
        <v/>
      </c>
      <c r="S24" s="237">
        <f>S4</f>
        <v/>
      </c>
      <c r="T24" s="237">
        <f>T4</f>
        <v/>
      </c>
      <c r="U24" s="237">
        <f>U4</f>
        <v/>
      </c>
      <c r="V24" s="237">
        <f>V4</f>
        <v/>
      </c>
      <c r="W24" s="237">
        <f>W4</f>
        <v/>
      </c>
      <c r="X24" s="237">
        <f>X4</f>
        <v/>
      </c>
      <c r="Y24" s="237">
        <f>Y4</f>
        <v/>
      </c>
      <c r="Z24" s="237">
        <f>Z4</f>
        <v/>
      </c>
      <c r="AA24" s="237">
        <f>AA4</f>
        <v/>
      </c>
      <c r="AB24" s="237">
        <f>AB4</f>
        <v/>
      </c>
      <c r="AC24" s="237">
        <f>AC4</f>
        <v/>
      </c>
      <c r="AD24" s="237" t="n"/>
      <c r="AE24" s="237" t="n"/>
      <c r="AF24" s="237" t="n"/>
      <c r="AG24" s="237" t="n"/>
      <c r="AH24" s="237" t="n"/>
      <c r="AI24" s="237" t="n"/>
      <c r="AJ24" s="237" t="n"/>
      <c r="AK24" s="237" t="n"/>
      <c r="AL24" s="237" t="n"/>
      <c r="AM24" s="237" t="n"/>
    </row>
    <row r="25" ht="14.25" customHeight="1" s="281">
      <c r="A25" s="27" t="inlineStr">
        <is>
          <t>GRR (Trailing 3-Mo Avg)</t>
        </is>
      </c>
      <c r="B25" s="175">
        <f>IFERROR(AVERAGEIF(B6,"&gt;0"),"-")</f>
        <v/>
      </c>
      <c r="C25" s="175">
        <f>IFERROR(AVERAGEIF(B6:C6,"&gt;0"),"-")</f>
        <v/>
      </c>
      <c r="D25" s="175">
        <f>IFERROR(AVERAGEIF(B6:D6,"&gt;0"),"-")</f>
        <v/>
      </c>
      <c r="E25" s="175">
        <f>AVERAGEIF(C6:E6,"&gt;0")</f>
        <v/>
      </c>
      <c r="F25" s="175">
        <f>AVERAGEIF(D6:F6,"&gt;0")</f>
        <v/>
      </c>
      <c r="G25" s="175">
        <f>AVERAGEIF(E6:G6,"&gt;0")</f>
        <v/>
      </c>
      <c r="H25" s="175">
        <f>AVERAGEIF(F6:H6,"&gt;0")</f>
        <v/>
      </c>
      <c r="I25" s="175">
        <f>AVERAGEIF(G6:I6,"&gt;0")</f>
        <v/>
      </c>
      <c r="J25" s="175">
        <f>AVERAGEIF(H6:J6,"&gt;0")</f>
        <v/>
      </c>
      <c r="K25" s="175">
        <f>AVERAGEIF(I6:K6,"&gt;0")</f>
        <v/>
      </c>
      <c r="L25" s="175">
        <f>AVERAGEIF(J6:L6,"&gt;0")</f>
        <v/>
      </c>
      <c r="M25" s="175">
        <f>AVERAGEIF(K6:M6,"&gt;0")</f>
        <v/>
      </c>
      <c r="N25" s="175">
        <f>AVERAGEIF(L6:N6,"&gt;0")</f>
        <v/>
      </c>
      <c r="O25" s="175">
        <f>AVERAGEIF(M6:O6,"&gt;0")</f>
        <v/>
      </c>
      <c r="P25" s="175">
        <f>AVERAGEIF(N6:P6,"&gt;0")</f>
        <v/>
      </c>
      <c r="Q25" s="175">
        <f>AVERAGEIF(O6:Q6,"&gt;0")</f>
        <v/>
      </c>
      <c r="R25" s="175">
        <f>AVERAGEIF(P6:R6,"&gt;0")</f>
        <v/>
      </c>
      <c r="S25" s="175">
        <f>AVERAGEIF(Q6:S6,"&gt;0")</f>
        <v/>
      </c>
      <c r="T25" s="175">
        <f>AVERAGEIF(R6:T6,"&gt;0")</f>
        <v/>
      </c>
      <c r="U25" s="175">
        <f>AVERAGEIF(S6:U6,"&gt;0")</f>
        <v/>
      </c>
      <c r="V25" s="175">
        <f>AVERAGEIF(T6:V6,"&gt;0")</f>
        <v/>
      </c>
      <c r="W25" s="175">
        <f>AVERAGEIF(U6:W6,"&gt;0")</f>
        <v/>
      </c>
      <c r="X25" s="175">
        <f>AVERAGEIF(V6:X6,"&gt;0")</f>
        <v/>
      </c>
      <c r="Y25" s="175">
        <f>AVERAGEIF(W6:Y6,"&gt;0")</f>
        <v/>
      </c>
      <c r="Z25" s="175">
        <f>AVERAGEIF(X6:Z6,"&gt;0")</f>
        <v/>
      </c>
      <c r="AA25" s="175">
        <f>AVERAGEIF(Y6:AA6,"&gt;0")</f>
        <v/>
      </c>
      <c r="AB25" s="175">
        <f>AVERAGEIF(Z6:AB6,"&gt;0")</f>
        <v/>
      </c>
      <c r="AC25" s="175">
        <f>AVERAGEIF(AA6:AC6,"&gt;0")</f>
        <v/>
      </c>
      <c r="AD25" s="175" t="n"/>
      <c r="AE25" s="175" t="n"/>
      <c r="AF25" s="175" t="n"/>
      <c r="AG25" s="175" t="n"/>
      <c r="AH25" s="175" t="n"/>
      <c r="AI25" s="175" t="n"/>
      <c r="AJ25" s="175" t="n"/>
      <c r="AK25" s="175" t="n"/>
      <c r="AL25" s="175" t="n"/>
      <c r="AM25" s="175" t="n"/>
    </row>
    <row r="26" ht="14.25" customHeight="1" s="281">
      <c r="A26" s="27" t="inlineStr">
        <is>
          <t>NRR (Trailing 3-Mo Avg)</t>
        </is>
      </c>
      <c r="B26" s="175">
        <f>IFERROR(AVERAGEIF(B7,"&gt;0"),"-")</f>
        <v/>
      </c>
      <c r="C26" s="175">
        <f>IFERROR(AVERAGEIF(B7:C7,"&gt;0"),"-")</f>
        <v/>
      </c>
      <c r="D26" s="175">
        <f>IFERROR(AVERAGEIF(B7:D7,"&gt;0"),"-")</f>
        <v/>
      </c>
      <c r="E26" s="175">
        <f>AVERAGEIF(C7:E7,"&gt;0")</f>
        <v/>
      </c>
      <c r="F26" s="175">
        <f>AVERAGEIF(D7:F7,"&gt;0")</f>
        <v/>
      </c>
      <c r="G26" s="175">
        <f>AVERAGEIF(E7:G7,"&gt;0")</f>
        <v/>
      </c>
      <c r="H26" s="175">
        <f>AVERAGEIF(F7:H7,"&gt;0")</f>
        <v/>
      </c>
      <c r="I26" s="175">
        <f>AVERAGEIF(G7:I7,"&gt;0")</f>
        <v/>
      </c>
      <c r="J26" s="175">
        <f>AVERAGEIF(H7:J7,"&gt;0")</f>
        <v/>
      </c>
      <c r="K26" s="175">
        <f>AVERAGEIF(I7:K7,"&gt;0")</f>
        <v/>
      </c>
      <c r="L26" s="175">
        <f>AVERAGEIF(J7:L7,"&gt;0")</f>
        <v/>
      </c>
      <c r="M26" s="175">
        <f>AVERAGEIF(K7:M7,"&gt;0")</f>
        <v/>
      </c>
      <c r="N26" s="175">
        <f>AVERAGEIF(L7:N7,"&gt;0")</f>
        <v/>
      </c>
      <c r="O26" s="175">
        <f>AVERAGEIF(M7:O7,"&gt;0")</f>
        <v/>
      </c>
      <c r="P26" s="175">
        <f>AVERAGEIF(N7:P7,"&gt;0")</f>
        <v/>
      </c>
      <c r="Q26" s="175">
        <f>AVERAGEIF(O7:Q7,"&gt;0")</f>
        <v/>
      </c>
      <c r="R26" s="175">
        <f>AVERAGEIF(P7:R7,"&gt;0")</f>
        <v/>
      </c>
      <c r="S26" s="175">
        <f>AVERAGEIF(Q7:S7,"&gt;0")</f>
        <v/>
      </c>
      <c r="T26" s="175">
        <f>AVERAGEIF(R7:T7,"&gt;0")</f>
        <v/>
      </c>
      <c r="U26" s="175">
        <f>AVERAGEIF(S7:U7,"&gt;0")</f>
        <v/>
      </c>
      <c r="V26" s="175">
        <f>AVERAGEIF(T7:V7,"&gt;0")</f>
        <v/>
      </c>
      <c r="W26" s="175">
        <f>AVERAGEIF(U7:W7,"&gt;0")</f>
        <v/>
      </c>
      <c r="X26" s="175">
        <f>AVERAGEIF(V7:X7,"&gt;0")</f>
        <v/>
      </c>
      <c r="Y26" s="175">
        <f>AVERAGEIF(W7:Y7,"&gt;0")</f>
        <v/>
      </c>
      <c r="Z26" s="175">
        <f>AVERAGEIF(X7:Z7,"&gt;0")</f>
        <v/>
      </c>
      <c r="AA26" s="175">
        <f>AVERAGEIF(Y7:AA7,"&gt;0")</f>
        <v/>
      </c>
      <c r="AB26" s="175">
        <f>AVERAGEIF(Z7:AB7,"&gt;0")</f>
        <v/>
      </c>
      <c r="AC26" s="175">
        <f>AVERAGEIF(AA7:AC7,"&gt;0")</f>
        <v/>
      </c>
      <c r="AD26" s="175" t="n"/>
      <c r="AE26" s="175" t="n"/>
      <c r="AF26" s="175" t="n"/>
      <c r="AG26" s="175" t="n"/>
      <c r="AH26" s="175" t="n"/>
      <c r="AI26" s="175" t="n"/>
      <c r="AJ26" s="175" t="n"/>
      <c r="AK26" s="175" t="n"/>
      <c r="AL26" s="175" t="n"/>
      <c r="AM26" s="175" t="n"/>
    </row>
    <row r="27" ht="14.25" customHeight="1" s="281">
      <c r="A27" s="27" t="inlineStr">
        <is>
          <t>Logo Churn (Trailing 3-Mo Avg)</t>
        </is>
      </c>
      <c r="B27" s="175">
        <f>IFERROR(AVERAGE(B21),"-")</f>
        <v/>
      </c>
      <c r="C27" s="175">
        <f>IFERROR(AVERAGE(B21:C21),"-")</f>
        <v/>
      </c>
      <c r="D27" s="175">
        <f>IFERROR(AVERAGE(B21:D21),"-")</f>
        <v/>
      </c>
      <c r="E27" s="175">
        <f>AVERAGE(C21:E21)</f>
        <v/>
      </c>
      <c r="F27" s="175">
        <f>AVERAGE(D21:F21)</f>
        <v/>
      </c>
      <c r="G27" s="175">
        <f>AVERAGE(E21:G21)</f>
        <v/>
      </c>
      <c r="H27" s="175">
        <f>AVERAGE(F21:H21)</f>
        <v/>
      </c>
      <c r="I27" s="175">
        <f>AVERAGE(G21:I21)</f>
        <v/>
      </c>
      <c r="J27" s="175">
        <f>AVERAGE(H21:J21)</f>
        <v/>
      </c>
      <c r="K27" s="175">
        <f>AVERAGE(I21:K21)</f>
        <v/>
      </c>
      <c r="L27" s="175">
        <f>AVERAGE(J21:L21)</f>
        <v/>
      </c>
      <c r="M27" s="175">
        <f>AVERAGE(K21:M21)</f>
        <v/>
      </c>
      <c r="N27" s="175">
        <f>AVERAGE(L21:N21)</f>
        <v/>
      </c>
      <c r="O27" s="175">
        <f>AVERAGE(M21:O21)</f>
        <v/>
      </c>
      <c r="P27" s="175">
        <f>AVERAGE(N21:P21)</f>
        <v/>
      </c>
      <c r="Q27" s="175">
        <f>AVERAGE(O21:Q21)</f>
        <v/>
      </c>
      <c r="R27" s="175">
        <f>AVERAGE(P21:R21)</f>
        <v/>
      </c>
      <c r="S27" s="175">
        <f>AVERAGE(Q21:S21)</f>
        <v/>
      </c>
      <c r="T27" s="175">
        <f>AVERAGE(R21:T21)</f>
        <v/>
      </c>
      <c r="U27" s="175">
        <f>AVERAGE(S21:U21)</f>
        <v/>
      </c>
      <c r="V27" s="175">
        <f>AVERAGE(T21:V21)</f>
        <v/>
      </c>
      <c r="W27" s="175">
        <f>AVERAGE(U21:W21)</f>
        <v/>
      </c>
      <c r="X27" s="175">
        <f>AVERAGE(V21:X21)</f>
        <v/>
      </c>
      <c r="Y27" s="175">
        <f>AVERAGE(W21:Y21)</f>
        <v/>
      </c>
      <c r="Z27" s="175">
        <f>AVERAGE(X21:Z21)</f>
        <v/>
      </c>
      <c r="AA27" s="175">
        <f>AVERAGE(Y21:AA21)</f>
        <v/>
      </c>
      <c r="AB27" s="175">
        <f>AVERAGE(Z21:AB21)</f>
        <v/>
      </c>
      <c r="AC27" s="175">
        <f>AVERAGE(AA21:AC21)</f>
        <v/>
      </c>
      <c r="AD27" s="175" t="n"/>
      <c r="AE27" s="175" t="n"/>
      <c r="AF27" s="175" t="n"/>
      <c r="AG27" s="175" t="n"/>
      <c r="AH27" s="175" t="n"/>
      <c r="AI27" s="175" t="n"/>
      <c r="AJ27" s="175" t="n"/>
      <c r="AK27" s="175" t="n"/>
      <c r="AL27" s="175" t="n"/>
      <c r="AM27" s="175" t="n"/>
    </row>
    <row r="28" ht="14.25" customHeight="1" s="281">
      <c r="A28" s="27" t="n"/>
      <c r="B28" s="175" t="n"/>
      <c r="C28" s="175" t="n"/>
      <c r="D28" s="175" t="n"/>
      <c r="E28" s="175" t="n"/>
      <c r="F28" s="175" t="n"/>
      <c r="G28" s="175" t="n"/>
      <c r="H28" s="175" t="n"/>
      <c r="I28" s="175" t="n"/>
      <c r="J28" s="175" t="n"/>
      <c r="K28" s="175" t="n"/>
      <c r="L28" s="175" t="n"/>
      <c r="M28" s="175" t="n"/>
      <c r="N28" s="175" t="n"/>
      <c r="O28" s="175" t="n"/>
      <c r="P28" s="175" t="n"/>
      <c r="Q28" s="175" t="n"/>
      <c r="R28" s="175" t="n"/>
      <c r="S28" s="175" t="n"/>
      <c r="T28" s="175" t="n"/>
      <c r="U28" s="175" t="n"/>
      <c r="V28" s="175" t="n"/>
      <c r="W28" s="175" t="n"/>
      <c r="X28" s="175" t="n"/>
      <c r="Y28" s="175" t="n"/>
      <c r="Z28" s="175" t="n"/>
      <c r="AA28" s="175" t="n"/>
    </row>
    <row r="29" ht="14.25" customHeight="1" s="281">
      <c r="A29" s="27" t="inlineStr">
        <is>
          <t>GRR (Trailing 12-Mo Avg)</t>
        </is>
      </c>
      <c r="B29" s="175">
        <f>IFERROR(AVERAGEIF(B6,"&gt;0"),"-")</f>
        <v/>
      </c>
      <c r="C29" s="175">
        <f>IFERROR(AVERAGEIF(B6:C6,"&gt;0"),"-")</f>
        <v/>
      </c>
      <c r="D29" s="175">
        <f>IFERROR(AVERAGEIF(B6:D6,"&gt;0"),"-")</f>
        <v/>
      </c>
      <c r="E29" s="175">
        <f>AVERAGEIF(B6:E6,"&gt;0")</f>
        <v/>
      </c>
      <c r="F29" s="175">
        <f>AVERAGEIF(B6:F6,"&gt;0")</f>
        <v/>
      </c>
      <c r="G29" s="175">
        <f>AVERAGEIF(B6:G6,"&gt;0")</f>
        <v/>
      </c>
      <c r="H29" s="175">
        <f>AVERAGEIF(B6:H6,"&gt;0")</f>
        <v/>
      </c>
      <c r="I29" s="175">
        <f>AVERAGEIF(B6:I6,"&gt;0")</f>
        <v/>
      </c>
      <c r="J29" s="175">
        <f>AVERAGEIF(B6:J6,"&gt;0")</f>
        <v/>
      </c>
      <c r="K29" s="175">
        <f>AVERAGEIF(B6:K6,"&gt;0")</f>
        <v/>
      </c>
      <c r="L29" s="175">
        <f>AVERAGEIF(B6:L6,"&gt;0")</f>
        <v/>
      </c>
      <c r="M29" s="175">
        <f>AVERAGEIF(B6:M6,"&gt;0")</f>
        <v/>
      </c>
      <c r="N29" s="175">
        <f>AVERAGEIF(C6:N6,"&gt;0")</f>
        <v/>
      </c>
      <c r="O29" s="175">
        <f>AVERAGEIF(D6:O6,"&gt;0")</f>
        <v/>
      </c>
      <c r="P29" s="175">
        <f>AVERAGEIF(E6:P6,"&gt;0")</f>
        <v/>
      </c>
      <c r="Q29" s="175">
        <f>AVERAGEIF(F6:Q6,"&gt;0")</f>
        <v/>
      </c>
      <c r="R29" s="175">
        <f>AVERAGEIF(G6:R6,"&gt;0")</f>
        <v/>
      </c>
      <c r="S29" s="175">
        <f>AVERAGEIF(H6:S6,"&gt;0")</f>
        <v/>
      </c>
      <c r="T29" s="175">
        <f>AVERAGEIF(I6:T6,"&gt;0")</f>
        <v/>
      </c>
      <c r="U29" s="175">
        <f>AVERAGEIF(J6:U6,"&gt;0")</f>
        <v/>
      </c>
      <c r="V29" s="175">
        <f>AVERAGEIF(K6:V6,"&gt;0")</f>
        <v/>
      </c>
      <c r="W29" s="175">
        <f>AVERAGEIF(L6:W6,"&gt;0")</f>
        <v/>
      </c>
      <c r="X29" s="175">
        <f>AVERAGEIF(M6:X6,"&gt;0")</f>
        <v/>
      </c>
      <c r="Y29" s="175">
        <f>AVERAGEIF(N6:Y6,"&gt;0")</f>
        <v/>
      </c>
      <c r="Z29" s="175">
        <f>AVERAGEIF(O6:Z6,"&gt;0")</f>
        <v/>
      </c>
      <c r="AA29" s="175">
        <f>AVERAGEIF(P6:AA6,"&gt;0")</f>
        <v/>
      </c>
      <c r="AB29" s="175">
        <f>AVERAGEIF(Q6:AB6,"&gt;0")</f>
        <v/>
      </c>
      <c r="AC29" s="175">
        <f>AVERAGEIF(R6:AC6,"&gt;0")</f>
        <v/>
      </c>
      <c r="AD29" s="175" t="n"/>
      <c r="AE29" s="175" t="n"/>
      <c r="AF29" s="175" t="n"/>
      <c r="AG29" s="175" t="n"/>
      <c r="AH29" s="175" t="n"/>
      <c r="AI29" s="175" t="n"/>
      <c r="AJ29" s="175" t="n"/>
      <c r="AK29" s="175" t="n"/>
      <c r="AL29" s="175" t="n"/>
      <c r="AM29" s="175" t="n"/>
    </row>
    <row r="30" ht="14.25" customHeight="1" s="281">
      <c r="A30" s="27" t="inlineStr">
        <is>
          <t>NRR (Trailing 12-Mo Avg)</t>
        </is>
      </c>
      <c r="B30" s="175">
        <f>IFERROR(AVERAGEIF(B7,"&gt;0"),"-")</f>
        <v/>
      </c>
      <c r="C30" s="175">
        <f>IFERROR(AVERAGEIF(B7:C7,"&gt;0"),"-")</f>
        <v/>
      </c>
      <c r="D30" s="175">
        <f>IFERROR(AVERAGEIF(B7:D7,"&gt;0"),"-")</f>
        <v/>
      </c>
      <c r="E30" s="175">
        <f>AVERAGEIF(B7:E7,"&gt;0")</f>
        <v/>
      </c>
      <c r="F30" s="175">
        <f>AVERAGEIF(B7:F7,"&gt;0")</f>
        <v/>
      </c>
      <c r="G30" s="175">
        <f>AVERAGEIF(B7:G7,"&gt;0")</f>
        <v/>
      </c>
      <c r="H30" s="175">
        <f>AVERAGEIF(B7:H7,"&gt;0")</f>
        <v/>
      </c>
      <c r="I30" s="175">
        <f>AVERAGEIF(B7:I7,"&gt;0")</f>
        <v/>
      </c>
      <c r="J30" s="175">
        <f>AVERAGEIF(B7:J7,"&gt;0")</f>
        <v/>
      </c>
      <c r="K30" s="175">
        <f>AVERAGEIF(B7:K7,"&gt;0")</f>
        <v/>
      </c>
      <c r="L30" s="175">
        <f>AVERAGEIF(B7:L7,"&gt;0")</f>
        <v/>
      </c>
      <c r="M30" s="175">
        <f>AVERAGEIF(B7:M7,"&gt;0")</f>
        <v/>
      </c>
      <c r="N30" s="175">
        <f>AVERAGEIF(C7:N7,"&gt;0")</f>
        <v/>
      </c>
      <c r="O30" s="175">
        <f>AVERAGEIF(D7:O7,"&gt;0")</f>
        <v/>
      </c>
      <c r="P30" s="175">
        <f>AVERAGEIF(E7:P7,"&gt;0")</f>
        <v/>
      </c>
      <c r="Q30" s="175">
        <f>AVERAGEIF(F7:Q7,"&gt;0")</f>
        <v/>
      </c>
      <c r="R30" s="175">
        <f>AVERAGEIF(G7:R7,"&gt;0")</f>
        <v/>
      </c>
      <c r="S30" s="175">
        <f>AVERAGEIF(H7:S7,"&gt;0")</f>
        <v/>
      </c>
      <c r="T30" s="175">
        <f>AVERAGEIF(I7:T7,"&gt;0")</f>
        <v/>
      </c>
      <c r="U30" s="175">
        <f>AVERAGEIF(J7:U7,"&gt;0")</f>
        <v/>
      </c>
      <c r="V30" s="175">
        <f>AVERAGEIF(K7:V7,"&gt;0")</f>
        <v/>
      </c>
      <c r="W30" s="175">
        <f>AVERAGEIF(L7:W7,"&gt;0")</f>
        <v/>
      </c>
      <c r="X30" s="175">
        <f>AVERAGEIF(M7:X7,"&gt;0")</f>
        <v/>
      </c>
      <c r="Y30" s="175">
        <f>AVERAGEIF(N7:Y7,"&gt;0")</f>
        <v/>
      </c>
      <c r="Z30" s="175">
        <f>AVERAGEIF(O7:Z7,"&gt;0")</f>
        <v/>
      </c>
      <c r="AA30" s="175">
        <f>AVERAGEIF(P7:AA7,"&gt;0")</f>
        <v/>
      </c>
      <c r="AB30" s="175">
        <f>AVERAGEIF(Q7:AB7,"&gt;0")</f>
        <v/>
      </c>
      <c r="AC30" s="175">
        <f>AVERAGEIF(R7:AC7,"&gt;0")</f>
        <v/>
      </c>
      <c r="AD30" s="175" t="n"/>
      <c r="AE30" s="175" t="n"/>
      <c r="AF30" s="175" t="n"/>
      <c r="AG30" s="175" t="n"/>
      <c r="AH30" s="175" t="n"/>
      <c r="AI30" s="175" t="n"/>
      <c r="AJ30" s="175" t="n"/>
      <c r="AK30" s="175" t="n"/>
      <c r="AL30" s="175" t="n"/>
      <c r="AM30" s="175" t="n"/>
    </row>
    <row r="31" ht="14.25" customHeight="1" s="281">
      <c r="A31" s="27" t="inlineStr">
        <is>
          <t>Logo Churn (Trailing 12-Mo Avg)</t>
        </is>
      </c>
      <c r="B31" s="175">
        <f>IFERROR(AVERAGE(B21),"-")</f>
        <v/>
      </c>
      <c r="C31" s="175">
        <f>IFERROR(AVERAGE(B21:C21),"-")</f>
        <v/>
      </c>
      <c r="D31" s="175">
        <f>IFERROR(AVERAGE(B21:D21),"-")</f>
        <v/>
      </c>
      <c r="E31" s="175">
        <f>AVERAGE(B21:E21)</f>
        <v/>
      </c>
      <c r="F31" s="175">
        <f>AVERAGE(B21:F21)</f>
        <v/>
      </c>
      <c r="G31" s="175">
        <f>AVERAGE(B21:G21)</f>
        <v/>
      </c>
      <c r="H31" s="175">
        <f>AVERAGE(B21:H21)</f>
        <v/>
      </c>
      <c r="I31" s="175">
        <f>AVERAGE(B21:I21)</f>
        <v/>
      </c>
      <c r="J31" s="175">
        <f>AVERAGE(B21:J21)</f>
        <v/>
      </c>
      <c r="K31" s="175">
        <f>AVERAGE(B21:K21)</f>
        <v/>
      </c>
      <c r="L31" s="175">
        <f>AVERAGE(B21:L21)</f>
        <v/>
      </c>
      <c r="M31" s="175">
        <f>AVERAGE(B21:M21)</f>
        <v/>
      </c>
      <c r="N31" s="175">
        <f>AVERAGE(C21:N21)</f>
        <v/>
      </c>
      <c r="O31" s="175">
        <f>AVERAGE(D21:O21)</f>
        <v/>
      </c>
      <c r="P31" s="175">
        <f>AVERAGE(E21:P21)</f>
        <v/>
      </c>
      <c r="Q31" s="175">
        <f>AVERAGE(F21:Q21)</f>
        <v/>
      </c>
      <c r="R31" s="175">
        <f>AVERAGE(G21:R21)</f>
        <v/>
      </c>
      <c r="S31" s="175">
        <f>AVERAGE(H21:S21)</f>
        <v/>
      </c>
      <c r="T31" s="175">
        <f>AVERAGE(I21:T21)</f>
        <v/>
      </c>
      <c r="U31" s="175">
        <f>AVERAGE(J21:U21)</f>
        <v/>
      </c>
      <c r="V31" s="175">
        <f>AVERAGE(K21:V21)</f>
        <v/>
      </c>
      <c r="W31" s="175">
        <f>AVERAGE(L21:W21)</f>
        <v/>
      </c>
      <c r="X31" s="175">
        <f>AVERAGE(M21:X21)</f>
        <v/>
      </c>
      <c r="Y31" s="175">
        <f>AVERAGE(N21:Y21)</f>
        <v/>
      </c>
      <c r="Z31" s="175">
        <f>AVERAGE(O21:Z21)</f>
        <v/>
      </c>
      <c r="AA31" s="175">
        <f>AVERAGE(P21:AA21)</f>
        <v/>
      </c>
      <c r="AB31" s="175">
        <f>AVERAGE(Q21:AB21)</f>
        <v/>
      </c>
      <c r="AC31" s="175">
        <f>AVERAGE(R21:AC21)</f>
        <v/>
      </c>
      <c r="AD31" s="175" t="n"/>
      <c r="AE31" s="175" t="n"/>
      <c r="AF31" s="175" t="n"/>
      <c r="AG31" s="175" t="n"/>
      <c r="AH31" s="175" t="n"/>
      <c r="AI31" s="175" t="n"/>
      <c r="AJ31" s="175" t="n"/>
      <c r="AK31" s="175" t="n"/>
      <c r="AL31" s="175" t="n"/>
      <c r="AM31" s="175" t="n"/>
    </row>
    <row r="32" ht="19.5" customHeight="1" s="281"/>
    <row r="33" ht="14.25" customHeight="1" s="281">
      <c r="A33" s="27" t="inlineStr">
        <is>
          <t>The Retention Story</t>
        </is>
      </c>
    </row>
    <row r="34" ht="79.5" customHeight="1" s="281">
      <c r="A34" s="244" t="inlineStr">
        <is>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is>
      </c>
    </row>
    <row r="35" ht="15" customHeight="1" s="281"/>
    <row r="36" ht="14.25" customHeight="1" s="281">
      <c r="A36" s="27" t="inlineStr">
        <is>
          <t>Subscription Churn vs. Logo Churn</t>
        </is>
      </c>
    </row>
    <row r="37" ht="94.5" customHeight="1" s="281">
      <c r="A37" s="244" t="inlineStr">
        <is>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is>
      </c>
    </row>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2">
    <mergeCell ref="A34:AA34"/>
    <mergeCell ref="A37:AA37"/>
  </mergeCells>
  <pageMargins left="0.7" right="0.7" top="0.75" bottom="0.75" header="0" footer="0"/>
  <pageSetup orientation="landscape"/>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J105"/>
  <sheetViews>
    <sheetView workbookViewId="0">
      <pane xSplit="1" topLeftCell="B1" activePane="topRight" state="frozen"/>
      <selection pane="topRight" activeCell="C2" sqref="C2"/>
    </sheetView>
  </sheetViews>
  <sheetFormatPr baseColWidth="8" defaultColWidth="14.43" defaultRowHeight="15" customHeight="1"/>
  <cols>
    <col width="50.86" customWidth="1" style="281" min="1" max="1"/>
    <col width="24.43" customWidth="1" style="281" min="2" max="2"/>
    <col width="21.86" customWidth="1" style="281" min="3" max="3"/>
    <col width="25.43" customWidth="1" style="281" min="4" max="4"/>
    <col width="21.86" customWidth="1" style="281" min="5" max="5"/>
    <col width="25.43" customWidth="1" style="281" min="6" max="6"/>
    <col width="16.43" customWidth="1" style="281" min="7" max="7"/>
    <col width="8.710000000000001" customWidth="1" style="281" min="8" max="8"/>
    <col width="18.14" customWidth="1" style="281" min="9" max="10"/>
    <col width="8.710000000000001" customWidth="1" style="281" min="11" max="26"/>
  </cols>
  <sheetData>
    <row r="1" ht="14.25" customHeight="1" s="281">
      <c r="A1" s="245" t="inlineStr">
        <is>
          <t>Unit Economics — Current Snapshot</t>
        </is>
      </c>
    </row>
    <row r="2" ht="14.25" customHeight="1" s="281"/>
    <row r="3" ht="14.25" customHeight="1" s="281">
      <c r="A3" s="246" t="inlineStr">
        <is>
          <t>1. Revenue Per Customer</t>
        </is>
      </c>
      <c r="B3" s="247" t="n"/>
    </row>
    <row r="4" ht="14.25" customHeight="1" s="281">
      <c r="A4" s="248" t="inlineStr">
        <is>
          <t>Active Customers</t>
        </is>
      </c>
      <c r="B4" s="249">
        <f t="array" ref="B4">COUNTA(UNIQUE(Engine!$C$2:$C$102))</f>
        <v/>
      </c>
      <c r="C4" s="249" t="n"/>
    </row>
    <row r="5" ht="14.25" customHeight="1" s="281">
      <c r="A5" s="248" t="inlineStr">
        <is>
          <t>Active Subscriptions</t>
        </is>
      </c>
      <c r="B5" s="249">
        <f>COUNTA(Engine!$B$2:$B$102)</f>
        <v/>
      </c>
      <c r="C5" s="249" t="n"/>
    </row>
    <row r="6" ht="14.25" customHeight="1" s="281">
      <c r="A6" s="248" t="inlineStr">
        <is>
          <t>Total MRR</t>
        </is>
      </c>
      <c r="B6" s="250">
        <f>SUM(C12:C17)</f>
        <v/>
      </c>
      <c r="C6" s="250" t="n"/>
    </row>
    <row r="7" ht="14.25" customHeight="1" s="281">
      <c r="A7" s="248" t="inlineStr">
        <is>
          <t>ARPA (MRR / Active Customers)</t>
        </is>
      </c>
      <c r="B7" s="250">
        <f>B6/B4</f>
        <v/>
      </c>
      <c r="C7" s="250" t="n"/>
    </row>
    <row r="8" ht="14.25" customHeight="1" s="281">
      <c r="A8" s="248" t="inlineStr">
        <is>
          <t>ARPS (MRR / Active Subscriptions)</t>
        </is>
      </c>
      <c r="B8" s="250">
        <f>B6/B5</f>
        <v/>
      </c>
      <c r="C8" s="250" t="n"/>
    </row>
    <row r="9" ht="14.25" customHeight="1" s="281"/>
    <row r="10" ht="14.25" customHeight="1" s="281">
      <c r="A10" s="248" t="inlineStr">
        <is>
          <t>ARPA by Plan</t>
        </is>
      </c>
    </row>
    <row r="11" ht="14.25" customHeight="1" s="281">
      <c r="A11" s="248" t="inlineStr">
        <is>
          <t>Plan</t>
        </is>
      </c>
      <c r="B11" s="248" t="inlineStr">
        <is>
          <t>Subscriptions</t>
        </is>
      </c>
      <c r="C11" s="248" t="inlineStr">
        <is>
          <t>Total MRR</t>
        </is>
      </c>
      <c r="D11" s="248" t="inlineStr">
        <is>
          <t>Avg MRR / Subscription</t>
        </is>
      </c>
    </row>
    <row r="12" ht="14.25" customHeight="1" s="281">
      <c r="A12" s="251" t="inlineStr">
        <is>
          <t>Analytics Starter</t>
        </is>
      </c>
      <c r="B12" s="252" t="n">
        <v>5</v>
      </c>
      <c r="C12" s="234" t="n">
        <v>3105</v>
      </c>
      <c r="D12" s="234">
        <f>C12/B12</f>
        <v/>
      </c>
    </row>
    <row r="13" ht="14.25" customHeight="1" s="281">
      <c r="A13" s="251" t="inlineStr">
        <is>
          <t>Analytics Growth</t>
        </is>
      </c>
      <c r="B13" s="252" t="n">
        <v>8</v>
      </c>
      <c r="C13" s="234" t="n">
        <v>15475.5</v>
      </c>
      <c r="D13" s="234">
        <f>C13/B13</f>
        <v/>
      </c>
    </row>
    <row r="14" ht="14.25" customHeight="1" s="281">
      <c r="A14" s="251" t="inlineStr">
        <is>
          <t>Analytics Enterprise</t>
        </is>
      </c>
      <c r="B14" s="252" t="n">
        <v>6</v>
      </c>
      <c r="C14" s="234" t="n">
        <v>32580</v>
      </c>
      <c r="D14" s="234">
        <f>C14/B14</f>
        <v/>
      </c>
    </row>
    <row r="15" ht="14.25" customHeight="1" s="281">
      <c r="A15" s="251" t="inlineStr">
        <is>
          <t>Marketing Pro</t>
        </is>
      </c>
      <c r="B15" s="252" t="n">
        <v>14</v>
      </c>
      <c r="C15" s="234" t="n">
        <v>29325</v>
      </c>
      <c r="D15" s="234">
        <f>C15/B15</f>
        <v/>
      </c>
    </row>
    <row r="16" ht="14.25" customHeight="1" s="281">
      <c r="A16" s="251" t="inlineStr">
        <is>
          <t>Sales Hub</t>
        </is>
      </c>
      <c r="B16" s="252" t="n">
        <v>11</v>
      </c>
      <c r="C16" s="234" t="n">
        <v>26950</v>
      </c>
      <c r="D16" s="234">
        <f>C16/B16</f>
        <v/>
      </c>
    </row>
    <row r="17" ht="14.25" customHeight="1" s="281">
      <c r="A17" s="251" t="inlineStr">
        <is>
          <t>Platform Suite</t>
        </is>
      </c>
      <c r="B17" s="252" t="n">
        <v>7</v>
      </c>
      <c r="C17" s="234" t="n">
        <v>36750</v>
      </c>
      <c r="D17" s="234">
        <f>C17/B17</f>
        <v/>
      </c>
    </row>
    <row r="18" ht="14.25" customHeight="1" s="281">
      <c r="A18" s="248" t="inlineStr">
        <is>
          <t>Total</t>
        </is>
      </c>
      <c r="B18" s="253" t="n">
        <v>51</v>
      </c>
      <c r="C18" s="254" t="n">
        <v>144185.5</v>
      </c>
      <c r="D18" s="234">
        <f>C18/B18</f>
        <v/>
      </c>
    </row>
    <row r="19" ht="14.25" customHeight="1" s="281"/>
    <row r="20" ht="14.25" customHeight="1" s="281">
      <c r="A20" s="246" t="inlineStr">
        <is>
          <t>2. Gross Margin</t>
        </is>
      </c>
      <c r="B20" s="247" t="n"/>
      <c r="C20" s="247" t="n"/>
      <c r="D20" s="247" t="n"/>
    </row>
    <row r="21" ht="14.25" customHeight="1" s="281">
      <c r="A21" s="248" t="inlineStr">
        <is>
          <t>Total Monthly Cost</t>
        </is>
      </c>
      <c r="B21" s="250">
        <f t="array" ref="B21">SUMPRODUCT(E28:E33,C28:C33/B28:B33)</f>
        <v/>
      </c>
    </row>
    <row r="22" ht="14.25" customHeight="1" s="281">
      <c r="A22" s="248" t="inlineStr">
        <is>
          <t>Total Gross Profit</t>
        </is>
      </c>
      <c r="B22" s="250">
        <f>B6-B21</f>
        <v/>
      </c>
    </row>
    <row r="23" ht="14.25" customHeight="1" s="281">
      <c r="A23" s="248" t="inlineStr">
        <is>
          <t>Blended Gross Margin %</t>
        </is>
      </c>
      <c r="B23" s="255">
        <f>B22/B6</f>
        <v/>
      </c>
    </row>
    <row r="24" ht="14.25" customHeight="1" s="281">
      <c r="A24" s="248" t="inlineStr">
        <is>
          <t>Monthly Gross Profit per Customer</t>
        </is>
      </c>
      <c r="B24" s="250">
        <f>B22/B4</f>
        <v/>
      </c>
    </row>
    <row r="25" ht="14.25" customHeight="1" s="281"/>
    <row r="26" ht="14.25" customHeight="1" s="281">
      <c r="A26" s="248" t="inlineStr">
        <is>
          <t>Gross Margin by Plan</t>
        </is>
      </c>
    </row>
    <row r="27" ht="14.25" customHeight="1" s="281">
      <c r="A27" s="248" t="inlineStr">
        <is>
          <t>Plan</t>
        </is>
      </c>
      <c r="B27" s="248" t="inlineStr">
        <is>
          <t>Monthly Price</t>
        </is>
      </c>
      <c r="C27" s="248" t="inlineStr">
        <is>
          <t>Monthly Cost</t>
        </is>
      </c>
      <c r="D27" s="248" t="inlineStr">
        <is>
          <t>Gross Margin %</t>
        </is>
      </c>
      <c r="E27" s="248" t="inlineStr">
        <is>
          <t>Total MRR</t>
        </is>
      </c>
      <c r="F27" s="248" t="inlineStr">
        <is>
          <t>Total Monthly Cost</t>
        </is>
      </c>
    </row>
    <row r="28" ht="14.25" customHeight="1" s="281">
      <c r="A28" s="251" t="inlineStr">
        <is>
          <t>Analytics Starter</t>
        </is>
      </c>
      <c r="B28" s="256">
        <f>Ref!B2</f>
        <v/>
      </c>
      <c r="C28" s="256">
        <f>Ref!C2</f>
        <v/>
      </c>
      <c r="D28" s="257">
        <f>Ref!D2</f>
        <v/>
      </c>
      <c r="E28" s="256">
        <f>C12</f>
        <v/>
      </c>
      <c r="F28" s="256">
        <f>E28*C28/B28</f>
        <v/>
      </c>
    </row>
    <row r="29" ht="14.25" customHeight="1" s="281">
      <c r="A29" s="251" t="inlineStr">
        <is>
          <t>Analytics Growth</t>
        </is>
      </c>
      <c r="B29" s="256">
        <f>Ref!B3</f>
        <v/>
      </c>
      <c r="C29" s="256">
        <f>Ref!C3</f>
        <v/>
      </c>
      <c r="D29" s="257">
        <f>Ref!D3</f>
        <v/>
      </c>
      <c r="E29" s="256">
        <f>C13</f>
        <v/>
      </c>
      <c r="F29" s="256">
        <f>E29*C29/B29</f>
        <v/>
      </c>
    </row>
    <row r="30" ht="14.25" customHeight="1" s="281">
      <c r="A30" s="251" t="inlineStr">
        <is>
          <t>Analytics Enterprise</t>
        </is>
      </c>
      <c r="B30" s="256">
        <f>Ref!B4</f>
        <v/>
      </c>
      <c r="C30" s="256">
        <f>Ref!C4</f>
        <v/>
      </c>
      <c r="D30" s="257">
        <f>Ref!D4</f>
        <v/>
      </c>
      <c r="E30" s="256">
        <f>C14</f>
        <v/>
      </c>
      <c r="F30" s="256">
        <f>E30*C30/B30</f>
        <v/>
      </c>
    </row>
    <row r="31" ht="14.25" customHeight="1" s="281">
      <c r="A31" s="251" t="inlineStr">
        <is>
          <t>Marketing Pro</t>
        </is>
      </c>
      <c r="B31" s="256">
        <f>Ref!B5</f>
        <v/>
      </c>
      <c r="C31" s="256">
        <f>Ref!C5</f>
        <v/>
      </c>
      <c r="D31" s="257">
        <f>Ref!D5</f>
        <v/>
      </c>
      <c r="E31" s="256">
        <f>C15</f>
        <v/>
      </c>
      <c r="F31" s="256">
        <f>E31*C31/B31</f>
        <v/>
      </c>
    </row>
    <row r="32" ht="14.25" customHeight="1" s="281">
      <c r="A32" s="251" t="inlineStr">
        <is>
          <t>Sales Hub</t>
        </is>
      </c>
      <c r="B32" s="256">
        <f>Ref!B6</f>
        <v/>
      </c>
      <c r="C32" s="256">
        <f>Ref!C6</f>
        <v/>
      </c>
      <c r="D32" s="257">
        <f>Ref!D6</f>
        <v/>
      </c>
      <c r="E32" s="256">
        <f>C16</f>
        <v/>
      </c>
      <c r="F32" s="256">
        <f>E32*C32/B32</f>
        <v/>
      </c>
    </row>
    <row r="33" ht="14.25" customHeight="1" s="281">
      <c r="A33" s="251" t="inlineStr">
        <is>
          <t>Platform Suite</t>
        </is>
      </c>
      <c r="B33" s="256">
        <f>Ref!B7</f>
        <v/>
      </c>
      <c r="C33" s="256">
        <f>Ref!C7</f>
        <v/>
      </c>
      <c r="D33" s="257">
        <f>Ref!D7</f>
        <v/>
      </c>
      <c r="E33" s="256">
        <f>C17</f>
        <v/>
      </c>
      <c r="F33" s="256">
        <f>E33*C33/B33</f>
        <v/>
      </c>
    </row>
    <row r="34" ht="14.25" customHeight="1" s="281"/>
    <row r="35" ht="14.25" customHeight="1" s="281">
      <c r="A35" s="246" t="inlineStr">
        <is>
          <t>3. Customer Lifetime &amp; LTV</t>
        </is>
      </c>
      <c r="B35" s="246" t="n"/>
    </row>
    <row r="36" ht="14.25" customHeight="1" s="281">
      <c r="A36" s="248" t="inlineStr">
        <is>
          <t>Lifetime Estimates</t>
        </is>
      </c>
    </row>
    <row r="37" ht="14.25" customHeight="1" s="281">
      <c r="A37" s="248" t="inlineStr">
        <is>
          <t>Trailing 12-Mo Avg Gross Churn Rate</t>
        </is>
      </c>
      <c r="B37" s="255">
        <f>1-Retention!AA29</f>
        <v/>
      </c>
    </row>
    <row r="38" ht="14.25" customHeight="1" s="281">
      <c r="A38" s="248" t="inlineStr">
        <is>
          <t>Formula-Based Lifetime (months)</t>
        </is>
      </c>
      <c r="B38" s="258">
        <f>1/B37</f>
        <v/>
      </c>
    </row>
    <row r="39" ht="14.25" customHeight="1" s="281"/>
    <row r="40" ht="14.25" customHeight="1" s="281">
      <c r="A40" s="248" t="inlineStr">
        <is>
          <t>Observed Lifetime (Churned Subscriptions)</t>
        </is>
      </c>
    </row>
    <row r="41" ht="14.25" customHeight="1" s="281">
      <c r="A41" s="27" t="inlineStr">
        <is>
          <t>Subscription</t>
        </is>
      </c>
      <c r="B41" s="27" t="inlineStr">
        <is>
          <t>Company</t>
        </is>
      </c>
      <c r="C41" s="27" t="inlineStr">
        <is>
          <t>Lifetime (Months)</t>
        </is>
      </c>
      <c r="D41" s="27" t="inlineStr">
        <is>
          <t>MRR at Churn</t>
        </is>
      </c>
    </row>
    <row r="42" ht="14.25" customHeight="1" s="281">
      <c r="A42" s="251" t="inlineStr">
        <is>
          <t>SUB001</t>
        </is>
      </c>
      <c r="B42" s="251" t="inlineStr">
        <is>
          <t>TechVision Solutions</t>
        </is>
      </c>
      <c r="C42" s="258">
        <f t="array" ref="C42">(INDEX(Engine!$G$2:$G$102,MATCH(1,(Engine!$B$2:$B$102="SUB001")*(Engine!$H$2:$H$102="cancelled"),0))-INDEX(Engine!$G$2:$G$102,MATCH(1,(Engine!$B$2:$B$102="SUB001")*(Engine!$H$2:$H$102="created"),0)))/30.44</f>
        <v/>
      </c>
      <c r="D42" s="250">
        <f t="array" ref="D42">-INDEX(Engine!$S$2:$S$102,MATCH(1,(Engine!$B$2:$B$102="SUB001")*(Engine!$H$2:$H$102="cancelled"),0))</f>
        <v/>
      </c>
    </row>
    <row r="43" ht="14.25" customHeight="1" s="281">
      <c r="A43" s="251" t="inlineStr">
        <is>
          <t>SUB005</t>
        </is>
      </c>
      <c r="B43" s="251" t="inlineStr">
        <is>
          <t>Atlantic Media Corp</t>
        </is>
      </c>
      <c r="C43" s="258">
        <f t="array" ref="C43">(INDEX(Engine!$G$2:$G$102,MATCH(1,(Engine!$B$2:$B$102="SUB005")*(Engine!$H$2:$H$102="cancelled"),0))-INDEX(Engine!$G$2:$G$102,MATCH(1,(Engine!$B$2:$B$102="SUB005")*(Engine!$H$2:$H$102="created"),0)))/30.44</f>
        <v/>
      </c>
      <c r="D43" s="250">
        <f t="array" ref="D43">-INDEX(Engine!$S$2:$S$102,MATCH(1,(Engine!$B$2:$B$102="SUB005")*(Engine!$H$2:$H$102="cancelled"),0))</f>
        <v/>
      </c>
    </row>
    <row r="44" ht="14.25" customHeight="1" s="281">
      <c r="A44" s="251" t="inlineStr">
        <is>
          <t>SUB008</t>
        </is>
      </c>
      <c r="B44" s="251" t="inlineStr">
        <is>
          <t>Quantum Education Platform</t>
        </is>
      </c>
      <c r="C44" s="258">
        <f t="array" ref="C44">(INDEX(Engine!$G$2:$G$102,MATCH(1,(Engine!$B$2:$B$102="SUB008")*(Engine!$H$2:$H$102="cancelled"),0))-INDEX(Engine!$G$2:$G$102,MATCH(1,(Engine!$B$2:$B$102="SUB008")*(Engine!$H$2:$H$102="created"),0)))/30.44</f>
        <v/>
      </c>
      <c r="D44" s="250">
        <f t="array" ref="D44">-INDEX(Engine!$S$2:$S$102,MATCH(1,(Engine!$B$2:$B$102="SUB008")*(Engine!$H$2:$H$102="cancelled"),0))</f>
        <v/>
      </c>
    </row>
    <row r="45" ht="14.25" customHeight="1" s="281">
      <c r="A45" s="251" t="inlineStr">
        <is>
          <t>SUB013</t>
        </is>
      </c>
      <c r="B45" s="251" t="inlineStr">
        <is>
          <t>Alberta Tech Innovators</t>
        </is>
      </c>
      <c r="C45" s="258">
        <f t="array" ref="C45">(INDEX(Engine!$G$2:$G$102,MATCH(1,(Engine!$B$2:$B$102="SUB013")*(Engine!$H$2:$H$102="cancelled"),0))-INDEX(Engine!$G$2:$G$102,MATCH(1,(Engine!$B$2:$B$102="SUB013")*(Engine!$H$2:$H$102="created"),0)))/30.44</f>
        <v/>
      </c>
      <c r="D45" s="250">
        <f t="array" ref="D45">-INDEX(Engine!$S$2:$S$102,MATCH(1,(Engine!$B$2:$B$102="SUB013")*(Engine!$H$2:$H$102="cancelled"),0))</f>
        <v/>
      </c>
    </row>
    <row r="46" ht="14.25" customHeight="1" s="281">
      <c r="A46" s="251" t="inlineStr">
        <is>
          <t>SUB021</t>
        </is>
      </c>
      <c r="B46" s="251" t="inlineStr">
        <is>
          <t>Calgary Commerce Solutions</t>
        </is>
      </c>
      <c r="C46" s="258">
        <f t="array" ref="C46">(INDEX(Engine!$G$2:$G$102,MATCH(1,(Engine!$B$2:$B$102="SUB021")*(Engine!$H$2:$H$102="cancelled"),0))-INDEX(Engine!$G$2:$G$102,MATCH(1,(Engine!$B$2:$B$102="SUB021")*(Engine!$H$2:$H$102="created"),0)))/30.44</f>
        <v/>
      </c>
      <c r="D46" s="250">
        <f t="array" ref="D46">-INDEX(Engine!$S$2:$S$102,MATCH(1,(Engine!$B$2:$B$102="SUB021")*(Engine!$H$2:$H$102="cancelled"),0))</f>
        <v/>
      </c>
    </row>
    <row r="47" ht="14.25" customHeight="1" s="281">
      <c r="A47" s="251" t="inlineStr">
        <is>
          <t>SUB049</t>
        </is>
      </c>
      <c r="B47" s="251" t="inlineStr">
        <is>
          <t>Maritime E-commerce</t>
        </is>
      </c>
      <c r="C47" s="258">
        <f t="array" ref="C47">(INDEX(Engine!$G$2:$G$102,MATCH(1,(Engine!$B$2:$B$102="SUB049")*(Engine!$H$2:$H$102="cancelled"),0))-INDEX(Engine!$G$2:$G$102,MATCH(1,(Engine!$B$2:$B$102="SUB049")*(Engine!$H$2:$H$102="created"),0)))/30.44</f>
        <v/>
      </c>
      <c r="D47" s="250">
        <f t="array" ref="D47">-INDEX(Engine!$S$2:$S$102,MATCH(1,(Engine!$B$2:$B$102="SUB049")*(Engine!$H$2:$H$102="cancelled"),0))</f>
        <v/>
      </c>
    </row>
    <row r="48" ht="14.25" customHeight="1" s="281">
      <c r="A48" s="251" t="inlineStr">
        <is>
          <t>SUB023</t>
        </is>
      </c>
      <c r="B48" s="251" t="inlineStr">
        <is>
          <t>Island Media Productions</t>
        </is>
      </c>
      <c r="C48" s="258">
        <f t="array" ref="C48">(INDEX(Engine!$G$2:$G$102,MATCH(1,(Engine!$B$2:$B$102="SUB023")*(Engine!$H$2:$H$102="cancelled"),0))-INDEX(Engine!$G$2:$G$102,MATCH(1,(Engine!$B$2:$B$102="SUB023")*(Engine!$H$2:$H$102="created"),0)))/30.44</f>
        <v/>
      </c>
      <c r="D48" s="250">
        <f t="array" ref="D48">-INDEX(Engine!$S$2:$S$102,MATCH(1,(Engine!$B$2:$B$102="SUB023")*(Engine!$H$2:$H$102="cancelled"),0))</f>
        <v/>
      </c>
    </row>
    <row r="49" ht="14.25" customHeight="1" s="281">
      <c r="A49" s="251" t="inlineStr">
        <is>
          <t>SUB060</t>
        </is>
      </c>
      <c r="B49" s="251" t="inlineStr">
        <is>
          <t>Central Healthcare Partners</t>
        </is>
      </c>
      <c r="C49" s="258">
        <f t="array" ref="C49">(INDEX(Engine!$G$2:$G$102,MATCH(1,(Engine!$B$2:$B$102="SUB060")*(Engine!$H$2:$H$102="cancelled"),0))-INDEX(Engine!$G$2:$G$102,MATCH(1,(Engine!$B$2:$B$102="SUB060")*(Engine!$H$2:$H$102="created"),0)))/30.44</f>
        <v/>
      </c>
      <c r="D49" s="250">
        <f t="array" ref="D49">-INDEX(Engine!$S$2:$S$102,MATCH(1,(Engine!$B$2:$B$102="SUB060")*(Engine!$H$2:$H$102="cancelled"),0))</f>
        <v/>
      </c>
    </row>
    <row r="50" ht="14.25" customHeight="1" s="281">
      <c r="A50" s="251" t="inlineStr">
        <is>
          <t>SUB055</t>
        </is>
      </c>
      <c r="B50" s="251" t="inlineStr">
        <is>
          <t>Prairie Commerce Group</t>
        </is>
      </c>
      <c r="C50" s="258">
        <f t="array" ref="C50">(INDEX(Engine!$G$2:$G$102,MATCH(1,(Engine!$B$2:$B$102="SUB055")*(Engine!$H$2:$H$102="cancelled"),0))-INDEX(Engine!$G$2:$G$102,MATCH(1,(Engine!$B$2:$B$102="SUB055")*(Engine!$H$2:$H$102="created"),0)))/30.44</f>
        <v/>
      </c>
      <c r="D50" s="250">
        <f t="array" ref="D50">-INDEX(Engine!$S$2:$S$102,MATCH(1,(Engine!$B$2:$B$102="SUB055")*(Engine!$H$2:$H$102="cancelled"),0))</f>
        <v/>
      </c>
    </row>
    <row r="51" ht="14.25" customHeight="1" s="281">
      <c r="A51" s="251" t="inlineStr">
        <is>
          <t>SUB015</t>
        </is>
      </c>
      <c r="B51" s="251" t="inlineStr">
        <is>
          <t>BC Retail Networks</t>
        </is>
      </c>
      <c r="C51" s="258">
        <f t="array" ref="C51">(INDEX(Engine!$G$2:$G$102,MATCH(1,(Engine!$B$2:$B$102="SUB015")*(Engine!$H$2:$H$102="cancelled"),0))-INDEX(Engine!$G$2:$G$102,MATCH(1,(Engine!$B$2:$B$102="SUB015")*(Engine!$H$2:$H$102="created"),0)))/30.44</f>
        <v/>
      </c>
      <c r="D51" s="250">
        <f t="array" ref="D51">-INDEX(Engine!$S$2:$S$102,MATCH(1,(Engine!$B$2:$B$102="SUB015")*(Engine!$H$2:$H$102="cancelled"),0))</f>
        <v/>
      </c>
    </row>
    <row r="52" ht="14.25" customHeight="1" s="281">
      <c r="A52" s="251" t="inlineStr">
        <is>
          <t>SUB050</t>
        </is>
      </c>
      <c r="B52" s="251" t="inlineStr">
        <is>
          <t>Ontario Manufacturing Tech</t>
        </is>
      </c>
      <c r="C52" s="258">
        <f t="array" ref="C52">(INDEX(Engine!$G$2:$G$102,MATCH(1,(Engine!$B$2:$B$102="SUB050")*(Engine!$H$2:$H$102="cancelled"),0))-INDEX(Engine!$G$2:$G$102,MATCH(1,(Engine!$B$2:$B$102="SUB050")*(Engine!$H$2:$H$102="created"),0)))/30.44</f>
        <v/>
      </c>
      <c r="D52" s="250">
        <f t="array" ref="D52">-INDEX(Engine!$S$2:$S$102,MATCH(1,(Engine!$B$2:$B$102="SUB050")*(Engine!$H$2:$H$102="cancelled"),0))</f>
        <v/>
      </c>
    </row>
    <row r="53" ht="14.25" customHeight="1" s="281">
      <c r="A53" s="248" t="inlineStr">
        <is>
          <t>Average</t>
        </is>
      </c>
      <c r="C53" s="258">
        <f>AVERAGE(C42:C52)</f>
        <v/>
      </c>
      <c r="D53" s="250">
        <f>AVERAGE(D42:D52)</f>
        <v/>
      </c>
    </row>
    <row r="54" ht="14.25" customHeight="1" s="281">
      <c r="A54" s="248" t="inlineStr">
        <is>
          <t>Median</t>
        </is>
      </c>
      <c r="C54" s="258">
        <f>MEDIAN(C42:C52)</f>
        <v/>
      </c>
      <c r="D54" s="250">
        <f>MEDIAN(D42:D52)</f>
        <v/>
      </c>
    </row>
    <row r="55" ht="14.25" customHeight="1" s="281"/>
    <row r="56" ht="14.25" customHeight="1" s="281">
      <c r="A56" s="248" t="inlineStr">
        <is>
          <t>LTV Calculations</t>
        </is>
      </c>
    </row>
    <row r="57" ht="14.25" customHeight="1" s="281">
      <c r="A57" s="248" t="inlineStr">
        <is>
          <t>Simple LTV</t>
        </is>
      </c>
      <c r="B57" s="250">
        <f>B7/B37</f>
        <v/>
      </c>
    </row>
    <row r="58" ht="14.25" customHeight="1" s="281">
      <c r="A58" s="259" t="inlineStr">
        <is>
          <t>GM-Adjusted LTV</t>
        </is>
      </c>
      <c r="B58" s="260">
        <f>B7*B23/B37</f>
        <v/>
      </c>
    </row>
    <row r="59" ht="14.25" customHeight="1" s="281">
      <c r="A59" s="248" t="inlineStr">
        <is>
          <t>Observed LTV</t>
        </is>
      </c>
      <c r="B59" s="250">
        <f>B7*C53*B23</f>
        <v/>
      </c>
    </row>
    <row r="60" ht="14.25" customHeight="1" s="281"/>
    <row r="61" ht="14.25" customHeight="1" s="281">
      <c r="A61" s="248" t="inlineStr">
        <is>
          <t>Why These Numbers Differ</t>
        </is>
      </c>
    </row>
    <row r="62" ht="14.25" customHeight="1" s="281">
      <c r="A62" s="261" t="inlineStr">
        <is>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is>
      </c>
    </row>
    <row r="63" ht="14.25" customHeight="1" s="281"/>
    <row r="64" ht="14.25" customHeight="1" s="281">
      <c r="A64" s="246" t="inlineStr">
        <is>
          <t>4. CAC &amp; LTV:CAC</t>
        </is>
      </c>
    </row>
    <row r="65" ht="14.25" customHeight="1" s="281">
      <c r="A65" s="248" t="inlineStr">
        <is>
          <t>Monthly S&amp;M Detail</t>
        </is>
      </c>
    </row>
    <row r="66" ht="14.25" customHeight="1" s="281">
      <c r="A66" s="263" t="inlineStr">
        <is>
          <t>Month</t>
        </is>
      </c>
      <c r="B66" s="263" t="inlineStr">
        <is>
          <t>Sales Comp</t>
        </is>
      </c>
      <c r="C66" s="263" t="inlineStr">
        <is>
          <t>Marketing Comp</t>
        </is>
      </c>
      <c r="D66" s="263" t="inlineStr">
        <is>
          <t>Paid Ads</t>
        </is>
      </c>
      <c r="E66" s="263" t="inlineStr">
        <is>
          <t>Content &amp; SEO</t>
        </is>
      </c>
      <c r="F66" s="263" t="inlineStr">
        <is>
          <t>Partner Commissions</t>
        </is>
      </c>
      <c r="G66" s="263" t="inlineStr">
        <is>
          <t>Tools &amp; Software</t>
        </is>
      </c>
      <c r="H66" s="263" t="inlineStr">
        <is>
          <t>Events</t>
        </is>
      </c>
      <c r="I66" s="263" t="inlineStr">
        <is>
          <t>Total S&amp;M</t>
        </is>
      </c>
      <c r="J66" s="263" t="inlineStr">
        <is>
          <t>New Customers</t>
        </is>
      </c>
    </row>
    <row r="67" ht="14.25" customHeight="1" s="281">
      <c r="A67" s="264" t="inlineStr">
        <is>
          <t>2025-01</t>
        </is>
      </c>
      <c r="B67" s="265" t="n">
        <v>11500</v>
      </c>
      <c r="C67" s="265" t="n">
        <v>7200</v>
      </c>
      <c r="D67" s="265" t="n">
        <v>4200</v>
      </c>
      <c r="E67" s="265" t="n">
        <v>2100</v>
      </c>
      <c r="F67" s="265" t="n">
        <v>1800</v>
      </c>
      <c r="G67" s="265" t="n">
        <v>1050</v>
      </c>
      <c r="H67" s="265" t="n">
        <v>0</v>
      </c>
      <c r="I67" s="265" t="n">
        <v>27850</v>
      </c>
      <c r="J67" s="266" t="n">
        <v>2</v>
      </c>
    </row>
    <row r="68" ht="14.25" customHeight="1" s="281">
      <c r="A68" s="264" t="inlineStr">
        <is>
          <t>2025-02</t>
        </is>
      </c>
      <c r="B68" s="265" t="n">
        <v>11500</v>
      </c>
      <c r="C68" s="265" t="n">
        <v>7200</v>
      </c>
      <c r="D68" s="265" t="n">
        <v>4500</v>
      </c>
      <c r="E68" s="265" t="n">
        <v>2100</v>
      </c>
      <c r="F68" s="265" t="n">
        <v>1600</v>
      </c>
      <c r="G68" s="265" t="n">
        <v>1050</v>
      </c>
      <c r="H68" s="265" t="n">
        <v>0</v>
      </c>
      <c r="I68" s="265" t="n">
        <v>27950</v>
      </c>
      <c r="J68" s="266" t="n">
        <v>2</v>
      </c>
    </row>
    <row r="69" ht="14.25" customHeight="1" s="281">
      <c r="A69" s="264" t="inlineStr">
        <is>
          <t>2025-03</t>
        </is>
      </c>
      <c r="B69" s="265" t="n">
        <v>11500</v>
      </c>
      <c r="C69" s="265" t="n">
        <v>7200</v>
      </c>
      <c r="D69" s="265" t="n">
        <v>5100</v>
      </c>
      <c r="E69" s="265" t="n">
        <v>2400</v>
      </c>
      <c r="F69" s="265" t="n">
        <v>2400</v>
      </c>
      <c r="G69" s="265" t="n">
        <v>1050</v>
      </c>
      <c r="H69" s="265" t="n">
        <v>2800</v>
      </c>
      <c r="I69" s="265" t="n">
        <v>32450</v>
      </c>
      <c r="J69" s="266" t="n">
        <v>3</v>
      </c>
    </row>
    <row r="70" ht="14.25" customHeight="1" s="281">
      <c r="A70" s="264" t="inlineStr">
        <is>
          <t>2025-04</t>
        </is>
      </c>
      <c r="B70" s="265" t="n">
        <v>11500</v>
      </c>
      <c r="C70" s="265" t="n">
        <v>7200</v>
      </c>
      <c r="D70" s="265" t="n">
        <v>4800</v>
      </c>
      <c r="E70" s="265" t="n">
        <v>2100</v>
      </c>
      <c r="F70" s="265" t="n">
        <v>1500</v>
      </c>
      <c r="G70" s="265" t="n">
        <v>1050</v>
      </c>
      <c r="H70" s="265" t="n">
        <v>0</v>
      </c>
      <c r="I70" s="265" t="n">
        <v>28150</v>
      </c>
      <c r="J70" s="266" t="n">
        <v>2</v>
      </c>
    </row>
    <row r="71" ht="14.25" customHeight="1" s="281">
      <c r="A71" s="264" t="inlineStr">
        <is>
          <t>2025-05</t>
        </is>
      </c>
      <c r="B71" s="265" t="n">
        <v>11500</v>
      </c>
      <c r="C71" s="265" t="n">
        <v>7200</v>
      </c>
      <c r="D71" s="265" t="n">
        <v>4600</v>
      </c>
      <c r="E71" s="265" t="n">
        <v>2100</v>
      </c>
      <c r="F71" s="265" t="n">
        <v>1200</v>
      </c>
      <c r="G71" s="265" t="n">
        <v>1050</v>
      </c>
      <c r="H71" s="265" t="n">
        <v>0</v>
      </c>
      <c r="I71" s="265" t="n">
        <v>27650</v>
      </c>
      <c r="J71" s="266" t="n">
        <v>2</v>
      </c>
    </row>
    <row r="72" ht="14.25" customHeight="1" s="281">
      <c r="A72" s="264" t="inlineStr">
        <is>
          <t>2025-06</t>
        </is>
      </c>
      <c r="B72" s="265" t="n">
        <v>11500</v>
      </c>
      <c r="C72" s="265" t="n">
        <v>7200</v>
      </c>
      <c r="D72" s="265" t="n">
        <v>5000</v>
      </c>
      <c r="E72" s="265" t="n">
        <v>2400</v>
      </c>
      <c r="F72" s="265" t="n">
        <v>1400</v>
      </c>
      <c r="G72" s="265" t="n">
        <v>1050</v>
      </c>
      <c r="H72" s="265" t="n">
        <v>3200</v>
      </c>
      <c r="I72" s="265" t="n">
        <v>31750</v>
      </c>
      <c r="J72" s="266" t="n">
        <v>2</v>
      </c>
    </row>
    <row r="73" ht="14.25" customHeight="1" s="281">
      <c r="A73" s="264" t="inlineStr">
        <is>
          <t>2025-07</t>
        </is>
      </c>
      <c r="B73" s="265" t="n">
        <v>11500</v>
      </c>
      <c r="C73" s="265" t="n">
        <v>7200</v>
      </c>
      <c r="D73" s="265" t="n">
        <v>6500</v>
      </c>
      <c r="E73" s="265" t="n">
        <v>2400</v>
      </c>
      <c r="F73" s="265" t="n">
        <v>0</v>
      </c>
      <c r="G73" s="265" t="n">
        <v>1050</v>
      </c>
      <c r="H73" s="265" t="n">
        <v>0</v>
      </c>
      <c r="I73" s="265" t="n">
        <v>28650</v>
      </c>
      <c r="J73" s="266" t="n">
        <v>0</v>
      </c>
    </row>
    <row r="74" ht="14.25" customHeight="1" s="281">
      <c r="A74" s="264" t="inlineStr">
        <is>
          <t>2025-08</t>
        </is>
      </c>
      <c r="B74" s="265" t="n">
        <v>11500</v>
      </c>
      <c r="C74" s="265" t="n">
        <v>7200</v>
      </c>
      <c r="D74" s="265" t="n">
        <v>7200</v>
      </c>
      <c r="E74" s="265" t="n">
        <v>2400</v>
      </c>
      <c r="F74" s="265" t="n">
        <v>0</v>
      </c>
      <c r="G74" s="265" t="n">
        <v>1050</v>
      </c>
      <c r="H74" s="265" t="n">
        <v>0</v>
      </c>
      <c r="I74" s="265" t="n">
        <v>29350</v>
      </c>
      <c r="J74" s="266" t="n">
        <v>0</v>
      </c>
    </row>
    <row r="75" ht="14.25" customHeight="1" s="281">
      <c r="A75" s="264" t="inlineStr">
        <is>
          <t>2025-09</t>
        </is>
      </c>
      <c r="B75" s="265" t="n">
        <v>11500</v>
      </c>
      <c r="C75" s="265" t="n">
        <v>7200</v>
      </c>
      <c r="D75" s="265" t="n">
        <v>6800</v>
      </c>
      <c r="E75" s="265" t="n">
        <v>2400</v>
      </c>
      <c r="F75" s="265" t="n">
        <v>0</v>
      </c>
      <c r="G75" s="265" t="n">
        <v>1050</v>
      </c>
      <c r="H75" s="265" t="n">
        <v>4500</v>
      </c>
      <c r="I75" s="265" t="n">
        <v>33450</v>
      </c>
      <c r="J75" s="266" t="n">
        <v>0</v>
      </c>
    </row>
    <row r="76" ht="14.25" customHeight="1" s="281">
      <c r="A76" s="264" t="inlineStr">
        <is>
          <t>2025-10</t>
        </is>
      </c>
      <c r="B76" s="265" t="n">
        <v>11500</v>
      </c>
      <c r="C76" s="265" t="n">
        <v>7200</v>
      </c>
      <c r="D76" s="265" t="n">
        <v>3500</v>
      </c>
      <c r="E76" s="265" t="n">
        <v>1800</v>
      </c>
      <c r="F76" s="265" t="n">
        <v>0</v>
      </c>
      <c r="G76" s="265" t="n">
        <v>1050</v>
      </c>
      <c r="H76" s="265" t="n">
        <v>0</v>
      </c>
      <c r="I76" s="265" t="n">
        <v>25050</v>
      </c>
      <c r="J76" s="266" t="n">
        <v>0</v>
      </c>
    </row>
    <row r="77" ht="14.25" customHeight="1" s="281">
      <c r="A77" s="264" t="inlineStr">
        <is>
          <t>2025-11</t>
        </is>
      </c>
      <c r="B77" s="265" t="n">
        <v>11500</v>
      </c>
      <c r="C77" s="265" t="n">
        <v>7200</v>
      </c>
      <c r="D77" s="265" t="n">
        <v>3200</v>
      </c>
      <c r="E77" s="265" t="n">
        <v>1800</v>
      </c>
      <c r="F77" s="265" t="n">
        <v>0</v>
      </c>
      <c r="G77" s="265" t="n">
        <v>1050</v>
      </c>
      <c r="H77" s="265" t="n">
        <v>0</v>
      </c>
      <c r="I77" s="265" t="n">
        <v>24750</v>
      </c>
      <c r="J77" s="266" t="n">
        <v>0</v>
      </c>
    </row>
    <row r="78" ht="14.25" customHeight="1" s="281">
      <c r="A78" s="264" t="inlineStr">
        <is>
          <t>2025-12</t>
        </is>
      </c>
      <c r="B78" s="265" t="n">
        <v>11500</v>
      </c>
      <c r="C78" s="265" t="n">
        <v>7200</v>
      </c>
      <c r="D78" s="265" t="n">
        <v>2800</v>
      </c>
      <c r="E78" s="265" t="n">
        <v>1800</v>
      </c>
      <c r="F78" s="265" t="n">
        <v>0</v>
      </c>
      <c r="G78" s="265" t="n">
        <v>1050</v>
      </c>
      <c r="H78" s="265" t="n">
        <v>0</v>
      </c>
      <c r="I78" s="265" t="n">
        <v>24350</v>
      </c>
      <c r="J78" s="266" t="n">
        <v>0</v>
      </c>
    </row>
    <row r="79" ht="14.25" customHeight="1" s="281">
      <c r="A79" s="264" t="inlineStr">
        <is>
          <t>2026-01</t>
        </is>
      </c>
      <c r="B79" s="265" t="n">
        <v>11500</v>
      </c>
      <c r="C79" s="265" t="n">
        <v>7200</v>
      </c>
      <c r="D79" s="265" t="n">
        <v>3500</v>
      </c>
      <c r="E79" s="265" t="n">
        <v>2100</v>
      </c>
      <c r="F79" s="265" t="n">
        <v>800</v>
      </c>
      <c r="G79" s="265" t="n">
        <v>1050</v>
      </c>
      <c r="H79" s="265" t="n">
        <v>0</v>
      </c>
      <c r="I79" s="265" t="n">
        <v>26150</v>
      </c>
      <c r="J79" s="266" t="n">
        <v>1</v>
      </c>
    </row>
    <row r="80" ht="14.25" customHeight="1" s="281">
      <c r="A80" s="264" t="inlineStr">
        <is>
          <t>2026-02</t>
        </is>
      </c>
      <c r="B80" s="265" t="n">
        <v>11500</v>
      </c>
      <c r="C80" s="265" t="n">
        <v>7200</v>
      </c>
      <c r="D80" s="265" t="n">
        <v>3800</v>
      </c>
      <c r="E80" s="265" t="n">
        <v>2100</v>
      </c>
      <c r="F80" s="265" t="n">
        <v>0</v>
      </c>
      <c r="G80" s="265" t="n">
        <v>1050</v>
      </c>
      <c r="H80" s="265" t="n">
        <v>0</v>
      </c>
      <c r="I80" s="265" t="n">
        <v>25650</v>
      </c>
      <c r="J80" s="266" t="n">
        <v>0</v>
      </c>
    </row>
    <row r="81" ht="14.25" customHeight="1" s="281">
      <c r="A81" s="267" t="inlineStr">
        <is>
          <t>Total</t>
        </is>
      </c>
      <c r="B81" s="268">
        <f>SUM('Unit Economics'!$B$67:$B$80)</f>
        <v/>
      </c>
      <c r="C81" s="268">
        <f>SUM('Unit Economics'!$C$67:$C$80)</f>
        <v/>
      </c>
      <c r="D81" s="268">
        <f>SUM('Unit Economics'!$D$67:$D$80)</f>
        <v/>
      </c>
      <c r="E81" s="268">
        <f>SUM('Unit Economics'!$E$67:$E$80)</f>
        <v/>
      </c>
      <c r="F81" s="268">
        <f>SUM('Unit Economics'!$F$67:$F$80)</f>
        <v/>
      </c>
      <c r="G81" s="268">
        <f>SUM('Unit Economics'!$G$67:$G$80)</f>
        <v/>
      </c>
      <c r="H81" s="268">
        <f>SUM('Unit Economics'!$H$67:$H$80)</f>
        <v/>
      </c>
      <c r="I81" s="268">
        <f>SUM('Unit Economics'!$I$67:$I$80)</f>
        <v/>
      </c>
      <c r="J81" s="269">
        <f>SUM('Unit Economics'!$J$67:$J$80)</f>
        <v/>
      </c>
    </row>
    <row r="82" ht="14.25" customHeight="1" s="281"/>
    <row r="83" ht="14.25" customHeight="1" s="281">
      <c r="A83" s="267" t="inlineStr">
        <is>
          <t>CAC Calculations</t>
        </is>
      </c>
    </row>
    <row r="84" ht="14.25" customHeight="1" s="281">
      <c r="A84" s="27" t="inlineStr">
        <is>
          <t>Period</t>
        </is>
      </c>
      <c r="B84" s="27" t="inlineStr">
        <is>
          <t>Value</t>
        </is>
      </c>
      <c r="C84" s="27" t="inlineStr">
        <is>
          <t>Formula</t>
        </is>
      </c>
    </row>
    <row r="85" ht="14.25" customHeight="1" s="281">
      <c r="A85" s="248" t="inlineStr">
        <is>
          <t>CAC — H1 2025 (Jan–Jun)</t>
        </is>
      </c>
      <c r="B85" s="250">
        <f t="array" ref="B85">SUMPRODUCT(('Unit Economics'!$A$67:$A$80&gt;="2025-01")*('Unit Economics'!$A$67:$A$80&lt;="2025-06")*'Unit Economics'!$I$67:$I$80)/SUMPRODUCT(('Unit Economics'!$A$67:$A$80&gt;="2025-01")*('Unit Economics'!$A$67:$A$80&lt;="2025-06")*'Unit Economics'!$J$67:$J$80)</f>
        <v/>
      </c>
      <c r="C85" s="251" t="inlineStr">
        <is>
          <t>Total S&amp;M / New Customers</t>
        </is>
      </c>
    </row>
    <row r="86" ht="14.25" customHeight="1" s="281">
      <c r="A86" s="270" t="inlineStr">
        <is>
          <t>CAC — H2 2025 (Jul–Dec)</t>
        </is>
      </c>
      <c r="B86" s="271">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
      </c>
      <c r="C86" s="272">
        <f t="array" ref="C86">"S&amp;M: "&amp;TEXT(SUMPRODUCT(('Unit Economics'!$A$67:$A$80&gt;="2025-07")*('Unit Economics'!$A$67:$A$80&lt;="2025-12")*'Unit Economics'!$I$67:$I$80),"$#,##0")&amp;" | Customers: "&amp;SUMPRODUCT(('Unit Economics'!$A$67:$A$80&gt;="2025-07")*('Unit Economics'!$A$67:$A$80&lt;="2025-12")*'Unit Economics'!$J$67:$J$80)</f>
        <v/>
      </c>
    </row>
    <row r="87" ht="14.25" customHeight="1" s="281">
      <c r="A87" s="248" t="inlineStr">
        <is>
          <t>CAC — Full Year 2025</t>
        </is>
      </c>
      <c r="B87" s="250">
        <f t="array" ref="B87">SUMPRODUCT(('Unit Economics'!$A$67:$A$80&gt;="2025-01")*('Unit Economics'!$A$67:$A$80&lt;="2025-12")*'Unit Economics'!$I$67:$I$80)/SUMPRODUCT(('Unit Economics'!$A$67:$A$80&gt;="2025-01")*('Unit Economics'!$A$67:$A$80&lt;="2025-12")*'Unit Economics'!$J$67:$J$80)</f>
        <v/>
      </c>
      <c r="C87" s="251" t="inlineStr">
        <is>
          <t>Total S&amp;M / New Customers</t>
        </is>
      </c>
    </row>
    <row r="88" ht="14.25" customHeight="1" s="281">
      <c r="A88" s="248" t="inlineStr">
        <is>
          <t>CAC — Jan–Feb 2026</t>
        </is>
      </c>
      <c r="B88" s="250">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
      </c>
      <c r="C88" s="251" t="inlineStr">
        <is>
          <t>Total S&amp;M / New Customers</t>
        </is>
      </c>
    </row>
    <row r="89" ht="14.25" customHeight="1" s="281">
      <c r="A89" s="248" t="inlineStr">
        <is>
          <t>CAC — Trailing 12 Months</t>
        </is>
      </c>
      <c r="B89" s="250">
        <f t="array" ref="B89">SUMPRODUCT(('Unit Economics'!$A$67:$A$80&gt;="2025-03")*('Unit Economics'!$A$67:$A$80&lt;="2026-02")*'Unit Economics'!$I$67:$I$80)/SUMPRODUCT(('Unit Economics'!$A$67:$A$80&gt;="2025-03")*('Unit Economics'!$A$67:$A$80&lt;="2026-02")*'Unit Economics'!$J$67:$J$80)</f>
        <v/>
      </c>
      <c r="C89" s="251" t="inlineStr">
        <is>
          <t>Total S&amp;M / New Customers</t>
        </is>
      </c>
    </row>
    <row r="90" ht="14.25" customHeight="1" s="281"/>
    <row r="91" ht="14.25" customHeight="1" s="281">
      <c r="A91" s="248" t="inlineStr">
        <is>
          <t>LTV:CAC &amp; Payback</t>
        </is>
      </c>
    </row>
    <row r="92" ht="14.25" customHeight="1" s="281">
      <c r="A92" s="27" t="inlineStr">
        <is>
          <t>Metric</t>
        </is>
      </c>
      <c r="B92" s="27" t="inlineStr">
        <is>
          <t>Value</t>
        </is>
      </c>
      <c r="C92" s="27" t="inlineStr">
        <is>
          <t>Formula</t>
        </is>
      </c>
    </row>
    <row r="93" ht="14.25" customHeight="1" s="281">
      <c r="A93" s="259" t="inlineStr">
        <is>
          <t>LTV:CAC (H1 2025 CAC)</t>
        </is>
      </c>
      <c r="B93" s="273">
        <f>B58/B85</f>
        <v/>
      </c>
      <c r="C93" s="274" t="inlineStr">
        <is>
          <t>GM-Adjusted LTV / CAC</t>
        </is>
      </c>
    </row>
    <row r="94" ht="14.25" customHeight="1" s="281">
      <c r="A94" s="248" t="inlineStr">
        <is>
          <t>LTV:CAC (Trailing 12mo CAC)</t>
        </is>
      </c>
      <c r="B94" s="275">
        <f>B58/B89</f>
        <v/>
      </c>
      <c r="C94" s="251" t="inlineStr">
        <is>
          <t>GM-Adjusted LTV / CAC</t>
        </is>
      </c>
    </row>
    <row r="95" ht="14.25" customHeight="1" s="281">
      <c r="A95" s="259" t="inlineStr">
        <is>
          <t>Payback (H1 2025 CAC)</t>
        </is>
      </c>
      <c r="B95" s="276">
        <f>B85/B24</f>
        <v/>
      </c>
      <c r="C95" s="274" t="inlineStr">
        <is>
          <t>CAC / Monthly Gross Profit per Customer (months)</t>
        </is>
      </c>
    </row>
    <row r="96" ht="14.25" customHeight="1" s="281">
      <c r="A96" s="248" t="inlineStr">
        <is>
          <t>Payback (Trailing 12mo CAC)</t>
        </is>
      </c>
      <c r="B96" s="277">
        <f>B89/B24</f>
        <v/>
      </c>
      <c r="C96" s="251" t="inlineStr">
        <is>
          <t>CAC / Monthly Gross Profit per Customer (months)</t>
        </is>
      </c>
    </row>
    <row r="97" ht="14.25" customHeight="1" s="281"/>
    <row r="98" ht="14.25" customHeight="1" s="281">
      <c r="A98" s="248" t="inlineStr">
        <is>
          <t>H2 2025 — Zero Acquisition Period</t>
        </is>
      </c>
    </row>
    <row r="99" ht="14.25" customHeight="1" s="281">
      <c r="A99" s="261" t="inlineStr">
        <is>
          <t>S&amp;M spend continued at $25-33K/month with zero acquisitions for six consecutive months. This is why monthly CAC is unreliable - use trailing periods.</t>
        </is>
      </c>
    </row>
    <row r="100" ht="14.25" customHeight="1" s="281"/>
    <row r="101" ht="14.25" customHeight="1" s="281">
      <c r="A101" s="248" t="inlineStr">
        <is>
          <t>The Unit Economics Story</t>
        </is>
      </c>
    </row>
    <row r="102" ht="14.25" customHeight="1" s="281">
      <c r="A102" s="278" t="inlineStr">
        <is>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is>
      </c>
    </row>
    <row r="103" ht="14.25" customHeight="1" s="281"/>
    <row r="104" ht="14.25" customHeight="1" s="281">
      <c r="A104" s="248" t="inlineStr">
        <is>
          <t>The S&amp;M Efficiency Problem</t>
        </is>
      </c>
    </row>
    <row r="105" ht="14.25" customHeight="1" s="281">
      <c r="A105" s="278" t="inlineStr">
        <is>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is>
      </c>
    </row>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mergeCells count="1">
    <mergeCell ref="A64:J64"/>
  </mergeCells>
  <pageMargins left="0.7" right="0.7" top="0.75" bottom="0.75" header="0" footer="0"/>
  <pageSetup orientation="landscape"/>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ColWidth="14.43" defaultRowHeight="15" customHeight="1"/>
  <cols>
    <col width="17" customWidth="1" style="281" min="1" max="1"/>
    <col width="14.86" customWidth="1" style="281" min="2" max="2"/>
    <col width="18.14" customWidth="1" style="281" min="3" max="4"/>
    <col width="8.710000000000001" customWidth="1" style="281" min="5" max="26"/>
  </cols>
  <sheetData>
    <row r="1" ht="14.25" customHeight="1" s="281">
      <c r="A1" s="13" t="inlineStr">
        <is>
          <t>plan_name</t>
        </is>
      </c>
      <c r="B1" s="13" t="inlineStr">
        <is>
          <t>monthly_price</t>
        </is>
      </c>
      <c r="C1" s="13" t="inlineStr">
        <is>
          <t>monthly_cost</t>
        </is>
      </c>
      <c r="D1" s="13" t="inlineStr">
        <is>
          <t>gross_margin</t>
        </is>
      </c>
    </row>
    <row r="2" ht="14.25" customHeight="1" s="281">
      <c r="A2" s="230" t="inlineStr">
        <is>
          <t>Analytics Starter</t>
        </is>
      </c>
      <c r="B2" s="230" t="n">
        <v>45</v>
      </c>
      <c r="C2" s="279" t="n">
        <v>13.5</v>
      </c>
      <c r="D2" s="280" t="n">
        <v>0.7</v>
      </c>
    </row>
    <row r="3" ht="14.25" customHeight="1" s="281">
      <c r="A3" s="230" t="inlineStr">
        <is>
          <t>Analytics Growth</t>
        </is>
      </c>
      <c r="B3" s="230" t="n">
        <v>95</v>
      </c>
      <c r="C3" s="279" t="n">
        <v>28.5</v>
      </c>
      <c r="D3" s="280" t="n">
        <v>0.7</v>
      </c>
    </row>
    <row r="4" ht="14.25" customHeight="1" s="281">
      <c r="A4" s="230" t="inlineStr">
        <is>
          <t>Analytics Enterprise</t>
        </is>
      </c>
      <c r="B4" s="230" t="n">
        <v>180</v>
      </c>
      <c r="C4" s="279" t="n">
        <v>54</v>
      </c>
      <c r="D4" s="280" t="n">
        <v>0.7</v>
      </c>
    </row>
    <row r="5" ht="14.25" customHeight="1" s="281">
      <c r="A5" s="230" t="inlineStr">
        <is>
          <t>Marketing Pro</t>
        </is>
      </c>
      <c r="B5" s="230" t="n">
        <v>85</v>
      </c>
      <c r="C5" s="279" t="n">
        <v>25.5</v>
      </c>
      <c r="D5" s="280" t="n">
        <v>0.7</v>
      </c>
    </row>
    <row r="6" ht="14.25" customHeight="1" s="281">
      <c r="A6" s="230" t="inlineStr">
        <is>
          <t>Sales Hub</t>
        </is>
      </c>
      <c r="B6" s="230" t="n">
        <v>110</v>
      </c>
      <c r="C6" s="279" t="n">
        <v>33</v>
      </c>
      <c r="D6" s="280" t="n">
        <v>0.7</v>
      </c>
    </row>
    <row r="7" ht="14.25" customHeight="1" s="281">
      <c r="A7" s="230" t="inlineStr">
        <is>
          <t>Platform Suite</t>
        </is>
      </c>
      <c r="B7" s="230" t="n">
        <v>150</v>
      </c>
      <c r="C7" s="279" t="n">
        <v>45</v>
      </c>
      <c r="D7" s="280" t="n">
        <v>0.7</v>
      </c>
    </row>
    <row r="8" ht="14.25" customHeight="1" s="281"/>
    <row r="9" ht="14.25" customHeight="1" s="281"/>
    <row r="10" ht="14.25" customHeight="1" s="281"/>
    <row r="11" ht="14.25" customHeight="1" s="281"/>
    <row r="12" ht="14.25" customHeight="1" s="281"/>
    <row r="13" ht="14.25" customHeight="1" s="281"/>
    <row r="14" ht="14.25" customHeight="1" s="281"/>
    <row r="15" ht="14.25" customHeight="1" s="281"/>
    <row r="16" ht="14.25" customHeight="1" s="281"/>
    <row r="17" ht="14.25" customHeight="1" s="281"/>
    <row r="18" ht="14.25" customHeight="1" s="281"/>
    <row r="19" ht="14.25" customHeight="1" s="281"/>
    <row r="20" ht="14.25" customHeight="1" s="281"/>
    <row r="21" ht="14.25" customHeight="1" s="281"/>
    <row r="22" ht="14.25" customHeight="1" s="281"/>
    <row r="23" ht="14.25" customHeight="1" s="281"/>
    <row r="24" ht="14.25" customHeight="1" s="281"/>
    <row r="25" ht="14.25" customHeight="1" s="281"/>
    <row r="26" ht="14.25" customHeight="1" s="281"/>
    <row r="27" ht="14.25" customHeight="1" s="281"/>
    <row r="28" ht="14.25" customHeight="1" s="281"/>
    <row r="29" ht="14.25" customHeight="1" s="281"/>
    <row r="30" ht="14.25" customHeight="1" s="281"/>
    <row r="31" ht="14.25" customHeight="1" s="281"/>
    <row r="32" ht="14.25" customHeight="1" s="281"/>
    <row r="33" ht="14.25" customHeight="1" s="281"/>
    <row r="34" ht="14.25" customHeight="1" s="281"/>
    <row r="35" ht="14.25" customHeight="1" s="281"/>
    <row r="36" ht="14.25" customHeight="1" s="281"/>
    <row r="37" ht="14.25" customHeight="1" s="281"/>
    <row r="38" ht="14.25" customHeight="1" s="281"/>
    <row r="39" ht="14.25" customHeight="1" s="281"/>
    <row r="40" ht="14.25" customHeight="1" s="281"/>
    <row r="41" ht="14.25" customHeight="1" s="281"/>
    <row r="42" ht="14.25" customHeight="1" s="281"/>
    <row r="43" ht="14.25" customHeight="1" s="281"/>
    <row r="44" ht="14.25" customHeight="1" s="281"/>
    <row r="45" ht="14.25" customHeight="1" s="281"/>
    <row r="46" ht="14.25" customHeight="1" s="281"/>
    <row r="47" ht="14.25" customHeight="1" s="281"/>
    <row r="48" ht="14.25" customHeight="1" s="281"/>
    <row r="49" ht="14.25" customHeight="1" s="281"/>
    <row r="50" ht="14.25" customHeight="1" s="281"/>
    <row r="51" ht="14.25" customHeight="1" s="281"/>
    <row r="52" ht="14.25" customHeight="1" s="281"/>
    <row r="53" ht="14.25" customHeight="1" s="281"/>
    <row r="54" ht="14.25" customHeight="1" s="281"/>
    <row r="55" ht="14.25" customHeight="1" s="281"/>
    <row r="56" ht="14.25" customHeight="1" s="281"/>
    <row r="57" ht="14.25" customHeight="1" s="281"/>
    <row r="58" ht="14.25" customHeight="1" s="281"/>
    <row r="59" ht="14.25" customHeight="1" s="281"/>
    <row r="60" ht="14.25" customHeight="1" s="281"/>
    <row r="61" ht="14.25" customHeight="1" s="281"/>
    <row r="62" ht="14.25" customHeight="1" s="281"/>
    <row r="63" ht="14.25" customHeight="1" s="281"/>
    <row r="64" ht="14.25" customHeight="1" s="281"/>
    <row r="65" ht="14.25" customHeight="1" s="281"/>
    <row r="66" ht="14.25" customHeight="1" s="281"/>
    <row r="67" ht="14.25" customHeight="1" s="281"/>
    <row r="68" ht="14.25" customHeight="1" s="281"/>
    <row r="69" ht="14.25" customHeight="1" s="281"/>
    <row r="70" ht="14.25" customHeight="1" s="281"/>
    <row r="71" ht="14.25" customHeight="1" s="281"/>
    <row r="72" ht="14.25" customHeight="1" s="281"/>
    <row r="73" ht="14.25" customHeight="1" s="281"/>
    <row r="74" ht="14.25" customHeight="1" s="281"/>
    <row r="75" ht="14.25" customHeight="1" s="281"/>
    <row r="76" ht="14.25" customHeight="1" s="281"/>
    <row r="77" ht="14.25" customHeight="1" s="281"/>
    <row r="78" ht="14.25" customHeight="1" s="281"/>
    <row r="79" ht="14.25" customHeight="1" s="281"/>
    <row r="80" ht="14.25" customHeight="1" s="281"/>
    <row r="81" ht="14.25" customHeight="1" s="281"/>
    <row r="82" ht="14.25" customHeight="1" s="281"/>
    <row r="83" ht="14.25" customHeight="1" s="281"/>
    <row r="84" ht="14.25" customHeight="1" s="281"/>
    <row r="85" ht="14.25" customHeight="1" s="281"/>
    <row r="86" ht="14.25" customHeight="1" s="281"/>
    <row r="87" ht="14.25" customHeight="1" s="281"/>
    <row r="88" ht="14.25" customHeight="1" s="281"/>
    <row r="89" ht="14.25" customHeight="1" s="281"/>
    <row r="90" ht="14.25" customHeight="1" s="281"/>
    <row r="91" ht="14.25" customHeight="1" s="281"/>
    <row r="92" ht="14.25" customHeight="1" s="281"/>
    <row r="93" ht="14.25" customHeight="1" s="281"/>
    <row r="94" ht="14.25" customHeight="1" s="281"/>
    <row r="95" ht="14.25" customHeight="1" s="281"/>
    <row r="96" ht="14.25" customHeight="1" s="281"/>
    <row r="97" ht="14.25" customHeight="1" s="281"/>
    <row r="98" ht="14.25" customHeight="1" s="281"/>
    <row r="99" ht="14.25" customHeight="1" s="281"/>
    <row r="100" ht="14.25" customHeight="1" s="281"/>
    <row r="101" ht="14.25" customHeight="1" s="281"/>
    <row r="102" ht="14.25" customHeight="1" s="281"/>
    <row r="103" ht="14.25" customHeight="1" s="281"/>
    <row r="104" ht="14.25" customHeight="1" s="281"/>
    <row r="105" ht="14.25" customHeight="1" s="281"/>
    <row r="106" ht="14.25" customHeight="1" s="281"/>
    <row r="107" ht="14.25" customHeight="1" s="281"/>
    <row r="108" ht="14.25" customHeight="1" s="281"/>
    <row r="109" ht="14.25" customHeight="1" s="281"/>
    <row r="110" ht="14.25" customHeight="1" s="281"/>
    <row r="111" ht="14.25" customHeight="1" s="281"/>
    <row r="112" ht="14.25" customHeight="1" s="281"/>
    <row r="113" ht="14.25" customHeight="1" s="281"/>
    <row r="114" ht="14.25" customHeight="1" s="281"/>
    <row r="115" ht="14.25" customHeight="1" s="281"/>
    <row r="116" ht="14.25" customHeight="1" s="281"/>
    <row r="117" ht="14.25" customHeight="1" s="281"/>
    <row r="118" ht="14.25" customHeight="1" s="281"/>
    <row r="119" ht="14.25" customHeight="1" s="281"/>
    <row r="120" ht="14.25" customHeight="1" s="281"/>
    <row r="121" ht="14.25" customHeight="1" s="281"/>
    <row r="122" ht="14.25" customHeight="1" s="281"/>
    <row r="123" ht="14.25" customHeight="1" s="281"/>
    <row r="124" ht="14.25" customHeight="1" s="281"/>
    <row r="125" ht="14.25" customHeight="1" s="281"/>
    <row r="126" ht="14.25" customHeight="1" s="281"/>
    <row r="127" ht="14.25" customHeight="1" s="281"/>
    <row r="128" ht="14.25" customHeight="1" s="281"/>
    <row r="129" ht="14.25" customHeight="1" s="281"/>
    <row r="130" ht="14.25" customHeight="1" s="281"/>
    <row r="131" ht="14.25" customHeight="1" s="281"/>
    <row r="132" ht="14.25" customHeight="1" s="281"/>
    <row r="133" ht="14.25" customHeight="1" s="281"/>
    <row r="134" ht="14.25" customHeight="1" s="281"/>
    <row r="135" ht="14.25" customHeight="1" s="281"/>
    <row r="136" ht="14.25" customHeight="1" s="281"/>
    <row r="137" ht="14.25" customHeight="1" s="281"/>
    <row r="138" ht="14.25" customHeight="1" s="281"/>
    <row r="139" ht="14.25" customHeight="1" s="281"/>
    <row r="140" ht="14.25" customHeight="1" s="281"/>
    <row r="141" ht="14.25" customHeight="1" s="281"/>
    <row r="142" ht="14.25" customHeight="1" s="281"/>
    <row r="143" ht="14.25" customHeight="1" s="281"/>
    <row r="144" ht="14.25" customHeight="1" s="281"/>
    <row r="145" ht="14.25" customHeight="1" s="281"/>
    <row r="146" ht="14.25" customHeight="1" s="281"/>
    <row r="147" ht="14.25" customHeight="1" s="281"/>
    <row r="148" ht="14.25" customHeight="1" s="281"/>
    <row r="149" ht="14.25" customHeight="1" s="281"/>
    <row r="150" ht="14.25" customHeight="1" s="281"/>
    <row r="151" ht="14.25" customHeight="1" s="281"/>
    <row r="152" ht="14.25" customHeight="1" s="281"/>
    <row r="153" ht="14.25" customHeight="1" s="281"/>
    <row r="154" ht="14.25" customHeight="1" s="281"/>
    <row r="155" ht="14.25" customHeight="1" s="281"/>
    <row r="156" ht="14.25" customHeight="1" s="281"/>
    <row r="157" ht="14.25" customHeight="1" s="281"/>
    <row r="158" ht="14.25" customHeight="1" s="281"/>
    <row r="159" ht="14.25" customHeight="1" s="281"/>
    <row r="160" ht="14.25" customHeight="1" s="281"/>
    <row r="161" ht="14.25" customHeight="1" s="281"/>
    <row r="162" ht="14.25" customHeight="1" s="281"/>
    <row r="163" ht="14.25" customHeight="1" s="281"/>
    <row r="164" ht="14.25" customHeight="1" s="281"/>
    <row r="165" ht="14.25" customHeight="1" s="281"/>
    <row r="166" ht="14.25" customHeight="1" s="281"/>
    <row r="167" ht="14.25" customHeight="1" s="281"/>
    <row r="168" ht="14.25" customHeight="1" s="281"/>
    <row r="169" ht="14.25" customHeight="1" s="281"/>
    <row r="170" ht="14.25" customHeight="1" s="281"/>
    <row r="171" ht="14.25" customHeight="1" s="281"/>
    <row r="172" ht="14.25" customHeight="1" s="281"/>
    <row r="173" ht="14.25" customHeight="1" s="281"/>
    <row r="174" ht="14.25" customHeight="1" s="281"/>
    <row r="175" ht="14.25" customHeight="1" s="281"/>
    <row r="176" ht="14.25" customHeight="1" s="281"/>
    <row r="177" ht="14.25" customHeight="1" s="281"/>
    <row r="178" ht="14.25" customHeight="1" s="281"/>
    <row r="179" ht="14.25" customHeight="1" s="281"/>
    <row r="180" ht="14.25" customHeight="1" s="281"/>
    <row r="181" ht="14.25" customHeight="1" s="281"/>
    <row r="182" ht="14.25" customHeight="1" s="281"/>
    <row r="183" ht="14.25" customHeight="1" s="281"/>
    <row r="184" ht="14.25" customHeight="1" s="281"/>
    <row r="185" ht="14.25" customHeight="1" s="281"/>
    <row r="186" ht="14.25" customHeight="1" s="281"/>
    <row r="187" ht="14.25" customHeight="1" s="281"/>
    <row r="188" ht="14.25" customHeight="1" s="281"/>
    <row r="189" ht="14.25" customHeight="1" s="281"/>
    <row r="190" ht="14.25" customHeight="1" s="281"/>
    <row r="191" ht="14.25" customHeight="1" s="281"/>
    <row r="192" ht="14.25" customHeight="1" s="281"/>
    <row r="193" ht="14.25" customHeight="1" s="281"/>
    <row r="194" ht="14.25" customHeight="1" s="281"/>
    <row r="195" ht="14.25" customHeight="1" s="281"/>
    <row r="196" ht="14.25" customHeight="1" s="281"/>
    <row r="197" ht="14.25" customHeight="1" s="281"/>
    <row r="198" ht="14.25" customHeight="1" s="281"/>
    <row r="199" ht="14.25" customHeight="1" s="281"/>
    <row r="200" ht="14.25" customHeight="1" s="281"/>
    <row r="201" ht="14.25" customHeight="1" s="281"/>
    <row r="202" ht="14.25" customHeight="1" s="281"/>
    <row r="203" ht="14.25" customHeight="1" s="281"/>
    <row r="204" ht="14.25" customHeight="1" s="281"/>
    <row r="205" ht="14.25" customHeight="1" s="281"/>
    <row r="206" ht="14.25" customHeight="1" s="281"/>
    <row r="207" ht="14.25" customHeight="1" s="281"/>
    <row r="208" ht="14.25" customHeight="1" s="281"/>
    <row r="209" ht="14.25" customHeight="1" s="281"/>
    <row r="210" ht="14.25" customHeight="1" s="281"/>
    <row r="211" ht="14.25" customHeight="1" s="281"/>
    <row r="212" ht="14.25" customHeight="1" s="281"/>
    <row r="213" ht="14.25" customHeight="1" s="281"/>
    <row r="214" ht="14.25" customHeight="1" s="281"/>
    <row r="215" ht="14.25" customHeight="1" s="281"/>
    <row r="216" ht="14.25" customHeight="1" s="281"/>
    <row r="217" ht="14.25" customHeight="1" s="281"/>
    <row r="218" ht="14.25" customHeight="1" s="281"/>
    <row r="219" ht="14.25" customHeight="1" s="281"/>
    <row r="220" ht="14.25" customHeight="1" s="281"/>
    <row r="221" ht="14.25" customHeight="1" s="281"/>
    <row r="222" ht="14.25" customHeight="1" s="281"/>
    <row r="223" ht="14.25" customHeight="1" s="281"/>
    <row r="224" ht="14.25" customHeight="1" s="281"/>
    <row r="225" ht="14.25" customHeight="1" s="281"/>
    <row r="226" ht="14.25" customHeight="1" s="281"/>
    <row r="227" ht="14.25" customHeight="1" s="281"/>
    <row r="228" ht="14.25" customHeight="1" s="281"/>
    <row r="229" ht="14.25" customHeight="1" s="281"/>
    <row r="230" ht="14.25" customHeight="1" s="281"/>
    <row r="231" ht="14.25" customHeight="1" s="281"/>
    <row r="232" ht="14.25" customHeight="1" s="281"/>
    <row r="233" ht="14.25" customHeight="1" s="281"/>
    <row r="234" ht="14.25" customHeight="1" s="281"/>
    <row r="235" ht="14.25" customHeight="1" s="281"/>
    <row r="236" ht="14.25" customHeight="1" s="281"/>
    <row r="237" ht="14.25" customHeight="1" s="281"/>
    <row r="238" ht="14.25" customHeight="1" s="281"/>
    <row r="239" ht="14.25" customHeight="1" s="281"/>
    <row r="240" ht="14.25" customHeight="1" s="281"/>
    <row r="241" ht="14.25" customHeight="1" s="281"/>
    <row r="242" ht="14.25" customHeight="1" s="281"/>
    <row r="243" ht="14.25" customHeight="1" s="281"/>
    <row r="244" ht="14.25" customHeight="1" s="281"/>
    <row r="245" ht="14.25" customHeight="1" s="281"/>
    <row r="246" ht="14.25" customHeight="1" s="281"/>
    <row r="247" ht="14.25" customHeight="1" s="281"/>
    <row r="248" ht="14.25" customHeight="1" s="281"/>
    <row r="249" ht="14.25" customHeight="1" s="281"/>
    <row r="250" ht="14.25" customHeight="1" s="281"/>
    <row r="251" ht="14.25" customHeight="1" s="281"/>
    <row r="252" ht="14.25" customHeight="1" s="281"/>
    <row r="253" ht="14.25" customHeight="1" s="281"/>
    <row r="254" ht="14.25" customHeight="1" s="281"/>
    <row r="255" ht="14.25" customHeight="1" s="281"/>
    <row r="256" ht="14.25" customHeight="1" s="281"/>
    <row r="257" ht="14.25" customHeight="1" s="281"/>
    <row r="258" ht="14.25" customHeight="1" s="281"/>
    <row r="259" ht="14.25" customHeight="1" s="281"/>
    <row r="260" ht="14.25" customHeight="1" s="281"/>
    <row r="261" ht="14.25" customHeight="1" s="281"/>
    <row r="262" ht="14.25" customHeight="1" s="281"/>
    <row r="263" ht="14.25" customHeight="1" s="281"/>
    <row r="264" ht="14.25" customHeight="1" s="281"/>
    <row r="265" ht="14.25" customHeight="1" s="281"/>
    <row r="266" ht="14.25" customHeight="1" s="281"/>
    <row r="267" ht="14.25" customHeight="1" s="281"/>
    <row r="268" ht="14.25" customHeight="1" s="281"/>
    <row r="269" ht="14.25" customHeight="1" s="281"/>
    <row r="270" ht="14.25" customHeight="1" s="281"/>
    <row r="271" ht="14.25" customHeight="1" s="281"/>
    <row r="272" ht="14.25" customHeight="1" s="281"/>
    <row r="273" ht="14.25" customHeight="1" s="281"/>
    <row r="274" ht="14.25" customHeight="1" s="281"/>
    <row r="275" ht="14.25" customHeight="1" s="281"/>
    <row r="276" ht="14.25" customHeight="1" s="281"/>
    <row r="277" ht="14.25" customHeight="1" s="281"/>
    <row r="278" ht="14.25" customHeight="1" s="281"/>
    <row r="279" ht="14.25" customHeight="1" s="281"/>
    <row r="280" ht="14.25" customHeight="1" s="281"/>
    <row r="281" ht="14.25" customHeight="1" s="281"/>
    <row r="282" ht="14.25" customHeight="1" s="281"/>
    <row r="283" ht="14.25" customHeight="1" s="281"/>
    <row r="284" ht="14.25" customHeight="1" s="281"/>
    <row r="285" ht="14.25" customHeight="1" s="281"/>
    <row r="286" ht="14.25" customHeight="1" s="281"/>
    <row r="287" ht="14.25" customHeight="1" s="281"/>
    <row r="288" ht="14.25" customHeight="1" s="281"/>
    <row r="289" ht="14.25" customHeight="1" s="281"/>
    <row r="290" ht="14.25" customHeight="1" s="281"/>
    <row r="291" ht="14.25" customHeight="1" s="281"/>
    <row r="292" ht="14.25" customHeight="1" s="281"/>
    <row r="293" ht="14.25" customHeight="1" s="281"/>
    <row r="294" ht="14.25" customHeight="1" s="281"/>
    <row r="295" ht="14.25" customHeight="1" s="281"/>
    <row r="296" ht="14.25" customHeight="1" s="281"/>
    <row r="297" ht="14.25" customHeight="1" s="281"/>
    <row r="298" ht="14.25" customHeight="1" s="281"/>
    <row r="299" ht="14.25" customHeight="1" s="281"/>
    <row r="300" ht="14.25" customHeight="1" s="281"/>
    <row r="301" ht="14.25" customHeight="1" s="281"/>
    <row r="302" ht="14.25" customHeight="1" s="281"/>
    <row r="303" ht="14.25" customHeight="1" s="281"/>
    <row r="304" ht="14.25" customHeight="1" s="281"/>
    <row r="305" ht="14.25" customHeight="1" s="281"/>
    <row r="306" ht="14.25" customHeight="1" s="281"/>
    <row r="307" ht="14.25" customHeight="1" s="281"/>
    <row r="308" ht="14.25" customHeight="1" s="281"/>
    <row r="309" ht="14.25" customHeight="1" s="281"/>
    <row r="310" ht="14.25" customHeight="1" s="281"/>
    <row r="311" ht="14.25" customHeight="1" s="281"/>
    <row r="312" ht="14.25" customHeight="1" s="281"/>
    <row r="313" ht="14.25" customHeight="1" s="281"/>
    <row r="314" ht="14.25" customHeight="1" s="281"/>
    <row r="315" ht="14.25" customHeight="1" s="281"/>
    <row r="316" ht="14.25" customHeight="1" s="281"/>
    <row r="317" ht="14.25" customHeight="1" s="281"/>
    <row r="318" ht="14.25" customHeight="1" s="281"/>
    <row r="319" ht="14.25" customHeight="1" s="281"/>
    <row r="320" ht="14.25" customHeight="1" s="281"/>
    <row r="321" ht="14.25" customHeight="1" s="281"/>
    <row r="322" ht="14.25" customHeight="1" s="281"/>
    <row r="323" ht="14.25" customHeight="1" s="281"/>
    <row r="324" ht="14.25" customHeight="1" s="281"/>
    <row r="325" ht="14.25" customHeight="1" s="281"/>
    <row r="326" ht="14.25" customHeight="1" s="281"/>
    <row r="327" ht="14.25" customHeight="1" s="281"/>
    <row r="328" ht="14.25" customHeight="1" s="281"/>
    <row r="329" ht="14.25" customHeight="1" s="281"/>
    <row r="330" ht="14.25" customHeight="1" s="281"/>
    <row r="331" ht="14.25" customHeight="1" s="281"/>
    <row r="332" ht="14.25" customHeight="1" s="281"/>
    <row r="333" ht="14.25" customHeight="1" s="281"/>
    <row r="334" ht="14.25" customHeight="1" s="281"/>
    <row r="335" ht="14.25" customHeight="1" s="281"/>
    <row r="336" ht="14.25" customHeight="1" s="281"/>
    <row r="337" ht="14.25" customHeight="1" s="281"/>
    <row r="338" ht="14.25" customHeight="1" s="281"/>
    <row r="339" ht="14.25" customHeight="1" s="281"/>
    <row r="340" ht="14.25" customHeight="1" s="281"/>
    <row r="341" ht="14.25" customHeight="1" s="281"/>
    <row r="342" ht="14.25" customHeight="1" s="281"/>
    <row r="343" ht="14.25" customHeight="1" s="281"/>
    <row r="344" ht="14.25" customHeight="1" s="281"/>
    <row r="345" ht="14.25" customHeight="1" s="281"/>
    <row r="346" ht="14.25" customHeight="1" s="281"/>
    <row r="347" ht="14.25" customHeight="1" s="281"/>
    <row r="348" ht="14.25" customHeight="1" s="281"/>
    <row r="349" ht="14.25" customHeight="1" s="281"/>
    <row r="350" ht="14.25" customHeight="1" s="281"/>
    <row r="351" ht="14.25" customHeight="1" s="281"/>
    <row r="352" ht="14.25" customHeight="1" s="281"/>
    <row r="353" ht="14.25" customHeight="1" s="281"/>
    <row r="354" ht="14.25" customHeight="1" s="281"/>
    <row r="355" ht="14.25" customHeight="1" s="281"/>
    <row r="356" ht="14.25" customHeight="1" s="281"/>
    <row r="357" ht="14.25" customHeight="1" s="281"/>
    <row r="358" ht="14.25" customHeight="1" s="281"/>
    <row r="359" ht="14.25" customHeight="1" s="281"/>
    <row r="360" ht="14.25" customHeight="1" s="281"/>
    <row r="361" ht="14.25" customHeight="1" s="281"/>
    <row r="362" ht="14.25" customHeight="1" s="281"/>
    <row r="363" ht="14.25" customHeight="1" s="281"/>
    <row r="364" ht="14.25" customHeight="1" s="281"/>
    <row r="365" ht="14.25" customHeight="1" s="281"/>
    <row r="366" ht="14.25" customHeight="1" s="281"/>
    <row r="367" ht="14.25" customHeight="1" s="281"/>
    <row r="368" ht="14.25" customHeight="1" s="281"/>
    <row r="369" ht="14.25" customHeight="1" s="281"/>
    <row r="370" ht="14.25" customHeight="1" s="281"/>
    <row r="371" ht="14.25" customHeight="1" s="281"/>
    <row r="372" ht="14.25" customHeight="1" s="281"/>
    <row r="373" ht="14.25" customHeight="1" s="281"/>
    <row r="374" ht="14.25" customHeight="1" s="281"/>
    <row r="375" ht="14.25" customHeight="1" s="281"/>
    <row r="376" ht="14.25" customHeight="1" s="281"/>
    <row r="377" ht="14.25" customHeight="1" s="281"/>
    <row r="378" ht="14.25" customHeight="1" s="281"/>
    <row r="379" ht="14.25" customHeight="1" s="281"/>
    <row r="380" ht="14.25" customHeight="1" s="281"/>
    <row r="381" ht="14.25" customHeight="1" s="281"/>
    <row r="382" ht="14.25" customHeight="1" s="281"/>
    <row r="383" ht="14.25" customHeight="1" s="281"/>
    <row r="384" ht="14.25" customHeight="1" s="281"/>
    <row r="385" ht="14.25" customHeight="1" s="281"/>
    <row r="386" ht="14.25" customHeight="1" s="281"/>
    <row r="387" ht="14.25" customHeight="1" s="281"/>
    <row r="388" ht="14.25" customHeight="1" s="281"/>
    <row r="389" ht="14.25" customHeight="1" s="281"/>
    <row r="390" ht="14.25" customHeight="1" s="281"/>
    <row r="391" ht="14.25" customHeight="1" s="281"/>
    <row r="392" ht="14.25" customHeight="1" s="281"/>
    <row r="393" ht="14.25" customHeight="1" s="281"/>
    <row r="394" ht="14.25" customHeight="1" s="281"/>
    <row r="395" ht="14.25" customHeight="1" s="281"/>
    <row r="396" ht="14.25" customHeight="1" s="281"/>
    <row r="397" ht="14.25" customHeight="1" s="281"/>
    <row r="398" ht="14.25" customHeight="1" s="281"/>
    <row r="399" ht="14.25" customHeight="1" s="281"/>
    <row r="400" ht="14.25" customHeight="1" s="281"/>
    <row r="401" ht="14.25" customHeight="1" s="281"/>
    <row r="402" ht="14.25" customHeight="1" s="281"/>
    <row r="403" ht="14.25" customHeight="1" s="281"/>
    <row r="404" ht="14.25" customHeight="1" s="281"/>
    <row r="405" ht="14.25" customHeight="1" s="281"/>
    <row r="406" ht="14.25" customHeight="1" s="281"/>
    <row r="407" ht="14.25" customHeight="1" s="281"/>
    <row r="408" ht="14.25" customHeight="1" s="281"/>
    <row r="409" ht="14.25" customHeight="1" s="281"/>
    <row r="410" ht="14.25" customHeight="1" s="281"/>
    <row r="411" ht="14.25" customHeight="1" s="281"/>
    <row r="412" ht="14.25" customHeight="1" s="281"/>
    <row r="413" ht="14.25" customHeight="1" s="281"/>
    <row r="414" ht="14.25" customHeight="1" s="281"/>
    <row r="415" ht="14.25" customHeight="1" s="281"/>
    <row r="416" ht="14.25" customHeight="1" s="281"/>
    <row r="417" ht="14.25" customHeight="1" s="281"/>
    <row r="418" ht="14.25" customHeight="1" s="281"/>
    <row r="419" ht="14.25" customHeight="1" s="281"/>
    <row r="420" ht="14.25" customHeight="1" s="281"/>
    <row r="421" ht="14.25" customHeight="1" s="281"/>
    <row r="422" ht="14.25" customHeight="1" s="281"/>
    <row r="423" ht="14.25" customHeight="1" s="281"/>
    <row r="424" ht="14.25" customHeight="1" s="281"/>
    <row r="425" ht="14.25" customHeight="1" s="281"/>
    <row r="426" ht="14.25" customHeight="1" s="281"/>
    <row r="427" ht="14.25" customHeight="1" s="281"/>
    <row r="428" ht="14.25" customHeight="1" s="281"/>
    <row r="429" ht="14.25" customHeight="1" s="281"/>
    <row r="430" ht="14.25" customHeight="1" s="281"/>
    <row r="431" ht="14.25" customHeight="1" s="281"/>
    <row r="432" ht="14.25" customHeight="1" s="281"/>
    <row r="433" ht="14.25" customHeight="1" s="281"/>
    <row r="434" ht="14.25" customHeight="1" s="281"/>
    <row r="435" ht="14.25" customHeight="1" s="281"/>
    <row r="436" ht="14.25" customHeight="1" s="281"/>
    <row r="437" ht="14.25" customHeight="1" s="281"/>
    <row r="438" ht="14.25" customHeight="1" s="281"/>
    <row r="439" ht="14.25" customHeight="1" s="281"/>
    <row r="440" ht="14.25" customHeight="1" s="281"/>
    <row r="441" ht="14.25" customHeight="1" s="281"/>
    <row r="442" ht="14.25" customHeight="1" s="281"/>
    <row r="443" ht="14.25" customHeight="1" s="281"/>
    <row r="444" ht="14.25" customHeight="1" s="281"/>
    <row r="445" ht="14.25" customHeight="1" s="281"/>
    <row r="446" ht="14.25" customHeight="1" s="281"/>
    <row r="447" ht="14.25" customHeight="1" s="281"/>
    <row r="448" ht="14.25" customHeight="1" s="281"/>
    <row r="449" ht="14.25" customHeight="1" s="281"/>
    <row r="450" ht="14.25" customHeight="1" s="281"/>
    <row r="451" ht="14.25" customHeight="1" s="281"/>
    <row r="452" ht="14.25" customHeight="1" s="281"/>
    <row r="453" ht="14.25" customHeight="1" s="281"/>
    <row r="454" ht="14.25" customHeight="1" s="281"/>
    <row r="455" ht="14.25" customHeight="1" s="281"/>
    <row r="456" ht="14.25" customHeight="1" s="281"/>
    <row r="457" ht="14.25" customHeight="1" s="281"/>
    <row r="458" ht="14.25" customHeight="1" s="281"/>
    <row r="459" ht="14.25" customHeight="1" s="281"/>
    <row r="460" ht="14.25" customHeight="1" s="281"/>
    <row r="461" ht="14.25" customHeight="1" s="281"/>
    <row r="462" ht="14.25" customHeight="1" s="281"/>
    <row r="463" ht="14.25" customHeight="1" s="281"/>
    <row r="464" ht="14.25" customHeight="1" s="281"/>
    <row r="465" ht="14.25" customHeight="1" s="281"/>
    <row r="466" ht="14.25" customHeight="1" s="281"/>
    <row r="467" ht="14.25" customHeight="1" s="281"/>
    <row r="468" ht="14.25" customHeight="1" s="281"/>
    <row r="469" ht="14.25" customHeight="1" s="281"/>
    <row r="470" ht="14.25" customHeight="1" s="281"/>
    <row r="471" ht="14.25" customHeight="1" s="281"/>
    <row r="472" ht="14.25" customHeight="1" s="281"/>
    <row r="473" ht="14.25" customHeight="1" s="281"/>
    <row r="474" ht="14.25" customHeight="1" s="281"/>
    <row r="475" ht="14.25" customHeight="1" s="281"/>
    <row r="476" ht="14.25" customHeight="1" s="281"/>
    <row r="477" ht="14.25" customHeight="1" s="281"/>
    <row r="478" ht="14.25" customHeight="1" s="281"/>
    <row r="479" ht="14.25" customHeight="1" s="281"/>
    <row r="480" ht="14.25" customHeight="1" s="281"/>
    <row r="481" ht="14.25" customHeight="1" s="281"/>
    <row r="482" ht="14.25" customHeight="1" s="281"/>
    <row r="483" ht="14.25" customHeight="1" s="281"/>
    <row r="484" ht="14.25" customHeight="1" s="281"/>
    <row r="485" ht="14.25" customHeight="1" s="281"/>
    <row r="486" ht="14.25" customHeight="1" s="281"/>
    <row r="487" ht="14.25" customHeight="1" s="281"/>
    <row r="488" ht="14.25" customHeight="1" s="281"/>
    <row r="489" ht="14.25" customHeight="1" s="281"/>
    <row r="490" ht="14.25" customHeight="1" s="281"/>
    <row r="491" ht="14.25" customHeight="1" s="281"/>
    <row r="492" ht="14.25" customHeight="1" s="281"/>
    <row r="493" ht="14.25" customHeight="1" s="281"/>
    <row r="494" ht="14.25" customHeight="1" s="281"/>
    <row r="495" ht="14.25" customHeight="1" s="281"/>
    <row r="496" ht="14.25" customHeight="1" s="281"/>
    <row r="497" ht="14.25" customHeight="1" s="281"/>
    <row r="498" ht="14.25" customHeight="1" s="281"/>
    <row r="499" ht="14.25" customHeight="1" s="281"/>
    <row r="500" ht="14.25" customHeight="1" s="281"/>
    <row r="501" ht="14.25" customHeight="1" s="281"/>
    <row r="502" ht="14.25" customHeight="1" s="281"/>
    <row r="503" ht="14.25" customHeight="1" s="281"/>
    <row r="504" ht="14.25" customHeight="1" s="281"/>
    <row r="505" ht="14.25" customHeight="1" s="281"/>
    <row r="506" ht="14.25" customHeight="1" s="281"/>
    <row r="507" ht="14.25" customHeight="1" s="281"/>
    <row r="508" ht="14.25" customHeight="1" s="281"/>
    <row r="509" ht="14.25" customHeight="1" s="281"/>
    <row r="510" ht="14.25" customHeight="1" s="281"/>
    <row r="511" ht="14.25" customHeight="1" s="281"/>
    <row r="512" ht="14.25" customHeight="1" s="281"/>
    <row r="513" ht="14.25" customHeight="1" s="281"/>
    <row r="514" ht="14.25" customHeight="1" s="281"/>
    <row r="515" ht="14.25" customHeight="1" s="281"/>
    <row r="516" ht="14.25" customHeight="1" s="281"/>
    <row r="517" ht="14.25" customHeight="1" s="281"/>
    <row r="518" ht="14.25" customHeight="1" s="281"/>
    <row r="519" ht="14.25" customHeight="1" s="281"/>
    <row r="520" ht="14.25" customHeight="1" s="281"/>
    <row r="521" ht="14.25" customHeight="1" s="281"/>
    <row r="522" ht="14.25" customHeight="1" s="281"/>
    <row r="523" ht="14.25" customHeight="1" s="281"/>
    <row r="524" ht="14.25" customHeight="1" s="281"/>
    <row r="525" ht="14.25" customHeight="1" s="281"/>
    <row r="526" ht="14.25" customHeight="1" s="281"/>
    <row r="527" ht="14.25" customHeight="1" s="281"/>
    <row r="528" ht="14.25" customHeight="1" s="281"/>
    <row r="529" ht="14.25" customHeight="1" s="281"/>
    <row r="530" ht="14.25" customHeight="1" s="281"/>
    <row r="531" ht="14.25" customHeight="1" s="281"/>
    <row r="532" ht="14.25" customHeight="1" s="281"/>
    <row r="533" ht="14.25" customHeight="1" s="281"/>
    <row r="534" ht="14.25" customHeight="1" s="281"/>
    <row r="535" ht="14.25" customHeight="1" s="281"/>
    <row r="536" ht="14.25" customHeight="1" s="281"/>
    <row r="537" ht="14.25" customHeight="1" s="281"/>
    <row r="538" ht="14.25" customHeight="1" s="281"/>
    <row r="539" ht="14.25" customHeight="1" s="281"/>
    <row r="540" ht="14.25" customHeight="1" s="281"/>
    <row r="541" ht="14.25" customHeight="1" s="281"/>
    <row r="542" ht="14.25" customHeight="1" s="281"/>
    <row r="543" ht="14.25" customHeight="1" s="281"/>
    <row r="544" ht="14.25" customHeight="1" s="281"/>
    <row r="545" ht="14.25" customHeight="1" s="281"/>
    <row r="546" ht="14.25" customHeight="1" s="281"/>
    <row r="547" ht="14.25" customHeight="1" s="281"/>
    <row r="548" ht="14.25" customHeight="1" s="281"/>
    <row r="549" ht="14.25" customHeight="1" s="281"/>
    <row r="550" ht="14.25" customHeight="1" s="281"/>
    <row r="551" ht="14.25" customHeight="1" s="281"/>
    <row r="552" ht="14.25" customHeight="1" s="281"/>
    <row r="553" ht="14.25" customHeight="1" s="281"/>
    <row r="554" ht="14.25" customHeight="1" s="281"/>
    <row r="555" ht="14.25" customHeight="1" s="281"/>
    <row r="556" ht="14.25" customHeight="1" s="281"/>
    <row r="557" ht="14.25" customHeight="1" s="281"/>
    <row r="558" ht="14.25" customHeight="1" s="281"/>
    <row r="559" ht="14.25" customHeight="1" s="281"/>
    <row r="560" ht="14.25" customHeight="1" s="281"/>
    <row r="561" ht="14.25" customHeight="1" s="281"/>
    <row r="562" ht="14.25" customHeight="1" s="281"/>
    <row r="563" ht="14.25" customHeight="1" s="281"/>
    <row r="564" ht="14.25" customHeight="1" s="281"/>
    <row r="565" ht="14.25" customHeight="1" s="281"/>
    <row r="566" ht="14.25" customHeight="1" s="281"/>
    <row r="567" ht="14.25" customHeight="1" s="281"/>
    <row r="568" ht="14.25" customHeight="1" s="281"/>
    <row r="569" ht="14.25" customHeight="1" s="281"/>
    <row r="570" ht="14.25" customHeight="1" s="281"/>
    <row r="571" ht="14.25" customHeight="1" s="281"/>
    <row r="572" ht="14.25" customHeight="1" s="281"/>
    <row r="573" ht="14.25" customHeight="1" s="281"/>
    <row r="574" ht="14.25" customHeight="1" s="281"/>
    <row r="575" ht="14.25" customHeight="1" s="281"/>
    <row r="576" ht="14.25" customHeight="1" s="281"/>
    <row r="577" ht="14.25" customHeight="1" s="281"/>
    <row r="578" ht="14.25" customHeight="1" s="281"/>
    <row r="579" ht="14.25" customHeight="1" s="281"/>
    <row r="580" ht="14.25" customHeight="1" s="281"/>
    <row r="581" ht="14.25" customHeight="1" s="281"/>
    <row r="582" ht="14.25" customHeight="1" s="281"/>
    <row r="583" ht="14.25" customHeight="1" s="281"/>
    <row r="584" ht="14.25" customHeight="1" s="281"/>
    <row r="585" ht="14.25" customHeight="1" s="281"/>
    <row r="586" ht="14.25" customHeight="1" s="281"/>
    <row r="587" ht="14.25" customHeight="1" s="281"/>
    <row r="588" ht="14.25" customHeight="1" s="281"/>
    <row r="589" ht="14.25" customHeight="1" s="281"/>
    <row r="590" ht="14.25" customHeight="1" s="281"/>
    <row r="591" ht="14.25" customHeight="1" s="281"/>
    <row r="592" ht="14.25" customHeight="1" s="281"/>
    <row r="593" ht="14.25" customHeight="1" s="281"/>
    <row r="594" ht="14.25" customHeight="1" s="281"/>
    <row r="595" ht="14.25" customHeight="1" s="281"/>
    <row r="596" ht="14.25" customHeight="1" s="281"/>
    <row r="597" ht="14.25" customHeight="1" s="281"/>
    <row r="598" ht="14.25" customHeight="1" s="281"/>
    <row r="599" ht="14.25" customHeight="1" s="281"/>
    <row r="600" ht="14.25" customHeight="1" s="281"/>
    <row r="601" ht="14.25" customHeight="1" s="281"/>
    <row r="602" ht="14.25" customHeight="1" s="281"/>
    <row r="603" ht="14.25" customHeight="1" s="281"/>
    <row r="604" ht="14.25" customHeight="1" s="281"/>
    <row r="605" ht="14.25" customHeight="1" s="281"/>
    <row r="606" ht="14.25" customHeight="1" s="281"/>
    <row r="607" ht="14.25" customHeight="1" s="281"/>
    <row r="608" ht="14.25" customHeight="1" s="281"/>
    <row r="609" ht="14.25" customHeight="1" s="281"/>
    <row r="610" ht="14.25" customHeight="1" s="281"/>
    <row r="611" ht="14.25" customHeight="1" s="281"/>
    <row r="612" ht="14.25" customHeight="1" s="281"/>
    <row r="613" ht="14.25" customHeight="1" s="281"/>
    <row r="614" ht="14.25" customHeight="1" s="281"/>
    <row r="615" ht="14.25" customHeight="1" s="281"/>
    <row r="616" ht="14.25" customHeight="1" s="281"/>
    <row r="617" ht="14.25" customHeight="1" s="281"/>
    <row r="618" ht="14.25" customHeight="1" s="281"/>
    <row r="619" ht="14.25" customHeight="1" s="281"/>
    <row r="620" ht="14.25" customHeight="1" s="281"/>
    <row r="621" ht="14.25" customHeight="1" s="281"/>
    <row r="622" ht="14.25" customHeight="1" s="281"/>
    <row r="623" ht="14.25" customHeight="1" s="281"/>
    <row r="624" ht="14.25" customHeight="1" s="281"/>
    <row r="625" ht="14.25" customHeight="1" s="281"/>
    <row r="626" ht="14.25" customHeight="1" s="281"/>
    <row r="627" ht="14.25" customHeight="1" s="281"/>
    <row r="628" ht="14.25" customHeight="1" s="281"/>
    <row r="629" ht="14.25" customHeight="1" s="281"/>
    <row r="630" ht="14.25" customHeight="1" s="281"/>
    <row r="631" ht="14.25" customHeight="1" s="281"/>
    <row r="632" ht="14.25" customHeight="1" s="281"/>
    <row r="633" ht="14.25" customHeight="1" s="281"/>
    <row r="634" ht="14.25" customHeight="1" s="281"/>
    <row r="635" ht="14.25" customHeight="1" s="281"/>
    <row r="636" ht="14.25" customHeight="1" s="281"/>
    <row r="637" ht="14.25" customHeight="1" s="281"/>
    <row r="638" ht="14.25" customHeight="1" s="281"/>
    <row r="639" ht="14.25" customHeight="1" s="281"/>
    <row r="640" ht="14.25" customHeight="1" s="281"/>
    <row r="641" ht="14.25" customHeight="1" s="281"/>
    <row r="642" ht="14.25" customHeight="1" s="281"/>
    <row r="643" ht="14.25" customHeight="1" s="281"/>
    <row r="644" ht="14.25" customHeight="1" s="281"/>
    <row r="645" ht="14.25" customHeight="1" s="281"/>
    <row r="646" ht="14.25" customHeight="1" s="281"/>
    <row r="647" ht="14.25" customHeight="1" s="281"/>
    <row r="648" ht="14.25" customHeight="1" s="281"/>
    <row r="649" ht="14.25" customHeight="1" s="281"/>
    <row r="650" ht="14.25" customHeight="1" s="281"/>
    <row r="651" ht="14.25" customHeight="1" s="281"/>
    <row r="652" ht="14.25" customHeight="1" s="281"/>
    <row r="653" ht="14.25" customHeight="1" s="281"/>
    <row r="654" ht="14.25" customHeight="1" s="281"/>
    <row r="655" ht="14.25" customHeight="1" s="281"/>
    <row r="656" ht="14.25" customHeight="1" s="281"/>
    <row r="657" ht="14.25" customHeight="1" s="281"/>
    <row r="658" ht="14.25" customHeight="1" s="281"/>
    <row r="659" ht="14.25" customHeight="1" s="281"/>
    <row r="660" ht="14.25" customHeight="1" s="281"/>
    <row r="661" ht="14.25" customHeight="1" s="281"/>
    <row r="662" ht="14.25" customHeight="1" s="281"/>
    <row r="663" ht="14.25" customHeight="1" s="281"/>
    <row r="664" ht="14.25" customHeight="1" s="281"/>
    <row r="665" ht="14.25" customHeight="1" s="281"/>
    <row r="666" ht="14.25" customHeight="1" s="281"/>
    <row r="667" ht="14.25" customHeight="1" s="281"/>
    <row r="668" ht="14.25" customHeight="1" s="281"/>
    <row r="669" ht="14.25" customHeight="1" s="281"/>
    <row r="670" ht="14.25" customHeight="1" s="281"/>
    <row r="671" ht="14.25" customHeight="1" s="281"/>
    <row r="672" ht="14.25" customHeight="1" s="281"/>
    <row r="673" ht="14.25" customHeight="1" s="281"/>
    <row r="674" ht="14.25" customHeight="1" s="281"/>
    <row r="675" ht="14.25" customHeight="1" s="281"/>
    <row r="676" ht="14.25" customHeight="1" s="281"/>
    <row r="677" ht="14.25" customHeight="1" s="281"/>
    <row r="678" ht="14.25" customHeight="1" s="281"/>
    <row r="679" ht="14.25" customHeight="1" s="281"/>
    <row r="680" ht="14.25" customHeight="1" s="281"/>
    <row r="681" ht="14.25" customHeight="1" s="281"/>
    <row r="682" ht="14.25" customHeight="1" s="281"/>
    <row r="683" ht="14.25" customHeight="1" s="281"/>
    <row r="684" ht="14.25" customHeight="1" s="281"/>
    <row r="685" ht="14.25" customHeight="1" s="281"/>
    <row r="686" ht="14.25" customHeight="1" s="281"/>
    <row r="687" ht="14.25" customHeight="1" s="281"/>
    <row r="688" ht="14.25" customHeight="1" s="281"/>
    <row r="689" ht="14.25" customHeight="1" s="281"/>
    <row r="690" ht="14.25" customHeight="1" s="281"/>
    <row r="691" ht="14.25" customHeight="1" s="281"/>
    <row r="692" ht="14.25" customHeight="1" s="281"/>
    <row r="693" ht="14.25" customHeight="1" s="281"/>
    <row r="694" ht="14.25" customHeight="1" s="281"/>
    <row r="695" ht="14.25" customHeight="1" s="281"/>
    <row r="696" ht="14.25" customHeight="1" s="281"/>
    <row r="697" ht="14.25" customHeight="1" s="281"/>
    <row r="698" ht="14.25" customHeight="1" s="281"/>
    <row r="699" ht="14.25" customHeight="1" s="281"/>
    <row r="700" ht="14.25" customHeight="1" s="281"/>
    <row r="701" ht="14.25" customHeight="1" s="281"/>
    <row r="702" ht="14.25" customHeight="1" s="281"/>
    <row r="703" ht="14.25" customHeight="1" s="281"/>
    <row r="704" ht="14.25" customHeight="1" s="281"/>
    <row r="705" ht="14.25" customHeight="1" s="281"/>
    <row r="706" ht="14.25" customHeight="1" s="281"/>
    <row r="707" ht="14.25" customHeight="1" s="281"/>
    <row r="708" ht="14.25" customHeight="1" s="281"/>
    <row r="709" ht="14.25" customHeight="1" s="281"/>
    <row r="710" ht="14.25" customHeight="1" s="281"/>
    <row r="711" ht="14.25" customHeight="1" s="281"/>
    <row r="712" ht="14.25" customHeight="1" s="281"/>
    <row r="713" ht="14.25" customHeight="1" s="281"/>
    <row r="714" ht="14.25" customHeight="1" s="281"/>
    <row r="715" ht="14.25" customHeight="1" s="281"/>
    <row r="716" ht="14.25" customHeight="1" s="281"/>
    <row r="717" ht="14.25" customHeight="1" s="281"/>
    <row r="718" ht="14.25" customHeight="1" s="281"/>
    <row r="719" ht="14.25" customHeight="1" s="281"/>
    <row r="720" ht="14.25" customHeight="1" s="281"/>
    <row r="721" ht="14.25" customHeight="1" s="281"/>
    <row r="722" ht="14.25" customHeight="1" s="281"/>
    <row r="723" ht="14.25" customHeight="1" s="281"/>
    <row r="724" ht="14.25" customHeight="1" s="281"/>
    <row r="725" ht="14.25" customHeight="1" s="281"/>
    <row r="726" ht="14.25" customHeight="1" s="281"/>
    <row r="727" ht="14.25" customHeight="1" s="281"/>
    <row r="728" ht="14.25" customHeight="1" s="281"/>
    <row r="729" ht="14.25" customHeight="1" s="281"/>
    <row r="730" ht="14.25" customHeight="1" s="281"/>
    <row r="731" ht="14.25" customHeight="1" s="281"/>
    <row r="732" ht="14.25" customHeight="1" s="281"/>
    <row r="733" ht="14.25" customHeight="1" s="281"/>
    <row r="734" ht="14.25" customHeight="1" s="281"/>
    <row r="735" ht="14.25" customHeight="1" s="281"/>
    <row r="736" ht="14.25" customHeight="1" s="281"/>
    <row r="737" ht="14.25" customHeight="1" s="281"/>
    <row r="738" ht="14.25" customHeight="1" s="281"/>
    <row r="739" ht="14.25" customHeight="1" s="281"/>
    <row r="740" ht="14.25" customHeight="1" s="281"/>
    <row r="741" ht="14.25" customHeight="1" s="281"/>
    <row r="742" ht="14.25" customHeight="1" s="281"/>
    <row r="743" ht="14.25" customHeight="1" s="281"/>
    <row r="744" ht="14.25" customHeight="1" s="281"/>
    <row r="745" ht="14.25" customHeight="1" s="281"/>
    <row r="746" ht="14.25" customHeight="1" s="281"/>
    <row r="747" ht="14.25" customHeight="1" s="281"/>
    <row r="748" ht="14.25" customHeight="1" s="281"/>
    <row r="749" ht="14.25" customHeight="1" s="281"/>
    <row r="750" ht="14.25" customHeight="1" s="281"/>
    <row r="751" ht="14.25" customHeight="1" s="281"/>
    <row r="752" ht="14.25" customHeight="1" s="281"/>
    <row r="753" ht="14.25" customHeight="1" s="281"/>
    <row r="754" ht="14.25" customHeight="1" s="281"/>
    <row r="755" ht="14.25" customHeight="1" s="281"/>
    <row r="756" ht="14.25" customHeight="1" s="281"/>
    <row r="757" ht="14.25" customHeight="1" s="281"/>
    <row r="758" ht="14.25" customHeight="1" s="281"/>
    <row r="759" ht="14.25" customHeight="1" s="281"/>
    <row r="760" ht="14.25" customHeight="1" s="281"/>
    <row r="761" ht="14.25" customHeight="1" s="281"/>
    <row r="762" ht="14.25" customHeight="1" s="281"/>
    <row r="763" ht="14.25" customHeight="1" s="281"/>
    <row r="764" ht="14.25" customHeight="1" s="281"/>
    <row r="765" ht="14.25" customHeight="1" s="281"/>
    <row r="766" ht="14.25" customHeight="1" s="281"/>
    <row r="767" ht="14.25" customHeight="1" s="281"/>
    <row r="768" ht="14.25" customHeight="1" s="281"/>
    <row r="769" ht="14.25" customHeight="1" s="281"/>
    <row r="770" ht="14.25" customHeight="1" s="281"/>
    <row r="771" ht="14.25" customHeight="1" s="281"/>
    <row r="772" ht="14.25" customHeight="1" s="281"/>
    <row r="773" ht="14.25" customHeight="1" s="281"/>
    <row r="774" ht="14.25" customHeight="1" s="281"/>
    <row r="775" ht="14.25" customHeight="1" s="281"/>
    <row r="776" ht="14.25" customHeight="1" s="281"/>
    <row r="777" ht="14.25" customHeight="1" s="281"/>
    <row r="778" ht="14.25" customHeight="1" s="281"/>
    <row r="779" ht="14.25" customHeight="1" s="281"/>
    <row r="780" ht="14.25" customHeight="1" s="281"/>
    <row r="781" ht="14.25" customHeight="1" s="281"/>
    <row r="782" ht="14.25" customHeight="1" s="281"/>
    <row r="783" ht="14.25" customHeight="1" s="281"/>
    <row r="784" ht="14.25" customHeight="1" s="281"/>
    <row r="785" ht="14.25" customHeight="1" s="281"/>
    <row r="786" ht="14.25" customHeight="1" s="281"/>
    <row r="787" ht="14.25" customHeight="1" s="281"/>
    <row r="788" ht="14.25" customHeight="1" s="281"/>
    <row r="789" ht="14.25" customHeight="1" s="281"/>
    <row r="790" ht="14.25" customHeight="1" s="281"/>
    <row r="791" ht="14.25" customHeight="1" s="281"/>
    <row r="792" ht="14.25" customHeight="1" s="281"/>
    <row r="793" ht="14.25" customHeight="1" s="281"/>
    <row r="794" ht="14.25" customHeight="1" s="281"/>
    <row r="795" ht="14.25" customHeight="1" s="281"/>
    <row r="796" ht="14.25" customHeight="1" s="281"/>
    <row r="797" ht="14.25" customHeight="1" s="281"/>
    <row r="798" ht="14.25" customHeight="1" s="281"/>
    <row r="799" ht="14.25" customHeight="1" s="281"/>
    <row r="800" ht="14.25" customHeight="1" s="281"/>
    <row r="801" ht="14.25" customHeight="1" s="281"/>
    <row r="802" ht="14.25" customHeight="1" s="281"/>
    <row r="803" ht="14.25" customHeight="1" s="281"/>
    <row r="804" ht="14.25" customHeight="1" s="281"/>
    <row r="805" ht="14.25" customHeight="1" s="281"/>
    <row r="806" ht="14.25" customHeight="1" s="281"/>
    <row r="807" ht="14.25" customHeight="1" s="281"/>
    <row r="808" ht="14.25" customHeight="1" s="281"/>
    <row r="809" ht="14.25" customHeight="1" s="281"/>
    <row r="810" ht="14.25" customHeight="1" s="281"/>
    <row r="811" ht="14.25" customHeight="1" s="281"/>
    <row r="812" ht="14.25" customHeight="1" s="281"/>
    <row r="813" ht="14.25" customHeight="1" s="281"/>
    <row r="814" ht="14.25" customHeight="1" s="281"/>
    <row r="815" ht="14.25" customHeight="1" s="281"/>
    <row r="816" ht="14.25" customHeight="1" s="281"/>
    <row r="817" ht="14.25" customHeight="1" s="281"/>
    <row r="818" ht="14.25" customHeight="1" s="281"/>
    <row r="819" ht="14.25" customHeight="1" s="281"/>
    <row r="820" ht="14.25" customHeight="1" s="281"/>
    <row r="821" ht="14.25" customHeight="1" s="281"/>
    <row r="822" ht="14.25" customHeight="1" s="281"/>
    <row r="823" ht="14.25" customHeight="1" s="281"/>
    <row r="824" ht="14.25" customHeight="1" s="281"/>
    <row r="825" ht="14.25" customHeight="1" s="281"/>
    <row r="826" ht="14.25" customHeight="1" s="281"/>
    <row r="827" ht="14.25" customHeight="1" s="281"/>
    <row r="828" ht="14.25" customHeight="1" s="281"/>
    <row r="829" ht="14.25" customHeight="1" s="281"/>
    <row r="830" ht="14.25" customHeight="1" s="281"/>
    <row r="831" ht="14.25" customHeight="1" s="281"/>
    <row r="832" ht="14.25" customHeight="1" s="281"/>
    <row r="833" ht="14.25" customHeight="1" s="281"/>
    <row r="834" ht="14.25" customHeight="1" s="281"/>
    <row r="835" ht="14.25" customHeight="1" s="281"/>
    <row r="836" ht="14.25" customHeight="1" s="281"/>
    <row r="837" ht="14.25" customHeight="1" s="281"/>
    <row r="838" ht="14.25" customHeight="1" s="281"/>
    <row r="839" ht="14.25" customHeight="1" s="281"/>
    <row r="840" ht="14.25" customHeight="1" s="281"/>
    <row r="841" ht="14.25" customHeight="1" s="281"/>
    <row r="842" ht="14.25" customHeight="1" s="281"/>
    <row r="843" ht="14.25" customHeight="1" s="281"/>
    <row r="844" ht="14.25" customHeight="1" s="281"/>
    <row r="845" ht="14.25" customHeight="1" s="281"/>
    <row r="846" ht="14.25" customHeight="1" s="281"/>
    <row r="847" ht="14.25" customHeight="1" s="281"/>
    <row r="848" ht="14.25" customHeight="1" s="281"/>
    <row r="849" ht="14.25" customHeight="1" s="281"/>
    <row r="850" ht="14.25" customHeight="1" s="281"/>
    <row r="851" ht="14.25" customHeight="1" s="281"/>
    <row r="852" ht="14.25" customHeight="1" s="281"/>
    <row r="853" ht="14.25" customHeight="1" s="281"/>
    <row r="854" ht="14.25" customHeight="1" s="281"/>
    <row r="855" ht="14.25" customHeight="1" s="281"/>
    <row r="856" ht="14.25" customHeight="1" s="281"/>
    <row r="857" ht="14.25" customHeight="1" s="281"/>
    <row r="858" ht="14.25" customHeight="1" s="281"/>
    <row r="859" ht="14.25" customHeight="1" s="281"/>
    <row r="860" ht="14.25" customHeight="1" s="281"/>
    <row r="861" ht="14.25" customHeight="1" s="281"/>
    <row r="862" ht="14.25" customHeight="1" s="281"/>
    <row r="863" ht="14.25" customHeight="1" s="281"/>
    <row r="864" ht="14.25" customHeight="1" s="281"/>
    <row r="865" ht="14.25" customHeight="1" s="281"/>
    <row r="866" ht="14.25" customHeight="1" s="281"/>
    <row r="867" ht="14.25" customHeight="1" s="281"/>
    <row r="868" ht="14.25" customHeight="1" s="281"/>
    <row r="869" ht="14.25" customHeight="1" s="281"/>
    <row r="870" ht="14.25" customHeight="1" s="281"/>
    <row r="871" ht="14.25" customHeight="1" s="281"/>
    <row r="872" ht="14.25" customHeight="1" s="281"/>
    <row r="873" ht="14.25" customHeight="1" s="281"/>
    <row r="874" ht="14.25" customHeight="1" s="281"/>
    <row r="875" ht="14.25" customHeight="1" s="281"/>
    <row r="876" ht="14.25" customHeight="1" s="281"/>
    <row r="877" ht="14.25" customHeight="1" s="281"/>
    <row r="878" ht="14.25" customHeight="1" s="281"/>
    <row r="879" ht="14.25" customHeight="1" s="281"/>
    <row r="880" ht="14.25" customHeight="1" s="281"/>
    <row r="881" ht="14.25" customHeight="1" s="281"/>
    <row r="882" ht="14.25" customHeight="1" s="281"/>
    <row r="883" ht="14.25" customHeight="1" s="281"/>
    <row r="884" ht="14.25" customHeight="1" s="281"/>
    <row r="885" ht="14.25" customHeight="1" s="281"/>
    <row r="886" ht="14.25" customHeight="1" s="281"/>
    <row r="887" ht="14.25" customHeight="1" s="281"/>
    <row r="888" ht="14.25" customHeight="1" s="281"/>
    <row r="889" ht="14.25" customHeight="1" s="281"/>
    <row r="890" ht="14.25" customHeight="1" s="281"/>
    <row r="891" ht="14.25" customHeight="1" s="281"/>
    <row r="892" ht="14.25" customHeight="1" s="281"/>
    <row r="893" ht="14.25" customHeight="1" s="281"/>
    <row r="894" ht="14.25" customHeight="1" s="281"/>
    <row r="895" ht="14.25" customHeight="1" s="281"/>
    <row r="896" ht="14.25" customHeight="1" s="281"/>
    <row r="897" ht="14.25" customHeight="1" s="281"/>
    <row r="898" ht="14.25" customHeight="1" s="281"/>
    <row r="899" ht="14.25" customHeight="1" s="281"/>
    <row r="900" ht="14.25" customHeight="1" s="281"/>
    <row r="901" ht="14.25" customHeight="1" s="281"/>
    <row r="902" ht="14.25" customHeight="1" s="281"/>
    <row r="903" ht="14.25" customHeight="1" s="281"/>
    <row r="904" ht="14.25" customHeight="1" s="281"/>
    <row r="905" ht="14.25" customHeight="1" s="281"/>
    <row r="906" ht="14.25" customHeight="1" s="281"/>
    <row r="907" ht="14.25" customHeight="1" s="281"/>
    <row r="908" ht="14.25" customHeight="1" s="281"/>
    <row r="909" ht="14.25" customHeight="1" s="281"/>
    <row r="910" ht="14.25" customHeight="1" s="281"/>
    <row r="911" ht="14.25" customHeight="1" s="281"/>
    <row r="912" ht="14.25" customHeight="1" s="281"/>
    <row r="913" ht="14.25" customHeight="1" s="281"/>
    <row r="914" ht="14.25" customHeight="1" s="281"/>
    <row r="915" ht="14.25" customHeight="1" s="281"/>
    <row r="916" ht="14.25" customHeight="1" s="281"/>
    <row r="917" ht="14.25" customHeight="1" s="281"/>
    <row r="918" ht="14.25" customHeight="1" s="281"/>
    <row r="919" ht="14.25" customHeight="1" s="281"/>
    <row r="920" ht="14.25" customHeight="1" s="281"/>
    <row r="921" ht="14.25" customHeight="1" s="281"/>
    <row r="922" ht="14.25" customHeight="1" s="281"/>
    <row r="923" ht="14.25" customHeight="1" s="281"/>
    <row r="924" ht="14.25" customHeight="1" s="281"/>
    <row r="925" ht="14.25" customHeight="1" s="281"/>
    <row r="926" ht="14.25" customHeight="1" s="281"/>
    <row r="927" ht="14.25" customHeight="1" s="281"/>
    <row r="928" ht="14.25" customHeight="1" s="281"/>
    <row r="929" ht="14.25" customHeight="1" s="281"/>
    <row r="930" ht="14.25" customHeight="1" s="281"/>
    <row r="931" ht="14.25" customHeight="1" s="281"/>
    <row r="932" ht="14.25" customHeight="1" s="281"/>
    <row r="933" ht="14.25" customHeight="1" s="281"/>
    <row r="934" ht="14.25" customHeight="1" s="281"/>
    <row r="935" ht="14.25" customHeight="1" s="281"/>
    <row r="936" ht="14.25" customHeight="1" s="281"/>
    <row r="937" ht="14.25" customHeight="1" s="281"/>
    <row r="938" ht="14.25" customHeight="1" s="281"/>
    <row r="939" ht="14.25" customHeight="1" s="281"/>
    <row r="940" ht="14.25" customHeight="1" s="281"/>
    <row r="941" ht="14.25" customHeight="1" s="281"/>
    <row r="942" ht="14.25" customHeight="1" s="281"/>
    <row r="943" ht="14.25" customHeight="1" s="281"/>
    <row r="944" ht="14.25" customHeight="1" s="281"/>
    <row r="945" ht="14.25" customHeight="1" s="281"/>
    <row r="946" ht="14.25" customHeight="1" s="281"/>
    <row r="947" ht="14.25" customHeight="1" s="281"/>
    <row r="948" ht="14.25" customHeight="1" s="281"/>
    <row r="949" ht="14.25" customHeight="1" s="281"/>
    <row r="950" ht="14.25" customHeight="1" s="281"/>
    <row r="951" ht="14.25" customHeight="1" s="281"/>
    <row r="952" ht="14.25" customHeight="1" s="281"/>
    <row r="953" ht="14.25" customHeight="1" s="281"/>
    <row r="954" ht="14.25" customHeight="1" s="281"/>
    <row r="955" ht="14.25" customHeight="1" s="281"/>
    <row r="956" ht="14.25" customHeight="1" s="281"/>
    <row r="957" ht="14.25" customHeight="1" s="281"/>
    <row r="958" ht="14.25" customHeight="1" s="281"/>
    <row r="959" ht="14.25" customHeight="1" s="281"/>
    <row r="960" ht="14.25" customHeight="1" s="281"/>
    <row r="961" ht="14.25" customHeight="1" s="281"/>
    <row r="962" ht="14.25" customHeight="1" s="281"/>
    <row r="963" ht="14.25" customHeight="1" s="281"/>
    <row r="964" ht="14.25" customHeight="1" s="281"/>
    <row r="965" ht="14.25" customHeight="1" s="281"/>
    <row r="966" ht="14.25" customHeight="1" s="281"/>
    <row r="967" ht="14.25" customHeight="1" s="281"/>
    <row r="968" ht="14.25" customHeight="1" s="281"/>
    <row r="969" ht="14.25" customHeight="1" s="281"/>
    <row r="970" ht="14.25" customHeight="1" s="281"/>
    <row r="971" ht="14.25" customHeight="1" s="281"/>
    <row r="972" ht="14.25" customHeight="1" s="281"/>
    <row r="973" ht="14.25" customHeight="1" s="281"/>
    <row r="974" ht="14.25" customHeight="1" s="281"/>
    <row r="975" ht="14.25" customHeight="1" s="281"/>
    <row r="976" ht="14.25" customHeight="1" s="281"/>
    <row r="977" ht="14.25" customHeight="1" s="281"/>
    <row r="978" ht="14.25" customHeight="1" s="281"/>
    <row r="979" ht="14.25" customHeight="1" s="281"/>
    <row r="980" ht="14.25" customHeight="1" s="281"/>
    <row r="981" ht="14.25" customHeight="1" s="281"/>
    <row r="982" ht="14.25" customHeight="1" s="281"/>
    <row r="983" ht="14.25" customHeight="1" s="281"/>
    <row r="984" ht="14.25" customHeight="1" s="281"/>
    <row r="985" ht="14.25" customHeight="1" s="281"/>
    <row r="986" ht="14.25" customHeight="1" s="281"/>
    <row r="987" ht="14.25" customHeight="1" s="281"/>
    <row r="988" ht="14.25" customHeight="1" s="281"/>
    <row r="989" ht="14.25" customHeight="1" s="281"/>
    <row r="990" ht="14.25" customHeight="1" s="281"/>
    <row r="991" ht="14.25" customHeight="1" s="281"/>
    <row r="992" ht="14.25" customHeight="1" s="281"/>
    <row r="993" ht="14.25" customHeight="1" s="281"/>
    <row r="994" ht="14.25" customHeight="1" s="281"/>
    <row r="995" ht="14.25" customHeight="1" s="281"/>
    <row r="996" ht="14.25" customHeight="1" s="281"/>
    <row r="997" ht="14.25" customHeight="1" s="281"/>
    <row r="998" ht="14.25" customHeight="1" s="281"/>
    <row r="999" ht="14.25" customHeight="1" s="281"/>
    <row r="1000" ht="14.25" customHeight="1" s="281"/>
  </sheetData>
  <pageMargins left="0.7" right="0.7" top="0.75" bottom="0.75" header="0" footer="0"/>
  <pageSetup orientation="landscape"/>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O18"/>
  <sheetViews>
    <sheetView workbookViewId="0">
      <selection activeCell="A1" sqref="A1"/>
    </sheetView>
  </sheetViews>
  <sheetFormatPr baseColWidth="8" defaultRowHeight="15"/>
  <sheetData>
    <row r="1">
      <c r="A1" t="inlineStr">
        <is>
          <t>2026 FORECAST — ASSUMPTIONS (monthly base)</t>
        </is>
      </c>
    </row>
    <row r="2">
      <c r="A2" t="inlineStr">
        <is>
          <t>The 2026 Plan of Record (monthly). Driver-based from the Dec-2025 leadership assumptions. All values are hardcoded inputs; every formula on 'Monthly Forecast' references this tab. Actuals are compared against this plan month by month, starting January.</t>
        </is>
      </c>
    </row>
    <row r="4">
      <c r="A4" t="inlineStr">
        <is>
          <t>STARTING POSITION</t>
        </is>
      </c>
    </row>
    <row r="5">
      <c r="A5" t="inlineStr">
        <is>
          <t>Opening MRR (Jan 2026)</t>
        </is>
      </c>
      <c r="B5" t="n">
        <v>143069.5</v>
      </c>
      <c r="C5" t="inlineStr">
        <is>
          <t>Dec 2025 closing MRR (Historical Baseline)</t>
        </is>
      </c>
    </row>
    <row r="7">
      <c r="A7" t="inlineStr">
        <is>
          <t>MONTHLY RATES (scalar)</t>
        </is>
      </c>
    </row>
    <row r="8">
      <c r="A8" t="inlineStr">
        <is>
          <t>Expansion rate / month</t>
        </is>
      </c>
      <c r="B8" t="n">
        <v>0.005</v>
      </c>
      <c r="C8" t="inlineStr">
        <is>
          <t>Plan: 0.50%/mo (compounds to ~1.5%/qtr). Applies to beginning-of-month MRR.</t>
        </is>
      </c>
    </row>
    <row r="9">
      <c r="A9" t="inlineStr">
        <is>
          <t>Churn rate / month</t>
        </is>
      </c>
      <c r="B9" t="n">
        <v>0.0067</v>
      </c>
      <c r="C9" t="inlineStr">
        <is>
          <t>Plan: 0.67%/mo (compounds to ~2%/qtr). Beginning-of-month MRR.</t>
        </is>
      </c>
    </row>
    <row r="10">
      <c r="A10" t="inlineStr">
        <is>
          <t>Gross margin</t>
        </is>
      </c>
      <c r="B10" t="n">
        <v>0.7</v>
      </c>
      <c r="C10" t="inlineStr">
        <is>
          <t>Plan — no cost-structure change (COGS = 1 − GM)</t>
        </is>
      </c>
    </row>
    <row r="12">
      <c r="A12" t="inlineStr">
        <is>
          <t>MONTHLY DRIVERS</t>
        </is>
      </c>
    </row>
    <row r="13">
      <c r="A13" t="inlineStr">
        <is>
          <t>Month</t>
        </is>
      </c>
      <c r="B13" t="inlineStr">
        <is>
          <t>Jan-26</t>
        </is>
      </c>
      <c r="C13" t="inlineStr">
        <is>
          <t>Feb-26</t>
        </is>
      </c>
      <c r="D13" t="inlineStr">
        <is>
          <t>Mar-26</t>
        </is>
      </c>
      <c r="E13" t="inlineStr">
        <is>
          <t>Apr-26</t>
        </is>
      </c>
      <c r="F13" t="inlineStr">
        <is>
          <t>May-26</t>
        </is>
      </c>
      <c r="G13" t="inlineStr">
        <is>
          <t>Jun-26</t>
        </is>
      </c>
      <c r="H13" t="inlineStr">
        <is>
          <t>Jul-26</t>
        </is>
      </c>
      <c r="I13" t="inlineStr">
        <is>
          <t>Aug-26</t>
        </is>
      </c>
      <c r="J13" t="inlineStr">
        <is>
          <t>Sep-26</t>
        </is>
      </c>
      <c r="K13" t="inlineStr">
        <is>
          <t>Oct-26</t>
        </is>
      </c>
      <c r="L13" t="inlineStr">
        <is>
          <t>Nov-26</t>
        </is>
      </c>
      <c r="M13" t="inlineStr">
        <is>
          <t>Dec-26</t>
        </is>
      </c>
    </row>
    <row r="14">
      <c r="A14" t="inlineStr">
        <is>
          <t>New customers</t>
        </is>
      </c>
      <c r="B14" t="n">
        <v>1</v>
      </c>
      <c r="C14" t="n">
        <v>1</v>
      </c>
      <c r="D14" t="n">
        <v>2</v>
      </c>
      <c r="E14" t="n">
        <v>2</v>
      </c>
      <c r="F14" t="n">
        <v>2</v>
      </c>
      <c r="G14" t="n">
        <v>2</v>
      </c>
      <c r="H14" t="n">
        <v>3</v>
      </c>
      <c r="I14" t="n">
        <v>3</v>
      </c>
      <c r="J14" t="n">
        <v>3</v>
      </c>
      <c r="K14" t="n">
        <v>3</v>
      </c>
      <c r="L14" t="n">
        <v>3</v>
      </c>
      <c r="M14" t="n">
        <v>3</v>
      </c>
      <c r="O14" t="inlineStr">
        <is>
          <t>Monthly phasing = analyst judgment; sums to Dec plan quarterly totals (4/6/9/9).</t>
        </is>
      </c>
    </row>
    <row r="15">
      <c r="A15" t="inlineStr">
        <is>
          <t>Avg MRR / new customer</t>
        </is>
      </c>
      <c r="B15" t="n">
        <v>3000</v>
      </c>
      <c r="C15" t="n">
        <v>3000</v>
      </c>
      <c r="D15" t="n">
        <v>3000</v>
      </c>
      <c r="E15" t="n">
        <v>3200</v>
      </c>
      <c r="F15" t="n">
        <v>3200</v>
      </c>
      <c r="G15" t="n">
        <v>3200</v>
      </c>
      <c r="H15" t="n">
        <v>3200</v>
      </c>
      <c r="I15" t="n">
        <v>3200</v>
      </c>
      <c r="J15" t="n">
        <v>3200</v>
      </c>
      <c r="K15" t="n">
        <v>3400</v>
      </c>
      <c r="L15" t="n">
        <v>3400</v>
      </c>
      <c r="M15" t="n">
        <v>3400</v>
      </c>
      <c r="O15" t="inlineStr">
        <is>
          <t>Plan: Q1 $3,000 · Q2–Q3 $3,200 · Q4 $3,400 per new customer.</t>
        </is>
      </c>
    </row>
    <row r="16">
      <c r="A16" t="inlineStr">
        <is>
          <t>Sales &amp; Marketing</t>
        </is>
      </c>
      <c r="B16" t="n">
        <v>30000</v>
      </c>
      <c r="C16" t="n">
        <v>30000</v>
      </c>
      <c r="D16" t="n">
        <v>30000</v>
      </c>
      <c r="E16" t="n">
        <v>30000</v>
      </c>
      <c r="F16" t="n">
        <v>30000</v>
      </c>
      <c r="G16" t="n">
        <v>30000</v>
      </c>
      <c r="H16" t="n">
        <v>36000</v>
      </c>
      <c r="I16" t="n">
        <v>36000</v>
      </c>
      <c r="J16" t="n">
        <v>36000</v>
      </c>
      <c r="K16" t="n">
        <v>36000</v>
      </c>
      <c r="L16" t="n">
        <v>36000</v>
      </c>
      <c r="M16" t="n">
        <v>36000</v>
      </c>
      <c r="O16" t="inlineStr">
        <is>
          <t>Plan: $30k/mo H1, $36k/mo H2 (S&amp;M acquisition push).</t>
        </is>
      </c>
    </row>
    <row r="17">
      <c r="A17" t="inlineStr">
        <is>
          <t>Research &amp; Development</t>
        </is>
      </c>
      <c r="B17" t="n">
        <v>25000</v>
      </c>
      <c r="C17" t="n">
        <v>25000</v>
      </c>
      <c r="D17" t="n">
        <v>25000</v>
      </c>
      <c r="E17" t="n">
        <v>25000</v>
      </c>
      <c r="F17" t="n">
        <v>25000</v>
      </c>
      <c r="G17" t="n">
        <v>25000</v>
      </c>
      <c r="H17" t="n">
        <v>25000</v>
      </c>
      <c r="I17" t="n">
        <v>25000</v>
      </c>
      <c r="J17" t="n">
        <v>25000</v>
      </c>
      <c r="K17" t="n">
        <v>25000</v>
      </c>
      <c r="L17" t="n">
        <v>25000</v>
      </c>
      <c r="M17" t="n">
        <v>25000</v>
      </c>
      <c r="O17" t="inlineStr">
        <is>
          <t>Plan: $75k/qtr ÷ 3.</t>
        </is>
      </c>
    </row>
    <row r="18">
      <c r="A18" t="inlineStr">
        <is>
          <t>General &amp; Administrative</t>
        </is>
      </c>
      <c r="B18" t="n">
        <v>19000</v>
      </c>
      <c r="C18" t="n">
        <v>19000</v>
      </c>
      <c r="D18" t="n">
        <v>19000</v>
      </c>
      <c r="E18" t="n">
        <v>19000</v>
      </c>
      <c r="F18" t="n">
        <v>19000</v>
      </c>
      <c r="G18" t="n">
        <v>19000</v>
      </c>
      <c r="H18" t="n">
        <v>19000</v>
      </c>
      <c r="I18" t="n">
        <v>19000</v>
      </c>
      <c r="J18" t="n">
        <v>19000</v>
      </c>
      <c r="K18" t="n">
        <v>19000</v>
      </c>
      <c r="L18" t="n">
        <v>19000</v>
      </c>
      <c r="M18" t="n">
        <v>19000</v>
      </c>
      <c r="O18" t="inlineStr">
        <is>
          <t>Plan: $57k/qtr ÷ 3.</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25"/>
  <sheetViews>
    <sheetView workbookViewId="0">
      <selection activeCell="A1" sqref="A1"/>
    </sheetView>
  </sheetViews>
  <sheetFormatPr baseColWidth="8" defaultRowHeight="15"/>
  <sheetData>
    <row r="1">
      <c r="A1" t="inlineStr">
        <is>
          <t>2026 PLAN OF RECORD — Monthly (driver-based). Every cell references Assumptions. Blue = subtotals.</t>
        </is>
      </c>
    </row>
    <row r="3">
      <c r="A3" t="inlineStr">
        <is>
          <t>MRR WATERFALL</t>
        </is>
      </c>
    </row>
    <row r="4">
      <c r="A4" t="inlineStr">
        <is>
          <t>Month (key)</t>
        </is>
      </c>
      <c r="B4">
        <f>DATE(2026,1,1)</f>
        <v/>
      </c>
      <c r="C4">
        <f>DATE(2026,2,1)</f>
        <v/>
      </c>
      <c r="D4">
        <f>DATE(2026,3,1)</f>
        <v/>
      </c>
      <c r="E4">
        <f>DATE(2026,4,1)</f>
        <v/>
      </c>
      <c r="F4">
        <f>DATE(2026,5,1)</f>
        <v/>
      </c>
      <c r="G4">
        <f>DATE(2026,6,1)</f>
        <v/>
      </c>
      <c r="H4">
        <f>DATE(2026,7,1)</f>
        <v/>
      </c>
      <c r="I4">
        <f>DATE(2026,8,1)</f>
        <v/>
      </c>
      <c r="J4">
        <f>DATE(2026,9,1)</f>
        <v/>
      </c>
      <c r="K4">
        <f>DATE(2026,10,1)</f>
        <v/>
      </c>
      <c r="L4">
        <f>DATE(2026,11,1)</f>
        <v/>
      </c>
      <c r="M4">
        <f>DATE(2026,12,1)</f>
        <v/>
      </c>
      <c r="N4" t="inlineStr">
        <is>
          <t>Q1 2026</t>
        </is>
      </c>
      <c r="O4" t="inlineStr">
        <is>
          <t>Q2 2026</t>
        </is>
      </c>
      <c r="P4" t="inlineStr">
        <is>
          <t>Q3 2026</t>
        </is>
      </c>
      <c r="Q4" t="inlineStr">
        <is>
          <t>Q4 2026</t>
        </is>
      </c>
      <c r="R4" t="inlineStr">
        <is>
          <t>FY 2026</t>
        </is>
      </c>
    </row>
    <row r="5">
      <c r="A5" t="inlineStr">
        <is>
          <t>Opening MRR</t>
        </is>
      </c>
      <c r="B5">
        <f>Assumptions!$B$5</f>
        <v/>
      </c>
      <c r="C5">
        <f>B11</f>
        <v/>
      </c>
      <c r="D5">
        <f>C11</f>
        <v/>
      </c>
      <c r="E5">
        <f>D11</f>
        <v/>
      </c>
      <c r="F5">
        <f>E11</f>
        <v/>
      </c>
      <c r="G5">
        <f>F11</f>
        <v/>
      </c>
      <c r="H5">
        <f>G11</f>
        <v/>
      </c>
      <c r="I5">
        <f>H11</f>
        <v/>
      </c>
      <c r="J5">
        <f>I11</f>
        <v/>
      </c>
      <c r="K5">
        <f>J11</f>
        <v/>
      </c>
      <c r="L5">
        <f>K11</f>
        <v/>
      </c>
      <c r="M5">
        <f>L11</f>
        <v/>
      </c>
      <c r="N5">
        <f>B5</f>
        <v/>
      </c>
      <c r="O5">
        <f>E5</f>
        <v/>
      </c>
      <c r="P5">
        <f>H5</f>
        <v/>
      </c>
      <c r="Q5">
        <f>K5</f>
        <v/>
      </c>
      <c r="R5">
        <f>B5</f>
        <v/>
      </c>
    </row>
    <row r="6">
      <c r="A6" t="inlineStr">
        <is>
          <t>+ New MRR</t>
        </is>
      </c>
      <c r="B6">
        <f>Assumptions!B14*Assumptions!B15</f>
        <v/>
      </c>
      <c r="C6">
        <f>Assumptions!C14*Assumptions!C15</f>
        <v/>
      </c>
      <c r="D6">
        <f>Assumptions!D14*Assumptions!D15</f>
        <v/>
      </c>
      <c r="E6">
        <f>Assumptions!E14*Assumptions!E15</f>
        <v/>
      </c>
      <c r="F6">
        <f>Assumptions!F14*Assumptions!F15</f>
        <v/>
      </c>
      <c r="G6">
        <f>Assumptions!G14*Assumptions!G15</f>
        <v/>
      </c>
      <c r="H6">
        <f>Assumptions!H14*Assumptions!H15</f>
        <v/>
      </c>
      <c r="I6">
        <f>Assumptions!I14*Assumptions!I15</f>
        <v/>
      </c>
      <c r="J6">
        <f>Assumptions!J14*Assumptions!J15</f>
        <v/>
      </c>
      <c r="K6">
        <f>Assumptions!K14*Assumptions!K15</f>
        <v/>
      </c>
      <c r="L6">
        <f>Assumptions!L14*Assumptions!L15</f>
        <v/>
      </c>
      <c r="M6">
        <f>Assumptions!M14*Assumptions!M15</f>
        <v/>
      </c>
      <c r="N6">
        <f>SUM(B6:D6)</f>
        <v/>
      </c>
      <c r="O6">
        <f>SUM(E6:G6)</f>
        <v/>
      </c>
      <c r="P6">
        <f>SUM(H6:J6)</f>
        <v/>
      </c>
      <c r="Q6">
        <f>SUM(K6:M6)</f>
        <v/>
      </c>
      <c r="R6">
        <f>SUM(B6:M6)</f>
        <v/>
      </c>
    </row>
    <row r="7">
      <c r="A7" t="inlineStr">
        <is>
          <t>+ Expansion MRR</t>
        </is>
      </c>
      <c r="B7">
        <f>B5*Assumptions!$B$8</f>
        <v/>
      </c>
      <c r="C7">
        <f>C5*Assumptions!$B$8</f>
        <v/>
      </c>
      <c r="D7">
        <f>D5*Assumptions!$B$8</f>
        <v/>
      </c>
      <c r="E7">
        <f>E5*Assumptions!$B$8</f>
        <v/>
      </c>
      <c r="F7">
        <f>F5*Assumptions!$B$8</f>
        <v/>
      </c>
      <c r="G7">
        <f>G5*Assumptions!$B$8</f>
        <v/>
      </c>
      <c r="H7">
        <f>H5*Assumptions!$B$8</f>
        <v/>
      </c>
      <c r="I7">
        <f>I5*Assumptions!$B$8</f>
        <v/>
      </c>
      <c r="J7">
        <f>J5*Assumptions!$B$8</f>
        <v/>
      </c>
      <c r="K7">
        <f>K5*Assumptions!$B$8</f>
        <v/>
      </c>
      <c r="L7">
        <f>L5*Assumptions!$B$8</f>
        <v/>
      </c>
      <c r="M7">
        <f>M5*Assumptions!$B$8</f>
        <v/>
      </c>
      <c r="N7">
        <f>SUM(B7:D7)</f>
        <v/>
      </c>
      <c r="O7">
        <f>SUM(E7:G7)</f>
        <v/>
      </c>
      <c r="P7">
        <f>SUM(H7:J7)</f>
        <v/>
      </c>
      <c r="Q7">
        <f>SUM(K7:M7)</f>
        <v/>
      </c>
      <c r="R7">
        <f>SUM(B7:M7)</f>
        <v/>
      </c>
    </row>
    <row r="8">
      <c r="A8" t="inlineStr">
        <is>
          <t>− Contraction MRR</t>
        </is>
      </c>
      <c r="B8" t="n">
        <v>0</v>
      </c>
      <c r="C8" t="n">
        <v>0</v>
      </c>
      <c r="D8" t="n">
        <v>0</v>
      </c>
      <c r="E8" t="n">
        <v>0</v>
      </c>
      <c r="F8" t="n">
        <v>0</v>
      </c>
      <c r="G8" t="n">
        <v>0</v>
      </c>
      <c r="H8" t="n">
        <v>0</v>
      </c>
      <c r="I8" t="n">
        <v>0</v>
      </c>
      <c r="J8" t="n">
        <v>0</v>
      </c>
      <c r="K8" t="n">
        <v>0</v>
      </c>
      <c r="L8" t="n">
        <v>0</v>
      </c>
      <c r="M8" t="n">
        <v>0</v>
      </c>
      <c r="N8">
        <f>SUM(B8:D8)</f>
        <v/>
      </c>
      <c r="O8">
        <f>SUM(E8:G8)</f>
        <v/>
      </c>
      <c r="P8">
        <f>SUM(H8:J8)</f>
        <v/>
      </c>
      <c r="Q8">
        <f>SUM(K8:M8)</f>
        <v/>
      </c>
      <c r="R8">
        <f>SUM(B8:M8)</f>
        <v/>
      </c>
    </row>
    <row r="9">
      <c r="A9" t="inlineStr">
        <is>
          <t>− Churned MRR</t>
        </is>
      </c>
      <c r="B9">
        <f>B5*Assumptions!$B$9</f>
        <v/>
      </c>
      <c r="C9">
        <f>C5*Assumptions!$B$9</f>
        <v/>
      </c>
      <c r="D9">
        <f>D5*Assumptions!$B$9</f>
        <v/>
      </c>
      <c r="E9">
        <f>E5*Assumptions!$B$9</f>
        <v/>
      </c>
      <c r="F9">
        <f>F5*Assumptions!$B$9</f>
        <v/>
      </c>
      <c r="G9">
        <f>G5*Assumptions!$B$9</f>
        <v/>
      </c>
      <c r="H9">
        <f>H5*Assumptions!$B$9</f>
        <v/>
      </c>
      <c r="I9">
        <f>I5*Assumptions!$B$9</f>
        <v/>
      </c>
      <c r="J9">
        <f>J5*Assumptions!$B$9</f>
        <v/>
      </c>
      <c r="K9">
        <f>K5*Assumptions!$B$9</f>
        <v/>
      </c>
      <c r="L9">
        <f>L5*Assumptions!$B$9</f>
        <v/>
      </c>
      <c r="M9">
        <f>M5*Assumptions!$B$9</f>
        <v/>
      </c>
      <c r="N9">
        <f>SUM(B9:D9)</f>
        <v/>
      </c>
      <c r="O9">
        <f>SUM(E9:G9)</f>
        <v/>
      </c>
      <c r="P9">
        <f>SUM(H9:J9)</f>
        <v/>
      </c>
      <c r="Q9">
        <f>SUM(K9:M9)</f>
        <v/>
      </c>
      <c r="R9">
        <f>SUM(B9:M9)</f>
        <v/>
      </c>
    </row>
    <row r="10">
      <c r="A10" t="inlineStr">
        <is>
          <t>Net New MRR</t>
        </is>
      </c>
      <c r="B10">
        <f>B6+B7-B8-B9</f>
        <v/>
      </c>
      <c r="C10">
        <f>C6+C7-C8-C9</f>
        <v/>
      </c>
      <c r="D10">
        <f>D6+D7-D8-D9</f>
        <v/>
      </c>
      <c r="E10">
        <f>E6+E7-E8-E9</f>
        <v/>
      </c>
      <c r="F10">
        <f>F6+F7-F8-F9</f>
        <v/>
      </c>
      <c r="G10">
        <f>G6+G7-G8-G9</f>
        <v/>
      </c>
      <c r="H10">
        <f>H6+H7-H8-H9</f>
        <v/>
      </c>
      <c r="I10">
        <f>I6+I7-I8-I9</f>
        <v/>
      </c>
      <c r="J10">
        <f>J6+J7-J8-J9</f>
        <v/>
      </c>
      <c r="K10">
        <f>K6+K7-K8-K9</f>
        <v/>
      </c>
      <c r="L10">
        <f>L6+L7-L8-L9</f>
        <v/>
      </c>
      <c r="M10">
        <f>M6+M7-M8-M9</f>
        <v/>
      </c>
      <c r="N10">
        <f>SUM(B10:D10)</f>
        <v/>
      </c>
      <c r="O10">
        <f>SUM(E10:G10)</f>
        <v/>
      </c>
      <c r="P10">
        <f>SUM(H10:J10)</f>
        <v/>
      </c>
      <c r="Q10">
        <f>SUM(K10:M10)</f>
        <v/>
      </c>
      <c r="R10">
        <f>SUM(B10:M10)</f>
        <v/>
      </c>
    </row>
    <row r="11">
      <c r="A11" t="inlineStr">
        <is>
          <t>Closing MRR</t>
        </is>
      </c>
      <c r="B11">
        <f>B5+B10</f>
        <v/>
      </c>
      <c r="C11">
        <f>C5+C10</f>
        <v/>
      </c>
      <c r="D11">
        <f>D5+D10</f>
        <v/>
      </c>
      <c r="E11">
        <f>E5+E10</f>
        <v/>
      </c>
      <c r="F11">
        <f>F5+F10</f>
        <v/>
      </c>
      <c r="G11">
        <f>G5+G10</f>
        <v/>
      </c>
      <c r="H11">
        <f>H5+H10</f>
        <v/>
      </c>
      <c r="I11">
        <f>I5+I10</f>
        <v/>
      </c>
      <c r="J11">
        <f>J5+J10</f>
        <v/>
      </c>
      <c r="K11">
        <f>K5+K10</f>
        <v/>
      </c>
      <c r="L11">
        <f>L5+L10</f>
        <v/>
      </c>
      <c r="M11">
        <f>M5+M10</f>
        <v/>
      </c>
      <c r="N11">
        <f>D11</f>
        <v/>
      </c>
      <c r="O11">
        <f>G11</f>
        <v/>
      </c>
      <c r="P11">
        <f>J11</f>
        <v/>
      </c>
      <c r="Q11">
        <f>M11</f>
        <v/>
      </c>
      <c r="R11">
        <f>M11</f>
        <v/>
      </c>
    </row>
    <row r="12">
      <c r="A12" t="inlineStr">
        <is>
          <t>Closing ARR</t>
        </is>
      </c>
      <c r="B12">
        <f>B11*12</f>
        <v/>
      </c>
      <c r="C12">
        <f>C11*12</f>
        <v/>
      </c>
      <c r="D12">
        <f>D11*12</f>
        <v/>
      </c>
      <c r="E12">
        <f>E11*12</f>
        <v/>
      </c>
      <c r="F12">
        <f>F11*12</f>
        <v/>
      </c>
      <c r="G12">
        <f>G11*12</f>
        <v/>
      </c>
      <c r="H12">
        <f>H11*12</f>
        <v/>
      </c>
      <c r="I12">
        <f>I11*12</f>
        <v/>
      </c>
      <c r="J12">
        <f>J11*12</f>
        <v/>
      </c>
      <c r="K12">
        <f>K11*12</f>
        <v/>
      </c>
      <c r="L12">
        <f>L11*12</f>
        <v/>
      </c>
      <c r="M12">
        <f>M11*12</f>
        <v/>
      </c>
      <c r="N12">
        <f>N11*12</f>
        <v/>
      </c>
      <c r="O12">
        <f>O11*12</f>
        <v/>
      </c>
      <c r="P12">
        <f>P11*12</f>
        <v/>
      </c>
      <c r="Q12">
        <f>Q11*12</f>
        <v/>
      </c>
      <c r="R12">
        <f>R11*12</f>
        <v/>
      </c>
    </row>
    <row r="14">
      <c r="A14" t="inlineStr">
        <is>
          <t>PROFIT &amp; LOSS</t>
        </is>
      </c>
    </row>
    <row r="15">
      <c r="A15" t="inlineStr">
        <is>
          <t>Metric</t>
        </is>
      </c>
      <c r="B15" t="inlineStr">
        <is>
          <t>Jan-26</t>
        </is>
      </c>
      <c r="C15" t="inlineStr">
        <is>
          <t>Feb-26</t>
        </is>
      </c>
      <c r="D15" t="inlineStr">
        <is>
          <t>Mar-26</t>
        </is>
      </c>
      <c r="E15" t="inlineStr">
        <is>
          <t>Apr-26</t>
        </is>
      </c>
      <c r="F15" t="inlineStr">
        <is>
          <t>May-26</t>
        </is>
      </c>
      <c r="G15" t="inlineStr">
        <is>
          <t>Jun-26</t>
        </is>
      </c>
      <c r="H15" t="inlineStr">
        <is>
          <t>Jul-26</t>
        </is>
      </c>
      <c r="I15" t="inlineStr">
        <is>
          <t>Aug-26</t>
        </is>
      </c>
      <c r="J15" t="inlineStr">
        <is>
          <t>Sep-26</t>
        </is>
      </c>
      <c r="K15" t="inlineStr">
        <is>
          <t>Oct-26</t>
        </is>
      </c>
      <c r="L15" t="inlineStr">
        <is>
          <t>Nov-26</t>
        </is>
      </c>
      <c r="M15" t="inlineStr">
        <is>
          <t>Dec-26</t>
        </is>
      </c>
      <c r="N15" t="inlineStr">
        <is>
          <t>Q1 2026</t>
        </is>
      </c>
      <c r="O15" t="inlineStr">
        <is>
          <t>Q2 2026</t>
        </is>
      </c>
      <c r="P15" t="inlineStr">
        <is>
          <t>Q3 2026</t>
        </is>
      </c>
      <c r="Q15" t="inlineStr">
        <is>
          <t>Q4 2026</t>
        </is>
      </c>
      <c r="R15" t="inlineStr">
        <is>
          <t>FY 2026</t>
        </is>
      </c>
    </row>
    <row r="16">
      <c r="A16" t="inlineStr">
        <is>
          <t>Revenue</t>
        </is>
      </c>
      <c r="B16">
        <f>B11</f>
        <v/>
      </c>
      <c r="C16">
        <f>C11</f>
        <v/>
      </c>
      <c r="D16">
        <f>D11</f>
        <v/>
      </c>
      <c r="E16">
        <f>E11</f>
        <v/>
      </c>
      <c r="F16">
        <f>F11</f>
        <v/>
      </c>
      <c r="G16">
        <f>G11</f>
        <v/>
      </c>
      <c r="H16">
        <f>H11</f>
        <v/>
      </c>
      <c r="I16">
        <f>I11</f>
        <v/>
      </c>
      <c r="J16">
        <f>J11</f>
        <v/>
      </c>
      <c r="K16">
        <f>K11</f>
        <v/>
      </c>
      <c r="L16">
        <f>L11</f>
        <v/>
      </c>
      <c r="M16">
        <f>M11</f>
        <v/>
      </c>
      <c r="N16">
        <f>SUM(B16:D16)</f>
        <v/>
      </c>
      <c r="O16">
        <f>SUM(E16:G16)</f>
        <v/>
      </c>
      <c r="P16">
        <f>SUM(H16:J16)</f>
        <v/>
      </c>
      <c r="Q16">
        <f>SUM(K16:M16)</f>
        <v/>
      </c>
      <c r="R16">
        <f>SUM(B16:M16)</f>
        <v/>
      </c>
    </row>
    <row r="17">
      <c r="A17" t="inlineStr">
        <is>
          <t>COGS</t>
        </is>
      </c>
      <c r="B17">
        <f>B16*(1-Assumptions!$B$10)</f>
        <v/>
      </c>
      <c r="C17">
        <f>C16*(1-Assumptions!$B$10)</f>
        <v/>
      </c>
      <c r="D17">
        <f>D16*(1-Assumptions!$B$10)</f>
        <v/>
      </c>
      <c r="E17">
        <f>E16*(1-Assumptions!$B$10)</f>
        <v/>
      </c>
      <c r="F17">
        <f>F16*(1-Assumptions!$B$10)</f>
        <v/>
      </c>
      <c r="G17">
        <f>G16*(1-Assumptions!$B$10)</f>
        <v/>
      </c>
      <c r="H17">
        <f>H16*(1-Assumptions!$B$10)</f>
        <v/>
      </c>
      <c r="I17">
        <f>I16*(1-Assumptions!$B$10)</f>
        <v/>
      </c>
      <c r="J17">
        <f>J16*(1-Assumptions!$B$10)</f>
        <v/>
      </c>
      <c r="K17">
        <f>K16*(1-Assumptions!$B$10)</f>
        <v/>
      </c>
      <c r="L17">
        <f>L16*(1-Assumptions!$B$10)</f>
        <v/>
      </c>
      <c r="M17">
        <f>M16*(1-Assumptions!$B$10)</f>
        <v/>
      </c>
      <c r="N17">
        <f>SUM(B17:D17)</f>
        <v/>
      </c>
      <c r="O17">
        <f>SUM(E17:G17)</f>
        <v/>
      </c>
      <c r="P17">
        <f>SUM(H17:J17)</f>
        <v/>
      </c>
      <c r="Q17">
        <f>SUM(K17:M17)</f>
        <v/>
      </c>
      <c r="R17">
        <f>SUM(B17:M17)</f>
        <v/>
      </c>
    </row>
    <row r="18">
      <c r="A18" t="inlineStr">
        <is>
          <t>Gross Profit</t>
        </is>
      </c>
      <c r="B18">
        <f>B16-B17</f>
        <v/>
      </c>
      <c r="C18">
        <f>C16-C17</f>
        <v/>
      </c>
      <c r="D18">
        <f>D16-D17</f>
        <v/>
      </c>
      <c r="E18">
        <f>E16-E17</f>
        <v/>
      </c>
      <c r="F18">
        <f>F16-F17</f>
        <v/>
      </c>
      <c r="G18">
        <f>G16-G17</f>
        <v/>
      </c>
      <c r="H18">
        <f>H16-H17</f>
        <v/>
      </c>
      <c r="I18">
        <f>I16-I17</f>
        <v/>
      </c>
      <c r="J18">
        <f>J16-J17</f>
        <v/>
      </c>
      <c r="K18">
        <f>K16-K17</f>
        <v/>
      </c>
      <c r="L18">
        <f>L16-L17</f>
        <v/>
      </c>
      <c r="M18">
        <f>M16-M17</f>
        <v/>
      </c>
      <c r="N18">
        <f>SUM(B18:D18)</f>
        <v/>
      </c>
      <c r="O18">
        <f>SUM(E18:G18)</f>
        <v/>
      </c>
      <c r="P18">
        <f>SUM(H18:J18)</f>
        <v/>
      </c>
      <c r="Q18">
        <f>SUM(K18:M18)</f>
        <v/>
      </c>
      <c r="R18">
        <f>SUM(B18:M18)</f>
        <v/>
      </c>
    </row>
    <row r="19">
      <c r="A19" t="inlineStr">
        <is>
          <t>Gross Margin %</t>
        </is>
      </c>
      <c r="B19">
        <f>B18/B16</f>
        <v/>
      </c>
      <c r="C19">
        <f>C18/C16</f>
        <v/>
      </c>
      <c r="D19">
        <f>D18/D16</f>
        <v/>
      </c>
      <c r="E19">
        <f>E18/E16</f>
        <v/>
      </c>
      <c r="F19">
        <f>F18/F16</f>
        <v/>
      </c>
      <c r="G19">
        <f>G18/G16</f>
        <v/>
      </c>
      <c r="H19">
        <f>H18/H16</f>
        <v/>
      </c>
      <c r="I19">
        <f>I18/I16</f>
        <v/>
      </c>
      <c r="J19">
        <f>J18/J16</f>
        <v/>
      </c>
      <c r="K19">
        <f>K18/K16</f>
        <v/>
      </c>
      <c r="L19">
        <f>L18/L16</f>
        <v/>
      </c>
      <c r="M19">
        <f>M18/M16</f>
        <v/>
      </c>
      <c r="N19">
        <f>N18/N16</f>
        <v/>
      </c>
      <c r="O19">
        <f>O18/O16</f>
        <v/>
      </c>
      <c r="P19">
        <f>P18/P16</f>
        <v/>
      </c>
      <c r="Q19">
        <f>Q18/Q16</f>
        <v/>
      </c>
      <c r="R19">
        <f>R18/R16</f>
        <v/>
      </c>
    </row>
    <row r="20">
      <c r="A20" t="inlineStr">
        <is>
          <t>Sales &amp; Marketing</t>
        </is>
      </c>
      <c r="B20">
        <f>Assumptions!B16</f>
        <v/>
      </c>
      <c r="C20">
        <f>Assumptions!C16</f>
        <v/>
      </c>
      <c r="D20">
        <f>Assumptions!D16</f>
        <v/>
      </c>
      <c r="E20">
        <f>Assumptions!E16</f>
        <v/>
      </c>
      <c r="F20">
        <f>Assumptions!F16</f>
        <v/>
      </c>
      <c r="G20">
        <f>Assumptions!G16</f>
        <v/>
      </c>
      <c r="H20">
        <f>Assumptions!H16</f>
        <v/>
      </c>
      <c r="I20">
        <f>Assumptions!I16</f>
        <v/>
      </c>
      <c r="J20">
        <f>Assumptions!J16</f>
        <v/>
      </c>
      <c r="K20">
        <f>Assumptions!K16</f>
        <v/>
      </c>
      <c r="L20">
        <f>Assumptions!L16</f>
        <v/>
      </c>
      <c r="M20">
        <f>Assumptions!M16</f>
        <v/>
      </c>
      <c r="N20">
        <f>SUM(B20:D20)</f>
        <v/>
      </c>
      <c r="O20">
        <f>SUM(E20:G20)</f>
        <v/>
      </c>
      <c r="P20">
        <f>SUM(H20:J20)</f>
        <v/>
      </c>
      <c r="Q20">
        <f>SUM(K20:M20)</f>
        <v/>
      </c>
      <c r="R20">
        <f>SUM(B20:M20)</f>
        <v/>
      </c>
    </row>
    <row r="21">
      <c r="A21" t="inlineStr">
        <is>
          <t>Research &amp; Development</t>
        </is>
      </c>
      <c r="B21">
        <f>Assumptions!B17</f>
        <v/>
      </c>
      <c r="C21">
        <f>Assumptions!C17</f>
        <v/>
      </c>
      <c r="D21">
        <f>Assumptions!D17</f>
        <v/>
      </c>
      <c r="E21">
        <f>Assumptions!E17</f>
        <v/>
      </c>
      <c r="F21">
        <f>Assumptions!F17</f>
        <v/>
      </c>
      <c r="G21">
        <f>Assumptions!G17</f>
        <v/>
      </c>
      <c r="H21">
        <f>Assumptions!H17</f>
        <v/>
      </c>
      <c r="I21">
        <f>Assumptions!I17</f>
        <v/>
      </c>
      <c r="J21">
        <f>Assumptions!J17</f>
        <v/>
      </c>
      <c r="K21">
        <f>Assumptions!K17</f>
        <v/>
      </c>
      <c r="L21">
        <f>Assumptions!L17</f>
        <v/>
      </c>
      <c r="M21">
        <f>Assumptions!M17</f>
        <v/>
      </c>
      <c r="N21">
        <f>SUM(B21:D21)</f>
        <v/>
      </c>
      <c r="O21">
        <f>SUM(E21:G21)</f>
        <v/>
      </c>
      <c r="P21">
        <f>SUM(H21:J21)</f>
        <v/>
      </c>
      <c r="Q21">
        <f>SUM(K21:M21)</f>
        <v/>
      </c>
      <c r="R21">
        <f>SUM(B21:M21)</f>
        <v/>
      </c>
    </row>
    <row r="22">
      <c r="A22" t="inlineStr">
        <is>
          <t>General &amp; Administrative</t>
        </is>
      </c>
      <c r="B22">
        <f>Assumptions!B18</f>
        <v/>
      </c>
      <c r="C22">
        <f>Assumptions!C18</f>
        <v/>
      </c>
      <c r="D22">
        <f>Assumptions!D18</f>
        <v/>
      </c>
      <c r="E22">
        <f>Assumptions!E18</f>
        <v/>
      </c>
      <c r="F22">
        <f>Assumptions!F18</f>
        <v/>
      </c>
      <c r="G22">
        <f>Assumptions!G18</f>
        <v/>
      </c>
      <c r="H22">
        <f>Assumptions!H18</f>
        <v/>
      </c>
      <c r="I22">
        <f>Assumptions!I18</f>
        <v/>
      </c>
      <c r="J22">
        <f>Assumptions!J18</f>
        <v/>
      </c>
      <c r="K22">
        <f>Assumptions!K18</f>
        <v/>
      </c>
      <c r="L22">
        <f>Assumptions!L18</f>
        <v/>
      </c>
      <c r="M22">
        <f>Assumptions!M18</f>
        <v/>
      </c>
      <c r="N22">
        <f>SUM(B22:D22)</f>
        <v/>
      </c>
      <c r="O22">
        <f>SUM(E22:G22)</f>
        <v/>
      </c>
      <c r="P22">
        <f>SUM(H22:J22)</f>
        <v/>
      </c>
      <c r="Q22">
        <f>SUM(K22:M22)</f>
        <v/>
      </c>
      <c r="R22">
        <f>SUM(B22:M22)</f>
        <v/>
      </c>
    </row>
    <row r="23">
      <c r="A23" t="inlineStr">
        <is>
          <t>Total OpEx</t>
        </is>
      </c>
      <c r="B23">
        <f>SUM(B20:B22)</f>
        <v/>
      </c>
      <c r="C23">
        <f>SUM(C20:C22)</f>
        <v/>
      </c>
      <c r="D23">
        <f>SUM(D20:D22)</f>
        <v/>
      </c>
      <c r="E23">
        <f>SUM(E20:E22)</f>
        <v/>
      </c>
      <c r="F23">
        <f>SUM(F20:F22)</f>
        <v/>
      </c>
      <c r="G23">
        <f>SUM(G20:G22)</f>
        <v/>
      </c>
      <c r="H23">
        <f>SUM(H20:H22)</f>
        <v/>
      </c>
      <c r="I23">
        <f>SUM(I20:I22)</f>
        <v/>
      </c>
      <c r="J23">
        <f>SUM(J20:J22)</f>
        <v/>
      </c>
      <c r="K23">
        <f>SUM(K20:K22)</f>
        <v/>
      </c>
      <c r="L23">
        <f>SUM(L20:L22)</f>
        <v/>
      </c>
      <c r="M23">
        <f>SUM(M20:M22)</f>
        <v/>
      </c>
      <c r="N23">
        <f>SUM(B23:D23)</f>
        <v/>
      </c>
      <c r="O23">
        <f>SUM(E23:G23)</f>
        <v/>
      </c>
      <c r="P23">
        <f>SUM(H23:J23)</f>
        <v/>
      </c>
      <c r="Q23">
        <f>SUM(K23:M23)</f>
        <v/>
      </c>
      <c r="R23">
        <f>SUM(B23:M23)</f>
        <v/>
      </c>
    </row>
    <row r="24">
      <c r="A24" t="inlineStr">
        <is>
          <t>EBITDA</t>
        </is>
      </c>
      <c r="B24">
        <f>B18-B23</f>
        <v/>
      </c>
      <c r="C24">
        <f>C18-C23</f>
        <v/>
      </c>
      <c r="D24">
        <f>D18-D23</f>
        <v/>
      </c>
      <c r="E24">
        <f>E18-E23</f>
        <v/>
      </c>
      <c r="F24">
        <f>F18-F23</f>
        <v/>
      </c>
      <c r="G24">
        <f>G18-G23</f>
        <v/>
      </c>
      <c r="H24">
        <f>H18-H23</f>
        <v/>
      </c>
      <c r="I24">
        <f>I18-I23</f>
        <v/>
      </c>
      <c r="J24">
        <f>J18-J23</f>
        <v/>
      </c>
      <c r="K24">
        <f>K18-K23</f>
        <v/>
      </c>
      <c r="L24">
        <f>L18-L23</f>
        <v/>
      </c>
      <c r="M24">
        <f>M18-M23</f>
        <v/>
      </c>
      <c r="N24">
        <f>SUM(B24:D24)</f>
        <v/>
      </c>
      <c r="O24">
        <f>SUM(E24:G24)</f>
        <v/>
      </c>
      <c r="P24">
        <f>SUM(H24:J24)</f>
        <v/>
      </c>
      <c r="Q24">
        <f>SUM(K24:M24)</f>
        <v/>
      </c>
      <c r="R24">
        <f>SUM(B24:M24)</f>
        <v/>
      </c>
    </row>
    <row r="25">
      <c r="A25" t="inlineStr">
        <is>
          <t>EBITDA Margin %</t>
        </is>
      </c>
      <c r="B25">
        <f>B24/B16</f>
        <v/>
      </c>
      <c r="C25">
        <f>C24/C16</f>
        <v/>
      </c>
      <c r="D25">
        <f>D24/D16</f>
        <v/>
      </c>
      <c r="E25">
        <f>E24/E16</f>
        <v/>
      </c>
      <c r="F25">
        <f>F24/F16</f>
        <v/>
      </c>
      <c r="G25">
        <f>G24/G16</f>
        <v/>
      </c>
      <c r="H25">
        <f>H24/H16</f>
        <v/>
      </c>
      <c r="I25">
        <f>I24/I16</f>
        <v/>
      </c>
      <c r="J25">
        <f>J24/J16</f>
        <v/>
      </c>
      <c r="K25">
        <f>K24/K16</f>
        <v/>
      </c>
      <c r="L25">
        <f>L24/L16</f>
        <v/>
      </c>
      <c r="M25">
        <f>M24/M16</f>
        <v/>
      </c>
      <c r="N25">
        <f>N24/N16</f>
        <v/>
      </c>
      <c r="O25">
        <f>O24/O16</f>
        <v/>
      </c>
      <c r="P25">
        <f>P24/P16</f>
        <v/>
      </c>
      <c r="Q25">
        <f>Q24/Q16</f>
        <v/>
      </c>
      <c r="R25">
        <f>R24/R16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2026-03-29T03:20:14Z</dcterms:created>
  <dcterms:modified xsi:type="dcterms:W3CDTF">2026-07-09T04:36:19Z</dcterms:modified>
</cp:coreProperties>
</file>