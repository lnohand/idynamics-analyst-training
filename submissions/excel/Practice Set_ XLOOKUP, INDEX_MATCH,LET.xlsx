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<sst xmlns="http://schemas.openxmlformats.org/spreadsheetml/2006/main" count="29" uniqueCount="27">
  <si>
    <t>Plan</t>
  </si>
  <si>
    <t>Price/seat</t>
  </si>
  <si>
    <t>Seats</t>
  </si>
  <si>
    <t>MRR</t>
  </si>
  <si>
    <t>Apr</t>
  </si>
  <si>
    <t>Starter</t>
  </si>
  <si>
    <t>Growth</t>
  </si>
  <si>
    <t>Scale</t>
  </si>
  <si>
    <t>Enterprise</t>
  </si>
  <si>
    <t>Metric</t>
  </si>
  <si>
    <t>Jan</t>
  </si>
  <si>
    <t>Feb</t>
  </si>
  <si>
    <t>Mar</t>
  </si>
  <si>
    <t>May</t>
  </si>
  <si>
    <t>NRR</t>
  </si>
  <si>
    <t>Active Cust.</t>
  </si>
  <si>
    <t>A1:</t>
  </si>
  <si>
    <t>A2:</t>
  </si>
  <si>
    <t>A3:</t>
  </si>
  <si>
    <t>A4:</t>
  </si>
  <si>
    <t>May Result:</t>
  </si>
  <si>
    <t>B1:</t>
  </si>
  <si>
    <t>B2:</t>
  </si>
  <si>
    <t>B3:</t>
  </si>
  <si>
    <t>B4:</t>
  </si>
  <si>
    <t>C1:</t>
  </si>
  <si>
    <t>C2: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</si>
</sst>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>
      <c r="A2" s="1" t="s">
        <v>5</v>
      </c>
      <c r="B2" s="1">
        <v>20.0</v>
      </c>
      <c r="C2" s="1">
        <v>100.0</v>
      </c>
      <c r="D2" s="1">
        <v>2000.0</v>
      </c>
    </row>
    <row r="3">
      <c r="A3" s="1" t="s">
        <v>6</v>
      </c>
      <c r="B3" s="1">
        <v>45.0</v>
      </c>
      <c r="C3" s="1">
        <v>220.0</v>
      </c>
      <c r="D3" s="1">
        <v>9900.0</v>
      </c>
    </row>
    <row r="4">
      <c r="A4" s="1" t="s">
        <v>7</v>
      </c>
      <c r="B4" s="1">
        <v>90.0</v>
      </c>
      <c r="C4" s="1">
        <v>140.0</v>
      </c>
      <c r="D4" s="1">
        <v>12600.0</v>
      </c>
    </row>
    <row r="5">
      <c r="A5" s="1" t="s">
        <v>8</v>
      </c>
      <c r="B5" s="1">
        <v>150.0</v>
      </c>
      <c r="C5" s="1">
        <v>80.0</v>
      </c>
      <c r="D5" s="1">
        <v>12000.0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4</v>
      </c>
      <c r="F7" s="1" t="s">
        <v>13</v>
      </c>
    </row>
    <row r="8">
      <c r="A8" s="1" t="s">
        <v>3</v>
      </c>
      <c r="B8" s="1">
        <v>144780.0</v>
      </c>
      <c r="C8" s="1">
        <v>150306.0</v>
      </c>
      <c r="D8" s="1">
        <v>153686.0</v>
      </c>
      <c r="E8" s="1">
        <v>156831.0</v>
      </c>
      <c r="F8" s="1">
        <v>160308.0</v>
      </c>
    </row>
    <row r="9">
      <c r="A9" s="1" t="s">
        <v>14</v>
      </c>
      <c r="B9" s="2">
        <v>1.0</v>
      </c>
      <c r="C9" s="2">
        <v>0.996</v>
      </c>
      <c r="D9" s="2">
        <v>1.003</v>
      </c>
      <c r="E9" s="2">
        <v>0.996</v>
      </c>
      <c r="F9" s="2">
        <v>0.997</v>
      </c>
    </row>
    <row r="10">
      <c r="A10" s="1" t="s">
        <v>15</v>
      </c>
      <c r="B10" s="1">
        <v>39.0</v>
      </c>
      <c r="C10" s="1">
        <v>41.0</v>
      </c>
      <c r="D10" s="1">
        <v>42.0</v>
      </c>
      <c r="E10" s="1">
        <v>44.0</v>
      </c>
      <c r="F10" s="1">
        <v>46.0</v>
      </c>
    </row>
    <row r="12">
      <c r="A12" s="1" t="s">
        <v>16</v>
      </c>
      <c r="B12" s="3">
        <f t="array" ref="B12">xlookup(A4,A2:A5,B2:B5)</f>
        <v>90</v>
      </c>
      <c r="C12" s="3" t="str">
        <f t="shared" ref="C12:C15" si="1">formulatext(B12)</f>
        <v>=xlookup(A4,A2:A5,B2:B5)</v>
      </c>
    </row>
    <row r="13">
      <c r="A13" s="1" t="s">
        <v>17</v>
      </c>
      <c r="B13" s="4" t="str">
        <f t="array" ref="B13">xlookup(B3,B2:B5,A2:A5)</f>
        <v>Growth</v>
      </c>
      <c r="C13" s="3" t="str">
        <f t="shared" si="1"/>
        <v>=xlookup(B3,B2:B5,A2:A5)</v>
      </c>
    </row>
    <row r="14">
      <c r="A14" s="1" t="s">
        <v>18</v>
      </c>
      <c r="B14" s="4" t="str">
        <f t="array" ref="B14">xlookup("Team", A2:A5,B2:B5,"no plan",0)</f>
        <v>no plan</v>
      </c>
      <c r="C14" s="3" t="str">
        <f t="shared" si="1"/>
        <v>=xlookup("Team", A2:A5,B2:B5,"no plan",0)</v>
      </c>
    </row>
    <row r="15">
      <c r="A15" s="1" t="s">
        <v>19</v>
      </c>
      <c r="B15" s="3">
        <f t="array" ref="B15">xlookup(H1,B7:F7,B8:F8)</f>
        <v>156831</v>
      </c>
      <c r="C15" s="3" t="str">
        <f t="shared" si="1"/>
        <v>=xlookup(H1,B7:F7,B8:F8)</v>
      </c>
    </row>
    <row r="16">
      <c r="A16" s="1" t="s">
        <v>20</v>
      </c>
      <c r="B16" s="3">
        <f t="array" ref="B16">xlookup("May",B7:F7,B8:F8)</f>
        <v>160308</v>
      </c>
    </row>
    <row r="18">
      <c r="A18" s="1" t="s">
        <v>21</v>
      </c>
      <c r="B18" s="3">
        <f t="array" ref="B18">index(B2:B5,Match(A4,A2:A5,0))</f>
        <v>90</v>
      </c>
      <c r="C18" s="3" t="str">
        <f t="shared" ref="C18:C21" si="2">formulatext(B18)</f>
        <v>=index(B2:B5,Match(A4,A2:A5,0))</v>
      </c>
    </row>
    <row r="19">
      <c r="A19" s="1" t="s">
        <v>22</v>
      </c>
      <c r="B19" s="5">
        <f t="array" ref="B19">index(B8:F10, match(A9,A8:A10,0), match(E7,B7:F7,0))</f>
        <v>0.996</v>
      </c>
      <c r="C19" s="3" t="str">
        <f t="shared" si="2"/>
        <v>=index(B8:F10, match(A9,A8:A10,0), match(E7,B7:F7,0))</v>
      </c>
    </row>
    <row r="20">
      <c r="A20" s="1" t="s">
        <v>23</v>
      </c>
      <c r="B20" s="4" t="str">
        <f t="array" ref="B20">index(A2:A5,match(B4,B2:B5,0))</f>
        <v>Scale</v>
      </c>
      <c r="C20" s="3" t="str">
        <f t="shared" si="2"/>
        <v>=index(A2:A5,match(B4,B2:B5,0))</v>
      </c>
    </row>
    <row r="21">
      <c r="A21" s="1" t="s">
        <v>24</v>
      </c>
      <c r="B21" s="3">
        <f t="array" ref="B21">index(B8:F10,match(A10,A8:A10,0),match(C7,B7:F7,0))</f>
        <v>41</v>
      </c>
      <c r="C21" s="3" t="str">
        <f t="shared" si="2"/>
        <v>=index(B8:F10,match(A10,A8:A10,0),match(C7,B7:F7,0))</v>
      </c>
    </row>
    <row r="23">
      <c r="A23" s="1" t="s">
        <v>25</v>
      </c>
      <c r="B23" s="3">
        <f t="array" ref="B23">Let(mrr, index(D2:D5, Match("scale", A2:A5, 0),0), if(mrr&gt;10000,mrr*0.9,mrr))</f>
        <v>11340</v>
      </c>
      <c r="C23" s="3" t="str">
        <f t="shared" ref="C23:C24" si="3">formulatext(B23)</f>
        <v>=Let(mrr, index(D2:D5, Match("scale", A2:A5, 0),0), if(mrr&gt;10000,mrr*0.9,mrr))</v>
      </c>
    </row>
    <row r="24">
      <c r="A24" s="1" t="s">
        <v>26</v>
      </c>
      <c r="B24" s="3">
        <f t="array" ref="B24">LET(pps, index(B2:B5,Match("Growth",A2:A5,0),0), seats, index(C2:C5,Match("Growth", A2:A5, 0),0),pps*seats)</f>
        <v>9900</v>
      </c>
      <c r="C24" s="3" t="str">
        <f t="shared" si="3"/>
        <v>=LET(pps, index(B2:B5,Match("Growth",A2:A5,0),0), seats, index(C2:C5,Match("Growth", A2:A5, 0),0),pps*seats)</v>
      </c>
    </row>
  </sheetData>
  <drawing r:id="rId1"/>
</worksheet>
</file>