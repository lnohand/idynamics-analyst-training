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nthly 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808080"/>
      <sz val="9"/>
    </font>
    <font>
      <b val="1"/>
      <color rgb="001F3864"/>
      <sz val="11"/>
    </font>
    <font>
      <b val="1"/>
    </font>
    <font>
      <b val="1"/>
      <color rgb="00FFFFFF"/>
    </font>
    <font/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4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/>
    </xf>
    <xf numFmtId="3" fontId="0" fillId="3" borderId="0" pivotButton="0" quotePrefix="0" xfId="0"/>
    <xf numFmtId="0" fontId="5" fillId="5" borderId="0" applyAlignment="1" pivotButton="0" quotePrefix="0" xfId="0">
      <alignment horizontal="center"/>
    </xf>
    <xf numFmtId="0" fontId="6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5" fillId="4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0" customWidth="1" min="15" max="15"/>
  </cols>
  <sheetData>
    <row r="1">
      <c r="A1" s="1" t="inlineStr">
        <is>
          <t>2026 FORECAST — ASSUMPTIONS (monthly base)</t>
        </is>
      </c>
    </row>
    <row r="2">
      <c r="A2" s="2" t="inlineStr">
        <is>
          <t>The 2026 Plan of Record (monthly). Driver-based from the Dec-2025 leadership assumptions. All values are hardcoded inputs; every formula on 'Monthly Forecast' references this tab. Actuals are compared against this plan month by month, starting January.</t>
        </is>
      </c>
    </row>
    <row r="4">
      <c r="A4" s="3" t="inlineStr">
        <is>
          <t>STARTING POSITION</t>
        </is>
      </c>
    </row>
    <row r="5">
      <c r="A5" t="inlineStr">
        <is>
          <t>Opening MRR (Jan 2026)</t>
        </is>
      </c>
      <c r="B5" s="4" t="n">
        <v>143069.5</v>
      </c>
      <c r="C5" s="2" t="inlineStr">
        <is>
          <t>Dec 2025 closing MRR (Historical Baseline)</t>
        </is>
      </c>
    </row>
    <row r="7">
      <c r="A7" s="3" t="inlineStr">
        <is>
          <t>MONTHLY RATES (scalar)</t>
        </is>
      </c>
    </row>
    <row r="8">
      <c r="A8" t="inlineStr">
        <is>
          <t>Expansion rate / month</t>
        </is>
      </c>
      <c r="B8" s="5" t="n">
        <v>0.005</v>
      </c>
      <c r="C8" s="2" t="inlineStr">
        <is>
          <t>Plan: 0.50%/mo (compounds to ~1.5%/qtr). Applies to beginning-of-month MRR.</t>
        </is>
      </c>
    </row>
    <row r="9">
      <c r="A9" t="inlineStr">
        <is>
          <t>Churn rate / month</t>
        </is>
      </c>
      <c r="B9" s="5" t="n">
        <v>0.0067</v>
      </c>
      <c r="C9" s="2" t="inlineStr">
        <is>
          <t>Plan: 0.67%/mo (compounds to ~2%/qtr). Beginning-of-month MRR.</t>
        </is>
      </c>
    </row>
    <row r="10">
      <c r="A10" t="inlineStr">
        <is>
          <t>Gross margin</t>
        </is>
      </c>
      <c r="B10" s="6" t="n">
        <v>0.7</v>
      </c>
      <c r="C10" s="2" t="inlineStr">
        <is>
          <t>Plan — no cost-structure change (COGS = 1 − GM)</t>
        </is>
      </c>
    </row>
    <row r="12">
      <c r="A12" s="3" t="inlineStr">
        <is>
          <t>MONTHLY DRIVERS</t>
        </is>
      </c>
    </row>
    <row r="13">
      <c r="A13" s="7" t="inlineStr">
        <is>
          <t>Month</t>
        </is>
      </c>
      <c r="B13" s="8" t="inlineStr">
        <is>
          <t>Jan-26</t>
        </is>
      </c>
      <c r="C13" s="8" t="inlineStr">
        <is>
          <t>Feb-26</t>
        </is>
      </c>
      <c r="D13" s="8" t="inlineStr">
        <is>
          <t>Mar-26</t>
        </is>
      </c>
      <c r="E13" s="8" t="inlineStr">
        <is>
          <t>Apr-26</t>
        </is>
      </c>
      <c r="F13" s="8" t="inlineStr">
        <is>
          <t>May-26</t>
        </is>
      </c>
      <c r="G13" s="8" t="inlineStr">
        <is>
          <t>Jun-26</t>
        </is>
      </c>
      <c r="H13" s="8" t="inlineStr">
        <is>
          <t>Jul-26</t>
        </is>
      </c>
      <c r="I13" s="8" t="inlineStr">
        <is>
          <t>Aug-26</t>
        </is>
      </c>
      <c r="J13" s="8" t="inlineStr">
        <is>
          <t>Sep-26</t>
        </is>
      </c>
      <c r="K13" s="8" t="inlineStr">
        <is>
          <t>Oct-26</t>
        </is>
      </c>
      <c r="L13" s="8" t="inlineStr">
        <is>
          <t>Nov-26</t>
        </is>
      </c>
      <c r="M13" s="8" t="inlineStr">
        <is>
          <t>Dec-26</t>
        </is>
      </c>
    </row>
    <row r="14">
      <c r="A14" s="7" t="inlineStr">
        <is>
          <t>New customers</t>
        </is>
      </c>
      <c r="B14" s="9" t="n">
        <v>1</v>
      </c>
      <c r="C14" s="9" t="n">
        <v>1</v>
      </c>
      <c r="D14" s="9" t="n">
        <v>2</v>
      </c>
      <c r="E14" s="9" t="n">
        <v>2</v>
      </c>
      <c r="F14" s="9" t="n">
        <v>2</v>
      </c>
      <c r="G14" s="9" t="n">
        <v>2</v>
      </c>
      <c r="H14" s="9" t="n">
        <v>3</v>
      </c>
      <c r="I14" s="9" t="n">
        <v>3</v>
      </c>
      <c r="J14" s="9" t="n">
        <v>3</v>
      </c>
      <c r="K14" s="9" t="n">
        <v>3</v>
      </c>
      <c r="L14" s="9" t="n">
        <v>3</v>
      </c>
      <c r="M14" s="9" t="n">
        <v>3</v>
      </c>
      <c r="O14" s="2" t="inlineStr">
        <is>
          <t>Monthly phasing = analyst judgment; sums to Dec plan quarterly totals (4/6/9/9).</t>
        </is>
      </c>
    </row>
    <row r="15">
      <c r="A15" s="7" t="inlineStr">
        <is>
          <t>Avg MRR / new customer</t>
        </is>
      </c>
      <c r="B15" s="4" t="n">
        <v>3000</v>
      </c>
      <c r="C15" s="4" t="n">
        <v>3000</v>
      </c>
      <c r="D15" s="4" t="n">
        <v>3000</v>
      </c>
      <c r="E15" s="4" t="n">
        <v>3200</v>
      </c>
      <c r="F15" s="4" t="n">
        <v>3200</v>
      </c>
      <c r="G15" s="4" t="n">
        <v>3200</v>
      </c>
      <c r="H15" s="4" t="n">
        <v>3200</v>
      </c>
      <c r="I15" s="4" t="n">
        <v>3200</v>
      </c>
      <c r="J15" s="4" t="n">
        <v>3200</v>
      </c>
      <c r="K15" s="4" t="n">
        <v>3400</v>
      </c>
      <c r="L15" s="4" t="n">
        <v>3400</v>
      </c>
      <c r="M15" s="4" t="n">
        <v>3400</v>
      </c>
      <c r="O15" s="2" t="inlineStr">
        <is>
          <t>Plan: Q1 $3,000 · Q2–Q3 $3,200 · Q4 $3,400 per new customer.</t>
        </is>
      </c>
    </row>
    <row r="16">
      <c r="A16" s="7" t="inlineStr">
        <is>
          <t>Sales &amp; Marketing</t>
        </is>
      </c>
      <c r="B16" s="9" t="n">
        <v>30000</v>
      </c>
      <c r="C16" s="9" t="n">
        <v>30000</v>
      </c>
      <c r="D16" s="9" t="n">
        <v>30000</v>
      </c>
      <c r="E16" s="9" t="n">
        <v>30000</v>
      </c>
      <c r="F16" s="9" t="n">
        <v>30000</v>
      </c>
      <c r="G16" s="9" t="n">
        <v>30000</v>
      </c>
      <c r="H16" s="9" t="n">
        <v>36000</v>
      </c>
      <c r="I16" s="9" t="n">
        <v>36000</v>
      </c>
      <c r="J16" s="9" t="n">
        <v>36000</v>
      </c>
      <c r="K16" s="9" t="n">
        <v>36000</v>
      </c>
      <c r="L16" s="9" t="n">
        <v>36000</v>
      </c>
      <c r="M16" s="9" t="n">
        <v>36000</v>
      </c>
      <c r="O16" s="2" t="inlineStr">
        <is>
          <t>Plan: $30k/mo H1, $36k/mo H2 (S&amp;M acquisition push).</t>
        </is>
      </c>
    </row>
    <row r="17">
      <c r="A17" s="7" t="inlineStr">
        <is>
          <t>Research &amp; Development</t>
        </is>
      </c>
      <c r="B17" s="9" t="n">
        <v>25000</v>
      </c>
      <c r="C17" s="9" t="n">
        <v>25000</v>
      </c>
      <c r="D17" s="9" t="n">
        <v>25000</v>
      </c>
      <c r="E17" s="9" t="n">
        <v>25000</v>
      </c>
      <c r="F17" s="9" t="n">
        <v>25000</v>
      </c>
      <c r="G17" s="9" t="n">
        <v>25000</v>
      </c>
      <c r="H17" s="9" t="n">
        <v>25000</v>
      </c>
      <c r="I17" s="9" t="n">
        <v>25000</v>
      </c>
      <c r="J17" s="9" t="n">
        <v>25000</v>
      </c>
      <c r="K17" s="9" t="n">
        <v>25000</v>
      </c>
      <c r="L17" s="9" t="n">
        <v>25000</v>
      </c>
      <c r="M17" s="9" t="n">
        <v>25000</v>
      </c>
      <c r="O17" s="2" t="inlineStr">
        <is>
          <t>Plan: $75k/qtr ÷ 3.</t>
        </is>
      </c>
    </row>
    <row r="18">
      <c r="A18" s="7" t="inlineStr">
        <is>
          <t>General &amp; Administrative</t>
        </is>
      </c>
      <c r="B18" s="9" t="n">
        <v>19000</v>
      </c>
      <c r="C18" s="9" t="n">
        <v>19000</v>
      </c>
      <c r="D18" s="9" t="n">
        <v>19000</v>
      </c>
      <c r="E18" s="9" t="n">
        <v>19000</v>
      </c>
      <c r="F18" s="9" t="n">
        <v>19000</v>
      </c>
      <c r="G18" s="9" t="n">
        <v>19000</v>
      </c>
      <c r="H18" s="9" t="n">
        <v>19000</v>
      </c>
      <c r="I18" s="9" t="n">
        <v>19000</v>
      </c>
      <c r="J18" s="9" t="n">
        <v>19000</v>
      </c>
      <c r="K18" s="9" t="n">
        <v>19000</v>
      </c>
      <c r="L18" s="9" t="n">
        <v>19000</v>
      </c>
      <c r="M18" s="9" t="n">
        <v>19000</v>
      </c>
      <c r="O18" s="2" t="inlineStr">
        <is>
          <t>Plan: $57k/qtr ÷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2026 PLAN OF RECORD — Monthly (driver-based). Every cell references Assumptions. Blue = subtotals.</t>
        </is>
      </c>
    </row>
    <row r="3">
      <c r="A3" s="3" t="inlineStr">
        <is>
          <t>MRR WATERFALL</t>
        </is>
      </c>
    </row>
    <row r="4">
      <c r="A4" s="7" t="inlineStr">
        <is>
          <t>Metric</t>
        </is>
      </c>
      <c r="B4" s="8" t="inlineStr">
        <is>
          <t>Jan-26</t>
        </is>
      </c>
      <c r="C4" s="8" t="inlineStr">
        <is>
          <t>Feb-26</t>
        </is>
      </c>
      <c r="D4" s="8" t="inlineStr">
        <is>
          <t>Mar-26</t>
        </is>
      </c>
      <c r="E4" s="8" t="inlineStr">
        <is>
          <t>Apr-26</t>
        </is>
      </c>
      <c r="F4" s="8" t="inlineStr">
        <is>
          <t>May-26</t>
        </is>
      </c>
      <c r="G4" s="8" t="inlineStr">
        <is>
          <t>Jun-26</t>
        </is>
      </c>
      <c r="H4" s="8" t="inlineStr">
        <is>
          <t>Jul-26</t>
        </is>
      </c>
      <c r="I4" s="8" t="inlineStr">
        <is>
          <t>Aug-26</t>
        </is>
      </c>
      <c r="J4" s="8" t="inlineStr">
        <is>
          <t>Sep-26</t>
        </is>
      </c>
      <c r="K4" s="8" t="inlineStr">
        <is>
          <t>Oct-26</t>
        </is>
      </c>
      <c r="L4" s="8" t="inlineStr">
        <is>
          <t>Nov-26</t>
        </is>
      </c>
      <c r="M4" s="8" t="inlineStr">
        <is>
          <t>Dec-26</t>
        </is>
      </c>
      <c r="N4" s="10" t="inlineStr">
        <is>
          <t>Q1 2026</t>
        </is>
      </c>
      <c r="O4" s="10" t="inlineStr">
        <is>
          <t>Q2 2026</t>
        </is>
      </c>
      <c r="P4" s="10" t="inlineStr">
        <is>
          <t>Q3 2026</t>
        </is>
      </c>
      <c r="Q4" s="10" t="inlineStr">
        <is>
          <t>Q4 2026</t>
        </is>
      </c>
      <c r="R4" s="10" t="inlineStr">
        <is>
          <t>FY 2026</t>
        </is>
      </c>
    </row>
    <row r="5">
      <c r="A5" s="11" t="inlineStr">
        <is>
          <t>Opening MRR</t>
        </is>
      </c>
      <c r="B5" s="12">
        <f>Assumptions!$B$5</f>
        <v/>
      </c>
      <c r="C5" s="12">
        <f>B11</f>
        <v/>
      </c>
      <c r="D5" s="12">
        <f>C11</f>
        <v/>
      </c>
      <c r="E5" s="12">
        <f>D11</f>
        <v/>
      </c>
      <c r="F5" s="12">
        <f>E11</f>
        <v/>
      </c>
      <c r="G5" s="12">
        <f>F11</f>
        <v/>
      </c>
      <c r="H5" s="12">
        <f>G11</f>
        <v/>
      </c>
      <c r="I5" s="12">
        <f>H11</f>
        <v/>
      </c>
      <c r="J5" s="12">
        <f>I11</f>
        <v/>
      </c>
      <c r="K5" s="12">
        <f>J11</f>
        <v/>
      </c>
      <c r="L5" s="12">
        <f>K11</f>
        <v/>
      </c>
      <c r="M5" s="12">
        <f>L11</f>
        <v/>
      </c>
      <c r="N5" s="12">
        <f>B5</f>
        <v/>
      </c>
      <c r="O5" s="12">
        <f>E5</f>
        <v/>
      </c>
      <c r="P5" s="12">
        <f>H5</f>
        <v/>
      </c>
      <c r="Q5" s="12">
        <f>K5</f>
        <v/>
      </c>
      <c r="R5" s="12">
        <f>B5</f>
        <v/>
      </c>
    </row>
    <row r="6">
      <c r="A6" s="11" t="inlineStr">
        <is>
          <t>+ New MRR</t>
        </is>
      </c>
      <c r="B6" s="12">
        <f>Assumptions!B14*Assumptions!B15</f>
        <v/>
      </c>
      <c r="C6" s="12">
        <f>Assumptions!C14*Assumptions!C15</f>
        <v/>
      </c>
      <c r="D6" s="12">
        <f>Assumptions!D14*Assumptions!D15</f>
        <v/>
      </c>
      <c r="E6" s="12">
        <f>Assumptions!E14*Assumptions!E15</f>
        <v/>
      </c>
      <c r="F6" s="12">
        <f>Assumptions!F14*Assumptions!F15</f>
        <v/>
      </c>
      <c r="G6" s="12">
        <f>Assumptions!G14*Assumptions!G15</f>
        <v/>
      </c>
      <c r="H6" s="12">
        <f>Assumptions!H14*Assumptions!H15</f>
        <v/>
      </c>
      <c r="I6" s="12">
        <f>Assumptions!I14*Assumptions!I15</f>
        <v/>
      </c>
      <c r="J6" s="12">
        <f>Assumptions!J14*Assumptions!J15</f>
        <v/>
      </c>
      <c r="K6" s="12">
        <f>Assumptions!K14*Assumptions!K15</f>
        <v/>
      </c>
      <c r="L6" s="12">
        <f>Assumptions!L14*Assumptions!L15</f>
        <v/>
      </c>
      <c r="M6" s="12">
        <f>Assumptions!M14*Assumptions!M15</f>
        <v/>
      </c>
      <c r="N6" s="12">
        <f>SUM(B6:D6)</f>
        <v/>
      </c>
      <c r="O6" s="12">
        <f>SUM(E6:G6)</f>
        <v/>
      </c>
      <c r="P6" s="12">
        <f>SUM(H6:J6)</f>
        <v/>
      </c>
      <c r="Q6" s="12">
        <f>SUM(K6:M6)</f>
        <v/>
      </c>
      <c r="R6" s="12">
        <f>SUM(B6:M6)</f>
        <v/>
      </c>
    </row>
    <row r="7">
      <c r="A7" s="11" t="inlineStr">
        <is>
          <t>+ Expansion MRR</t>
        </is>
      </c>
      <c r="B7" s="12">
        <f>B5*Assumptions!$B$8</f>
        <v/>
      </c>
      <c r="C7" s="12">
        <f>C5*Assumptions!$B$8</f>
        <v/>
      </c>
      <c r="D7" s="12">
        <f>D5*Assumptions!$B$8</f>
        <v/>
      </c>
      <c r="E7" s="12">
        <f>E5*Assumptions!$B$8</f>
        <v/>
      </c>
      <c r="F7" s="12">
        <f>F5*Assumptions!$B$8</f>
        <v/>
      </c>
      <c r="G7" s="12">
        <f>G5*Assumptions!$B$8</f>
        <v/>
      </c>
      <c r="H7" s="12">
        <f>H5*Assumptions!$B$8</f>
        <v/>
      </c>
      <c r="I7" s="12">
        <f>I5*Assumptions!$B$8</f>
        <v/>
      </c>
      <c r="J7" s="12">
        <f>J5*Assumptions!$B$8</f>
        <v/>
      </c>
      <c r="K7" s="12">
        <f>K5*Assumptions!$B$8</f>
        <v/>
      </c>
      <c r="L7" s="12">
        <f>L5*Assumptions!$B$8</f>
        <v/>
      </c>
      <c r="M7" s="12">
        <f>M5*Assumptions!$B$8</f>
        <v/>
      </c>
      <c r="N7" s="12">
        <f>SUM(B7:D7)</f>
        <v/>
      </c>
      <c r="O7" s="12">
        <f>SUM(E7:G7)</f>
        <v/>
      </c>
      <c r="P7" s="12">
        <f>SUM(H7:J7)</f>
        <v/>
      </c>
      <c r="Q7" s="12">
        <f>SUM(K7:M7)</f>
        <v/>
      </c>
      <c r="R7" s="12">
        <f>SUM(B7:M7)</f>
        <v/>
      </c>
    </row>
    <row r="8">
      <c r="A8" s="11" t="inlineStr">
        <is>
          <t>− Contraction MRR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>
        <f>SUM(B8:D8)</f>
        <v/>
      </c>
      <c r="O8" s="12">
        <f>SUM(E8:G8)</f>
        <v/>
      </c>
      <c r="P8" s="12">
        <f>SUM(H8:J8)</f>
        <v/>
      </c>
      <c r="Q8" s="12">
        <f>SUM(K8:M8)</f>
        <v/>
      </c>
      <c r="R8" s="12">
        <f>SUM(B8:M8)</f>
        <v/>
      </c>
    </row>
    <row r="9">
      <c r="A9" s="11" t="inlineStr">
        <is>
          <t>− Churned MRR</t>
        </is>
      </c>
      <c r="B9" s="12">
        <f>B5*Assumptions!$B$9</f>
        <v/>
      </c>
      <c r="C9" s="12">
        <f>C5*Assumptions!$B$9</f>
        <v/>
      </c>
      <c r="D9" s="12">
        <f>D5*Assumptions!$B$9</f>
        <v/>
      </c>
      <c r="E9" s="12">
        <f>E5*Assumptions!$B$9</f>
        <v/>
      </c>
      <c r="F9" s="12">
        <f>F5*Assumptions!$B$9</f>
        <v/>
      </c>
      <c r="G9" s="12">
        <f>G5*Assumptions!$B$9</f>
        <v/>
      </c>
      <c r="H9" s="12">
        <f>H5*Assumptions!$B$9</f>
        <v/>
      </c>
      <c r="I9" s="12">
        <f>I5*Assumptions!$B$9</f>
        <v/>
      </c>
      <c r="J9" s="12">
        <f>J5*Assumptions!$B$9</f>
        <v/>
      </c>
      <c r="K9" s="12">
        <f>K5*Assumptions!$B$9</f>
        <v/>
      </c>
      <c r="L9" s="12">
        <f>L5*Assumptions!$B$9</f>
        <v/>
      </c>
      <c r="M9" s="12">
        <f>M5*Assumptions!$B$9</f>
        <v/>
      </c>
      <c r="N9" s="12">
        <f>SUM(B9:D9)</f>
        <v/>
      </c>
      <c r="O9" s="12">
        <f>SUM(E9:G9)</f>
        <v/>
      </c>
      <c r="P9" s="12">
        <f>SUM(H9:J9)</f>
        <v/>
      </c>
      <c r="Q9" s="12">
        <f>SUM(K9:M9)</f>
        <v/>
      </c>
      <c r="R9" s="12">
        <f>SUM(B9:M9)</f>
        <v/>
      </c>
    </row>
    <row r="10">
      <c r="A10" s="7" t="inlineStr">
        <is>
          <t>Net New MRR</t>
        </is>
      </c>
      <c r="B10" s="12">
        <f>B6+B7-B8-B9</f>
        <v/>
      </c>
      <c r="C10" s="12">
        <f>C6+C7-C8-C9</f>
        <v/>
      </c>
      <c r="D10" s="12">
        <f>D6+D7-D8-D9</f>
        <v/>
      </c>
      <c r="E10" s="12">
        <f>E6+E7-E8-E9</f>
        <v/>
      </c>
      <c r="F10" s="12">
        <f>F6+F7-F8-F9</f>
        <v/>
      </c>
      <c r="G10" s="12">
        <f>G6+G7-G8-G9</f>
        <v/>
      </c>
      <c r="H10" s="12">
        <f>H6+H7-H8-H9</f>
        <v/>
      </c>
      <c r="I10" s="12">
        <f>I6+I7-I8-I9</f>
        <v/>
      </c>
      <c r="J10" s="12">
        <f>J6+J7-J8-J9</f>
        <v/>
      </c>
      <c r="K10" s="12">
        <f>K6+K7-K8-K9</f>
        <v/>
      </c>
      <c r="L10" s="12">
        <f>L6+L7-L8-L9</f>
        <v/>
      </c>
      <c r="M10" s="12">
        <f>M6+M7-M8-M9</f>
        <v/>
      </c>
      <c r="N10" s="12">
        <f>SUM(B10:D10)</f>
        <v/>
      </c>
      <c r="O10" s="12">
        <f>SUM(E10:G10)</f>
        <v/>
      </c>
      <c r="P10" s="12">
        <f>SUM(H10:J10)</f>
        <v/>
      </c>
      <c r="Q10" s="12">
        <f>SUM(K10:M10)</f>
        <v/>
      </c>
      <c r="R10" s="12">
        <f>SUM(B10:M10)</f>
        <v/>
      </c>
    </row>
    <row r="11">
      <c r="A11" s="7" t="inlineStr">
        <is>
          <t>Closing MRR</t>
        </is>
      </c>
      <c r="B11" s="12">
        <f>B5+B10</f>
        <v/>
      </c>
      <c r="C11" s="12">
        <f>C5+C10</f>
        <v/>
      </c>
      <c r="D11" s="12">
        <f>D5+D10</f>
        <v/>
      </c>
      <c r="E11" s="12">
        <f>E5+E10</f>
        <v/>
      </c>
      <c r="F11" s="12">
        <f>F5+F10</f>
        <v/>
      </c>
      <c r="G11" s="12">
        <f>G5+G10</f>
        <v/>
      </c>
      <c r="H11" s="12">
        <f>H5+H10</f>
        <v/>
      </c>
      <c r="I11" s="12">
        <f>I5+I10</f>
        <v/>
      </c>
      <c r="J11" s="12">
        <f>J5+J10</f>
        <v/>
      </c>
      <c r="K11" s="12">
        <f>K5+K10</f>
        <v/>
      </c>
      <c r="L11" s="12">
        <f>L5+L10</f>
        <v/>
      </c>
      <c r="M11" s="12">
        <f>M5+M10</f>
        <v/>
      </c>
      <c r="N11" s="12">
        <f>D11</f>
        <v/>
      </c>
      <c r="O11" s="12">
        <f>G11</f>
        <v/>
      </c>
      <c r="P11" s="12">
        <f>J11</f>
        <v/>
      </c>
      <c r="Q11" s="12">
        <f>M11</f>
        <v/>
      </c>
      <c r="R11" s="12">
        <f>M11</f>
        <v/>
      </c>
    </row>
    <row r="12">
      <c r="A12" s="11" t="inlineStr">
        <is>
          <t>Closing ARR</t>
        </is>
      </c>
      <c r="B12" s="12">
        <f>B11*12</f>
        <v/>
      </c>
      <c r="C12" s="12">
        <f>C11*12</f>
        <v/>
      </c>
      <c r="D12" s="12">
        <f>D11*12</f>
        <v/>
      </c>
      <c r="E12" s="12">
        <f>E11*12</f>
        <v/>
      </c>
      <c r="F12" s="12">
        <f>F11*12</f>
        <v/>
      </c>
      <c r="G12" s="12">
        <f>G11*12</f>
        <v/>
      </c>
      <c r="H12" s="12">
        <f>H11*12</f>
        <v/>
      </c>
      <c r="I12" s="12">
        <f>I11*12</f>
        <v/>
      </c>
      <c r="J12" s="12">
        <f>J11*12</f>
        <v/>
      </c>
      <c r="K12" s="12">
        <f>K11*12</f>
        <v/>
      </c>
      <c r="L12" s="12">
        <f>L11*12</f>
        <v/>
      </c>
      <c r="M12" s="12">
        <f>M11*12</f>
        <v/>
      </c>
      <c r="N12" s="12">
        <f>N11*12</f>
        <v/>
      </c>
      <c r="O12" s="12">
        <f>O11*12</f>
        <v/>
      </c>
      <c r="P12" s="12">
        <f>P11*12</f>
        <v/>
      </c>
      <c r="Q12" s="12">
        <f>Q11*12</f>
        <v/>
      </c>
      <c r="R12" s="12">
        <f>R11*12</f>
        <v/>
      </c>
    </row>
    <row r="14">
      <c r="A14" s="3" t="inlineStr">
        <is>
          <t>PROFIT &amp; LOSS</t>
        </is>
      </c>
    </row>
    <row r="15">
      <c r="A15" s="7" t="inlineStr">
        <is>
          <t>Metric</t>
        </is>
      </c>
      <c r="B15" s="8" t="inlineStr">
        <is>
          <t>Jan-26</t>
        </is>
      </c>
      <c r="C15" s="8" t="inlineStr">
        <is>
          <t>Feb-26</t>
        </is>
      </c>
      <c r="D15" s="8" t="inlineStr">
        <is>
          <t>Mar-26</t>
        </is>
      </c>
      <c r="E15" s="8" t="inlineStr">
        <is>
          <t>Apr-26</t>
        </is>
      </c>
      <c r="F15" s="8" t="inlineStr">
        <is>
          <t>May-26</t>
        </is>
      </c>
      <c r="G15" s="8" t="inlineStr">
        <is>
          <t>Jun-26</t>
        </is>
      </c>
      <c r="H15" s="8" t="inlineStr">
        <is>
          <t>Jul-26</t>
        </is>
      </c>
      <c r="I15" s="8" t="inlineStr">
        <is>
          <t>Aug-26</t>
        </is>
      </c>
      <c r="J15" s="8" t="inlineStr">
        <is>
          <t>Sep-26</t>
        </is>
      </c>
      <c r="K15" s="8" t="inlineStr">
        <is>
          <t>Oct-26</t>
        </is>
      </c>
      <c r="L15" s="8" t="inlineStr">
        <is>
          <t>Nov-26</t>
        </is>
      </c>
      <c r="M15" s="8" t="inlineStr">
        <is>
          <t>Dec-26</t>
        </is>
      </c>
      <c r="N15" s="10" t="inlineStr">
        <is>
          <t>Q1 2026</t>
        </is>
      </c>
      <c r="O15" s="10" t="inlineStr">
        <is>
          <t>Q2 2026</t>
        </is>
      </c>
      <c r="P15" s="10" t="inlineStr">
        <is>
          <t>Q3 2026</t>
        </is>
      </c>
      <c r="Q15" s="10" t="inlineStr">
        <is>
          <t>Q4 2026</t>
        </is>
      </c>
      <c r="R15" s="10" t="inlineStr">
        <is>
          <t>FY 2026</t>
        </is>
      </c>
    </row>
    <row r="16">
      <c r="A16" s="11" t="inlineStr">
        <is>
          <t>Revenue</t>
        </is>
      </c>
      <c r="B16" s="12">
        <f>B11</f>
        <v/>
      </c>
      <c r="C16" s="12">
        <f>C11</f>
        <v/>
      </c>
      <c r="D16" s="12">
        <f>D11</f>
        <v/>
      </c>
      <c r="E16" s="12">
        <f>E11</f>
        <v/>
      </c>
      <c r="F16" s="12">
        <f>F11</f>
        <v/>
      </c>
      <c r="G16" s="12">
        <f>G11</f>
        <v/>
      </c>
      <c r="H16" s="12">
        <f>H11</f>
        <v/>
      </c>
      <c r="I16" s="12">
        <f>I11</f>
        <v/>
      </c>
      <c r="J16" s="12">
        <f>J11</f>
        <v/>
      </c>
      <c r="K16" s="12">
        <f>K11</f>
        <v/>
      </c>
      <c r="L16" s="12">
        <f>L11</f>
        <v/>
      </c>
      <c r="M16" s="12">
        <f>M11</f>
        <v/>
      </c>
      <c r="N16" s="12">
        <f>SUM(B16:D16)</f>
        <v/>
      </c>
      <c r="O16" s="12">
        <f>SUM(E16:G16)</f>
        <v/>
      </c>
      <c r="P16" s="12">
        <f>SUM(H16:J16)</f>
        <v/>
      </c>
      <c r="Q16" s="12">
        <f>SUM(K16:M16)</f>
        <v/>
      </c>
      <c r="R16" s="12">
        <f>SUM(B16:M16)</f>
        <v/>
      </c>
    </row>
    <row r="17">
      <c r="A17" s="11" t="inlineStr">
        <is>
          <t>COGS</t>
        </is>
      </c>
      <c r="B17" s="12">
        <f>B16*(1-Assumptions!$B$10)</f>
        <v/>
      </c>
      <c r="C17" s="12">
        <f>C16*(1-Assumptions!$B$10)</f>
        <v/>
      </c>
      <c r="D17" s="12">
        <f>D16*(1-Assumptions!$B$10)</f>
        <v/>
      </c>
      <c r="E17" s="12">
        <f>E16*(1-Assumptions!$B$10)</f>
        <v/>
      </c>
      <c r="F17" s="12">
        <f>F16*(1-Assumptions!$B$10)</f>
        <v/>
      </c>
      <c r="G17" s="12">
        <f>G16*(1-Assumptions!$B$10)</f>
        <v/>
      </c>
      <c r="H17" s="12">
        <f>H16*(1-Assumptions!$B$10)</f>
        <v/>
      </c>
      <c r="I17" s="12">
        <f>I16*(1-Assumptions!$B$10)</f>
        <v/>
      </c>
      <c r="J17" s="12">
        <f>J16*(1-Assumptions!$B$10)</f>
        <v/>
      </c>
      <c r="K17" s="12">
        <f>K16*(1-Assumptions!$B$10)</f>
        <v/>
      </c>
      <c r="L17" s="12">
        <f>L16*(1-Assumptions!$B$10)</f>
        <v/>
      </c>
      <c r="M17" s="12">
        <f>M16*(1-Assumptions!$B$10)</f>
        <v/>
      </c>
      <c r="N17" s="12">
        <f>SUM(B17:D17)</f>
        <v/>
      </c>
      <c r="O17" s="12">
        <f>SUM(E17:G17)</f>
        <v/>
      </c>
      <c r="P17" s="12">
        <f>SUM(H17:J17)</f>
        <v/>
      </c>
      <c r="Q17" s="12">
        <f>SUM(K17:M17)</f>
        <v/>
      </c>
      <c r="R17" s="12">
        <f>SUM(B17:M17)</f>
        <v/>
      </c>
    </row>
    <row r="18">
      <c r="A18" s="7" t="inlineStr">
        <is>
          <t>Gross Profit</t>
        </is>
      </c>
      <c r="B18" s="12">
        <f>B16-B17</f>
        <v/>
      </c>
      <c r="C18" s="12">
        <f>C16-C17</f>
        <v/>
      </c>
      <c r="D18" s="12">
        <f>D16-D17</f>
        <v/>
      </c>
      <c r="E18" s="12">
        <f>E16-E17</f>
        <v/>
      </c>
      <c r="F18" s="12">
        <f>F16-F17</f>
        <v/>
      </c>
      <c r="G18" s="12">
        <f>G16-G17</f>
        <v/>
      </c>
      <c r="H18" s="12">
        <f>H16-H17</f>
        <v/>
      </c>
      <c r="I18" s="12">
        <f>I16-I17</f>
        <v/>
      </c>
      <c r="J18" s="12">
        <f>J16-J17</f>
        <v/>
      </c>
      <c r="K18" s="12">
        <f>K16-K17</f>
        <v/>
      </c>
      <c r="L18" s="12">
        <f>L16-L17</f>
        <v/>
      </c>
      <c r="M18" s="12">
        <f>M16-M17</f>
        <v/>
      </c>
      <c r="N18" s="12">
        <f>SUM(B18:D18)</f>
        <v/>
      </c>
      <c r="O18" s="12">
        <f>SUM(E18:G18)</f>
        <v/>
      </c>
      <c r="P18" s="12">
        <f>SUM(H18:J18)</f>
        <v/>
      </c>
      <c r="Q18" s="12">
        <f>SUM(K18:M18)</f>
        <v/>
      </c>
      <c r="R18" s="12">
        <f>SUM(B18:M18)</f>
        <v/>
      </c>
    </row>
    <row r="19">
      <c r="A19" s="11" t="inlineStr">
        <is>
          <t>Gross Margin %</t>
        </is>
      </c>
      <c r="B19" s="13">
        <f>B18/B16</f>
        <v/>
      </c>
      <c r="C19" s="13">
        <f>C18/C16</f>
        <v/>
      </c>
      <c r="D19" s="13">
        <f>D18/D16</f>
        <v/>
      </c>
      <c r="E19" s="13">
        <f>E18/E16</f>
        <v/>
      </c>
      <c r="F19" s="13">
        <f>F18/F16</f>
        <v/>
      </c>
      <c r="G19" s="13">
        <f>G18/G16</f>
        <v/>
      </c>
      <c r="H19" s="13">
        <f>H18/H16</f>
        <v/>
      </c>
      <c r="I19" s="13">
        <f>I18/I16</f>
        <v/>
      </c>
      <c r="J19" s="13">
        <f>J18/J16</f>
        <v/>
      </c>
      <c r="K19" s="13">
        <f>K18/K16</f>
        <v/>
      </c>
      <c r="L19" s="13">
        <f>L18/L16</f>
        <v/>
      </c>
      <c r="M19" s="13">
        <f>M18/M16</f>
        <v/>
      </c>
      <c r="N19" s="13">
        <f>N18/N16</f>
        <v/>
      </c>
      <c r="O19" s="13">
        <f>O18/O16</f>
        <v/>
      </c>
      <c r="P19" s="13">
        <f>P18/P16</f>
        <v/>
      </c>
      <c r="Q19" s="13">
        <f>Q18/Q16</f>
        <v/>
      </c>
      <c r="R19" s="13">
        <f>R18/R16</f>
        <v/>
      </c>
    </row>
    <row r="20">
      <c r="A20" s="11" t="inlineStr">
        <is>
          <t>Sales &amp; Marketing</t>
        </is>
      </c>
      <c r="B20" s="12">
        <f>Assumptions!B16</f>
        <v/>
      </c>
      <c r="C20" s="12">
        <f>Assumptions!C16</f>
        <v/>
      </c>
      <c r="D20" s="12">
        <f>Assumptions!D16</f>
        <v/>
      </c>
      <c r="E20" s="12">
        <f>Assumptions!E16</f>
        <v/>
      </c>
      <c r="F20" s="12">
        <f>Assumptions!F16</f>
        <v/>
      </c>
      <c r="G20" s="12">
        <f>Assumptions!G16</f>
        <v/>
      </c>
      <c r="H20" s="12">
        <f>Assumptions!H16</f>
        <v/>
      </c>
      <c r="I20" s="12">
        <f>Assumptions!I16</f>
        <v/>
      </c>
      <c r="J20" s="12">
        <f>Assumptions!J16</f>
        <v/>
      </c>
      <c r="K20" s="12">
        <f>Assumptions!K16</f>
        <v/>
      </c>
      <c r="L20" s="12">
        <f>Assumptions!L16</f>
        <v/>
      </c>
      <c r="M20" s="12">
        <f>Assumptions!M16</f>
        <v/>
      </c>
      <c r="N20" s="12">
        <f>SUM(B20:D20)</f>
        <v/>
      </c>
      <c r="O20" s="12">
        <f>SUM(E20:G20)</f>
        <v/>
      </c>
      <c r="P20" s="12">
        <f>SUM(H20:J20)</f>
        <v/>
      </c>
      <c r="Q20" s="12">
        <f>SUM(K20:M20)</f>
        <v/>
      </c>
      <c r="R20" s="12">
        <f>SUM(B20:M20)</f>
        <v/>
      </c>
    </row>
    <row r="21">
      <c r="A21" s="11" t="inlineStr">
        <is>
          <t>Research &amp; Development</t>
        </is>
      </c>
      <c r="B21" s="12">
        <f>Assumptions!B17</f>
        <v/>
      </c>
      <c r="C21" s="12">
        <f>Assumptions!C17</f>
        <v/>
      </c>
      <c r="D21" s="12">
        <f>Assumptions!D17</f>
        <v/>
      </c>
      <c r="E21" s="12">
        <f>Assumptions!E17</f>
        <v/>
      </c>
      <c r="F21" s="12">
        <f>Assumptions!F17</f>
        <v/>
      </c>
      <c r="G21" s="12">
        <f>Assumptions!G17</f>
        <v/>
      </c>
      <c r="H21" s="12">
        <f>Assumptions!H17</f>
        <v/>
      </c>
      <c r="I21" s="12">
        <f>Assumptions!I17</f>
        <v/>
      </c>
      <c r="J21" s="12">
        <f>Assumptions!J17</f>
        <v/>
      </c>
      <c r="K21" s="12">
        <f>Assumptions!K17</f>
        <v/>
      </c>
      <c r="L21" s="12">
        <f>Assumptions!L17</f>
        <v/>
      </c>
      <c r="M21" s="12">
        <f>Assumptions!M17</f>
        <v/>
      </c>
      <c r="N21" s="12">
        <f>SUM(B21:D21)</f>
        <v/>
      </c>
      <c r="O21" s="12">
        <f>SUM(E21:G21)</f>
        <v/>
      </c>
      <c r="P21" s="12">
        <f>SUM(H21:J21)</f>
        <v/>
      </c>
      <c r="Q21" s="12">
        <f>SUM(K21:M21)</f>
        <v/>
      </c>
      <c r="R21" s="12">
        <f>SUM(B21:M21)</f>
        <v/>
      </c>
    </row>
    <row r="22">
      <c r="A22" s="11" t="inlineStr">
        <is>
          <t>General &amp; Administrative</t>
        </is>
      </c>
      <c r="B22" s="12">
        <f>Assumptions!B18</f>
        <v/>
      </c>
      <c r="C22" s="12">
        <f>Assumptions!C18</f>
        <v/>
      </c>
      <c r="D22" s="12">
        <f>Assumptions!D18</f>
        <v/>
      </c>
      <c r="E22" s="12">
        <f>Assumptions!E18</f>
        <v/>
      </c>
      <c r="F22" s="12">
        <f>Assumptions!F18</f>
        <v/>
      </c>
      <c r="G22" s="12">
        <f>Assumptions!G18</f>
        <v/>
      </c>
      <c r="H22" s="12">
        <f>Assumptions!H18</f>
        <v/>
      </c>
      <c r="I22" s="12">
        <f>Assumptions!I18</f>
        <v/>
      </c>
      <c r="J22" s="12">
        <f>Assumptions!J18</f>
        <v/>
      </c>
      <c r="K22" s="12">
        <f>Assumptions!K18</f>
        <v/>
      </c>
      <c r="L22" s="12">
        <f>Assumptions!L18</f>
        <v/>
      </c>
      <c r="M22" s="12">
        <f>Assumptions!M18</f>
        <v/>
      </c>
      <c r="N22" s="12">
        <f>SUM(B22:D22)</f>
        <v/>
      </c>
      <c r="O22" s="12">
        <f>SUM(E22:G22)</f>
        <v/>
      </c>
      <c r="P22" s="12">
        <f>SUM(H22:J22)</f>
        <v/>
      </c>
      <c r="Q22" s="12">
        <f>SUM(K22:M22)</f>
        <v/>
      </c>
      <c r="R22" s="12">
        <f>SUM(B22:M22)</f>
        <v/>
      </c>
    </row>
    <row r="23">
      <c r="A23" s="11" t="inlineStr">
        <is>
          <t>Total OpEx</t>
        </is>
      </c>
      <c r="B23" s="12">
        <f>SUM(B20:B22)</f>
        <v/>
      </c>
      <c r="C23" s="12">
        <f>SUM(C20:C22)</f>
        <v/>
      </c>
      <c r="D23" s="12">
        <f>SUM(D20:D22)</f>
        <v/>
      </c>
      <c r="E23" s="12">
        <f>SUM(E20:E22)</f>
        <v/>
      </c>
      <c r="F23" s="12">
        <f>SUM(F20:F22)</f>
        <v/>
      </c>
      <c r="G23" s="12">
        <f>SUM(G20:G22)</f>
        <v/>
      </c>
      <c r="H23" s="12">
        <f>SUM(H20:H22)</f>
        <v/>
      </c>
      <c r="I23" s="12">
        <f>SUM(I20:I22)</f>
        <v/>
      </c>
      <c r="J23" s="12">
        <f>SUM(J20:J22)</f>
        <v/>
      </c>
      <c r="K23" s="12">
        <f>SUM(K20:K22)</f>
        <v/>
      </c>
      <c r="L23" s="12">
        <f>SUM(L20:L22)</f>
        <v/>
      </c>
      <c r="M23" s="12">
        <f>SUM(M20:M22)</f>
        <v/>
      </c>
      <c r="N23" s="12">
        <f>SUM(B23:D23)</f>
        <v/>
      </c>
      <c r="O23" s="12">
        <f>SUM(E23:G23)</f>
        <v/>
      </c>
      <c r="P23" s="12">
        <f>SUM(H23:J23)</f>
        <v/>
      </c>
      <c r="Q23" s="12">
        <f>SUM(K23:M23)</f>
        <v/>
      </c>
      <c r="R23" s="12">
        <f>SUM(B23:M23)</f>
        <v/>
      </c>
    </row>
    <row r="24">
      <c r="A24" s="7" t="inlineStr">
        <is>
          <t>EBITDA</t>
        </is>
      </c>
      <c r="B24" s="12">
        <f>B18-B23</f>
        <v/>
      </c>
      <c r="C24" s="12">
        <f>C18-C23</f>
        <v/>
      </c>
      <c r="D24" s="12">
        <f>D18-D23</f>
        <v/>
      </c>
      <c r="E24" s="12">
        <f>E18-E23</f>
        <v/>
      </c>
      <c r="F24" s="12">
        <f>F18-F23</f>
        <v/>
      </c>
      <c r="G24" s="12">
        <f>G18-G23</f>
        <v/>
      </c>
      <c r="H24" s="12">
        <f>H18-H23</f>
        <v/>
      </c>
      <c r="I24" s="12">
        <f>I18-I23</f>
        <v/>
      </c>
      <c r="J24" s="12">
        <f>J18-J23</f>
        <v/>
      </c>
      <c r="K24" s="12">
        <f>K18-K23</f>
        <v/>
      </c>
      <c r="L24" s="12">
        <f>L18-L23</f>
        <v/>
      </c>
      <c r="M24" s="12">
        <f>M18-M23</f>
        <v/>
      </c>
      <c r="N24" s="12">
        <f>SUM(B24:D24)</f>
        <v/>
      </c>
      <c r="O24" s="12">
        <f>SUM(E24:G24)</f>
        <v/>
      </c>
      <c r="P24" s="12">
        <f>SUM(H24:J24)</f>
        <v/>
      </c>
      <c r="Q24" s="12">
        <f>SUM(K24:M24)</f>
        <v/>
      </c>
      <c r="R24" s="12">
        <f>SUM(B24:M24)</f>
        <v/>
      </c>
    </row>
    <row r="25">
      <c r="A25" s="11" t="inlineStr">
        <is>
          <t>EBITDA Margin %</t>
        </is>
      </c>
      <c r="B25" s="13">
        <f>B24/B16</f>
        <v/>
      </c>
      <c r="C25" s="13">
        <f>C24/C16</f>
        <v/>
      </c>
      <c r="D25" s="13">
        <f>D24/D16</f>
        <v/>
      </c>
      <c r="E25" s="13">
        <f>E24/E16</f>
        <v/>
      </c>
      <c r="F25" s="13">
        <f>F24/F16</f>
        <v/>
      </c>
      <c r="G25" s="13">
        <f>G24/G16</f>
        <v/>
      </c>
      <c r="H25" s="13">
        <f>H24/H16</f>
        <v/>
      </c>
      <c r="I25" s="13">
        <f>I24/I16</f>
        <v/>
      </c>
      <c r="J25" s="13">
        <f>J24/J16</f>
        <v/>
      </c>
      <c r="K25" s="13">
        <f>K24/K16</f>
        <v/>
      </c>
      <c r="L25" s="13">
        <f>L24/L16</f>
        <v/>
      </c>
      <c r="M25" s="13">
        <f>M24/M16</f>
        <v/>
      </c>
      <c r="N25" s="13">
        <f>N24/N16</f>
        <v/>
      </c>
      <c r="O25" s="13">
        <f>O24/O16</f>
        <v/>
      </c>
      <c r="P25" s="13">
        <f>P24/P16</f>
        <v/>
      </c>
      <c r="Q25" s="13">
        <f>Q24/Q16</f>
        <v/>
      </c>
      <c r="R25" s="13">
        <f>R24/R16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2026-07-01T23:16:24Z</dcterms:created>
  <dcterms:modified xsi:type="dcterms:W3CDTF">2026-07-02T03:52:45Z</dcterms:modified>
</cp:coreProperties>
</file>